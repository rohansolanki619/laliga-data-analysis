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8285C89D-B07E-4882-BD61-8CB181E7B334}" xr6:coauthVersionLast="47" xr6:coauthVersionMax="47" xr10:uidLastSave="{00000000-0000-0000-0000-000000000000}"/>
  <bookViews>
    <workbookView xWindow="-108" yWindow="-108" windowWidth="23256" windowHeight="13176" firstSheet="1" activeTab="1" xr2:uid="{AD76CC1D-12ED-4750-A644-141190D44566}"/>
  </bookViews>
  <sheets>
    <sheet name="Raw_La_Liga data" sheetId="1" r:id="rId1"/>
    <sheet name="Cleaned_Liga_Data" sheetId="2" r:id="rId2"/>
    <sheet name="Season_Winners" sheetId="3" r:id="rId3"/>
  </sheets>
  <calcPr calcId="0"/>
</workbook>
</file>

<file path=xl/calcChain.xml><?xml version="1.0" encoding="utf-8"?>
<calcChain xmlns="http://schemas.openxmlformats.org/spreadsheetml/2006/main">
  <c r="M2" i="2" l="1"/>
  <c r="M45" i="2"/>
  <c r="M43" i="2"/>
  <c r="M40" i="2"/>
  <c r="M38" i="2"/>
  <c r="M36" i="2"/>
  <c r="M33" i="2"/>
  <c r="M28" i="2"/>
  <c r="M26" i="2"/>
  <c r="M25" i="2"/>
  <c r="M21" i="2"/>
  <c r="M19" i="2"/>
  <c r="M18" i="2"/>
  <c r="M17" i="2"/>
  <c r="M13" i="2"/>
  <c r="M9" i="2"/>
  <c r="M5" i="2"/>
  <c r="M4" i="2"/>
  <c r="M3" i="2"/>
  <c r="M6" i="2"/>
  <c r="M7" i="2"/>
  <c r="M8" i="2"/>
  <c r="M10" i="2"/>
  <c r="M11" i="2"/>
  <c r="M12" i="2"/>
  <c r="M14" i="2"/>
  <c r="M15" i="2"/>
  <c r="M16" i="2"/>
  <c r="M20" i="2"/>
  <c r="M22" i="2"/>
  <c r="M23" i="2"/>
  <c r="M24" i="2"/>
  <c r="M27" i="2"/>
  <c r="M29" i="2"/>
  <c r="M30" i="2"/>
  <c r="M31" i="2"/>
  <c r="M32" i="2"/>
  <c r="M34" i="2"/>
  <c r="M35" i="2"/>
  <c r="M37" i="2"/>
  <c r="M39" i="2"/>
  <c r="M41" i="2"/>
  <c r="M42" i="2"/>
  <c r="M44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L14" i="2"/>
  <c r="L16" i="2"/>
  <c r="L148" i="2"/>
  <c r="L272" i="2"/>
  <c r="L416" i="2"/>
  <c r="L692" i="2"/>
  <c r="L728" i="2"/>
  <c r="L755" i="2"/>
  <c r="L1052" i="2"/>
  <c r="L1084" i="2"/>
  <c r="L1439" i="2"/>
  <c r="L1451" i="2"/>
  <c r="L1709" i="2"/>
  <c r="L1756" i="2"/>
  <c r="L1867" i="2"/>
  <c r="L2263" i="2"/>
  <c r="L2492" i="2"/>
  <c r="L2648" i="2"/>
  <c r="L2685" i="2"/>
  <c r="L3054" i="2"/>
  <c r="L3097" i="2"/>
  <c r="L3098" i="2"/>
  <c r="L3145" i="2"/>
  <c r="L3524" i="2"/>
  <c r="L3630" i="2"/>
  <c r="K3789" i="2"/>
  <c r="K3393" i="2"/>
  <c r="K3235" i="2"/>
  <c r="K3231" i="2"/>
  <c r="L3231" i="2" s="1"/>
  <c r="K3209" i="2"/>
  <c r="K3174" i="2"/>
  <c r="K3019" i="2"/>
  <c r="K2879" i="2"/>
  <c r="K2878" i="2"/>
  <c r="K2873" i="2"/>
  <c r="K2624" i="2"/>
  <c r="K2612" i="2"/>
  <c r="K2564" i="2"/>
  <c r="K2553" i="2"/>
  <c r="K2536" i="2"/>
  <c r="K2468" i="2"/>
  <c r="K2467" i="2"/>
  <c r="K2456" i="2"/>
  <c r="K2396" i="2"/>
  <c r="K2298" i="2"/>
  <c r="K2264" i="2"/>
  <c r="K2192" i="2"/>
  <c r="K2179" i="2"/>
  <c r="K2156" i="2"/>
  <c r="K2116" i="2"/>
  <c r="K2048" i="2"/>
  <c r="K2033" i="2"/>
  <c r="K1976" i="2"/>
  <c r="K1964" i="2"/>
  <c r="K1892" i="2"/>
  <c r="K1832" i="2"/>
  <c r="K1830" i="2"/>
  <c r="K1760" i="2"/>
  <c r="K1712" i="2"/>
  <c r="K1667" i="2"/>
  <c r="K1642" i="2"/>
  <c r="K1619" i="2"/>
  <c r="K1604" i="2"/>
  <c r="K1595" i="2"/>
  <c r="K1592" i="2"/>
  <c r="K1487" i="2"/>
  <c r="K1440" i="2"/>
  <c r="K1439" i="2"/>
  <c r="K1436" i="2"/>
  <c r="K1387" i="2"/>
  <c r="K1386" i="2"/>
  <c r="K1316" i="2"/>
  <c r="K1304" i="2"/>
  <c r="K1294" i="2"/>
  <c r="K1292" i="2"/>
  <c r="K1276" i="2"/>
  <c r="K1269" i="2"/>
  <c r="K1268" i="2"/>
  <c r="K1256" i="2"/>
  <c r="K1172" i="2"/>
  <c r="K1136" i="2"/>
  <c r="K1124" i="2"/>
  <c r="K1072" i="2"/>
  <c r="K1055" i="2"/>
  <c r="K1052" i="2"/>
  <c r="K1027" i="2"/>
  <c r="K1016" i="2"/>
  <c r="K956" i="2"/>
  <c r="K935" i="2"/>
  <c r="K912" i="2"/>
  <c r="K897" i="2"/>
  <c r="K896" i="2"/>
  <c r="K860" i="2"/>
  <c r="K824" i="2"/>
  <c r="K791" i="2"/>
  <c r="K789" i="2"/>
  <c r="K782" i="2"/>
  <c r="K728" i="2"/>
  <c r="K725" i="2"/>
  <c r="K704" i="2"/>
  <c r="K680" i="2"/>
  <c r="K608" i="2"/>
  <c r="K587" i="2"/>
  <c r="K559" i="2"/>
  <c r="K548" i="2"/>
  <c r="K491" i="2"/>
  <c r="K485" i="2"/>
  <c r="K476" i="2"/>
  <c r="K475" i="2"/>
  <c r="K452" i="2"/>
  <c r="K428" i="2"/>
  <c r="K357" i="2"/>
  <c r="K335" i="2"/>
  <c r="K296" i="2"/>
  <c r="L296" i="2" s="1"/>
  <c r="K236" i="2"/>
  <c r="K179" i="2"/>
  <c r="K178" i="2"/>
  <c r="K176" i="2"/>
  <c r="K150" i="2"/>
  <c r="K140" i="2"/>
  <c r="K129" i="2"/>
  <c r="K128" i="2"/>
  <c r="K54" i="2"/>
  <c r="K44" i="2"/>
  <c r="K35" i="2"/>
  <c r="K23" i="2"/>
  <c r="J68" i="2"/>
  <c r="L68" i="2" s="1"/>
  <c r="J90" i="2"/>
  <c r="J100" i="2"/>
  <c r="J125" i="2"/>
  <c r="J128" i="2"/>
  <c r="J164" i="2"/>
  <c r="J176" i="2"/>
  <c r="J211" i="2"/>
  <c r="J241" i="2"/>
  <c r="J271" i="2"/>
  <c r="J294" i="2"/>
  <c r="J323" i="2"/>
  <c r="J335" i="2"/>
  <c r="J347" i="2"/>
  <c r="J353" i="2"/>
  <c r="J371" i="2"/>
  <c r="J381" i="2"/>
  <c r="J428" i="2"/>
  <c r="J443" i="2"/>
  <c r="J462" i="2"/>
  <c r="J464" i="2"/>
  <c r="J476" i="2"/>
  <c r="J536" i="2"/>
  <c r="J571" i="2"/>
  <c r="J611" i="2"/>
  <c r="J619" i="2"/>
  <c r="L619" i="2" s="1"/>
  <c r="J620" i="2"/>
  <c r="J728" i="2"/>
  <c r="J740" i="2"/>
  <c r="J743" i="2"/>
  <c r="J764" i="2"/>
  <c r="J824" i="2"/>
  <c r="J835" i="2"/>
  <c r="J858" i="2"/>
  <c r="J862" i="2"/>
  <c r="J863" i="2"/>
  <c r="J879" i="2"/>
  <c r="L879" i="2" s="1"/>
  <c r="J907" i="2"/>
  <c r="J920" i="2"/>
  <c r="J959" i="2"/>
  <c r="J971" i="2"/>
  <c r="J980" i="2"/>
  <c r="L980" i="2" s="1"/>
  <c r="J1002" i="2"/>
  <c r="J1014" i="2"/>
  <c r="J1016" i="2"/>
  <c r="J1028" i="2"/>
  <c r="J1052" i="2"/>
  <c r="J1136" i="2"/>
  <c r="J1144" i="2"/>
  <c r="J1151" i="2"/>
  <c r="J1172" i="2"/>
  <c r="J1195" i="2"/>
  <c r="J1243" i="2"/>
  <c r="J1247" i="2"/>
  <c r="J1268" i="2"/>
  <c r="J1279" i="2"/>
  <c r="J1280" i="2"/>
  <c r="J1292" i="2"/>
  <c r="J1301" i="2"/>
  <c r="J1340" i="2"/>
  <c r="J1351" i="2"/>
  <c r="J1352" i="2"/>
  <c r="J1364" i="2"/>
  <c r="J1388" i="2"/>
  <c r="J1391" i="2"/>
  <c r="J1434" i="2"/>
  <c r="J1435" i="2"/>
  <c r="J1436" i="2"/>
  <c r="J1448" i="2"/>
  <c r="J1470" i="2"/>
  <c r="J1471" i="2"/>
  <c r="J1475" i="2"/>
  <c r="J1494" i="2"/>
  <c r="J1496" i="2"/>
  <c r="J1519" i="2"/>
  <c r="J1520" i="2"/>
  <c r="J1532" i="2"/>
  <c r="J1590" i="2"/>
  <c r="J1591" i="2"/>
  <c r="J1616" i="2"/>
  <c r="J1627" i="2"/>
  <c r="J1629" i="2"/>
  <c r="J1640" i="2"/>
  <c r="J1684" i="2"/>
  <c r="J1685" i="2"/>
  <c r="J1691" i="2"/>
  <c r="J1700" i="2"/>
  <c r="J1712" i="2"/>
  <c r="J1734" i="2"/>
  <c r="J1735" i="2"/>
  <c r="J1763" i="2"/>
  <c r="J1772" i="2"/>
  <c r="J1808" i="2"/>
  <c r="J1830" i="2"/>
  <c r="J1831" i="2"/>
  <c r="J1835" i="2"/>
  <c r="J1868" i="2"/>
  <c r="J1904" i="2"/>
  <c r="J1916" i="2"/>
  <c r="J1938" i="2"/>
  <c r="J1952" i="2"/>
  <c r="J1953" i="2"/>
  <c r="J1974" i="2"/>
  <c r="J1987" i="2"/>
  <c r="J1988" i="2"/>
  <c r="J2010" i="2"/>
  <c r="J2013" i="2"/>
  <c r="J2024" i="2"/>
  <c r="J2066" i="2"/>
  <c r="J2067" i="2"/>
  <c r="J2072" i="2"/>
  <c r="J2095" i="2"/>
  <c r="J2096" i="2"/>
  <c r="J2132" i="2"/>
  <c r="J2144" i="2"/>
  <c r="J2152" i="2"/>
  <c r="J2154" i="2"/>
  <c r="J2204" i="2"/>
  <c r="J2215" i="2"/>
  <c r="J2216" i="2"/>
  <c r="J2284" i="2"/>
  <c r="J2297" i="2"/>
  <c r="J2298" i="2"/>
  <c r="J2299" i="2"/>
  <c r="J2301" i="2"/>
  <c r="J2322" i="2"/>
  <c r="J2324" i="2"/>
  <c r="J2348" i="2"/>
  <c r="L2348" i="2" s="1"/>
  <c r="J2358" i="2"/>
  <c r="J2363" i="2"/>
  <c r="J2372" i="2"/>
  <c r="J2380" i="2"/>
  <c r="J2394" i="2"/>
  <c r="J2396" i="2"/>
  <c r="J2442" i="2"/>
  <c r="J2452" i="2"/>
  <c r="L2452" i="2" s="1"/>
  <c r="J2453" i="2"/>
  <c r="J2456" i="2"/>
  <c r="J2468" i="2"/>
  <c r="J2505" i="2"/>
  <c r="J2516" i="2"/>
  <c r="J2540" i="2"/>
  <c r="L2540" i="2" s="1"/>
  <c r="J2548" i="2"/>
  <c r="J2563" i="2"/>
  <c r="J2564" i="2"/>
  <c r="J2588" i="2"/>
  <c r="L2588" i="2" s="1"/>
  <c r="J2598" i="2"/>
  <c r="J2612" i="2"/>
  <c r="J2624" i="2"/>
  <c r="J2625" i="2"/>
  <c r="J2648" i="2"/>
  <c r="J2665" i="2"/>
  <c r="J2682" i="2"/>
  <c r="J2733" i="2"/>
  <c r="J2735" i="2"/>
  <c r="J2737" i="2"/>
  <c r="J2741" i="2"/>
  <c r="J2753" i="2"/>
  <c r="J2754" i="2"/>
  <c r="J2768" i="2"/>
  <c r="J2845" i="2"/>
  <c r="J2851" i="2"/>
  <c r="J2852" i="2"/>
  <c r="J2876" i="2"/>
  <c r="J2910" i="2"/>
  <c r="J2934" i="2"/>
  <c r="J2935" i="2"/>
  <c r="J2936" i="2"/>
  <c r="J2937" i="2"/>
  <c r="J2980" i="2"/>
  <c r="J2981" i="2"/>
  <c r="J3019" i="2"/>
  <c r="J3043" i="2"/>
  <c r="J3103" i="2"/>
  <c r="J3163" i="2"/>
  <c r="J3164" i="2"/>
  <c r="J3165" i="2"/>
  <c r="J3172" i="2"/>
  <c r="J3184" i="2"/>
  <c r="J3185" i="2"/>
  <c r="L3185" i="2" s="1"/>
  <c r="J3235" i="2"/>
  <c r="J3258" i="2"/>
  <c r="J3271" i="2"/>
  <c r="J3273" i="2"/>
  <c r="J3292" i="2"/>
  <c r="J3293" i="2"/>
  <c r="L3293" i="2" s="1"/>
  <c r="J3297" i="2"/>
  <c r="J3321" i="2"/>
  <c r="J3376" i="2"/>
  <c r="J3400" i="2"/>
  <c r="J3402" i="2"/>
  <c r="J3404" i="2"/>
  <c r="J3439" i="2"/>
  <c r="J3475" i="2"/>
  <c r="J3486" i="2"/>
  <c r="J3494" i="2"/>
  <c r="J3496" i="2"/>
  <c r="J3497" i="2"/>
  <c r="L3497" i="2" s="1"/>
  <c r="J3524" i="2"/>
  <c r="J3525" i="2"/>
  <c r="J3557" i="2"/>
  <c r="J3568" i="2"/>
  <c r="J3569" i="2"/>
  <c r="J3609" i="2"/>
  <c r="J3618" i="2"/>
  <c r="J3643" i="2"/>
  <c r="J3664" i="2"/>
  <c r="J3666" i="2"/>
  <c r="J3714" i="2"/>
  <c r="L3714" i="2" s="1"/>
  <c r="J3726" i="2"/>
  <c r="J3736" i="2"/>
  <c r="J3737" i="2"/>
  <c r="J3752" i="2"/>
  <c r="J3753" i="2"/>
  <c r="J3798" i="2"/>
  <c r="I2" i="2"/>
  <c r="I3" i="2"/>
  <c r="I4" i="2"/>
  <c r="I5" i="2"/>
  <c r="K5" i="2" s="1"/>
  <c r="I6" i="2"/>
  <c r="K6" i="2" s="1"/>
  <c r="I7" i="2"/>
  <c r="I8" i="2"/>
  <c r="J8" i="2" s="1"/>
  <c r="I9" i="2"/>
  <c r="I10" i="2"/>
  <c r="L10" i="2" s="1"/>
  <c r="I11" i="2"/>
  <c r="I12" i="2"/>
  <c r="K12" i="2" s="1"/>
  <c r="I13" i="2"/>
  <c r="I14" i="2"/>
  <c r="I15" i="2"/>
  <c r="I16" i="2"/>
  <c r="I17" i="2"/>
  <c r="I18" i="2"/>
  <c r="I19" i="2"/>
  <c r="I20" i="2"/>
  <c r="K20" i="2" s="1"/>
  <c r="I21" i="2"/>
  <c r="K21" i="2" s="1"/>
  <c r="I22" i="2"/>
  <c r="L22" i="2" s="1"/>
  <c r="I23" i="2"/>
  <c r="J23" i="2" s="1"/>
  <c r="I24" i="2"/>
  <c r="K24" i="2" s="1"/>
  <c r="I25" i="2"/>
  <c r="J25" i="2" s="1"/>
  <c r="I26" i="2"/>
  <c r="I27" i="2"/>
  <c r="L27" i="2" s="1"/>
  <c r="I28" i="2"/>
  <c r="K28" i="2" s="1"/>
  <c r="I29" i="2"/>
  <c r="J29" i="2" s="1"/>
  <c r="I30" i="2"/>
  <c r="J30" i="2" s="1"/>
  <c r="I31" i="2"/>
  <c r="K31" i="2" s="1"/>
  <c r="I32" i="2"/>
  <c r="L32" i="2" s="1"/>
  <c r="I33" i="2"/>
  <c r="I34" i="2"/>
  <c r="K34" i="2" s="1"/>
  <c r="I35" i="2"/>
  <c r="I36" i="2"/>
  <c r="I37" i="2"/>
  <c r="I38" i="2"/>
  <c r="I39" i="2"/>
  <c r="J39" i="2" s="1"/>
  <c r="I40" i="2"/>
  <c r="I41" i="2"/>
  <c r="I42" i="2"/>
  <c r="I43" i="2"/>
  <c r="I44" i="2"/>
  <c r="L44" i="2" s="1"/>
  <c r="I45" i="2"/>
  <c r="I46" i="2"/>
  <c r="J46" i="2" s="1"/>
  <c r="I47" i="2"/>
  <c r="J47" i="2" s="1"/>
  <c r="I48" i="2"/>
  <c r="I49" i="2"/>
  <c r="K49" i="2" s="1"/>
  <c r="I50" i="2"/>
  <c r="I51" i="2"/>
  <c r="I52" i="2"/>
  <c r="J52" i="2" s="1"/>
  <c r="I53" i="2"/>
  <c r="K53" i="2" s="1"/>
  <c r="I54" i="2"/>
  <c r="L54" i="2" s="1"/>
  <c r="I55" i="2"/>
  <c r="I56" i="2"/>
  <c r="K56" i="2" s="1"/>
  <c r="I57" i="2"/>
  <c r="J57" i="2" s="1"/>
  <c r="I58" i="2"/>
  <c r="L58" i="2" s="1"/>
  <c r="I59" i="2"/>
  <c r="L59" i="2" s="1"/>
  <c r="I60" i="2"/>
  <c r="I61" i="2"/>
  <c r="I62" i="2"/>
  <c r="I63" i="2"/>
  <c r="I64" i="2"/>
  <c r="I65" i="2"/>
  <c r="L65" i="2" s="1"/>
  <c r="I66" i="2"/>
  <c r="I67" i="2"/>
  <c r="I68" i="2"/>
  <c r="K68" i="2" s="1"/>
  <c r="I69" i="2"/>
  <c r="I70" i="2"/>
  <c r="I71" i="2"/>
  <c r="I72" i="2"/>
  <c r="I73" i="2"/>
  <c r="I74" i="2"/>
  <c r="I75" i="2"/>
  <c r="I76" i="2"/>
  <c r="J76" i="2" s="1"/>
  <c r="I77" i="2"/>
  <c r="I78" i="2"/>
  <c r="I79" i="2"/>
  <c r="I80" i="2"/>
  <c r="I81" i="2"/>
  <c r="L81" i="2" s="1"/>
  <c r="I82" i="2"/>
  <c r="K82" i="2" s="1"/>
  <c r="I83" i="2"/>
  <c r="K83" i="2" s="1"/>
  <c r="I84" i="2"/>
  <c r="K84" i="2" s="1"/>
  <c r="I85" i="2"/>
  <c r="K85" i="2" s="1"/>
  <c r="I86" i="2"/>
  <c r="I87" i="2"/>
  <c r="I88" i="2"/>
  <c r="I89" i="2"/>
  <c r="J89" i="2" s="1"/>
  <c r="I90" i="2"/>
  <c r="I91" i="2"/>
  <c r="J91" i="2" s="1"/>
  <c r="I92" i="2"/>
  <c r="J92" i="2" s="1"/>
  <c r="I93" i="2"/>
  <c r="J93" i="2" s="1"/>
  <c r="I94" i="2"/>
  <c r="J94" i="2" s="1"/>
  <c r="I95" i="2"/>
  <c r="I96" i="2"/>
  <c r="I97" i="2"/>
  <c r="I98" i="2"/>
  <c r="I99" i="2"/>
  <c r="I100" i="2"/>
  <c r="K100" i="2" s="1"/>
  <c r="I101" i="2"/>
  <c r="I102" i="2"/>
  <c r="K102" i="2" s="1"/>
  <c r="I103" i="2"/>
  <c r="K103" i="2" s="1"/>
  <c r="I104" i="2"/>
  <c r="L104" i="2" s="1"/>
  <c r="I105" i="2"/>
  <c r="K105" i="2" s="1"/>
  <c r="I106" i="2"/>
  <c r="K106" i="2" s="1"/>
  <c r="I107" i="2"/>
  <c r="J107" i="2" s="1"/>
  <c r="I108" i="2"/>
  <c r="L108" i="2" s="1"/>
  <c r="I109" i="2"/>
  <c r="I110" i="2"/>
  <c r="K110" i="2" s="1"/>
  <c r="I111" i="2"/>
  <c r="I112" i="2"/>
  <c r="I113" i="2"/>
  <c r="J113" i="2" s="1"/>
  <c r="I114" i="2"/>
  <c r="I115" i="2"/>
  <c r="J115" i="2" s="1"/>
  <c r="I116" i="2"/>
  <c r="I117" i="2"/>
  <c r="J117" i="2" s="1"/>
  <c r="I118" i="2"/>
  <c r="I119" i="2"/>
  <c r="J119" i="2" s="1"/>
  <c r="I120" i="2"/>
  <c r="I121" i="2"/>
  <c r="K121" i="2" s="1"/>
  <c r="I122" i="2"/>
  <c r="J122" i="2" s="1"/>
  <c r="I123" i="2"/>
  <c r="J123" i="2" s="1"/>
  <c r="I124" i="2"/>
  <c r="J124" i="2" s="1"/>
  <c r="I125" i="2"/>
  <c r="L125" i="2" s="1"/>
  <c r="I126" i="2"/>
  <c r="I127" i="2"/>
  <c r="K127" i="2" s="1"/>
  <c r="I128" i="2"/>
  <c r="L128" i="2" s="1"/>
  <c r="I129" i="2"/>
  <c r="I130" i="2"/>
  <c r="L130" i="2" s="1"/>
  <c r="I131" i="2"/>
  <c r="I132" i="2"/>
  <c r="I133" i="2"/>
  <c r="I134" i="2"/>
  <c r="I135" i="2"/>
  <c r="J135" i="2" s="1"/>
  <c r="I136" i="2"/>
  <c r="I137" i="2"/>
  <c r="I138" i="2"/>
  <c r="I139" i="2"/>
  <c r="I140" i="2"/>
  <c r="J140" i="2" s="1"/>
  <c r="I141" i="2"/>
  <c r="I142" i="2"/>
  <c r="K142" i="2" s="1"/>
  <c r="I143" i="2"/>
  <c r="K143" i="2" s="1"/>
  <c r="I144" i="2"/>
  <c r="K144" i="2" s="1"/>
  <c r="I145" i="2"/>
  <c r="K145" i="2" s="1"/>
  <c r="I146" i="2"/>
  <c r="I147" i="2"/>
  <c r="J147" i="2" s="1"/>
  <c r="I148" i="2"/>
  <c r="I149" i="2"/>
  <c r="I150" i="2"/>
  <c r="J150" i="2" s="1"/>
  <c r="I151" i="2"/>
  <c r="J151" i="2" s="1"/>
  <c r="I152" i="2"/>
  <c r="I153" i="2"/>
  <c r="I154" i="2"/>
  <c r="K154" i="2" s="1"/>
  <c r="I155" i="2"/>
  <c r="L155" i="2" s="1"/>
  <c r="I156" i="2"/>
  <c r="I157" i="2"/>
  <c r="K157" i="2" s="1"/>
  <c r="I158" i="2"/>
  <c r="I159" i="2"/>
  <c r="I160" i="2"/>
  <c r="I161" i="2"/>
  <c r="I162" i="2"/>
  <c r="J162" i="2" s="1"/>
  <c r="I163" i="2"/>
  <c r="J163" i="2" s="1"/>
  <c r="I164" i="2"/>
  <c r="K164" i="2" s="1"/>
  <c r="I165" i="2"/>
  <c r="L165" i="2" s="1"/>
  <c r="I166" i="2"/>
  <c r="K166" i="2" s="1"/>
  <c r="I167" i="2"/>
  <c r="I168" i="2"/>
  <c r="K168" i="2" s="1"/>
  <c r="I169" i="2"/>
  <c r="I170" i="2"/>
  <c r="K170" i="2" s="1"/>
  <c r="I171" i="2"/>
  <c r="L171" i="2" s="1"/>
  <c r="I172" i="2"/>
  <c r="I173" i="2"/>
  <c r="K173" i="2" s="1"/>
  <c r="I174" i="2"/>
  <c r="I175" i="2"/>
  <c r="I176" i="2"/>
  <c r="I177" i="2"/>
  <c r="I178" i="2"/>
  <c r="I179" i="2"/>
  <c r="J179" i="2" s="1"/>
  <c r="I180" i="2"/>
  <c r="K180" i="2" s="1"/>
  <c r="I181" i="2"/>
  <c r="I182" i="2"/>
  <c r="I183" i="2"/>
  <c r="I184" i="2"/>
  <c r="K184" i="2" s="1"/>
  <c r="I185" i="2"/>
  <c r="I186" i="2"/>
  <c r="J186" i="2" s="1"/>
  <c r="I187" i="2"/>
  <c r="I188" i="2"/>
  <c r="I189" i="2"/>
  <c r="I190" i="2"/>
  <c r="I191" i="2"/>
  <c r="I192" i="2"/>
  <c r="I193" i="2"/>
  <c r="J193" i="2" s="1"/>
  <c r="I194" i="2"/>
  <c r="I195" i="2"/>
  <c r="J195" i="2" s="1"/>
  <c r="I196" i="2"/>
  <c r="I197" i="2"/>
  <c r="K197" i="2" s="1"/>
  <c r="I198" i="2"/>
  <c r="J198" i="2" s="1"/>
  <c r="I199" i="2"/>
  <c r="I200" i="2"/>
  <c r="L200" i="2" s="1"/>
  <c r="I201" i="2"/>
  <c r="I202" i="2"/>
  <c r="K202" i="2" s="1"/>
  <c r="I203" i="2"/>
  <c r="K203" i="2" s="1"/>
  <c r="I204" i="2"/>
  <c r="I205" i="2"/>
  <c r="I206" i="2"/>
  <c r="I207" i="2"/>
  <c r="J207" i="2" s="1"/>
  <c r="I208" i="2"/>
  <c r="J208" i="2" s="1"/>
  <c r="I209" i="2"/>
  <c r="I210" i="2"/>
  <c r="K210" i="2" s="1"/>
  <c r="I211" i="2"/>
  <c r="I212" i="2"/>
  <c r="I213" i="2"/>
  <c r="I214" i="2"/>
  <c r="J214" i="2" s="1"/>
  <c r="I215" i="2"/>
  <c r="J215" i="2" s="1"/>
  <c r="I216" i="2"/>
  <c r="K216" i="2" s="1"/>
  <c r="I217" i="2"/>
  <c r="I218" i="2"/>
  <c r="I219" i="2"/>
  <c r="K219" i="2" s="1"/>
  <c r="I220" i="2"/>
  <c r="I221" i="2"/>
  <c r="L221" i="2" s="1"/>
  <c r="I222" i="2"/>
  <c r="I223" i="2"/>
  <c r="I224" i="2"/>
  <c r="I225" i="2"/>
  <c r="J225" i="2" s="1"/>
  <c r="I226" i="2"/>
  <c r="I227" i="2"/>
  <c r="K227" i="2" s="1"/>
  <c r="I228" i="2"/>
  <c r="K228" i="2" s="1"/>
  <c r="I229" i="2"/>
  <c r="I230" i="2"/>
  <c r="I231" i="2"/>
  <c r="J231" i="2" s="1"/>
  <c r="I232" i="2"/>
  <c r="I233" i="2"/>
  <c r="K233" i="2" s="1"/>
  <c r="I234" i="2"/>
  <c r="I235" i="2"/>
  <c r="I236" i="2"/>
  <c r="I237" i="2"/>
  <c r="I238" i="2"/>
  <c r="K238" i="2" s="1"/>
  <c r="I239" i="2"/>
  <c r="I240" i="2"/>
  <c r="I241" i="2"/>
  <c r="I242" i="2"/>
  <c r="I243" i="2"/>
  <c r="I244" i="2"/>
  <c r="J244" i="2" s="1"/>
  <c r="I245" i="2"/>
  <c r="I246" i="2"/>
  <c r="I247" i="2"/>
  <c r="I248" i="2"/>
  <c r="I249" i="2"/>
  <c r="I250" i="2"/>
  <c r="I251" i="2"/>
  <c r="I252" i="2"/>
  <c r="K252" i="2" s="1"/>
  <c r="I253" i="2"/>
  <c r="I254" i="2"/>
  <c r="I255" i="2"/>
  <c r="J255" i="2" s="1"/>
  <c r="I256" i="2"/>
  <c r="I257" i="2"/>
  <c r="I258" i="2"/>
  <c r="I259" i="2"/>
  <c r="I260" i="2"/>
  <c r="I261" i="2"/>
  <c r="I262" i="2"/>
  <c r="K262" i="2" s="1"/>
  <c r="I263" i="2"/>
  <c r="I264" i="2"/>
  <c r="I265" i="2"/>
  <c r="K265" i="2" s="1"/>
  <c r="I266" i="2"/>
  <c r="I267" i="2"/>
  <c r="I268" i="2"/>
  <c r="K268" i="2" s="1"/>
  <c r="I269" i="2"/>
  <c r="J269" i="2" s="1"/>
  <c r="I270" i="2"/>
  <c r="I271" i="2"/>
  <c r="I272" i="2"/>
  <c r="J272" i="2" s="1"/>
  <c r="I273" i="2"/>
  <c r="J273" i="2" s="1"/>
  <c r="I274" i="2"/>
  <c r="J274" i="2" s="1"/>
  <c r="I275" i="2"/>
  <c r="I276" i="2"/>
  <c r="I277" i="2"/>
  <c r="J277" i="2" s="1"/>
  <c r="I278" i="2"/>
  <c r="I279" i="2"/>
  <c r="I280" i="2"/>
  <c r="K280" i="2" s="1"/>
  <c r="I281" i="2"/>
  <c r="I282" i="2"/>
  <c r="I283" i="2"/>
  <c r="I284" i="2"/>
  <c r="I285" i="2"/>
  <c r="I286" i="2"/>
  <c r="I287" i="2"/>
  <c r="L287" i="2" s="1"/>
  <c r="I288" i="2"/>
  <c r="K288" i="2" s="1"/>
  <c r="I289" i="2"/>
  <c r="I290" i="2"/>
  <c r="L290" i="2" s="1"/>
  <c r="I291" i="2"/>
  <c r="I292" i="2"/>
  <c r="I293" i="2"/>
  <c r="I294" i="2"/>
  <c r="I295" i="2"/>
  <c r="I296" i="2"/>
  <c r="J296" i="2" s="1"/>
  <c r="I297" i="2"/>
  <c r="K297" i="2" s="1"/>
  <c r="I298" i="2"/>
  <c r="I299" i="2"/>
  <c r="J299" i="2" s="1"/>
  <c r="I300" i="2"/>
  <c r="I301" i="2"/>
  <c r="J301" i="2" s="1"/>
  <c r="I302" i="2"/>
  <c r="I303" i="2"/>
  <c r="J303" i="2" s="1"/>
  <c r="I304" i="2"/>
  <c r="J304" i="2" s="1"/>
  <c r="I305" i="2"/>
  <c r="I306" i="2"/>
  <c r="I307" i="2"/>
  <c r="I308" i="2"/>
  <c r="I309" i="2"/>
  <c r="I310" i="2"/>
  <c r="K310" i="2" s="1"/>
  <c r="I311" i="2"/>
  <c r="K311" i="2" s="1"/>
  <c r="I312" i="2"/>
  <c r="K312" i="2" s="1"/>
  <c r="I313" i="2"/>
  <c r="K313" i="2" s="1"/>
  <c r="I314" i="2"/>
  <c r="I315" i="2"/>
  <c r="I316" i="2"/>
  <c r="I317" i="2"/>
  <c r="J317" i="2" s="1"/>
  <c r="I318" i="2"/>
  <c r="J318" i="2" s="1"/>
  <c r="I319" i="2"/>
  <c r="I320" i="2"/>
  <c r="K320" i="2" s="1"/>
  <c r="I321" i="2"/>
  <c r="I322" i="2"/>
  <c r="I323" i="2"/>
  <c r="I324" i="2"/>
  <c r="I325" i="2"/>
  <c r="J325" i="2" s="1"/>
  <c r="I326" i="2"/>
  <c r="I327" i="2"/>
  <c r="I328" i="2"/>
  <c r="I329" i="2"/>
  <c r="K329" i="2" s="1"/>
  <c r="I330" i="2"/>
  <c r="I331" i="2"/>
  <c r="I332" i="2"/>
  <c r="J332" i="2" s="1"/>
  <c r="I333" i="2"/>
  <c r="I334" i="2"/>
  <c r="J334" i="2" s="1"/>
  <c r="I335" i="2"/>
  <c r="L335" i="2" s="1"/>
  <c r="I336" i="2"/>
  <c r="K336" i="2" s="1"/>
  <c r="I337" i="2"/>
  <c r="I338" i="2"/>
  <c r="K338" i="2" s="1"/>
  <c r="I339" i="2"/>
  <c r="I340" i="2"/>
  <c r="J340" i="2" s="1"/>
  <c r="I341" i="2"/>
  <c r="K341" i="2" s="1"/>
  <c r="I342" i="2"/>
  <c r="I343" i="2"/>
  <c r="I344" i="2"/>
  <c r="I345" i="2"/>
  <c r="I346" i="2"/>
  <c r="K346" i="2" s="1"/>
  <c r="I347" i="2"/>
  <c r="L347" i="2" s="1"/>
  <c r="I348" i="2"/>
  <c r="I349" i="2"/>
  <c r="I350" i="2"/>
  <c r="I351" i="2"/>
  <c r="J351" i="2" s="1"/>
  <c r="I352" i="2"/>
  <c r="I353" i="2"/>
  <c r="I354" i="2"/>
  <c r="I355" i="2"/>
  <c r="J355" i="2" s="1"/>
  <c r="I356" i="2"/>
  <c r="K356" i="2" s="1"/>
  <c r="I357" i="2"/>
  <c r="I358" i="2"/>
  <c r="I359" i="2"/>
  <c r="I360" i="2"/>
  <c r="I361" i="2"/>
  <c r="K361" i="2" s="1"/>
  <c r="I362" i="2"/>
  <c r="I363" i="2"/>
  <c r="I364" i="2"/>
  <c r="J364" i="2" s="1"/>
  <c r="I365" i="2"/>
  <c r="I366" i="2"/>
  <c r="I367" i="2"/>
  <c r="I368" i="2"/>
  <c r="I369" i="2"/>
  <c r="J369" i="2" s="1"/>
  <c r="I370" i="2"/>
  <c r="I371" i="2"/>
  <c r="K371" i="2" s="1"/>
  <c r="I372" i="2"/>
  <c r="K372" i="2" s="1"/>
  <c r="I373" i="2"/>
  <c r="I374" i="2"/>
  <c r="I375" i="2"/>
  <c r="I376" i="2"/>
  <c r="I377" i="2"/>
  <c r="I378" i="2"/>
  <c r="I379" i="2"/>
  <c r="I380" i="2"/>
  <c r="K380" i="2" s="1"/>
  <c r="I381" i="2"/>
  <c r="I382" i="2"/>
  <c r="J382" i="2" s="1"/>
  <c r="I383" i="2"/>
  <c r="K383" i="2" s="1"/>
  <c r="I384" i="2"/>
  <c r="I385" i="2"/>
  <c r="I386" i="2"/>
  <c r="I387" i="2"/>
  <c r="I388" i="2"/>
  <c r="I389" i="2"/>
  <c r="K389" i="2" s="1"/>
  <c r="I390" i="2"/>
  <c r="I391" i="2"/>
  <c r="I392" i="2"/>
  <c r="K392" i="2" s="1"/>
  <c r="I393" i="2"/>
  <c r="I394" i="2"/>
  <c r="K394" i="2" s="1"/>
  <c r="I395" i="2"/>
  <c r="J395" i="2" s="1"/>
  <c r="I396" i="2"/>
  <c r="L396" i="2" s="1"/>
  <c r="I397" i="2"/>
  <c r="I398" i="2"/>
  <c r="I399" i="2"/>
  <c r="I400" i="2"/>
  <c r="I401" i="2"/>
  <c r="J401" i="2" s="1"/>
  <c r="I402" i="2"/>
  <c r="I403" i="2"/>
  <c r="J403" i="2" s="1"/>
  <c r="I404" i="2"/>
  <c r="K404" i="2" s="1"/>
  <c r="I405" i="2"/>
  <c r="I406" i="2"/>
  <c r="I407" i="2"/>
  <c r="I408" i="2"/>
  <c r="I409" i="2"/>
  <c r="J409" i="2" s="1"/>
  <c r="I410" i="2"/>
  <c r="I411" i="2"/>
  <c r="I412" i="2"/>
  <c r="J412" i="2" s="1"/>
  <c r="I413" i="2"/>
  <c r="I414" i="2"/>
  <c r="J414" i="2" s="1"/>
  <c r="I415" i="2"/>
  <c r="I416" i="2"/>
  <c r="I417" i="2"/>
  <c r="K417" i="2" s="1"/>
  <c r="I418" i="2"/>
  <c r="L418" i="2" s="1"/>
  <c r="I419" i="2"/>
  <c r="K419" i="2" s="1"/>
  <c r="I420" i="2"/>
  <c r="I421" i="2"/>
  <c r="I422" i="2"/>
  <c r="I423" i="2"/>
  <c r="I424" i="2"/>
  <c r="I425" i="2"/>
  <c r="I426" i="2"/>
  <c r="I427" i="2"/>
  <c r="I428" i="2"/>
  <c r="I429" i="2"/>
  <c r="J429" i="2" s="1"/>
  <c r="I430" i="2"/>
  <c r="K430" i="2" s="1"/>
  <c r="I431" i="2"/>
  <c r="K431" i="2" s="1"/>
  <c r="I432" i="2"/>
  <c r="K432" i="2" s="1"/>
  <c r="I433" i="2"/>
  <c r="I434" i="2"/>
  <c r="K434" i="2" s="1"/>
  <c r="I435" i="2"/>
  <c r="J435" i="2" s="1"/>
  <c r="I436" i="2"/>
  <c r="K436" i="2" s="1"/>
  <c r="I437" i="2"/>
  <c r="I438" i="2"/>
  <c r="K438" i="2" s="1"/>
  <c r="I439" i="2"/>
  <c r="I440" i="2"/>
  <c r="I441" i="2"/>
  <c r="K441" i="2" s="1"/>
  <c r="I442" i="2"/>
  <c r="K442" i="2" s="1"/>
  <c r="I443" i="2"/>
  <c r="I444" i="2"/>
  <c r="I445" i="2"/>
  <c r="I446" i="2"/>
  <c r="I447" i="2"/>
  <c r="I448" i="2"/>
  <c r="I449" i="2"/>
  <c r="I450" i="2"/>
  <c r="I451" i="2"/>
  <c r="I452" i="2"/>
  <c r="J452" i="2" s="1"/>
  <c r="I453" i="2"/>
  <c r="I454" i="2"/>
  <c r="I455" i="2"/>
  <c r="I456" i="2"/>
  <c r="I457" i="2"/>
  <c r="K457" i="2" s="1"/>
  <c r="I458" i="2"/>
  <c r="I459" i="2"/>
  <c r="I460" i="2"/>
  <c r="I461" i="2"/>
  <c r="I462" i="2"/>
  <c r="I463" i="2"/>
  <c r="J463" i="2" s="1"/>
  <c r="I464" i="2"/>
  <c r="L464" i="2" s="1"/>
  <c r="I465" i="2"/>
  <c r="I466" i="2"/>
  <c r="I467" i="2"/>
  <c r="L467" i="2" s="1"/>
  <c r="I468" i="2"/>
  <c r="K468" i="2" s="1"/>
  <c r="I469" i="2"/>
  <c r="I470" i="2"/>
  <c r="I471" i="2"/>
  <c r="K471" i="2" s="1"/>
  <c r="I472" i="2"/>
  <c r="I473" i="2"/>
  <c r="J473" i="2" s="1"/>
  <c r="I474" i="2"/>
  <c r="I475" i="2"/>
  <c r="I476" i="2"/>
  <c r="I477" i="2"/>
  <c r="I478" i="2"/>
  <c r="I479" i="2"/>
  <c r="J479" i="2" s="1"/>
  <c r="I480" i="2"/>
  <c r="K480" i="2" s="1"/>
  <c r="I481" i="2"/>
  <c r="J481" i="2" s="1"/>
  <c r="I482" i="2"/>
  <c r="I483" i="2"/>
  <c r="L483" i="2" s="1"/>
  <c r="I484" i="2"/>
  <c r="K484" i="2" s="1"/>
  <c r="I485" i="2"/>
  <c r="J485" i="2" s="1"/>
  <c r="I486" i="2"/>
  <c r="J486" i="2" s="1"/>
  <c r="I487" i="2"/>
  <c r="J487" i="2" s="1"/>
  <c r="I488" i="2"/>
  <c r="K488" i="2" s="1"/>
  <c r="I489" i="2"/>
  <c r="I490" i="2"/>
  <c r="I491" i="2"/>
  <c r="L491" i="2" s="1"/>
  <c r="I492" i="2"/>
  <c r="K492" i="2" s="1"/>
  <c r="I493" i="2"/>
  <c r="J493" i="2" s="1"/>
  <c r="I494" i="2"/>
  <c r="I495" i="2"/>
  <c r="I496" i="2"/>
  <c r="K496" i="2" s="1"/>
  <c r="I497" i="2"/>
  <c r="I498" i="2"/>
  <c r="K498" i="2" s="1"/>
  <c r="I499" i="2"/>
  <c r="I500" i="2"/>
  <c r="I501" i="2"/>
  <c r="K501" i="2" s="1"/>
  <c r="I502" i="2"/>
  <c r="J502" i="2" s="1"/>
  <c r="I503" i="2"/>
  <c r="I504" i="2"/>
  <c r="I505" i="2"/>
  <c r="I506" i="2"/>
  <c r="I507" i="2"/>
  <c r="J507" i="2" s="1"/>
  <c r="I508" i="2"/>
  <c r="I509" i="2"/>
  <c r="I510" i="2"/>
  <c r="J510" i="2" s="1"/>
  <c r="I511" i="2"/>
  <c r="I512" i="2"/>
  <c r="J512" i="2" s="1"/>
  <c r="I513" i="2"/>
  <c r="I514" i="2"/>
  <c r="I515" i="2"/>
  <c r="K515" i="2" s="1"/>
  <c r="I516" i="2"/>
  <c r="J516" i="2" s="1"/>
  <c r="I517" i="2"/>
  <c r="I518" i="2"/>
  <c r="I519" i="2"/>
  <c r="I520" i="2"/>
  <c r="J520" i="2" s="1"/>
  <c r="I521" i="2"/>
  <c r="K521" i="2" s="1"/>
  <c r="I522" i="2"/>
  <c r="K522" i="2" s="1"/>
  <c r="I523" i="2"/>
  <c r="J523" i="2" s="1"/>
  <c r="I524" i="2"/>
  <c r="J524" i="2" s="1"/>
  <c r="I525" i="2"/>
  <c r="I526" i="2"/>
  <c r="I527" i="2"/>
  <c r="I528" i="2"/>
  <c r="I529" i="2"/>
  <c r="I530" i="2"/>
  <c r="J530" i="2" s="1"/>
  <c r="I531" i="2"/>
  <c r="J531" i="2" s="1"/>
  <c r="I532" i="2"/>
  <c r="I533" i="2"/>
  <c r="I534" i="2"/>
  <c r="I535" i="2"/>
  <c r="I536" i="2"/>
  <c r="I537" i="2"/>
  <c r="I538" i="2"/>
  <c r="J538" i="2" s="1"/>
  <c r="I539" i="2"/>
  <c r="J539" i="2" s="1"/>
  <c r="I540" i="2"/>
  <c r="K540" i="2" s="1"/>
  <c r="I541" i="2"/>
  <c r="I542" i="2"/>
  <c r="K542" i="2" s="1"/>
  <c r="I543" i="2"/>
  <c r="I544" i="2"/>
  <c r="I545" i="2"/>
  <c r="I546" i="2"/>
  <c r="I547" i="2"/>
  <c r="I548" i="2"/>
  <c r="I549" i="2"/>
  <c r="I550" i="2"/>
  <c r="I551" i="2"/>
  <c r="I552" i="2"/>
  <c r="I553" i="2"/>
  <c r="J553" i="2" s="1"/>
  <c r="I554" i="2"/>
  <c r="I555" i="2"/>
  <c r="I556" i="2"/>
  <c r="K556" i="2" s="1"/>
  <c r="I557" i="2"/>
  <c r="I558" i="2"/>
  <c r="K558" i="2" s="1"/>
  <c r="I559" i="2"/>
  <c r="I560" i="2"/>
  <c r="I561" i="2"/>
  <c r="J561" i="2" s="1"/>
  <c r="I562" i="2"/>
  <c r="I563" i="2"/>
  <c r="I564" i="2"/>
  <c r="I565" i="2"/>
  <c r="I566" i="2"/>
  <c r="I567" i="2"/>
  <c r="J567" i="2" s="1"/>
  <c r="I568" i="2"/>
  <c r="J568" i="2" s="1"/>
  <c r="I569" i="2"/>
  <c r="I570" i="2"/>
  <c r="I571" i="2"/>
  <c r="I572" i="2"/>
  <c r="J572" i="2" s="1"/>
  <c r="I573" i="2"/>
  <c r="J573" i="2" s="1"/>
  <c r="I574" i="2"/>
  <c r="I575" i="2"/>
  <c r="I576" i="2"/>
  <c r="K576" i="2" s="1"/>
  <c r="I577" i="2"/>
  <c r="L577" i="2" s="1"/>
  <c r="I578" i="2"/>
  <c r="L578" i="2" s="1"/>
  <c r="I579" i="2"/>
  <c r="I580" i="2"/>
  <c r="I581" i="2"/>
  <c r="I582" i="2"/>
  <c r="I583" i="2"/>
  <c r="I584" i="2"/>
  <c r="I585" i="2"/>
  <c r="I586" i="2"/>
  <c r="I587" i="2"/>
  <c r="J587" i="2" s="1"/>
  <c r="I588" i="2"/>
  <c r="K588" i="2" s="1"/>
  <c r="I589" i="2"/>
  <c r="K589" i="2" s="1"/>
  <c r="I590" i="2"/>
  <c r="K590" i="2" s="1"/>
  <c r="I591" i="2"/>
  <c r="K591" i="2" s="1"/>
  <c r="I592" i="2"/>
  <c r="J592" i="2" s="1"/>
  <c r="I593" i="2"/>
  <c r="I594" i="2"/>
  <c r="J594" i="2" s="1"/>
  <c r="I595" i="2"/>
  <c r="J595" i="2" s="1"/>
  <c r="I596" i="2"/>
  <c r="I597" i="2"/>
  <c r="J597" i="2" s="1"/>
  <c r="I598" i="2"/>
  <c r="L598" i="2" s="1"/>
  <c r="I599" i="2"/>
  <c r="I600" i="2"/>
  <c r="I601" i="2"/>
  <c r="I602" i="2"/>
  <c r="K602" i="2" s="1"/>
  <c r="I603" i="2"/>
  <c r="I604" i="2"/>
  <c r="J604" i="2" s="1"/>
  <c r="I605" i="2"/>
  <c r="K605" i="2" s="1"/>
  <c r="I606" i="2"/>
  <c r="K606" i="2" s="1"/>
  <c r="I607" i="2"/>
  <c r="K607" i="2" s="1"/>
  <c r="I608" i="2"/>
  <c r="J608" i="2" s="1"/>
  <c r="I609" i="2"/>
  <c r="K609" i="2" s="1"/>
  <c r="I610" i="2"/>
  <c r="J610" i="2" s="1"/>
  <c r="I611" i="2"/>
  <c r="I612" i="2"/>
  <c r="I613" i="2"/>
  <c r="K613" i="2" s="1"/>
  <c r="I614" i="2"/>
  <c r="I615" i="2"/>
  <c r="J615" i="2" s="1"/>
  <c r="I616" i="2"/>
  <c r="I617" i="2"/>
  <c r="L617" i="2" s="1"/>
  <c r="I618" i="2"/>
  <c r="J618" i="2" s="1"/>
  <c r="I619" i="2"/>
  <c r="K619" i="2" s="1"/>
  <c r="I620" i="2"/>
  <c r="K620" i="2" s="1"/>
  <c r="I621" i="2"/>
  <c r="I622" i="2"/>
  <c r="I623" i="2"/>
  <c r="I624" i="2"/>
  <c r="K624" i="2" s="1"/>
  <c r="I625" i="2"/>
  <c r="K625" i="2" s="1"/>
  <c r="I626" i="2"/>
  <c r="I627" i="2"/>
  <c r="I628" i="2"/>
  <c r="I629" i="2"/>
  <c r="I630" i="2"/>
  <c r="I631" i="2"/>
  <c r="J631" i="2" s="1"/>
  <c r="I632" i="2"/>
  <c r="J632" i="2" s="1"/>
  <c r="I633" i="2"/>
  <c r="I634" i="2"/>
  <c r="K634" i="2" s="1"/>
  <c r="I635" i="2"/>
  <c r="I636" i="2"/>
  <c r="I637" i="2"/>
  <c r="I638" i="2"/>
  <c r="K638" i="2" s="1"/>
  <c r="I639" i="2"/>
  <c r="I640" i="2"/>
  <c r="K640" i="2" s="1"/>
  <c r="I641" i="2"/>
  <c r="K641" i="2" s="1"/>
  <c r="I642" i="2"/>
  <c r="I643" i="2"/>
  <c r="I644" i="2"/>
  <c r="I645" i="2"/>
  <c r="J645" i="2" s="1"/>
  <c r="I646" i="2"/>
  <c r="J646" i="2" s="1"/>
  <c r="I647" i="2"/>
  <c r="K647" i="2" s="1"/>
  <c r="I648" i="2"/>
  <c r="K648" i="2" s="1"/>
  <c r="I649" i="2"/>
  <c r="J649" i="2" s="1"/>
  <c r="I650" i="2"/>
  <c r="I651" i="2"/>
  <c r="K651" i="2" s="1"/>
  <c r="I652" i="2"/>
  <c r="I653" i="2"/>
  <c r="K653" i="2" s="1"/>
  <c r="I654" i="2"/>
  <c r="I655" i="2"/>
  <c r="K655" i="2" s="1"/>
  <c r="I656" i="2"/>
  <c r="I657" i="2"/>
  <c r="I658" i="2"/>
  <c r="J658" i="2" s="1"/>
  <c r="I659" i="2"/>
  <c r="J659" i="2" s="1"/>
  <c r="I660" i="2"/>
  <c r="I661" i="2"/>
  <c r="I662" i="2"/>
  <c r="I663" i="2"/>
  <c r="I664" i="2"/>
  <c r="I665" i="2"/>
  <c r="J665" i="2" s="1"/>
  <c r="I666" i="2"/>
  <c r="I667" i="2"/>
  <c r="K667" i="2" s="1"/>
  <c r="I668" i="2"/>
  <c r="I669" i="2"/>
  <c r="I670" i="2"/>
  <c r="I671" i="2"/>
  <c r="J671" i="2" s="1"/>
  <c r="I672" i="2"/>
  <c r="I673" i="2"/>
  <c r="I674" i="2"/>
  <c r="I675" i="2"/>
  <c r="J675" i="2" s="1"/>
  <c r="I676" i="2"/>
  <c r="J676" i="2" s="1"/>
  <c r="I677" i="2"/>
  <c r="I678" i="2"/>
  <c r="J678" i="2" s="1"/>
  <c r="I679" i="2"/>
  <c r="K679" i="2" s="1"/>
  <c r="I680" i="2"/>
  <c r="J680" i="2" s="1"/>
  <c r="I681" i="2"/>
  <c r="K681" i="2" s="1"/>
  <c r="I682" i="2"/>
  <c r="I683" i="2"/>
  <c r="L683" i="2" s="1"/>
  <c r="I684" i="2"/>
  <c r="K684" i="2" s="1"/>
  <c r="I685" i="2"/>
  <c r="I686" i="2"/>
  <c r="I687" i="2"/>
  <c r="J687" i="2" s="1"/>
  <c r="I688" i="2"/>
  <c r="I689" i="2"/>
  <c r="I690" i="2"/>
  <c r="J690" i="2" s="1"/>
  <c r="I691" i="2"/>
  <c r="I692" i="2"/>
  <c r="K692" i="2" s="1"/>
  <c r="I693" i="2"/>
  <c r="I694" i="2"/>
  <c r="K694" i="2" s="1"/>
  <c r="I695" i="2"/>
  <c r="J695" i="2" s="1"/>
  <c r="I696" i="2"/>
  <c r="I697" i="2"/>
  <c r="J697" i="2" s="1"/>
  <c r="I698" i="2"/>
  <c r="J698" i="2" s="1"/>
  <c r="I699" i="2"/>
  <c r="I700" i="2"/>
  <c r="K700" i="2" s="1"/>
  <c r="I701" i="2"/>
  <c r="K701" i="2" s="1"/>
  <c r="I702" i="2"/>
  <c r="K702" i="2" s="1"/>
  <c r="I703" i="2"/>
  <c r="K703" i="2" s="1"/>
  <c r="I704" i="2"/>
  <c r="J704" i="2" s="1"/>
  <c r="I705" i="2"/>
  <c r="I706" i="2"/>
  <c r="I707" i="2"/>
  <c r="I708" i="2"/>
  <c r="I709" i="2"/>
  <c r="J709" i="2" s="1"/>
  <c r="I710" i="2"/>
  <c r="J710" i="2" s="1"/>
  <c r="I711" i="2"/>
  <c r="I712" i="2"/>
  <c r="I713" i="2"/>
  <c r="K713" i="2" s="1"/>
  <c r="I714" i="2"/>
  <c r="I715" i="2"/>
  <c r="I716" i="2"/>
  <c r="I717" i="2"/>
  <c r="L717" i="2" s="1"/>
  <c r="I718" i="2"/>
  <c r="K718" i="2" s="1"/>
  <c r="I719" i="2"/>
  <c r="I720" i="2"/>
  <c r="I721" i="2"/>
  <c r="I722" i="2"/>
  <c r="J722" i="2" s="1"/>
  <c r="I723" i="2"/>
  <c r="J723" i="2" s="1"/>
  <c r="I724" i="2"/>
  <c r="J724" i="2" s="1"/>
  <c r="I725" i="2"/>
  <c r="I726" i="2"/>
  <c r="K726" i="2" s="1"/>
  <c r="I727" i="2"/>
  <c r="I728" i="2"/>
  <c r="I729" i="2"/>
  <c r="I730" i="2"/>
  <c r="L730" i="2" s="1"/>
  <c r="I731" i="2"/>
  <c r="I732" i="2"/>
  <c r="K732" i="2" s="1"/>
  <c r="I733" i="2"/>
  <c r="J733" i="2" s="1"/>
  <c r="I734" i="2"/>
  <c r="I735" i="2"/>
  <c r="J735" i="2" s="1"/>
  <c r="I736" i="2"/>
  <c r="I737" i="2"/>
  <c r="I738" i="2"/>
  <c r="I739" i="2"/>
  <c r="I740" i="2"/>
  <c r="L740" i="2" s="1"/>
  <c r="I741" i="2"/>
  <c r="I742" i="2"/>
  <c r="J742" i="2" s="1"/>
  <c r="I743" i="2"/>
  <c r="I744" i="2"/>
  <c r="I745" i="2"/>
  <c r="I746" i="2"/>
  <c r="I747" i="2"/>
  <c r="L747" i="2" s="1"/>
  <c r="I748" i="2"/>
  <c r="I749" i="2"/>
  <c r="J749" i="2" s="1"/>
  <c r="I750" i="2"/>
  <c r="I751" i="2"/>
  <c r="I752" i="2"/>
  <c r="J752" i="2" s="1"/>
  <c r="I753" i="2"/>
  <c r="J753" i="2" s="1"/>
  <c r="I754" i="2"/>
  <c r="I755" i="2"/>
  <c r="I756" i="2"/>
  <c r="K756" i="2" s="1"/>
  <c r="I757" i="2"/>
  <c r="I758" i="2"/>
  <c r="I759" i="2"/>
  <c r="I760" i="2"/>
  <c r="K760" i="2" s="1"/>
  <c r="I761" i="2"/>
  <c r="K761" i="2" s="1"/>
  <c r="I762" i="2"/>
  <c r="I763" i="2"/>
  <c r="I764" i="2"/>
  <c r="K764" i="2" s="1"/>
  <c r="I765" i="2"/>
  <c r="I766" i="2"/>
  <c r="J766" i="2" s="1"/>
  <c r="I767" i="2"/>
  <c r="J767" i="2" s="1"/>
  <c r="I768" i="2"/>
  <c r="I769" i="2"/>
  <c r="K769" i="2" s="1"/>
  <c r="I770" i="2"/>
  <c r="I771" i="2"/>
  <c r="J771" i="2" s="1"/>
  <c r="I772" i="2"/>
  <c r="J772" i="2" s="1"/>
  <c r="I773" i="2"/>
  <c r="K773" i="2" s="1"/>
  <c r="I774" i="2"/>
  <c r="I775" i="2"/>
  <c r="I776" i="2"/>
  <c r="I777" i="2"/>
  <c r="J777" i="2" s="1"/>
  <c r="I778" i="2"/>
  <c r="I779" i="2"/>
  <c r="J779" i="2" s="1"/>
  <c r="I780" i="2"/>
  <c r="L780" i="2" s="1"/>
  <c r="I781" i="2"/>
  <c r="J781" i="2" s="1"/>
  <c r="I782" i="2"/>
  <c r="I783" i="2"/>
  <c r="I784" i="2"/>
  <c r="I785" i="2"/>
  <c r="I786" i="2"/>
  <c r="K786" i="2" s="1"/>
  <c r="I787" i="2"/>
  <c r="I788" i="2"/>
  <c r="J788" i="2" s="1"/>
  <c r="I789" i="2"/>
  <c r="L789" i="2" s="1"/>
  <c r="I790" i="2"/>
  <c r="I791" i="2"/>
  <c r="I792" i="2"/>
  <c r="K792" i="2" s="1"/>
  <c r="I793" i="2"/>
  <c r="I794" i="2"/>
  <c r="I795" i="2"/>
  <c r="I796" i="2"/>
  <c r="I797" i="2"/>
  <c r="L797" i="2" s="1"/>
  <c r="I798" i="2"/>
  <c r="I799" i="2"/>
  <c r="I800" i="2"/>
  <c r="K800" i="2" s="1"/>
  <c r="I801" i="2"/>
  <c r="J801" i="2" s="1"/>
  <c r="I802" i="2"/>
  <c r="I803" i="2"/>
  <c r="I804" i="2"/>
  <c r="I805" i="2"/>
  <c r="I806" i="2"/>
  <c r="I807" i="2"/>
  <c r="J807" i="2" s="1"/>
  <c r="I808" i="2"/>
  <c r="I809" i="2"/>
  <c r="I810" i="2"/>
  <c r="J810" i="2" s="1"/>
  <c r="I811" i="2"/>
  <c r="K811" i="2" s="1"/>
  <c r="I812" i="2"/>
  <c r="I813" i="2"/>
  <c r="I814" i="2"/>
  <c r="I815" i="2"/>
  <c r="K815" i="2" s="1"/>
  <c r="I816" i="2"/>
  <c r="I817" i="2"/>
  <c r="J817" i="2" s="1"/>
  <c r="I818" i="2"/>
  <c r="I819" i="2"/>
  <c r="I820" i="2"/>
  <c r="J820" i="2" s="1"/>
  <c r="I821" i="2"/>
  <c r="K821" i="2" s="1"/>
  <c r="I822" i="2"/>
  <c r="I823" i="2"/>
  <c r="I824" i="2"/>
  <c r="L824" i="2" s="1"/>
  <c r="I825" i="2"/>
  <c r="I826" i="2"/>
  <c r="I827" i="2"/>
  <c r="I828" i="2"/>
  <c r="I829" i="2"/>
  <c r="I830" i="2"/>
  <c r="I831" i="2"/>
  <c r="J831" i="2" s="1"/>
  <c r="I832" i="2"/>
  <c r="J832" i="2" s="1"/>
  <c r="I833" i="2"/>
  <c r="J833" i="2" s="1"/>
  <c r="I834" i="2"/>
  <c r="I835" i="2"/>
  <c r="K835" i="2" s="1"/>
  <c r="I836" i="2"/>
  <c r="J836" i="2" s="1"/>
  <c r="I837" i="2"/>
  <c r="K837" i="2" s="1"/>
  <c r="I838" i="2"/>
  <c r="I839" i="2"/>
  <c r="I840" i="2"/>
  <c r="L840" i="2" s="1"/>
  <c r="I841" i="2"/>
  <c r="J841" i="2" s="1"/>
  <c r="I842" i="2"/>
  <c r="I843" i="2"/>
  <c r="J843" i="2" s="1"/>
  <c r="I844" i="2"/>
  <c r="K844" i="2" s="1"/>
  <c r="I845" i="2"/>
  <c r="I846" i="2"/>
  <c r="I847" i="2"/>
  <c r="K847" i="2" s="1"/>
  <c r="I848" i="2"/>
  <c r="J848" i="2" s="1"/>
  <c r="I849" i="2"/>
  <c r="K849" i="2" s="1"/>
  <c r="I850" i="2"/>
  <c r="I851" i="2"/>
  <c r="I852" i="2"/>
  <c r="I853" i="2"/>
  <c r="I854" i="2"/>
  <c r="I855" i="2"/>
  <c r="I856" i="2"/>
  <c r="J856" i="2" s="1"/>
  <c r="I857" i="2"/>
  <c r="I858" i="2"/>
  <c r="I859" i="2"/>
  <c r="I860" i="2"/>
  <c r="J860" i="2" s="1"/>
  <c r="I861" i="2"/>
  <c r="J861" i="2" s="1"/>
  <c r="I862" i="2"/>
  <c r="I863" i="2"/>
  <c r="I864" i="2"/>
  <c r="K864" i="2" s="1"/>
  <c r="I865" i="2"/>
  <c r="I866" i="2"/>
  <c r="I867" i="2"/>
  <c r="K867" i="2" s="1"/>
  <c r="I868" i="2"/>
  <c r="K868" i="2" s="1"/>
  <c r="I869" i="2"/>
  <c r="J869" i="2" s="1"/>
  <c r="I870" i="2"/>
  <c r="K870" i="2" s="1"/>
  <c r="I871" i="2"/>
  <c r="I872" i="2"/>
  <c r="I873" i="2"/>
  <c r="I874" i="2"/>
  <c r="I875" i="2"/>
  <c r="I876" i="2"/>
  <c r="I877" i="2"/>
  <c r="J877" i="2" s="1"/>
  <c r="I878" i="2"/>
  <c r="I879" i="2"/>
  <c r="K879" i="2" s="1"/>
  <c r="I880" i="2"/>
  <c r="J880" i="2" s="1"/>
  <c r="I881" i="2"/>
  <c r="I882" i="2"/>
  <c r="K882" i="2" s="1"/>
  <c r="I883" i="2"/>
  <c r="I884" i="2"/>
  <c r="K884" i="2" s="1"/>
  <c r="I885" i="2"/>
  <c r="I886" i="2"/>
  <c r="J886" i="2" s="1"/>
  <c r="I887" i="2"/>
  <c r="J887" i="2" s="1"/>
  <c r="I888" i="2"/>
  <c r="I889" i="2"/>
  <c r="I890" i="2"/>
  <c r="I891" i="2"/>
  <c r="I892" i="2"/>
  <c r="J892" i="2" s="1"/>
  <c r="I893" i="2"/>
  <c r="K893" i="2" s="1"/>
  <c r="I894" i="2"/>
  <c r="I895" i="2"/>
  <c r="J895" i="2" s="1"/>
  <c r="I896" i="2"/>
  <c r="I897" i="2"/>
  <c r="I898" i="2"/>
  <c r="I899" i="2"/>
  <c r="K899" i="2" s="1"/>
  <c r="I900" i="2"/>
  <c r="I901" i="2"/>
  <c r="I902" i="2"/>
  <c r="J902" i="2" s="1"/>
  <c r="I903" i="2"/>
  <c r="I904" i="2"/>
  <c r="J904" i="2" s="1"/>
  <c r="I905" i="2"/>
  <c r="I906" i="2"/>
  <c r="J906" i="2" s="1"/>
  <c r="I907" i="2"/>
  <c r="I908" i="2"/>
  <c r="J908" i="2" s="1"/>
  <c r="I909" i="2"/>
  <c r="I910" i="2"/>
  <c r="K910" i="2" s="1"/>
  <c r="I911" i="2"/>
  <c r="I912" i="2"/>
  <c r="I913" i="2"/>
  <c r="K913" i="2" s="1"/>
  <c r="I914" i="2"/>
  <c r="I915" i="2"/>
  <c r="K915" i="2" s="1"/>
  <c r="I916" i="2"/>
  <c r="I917" i="2"/>
  <c r="K917" i="2" s="1"/>
  <c r="I918" i="2"/>
  <c r="I919" i="2"/>
  <c r="I920" i="2"/>
  <c r="I921" i="2"/>
  <c r="I922" i="2"/>
  <c r="I923" i="2"/>
  <c r="J923" i="2" s="1"/>
  <c r="I924" i="2"/>
  <c r="I925" i="2"/>
  <c r="J925" i="2" s="1"/>
  <c r="I926" i="2"/>
  <c r="I927" i="2"/>
  <c r="I928" i="2"/>
  <c r="I929" i="2"/>
  <c r="K929" i="2" s="1"/>
  <c r="I930" i="2"/>
  <c r="K930" i="2" s="1"/>
  <c r="I931" i="2"/>
  <c r="I932" i="2"/>
  <c r="I933" i="2"/>
  <c r="I934" i="2"/>
  <c r="J934" i="2" s="1"/>
  <c r="I935" i="2"/>
  <c r="L935" i="2" s="1"/>
  <c r="I936" i="2"/>
  <c r="K936" i="2" s="1"/>
  <c r="I937" i="2"/>
  <c r="I938" i="2"/>
  <c r="I939" i="2"/>
  <c r="I940" i="2"/>
  <c r="J940" i="2" s="1"/>
  <c r="I941" i="2"/>
  <c r="I942" i="2"/>
  <c r="J942" i="2" s="1"/>
  <c r="I943" i="2"/>
  <c r="I944" i="2"/>
  <c r="J944" i="2" s="1"/>
  <c r="I945" i="2"/>
  <c r="I946" i="2"/>
  <c r="I947" i="2"/>
  <c r="I948" i="2"/>
  <c r="I949" i="2"/>
  <c r="I950" i="2"/>
  <c r="I951" i="2"/>
  <c r="I952" i="2"/>
  <c r="J952" i="2" s="1"/>
  <c r="I953" i="2"/>
  <c r="K953" i="2" s="1"/>
  <c r="I954" i="2"/>
  <c r="I955" i="2"/>
  <c r="I956" i="2"/>
  <c r="I957" i="2"/>
  <c r="J957" i="2" s="1"/>
  <c r="I958" i="2"/>
  <c r="J958" i="2" s="1"/>
  <c r="I959" i="2"/>
  <c r="K959" i="2" s="1"/>
  <c r="I960" i="2"/>
  <c r="I961" i="2"/>
  <c r="L961" i="2" s="1"/>
  <c r="I962" i="2"/>
  <c r="I963" i="2"/>
  <c r="J963" i="2" s="1"/>
  <c r="I964" i="2"/>
  <c r="I965" i="2"/>
  <c r="K965" i="2" s="1"/>
  <c r="I966" i="2"/>
  <c r="I967" i="2"/>
  <c r="I968" i="2"/>
  <c r="I969" i="2"/>
  <c r="I970" i="2"/>
  <c r="I971" i="2"/>
  <c r="I972" i="2"/>
  <c r="I973" i="2"/>
  <c r="J973" i="2" s="1"/>
  <c r="I974" i="2"/>
  <c r="I975" i="2"/>
  <c r="J975" i="2" s="1"/>
  <c r="I976" i="2"/>
  <c r="I977" i="2"/>
  <c r="I978" i="2"/>
  <c r="I979" i="2"/>
  <c r="I980" i="2"/>
  <c r="K980" i="2" s="1"/>
  <c r="I981" i="2"/>
  <c r="L981" i="2" s="1"/>
  <c r="I982" i="2"/>
  <c r="I983" i="2"/>
  <c r="J983" i="2" s="1"/>
  <c r="I984" i="2"/>
  <c r="I985" i="2"/>
  <c r="K985" i="2" s="1"/>
  <c r="I986" i="2"/>
  <c r="J986" i="2" s="1"/>
  <c r="I987" i="2"/>
  <c r="I988" i="2"/>
  <c r="J988" i="2" s="1"/>
  <c r="I989" i="2"/>
  <c r="I990" i="2"/>
  <c r="L990" i="2" s="1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J1004" i="2" s="1"/>
  <c r="I1005" i="2"/>
  <c r="K1005" i="2" s="1"/>
  <c r="I1006" i="2"/>
  <c r="K1006" i="2" s="1"/>
  <c r="I1007" i="2"/>
  <c r="K1007" i="2" s="1"/>
  <c r="I1008" i="2"/>
  <c r="K1008" i="2" s="1"/>
  <c r="I1009" i="2"/>
  <c r="I1010" i="2"/>
  <c r="I1011" i="2"/>
  <c r="J1011" i="2" s="1"/>
  <c r="I1012" i="2"/>
  <c r="K1012" i="2" s="1"/>
  <c r="I1013" i="2"/>
  <c r="I1014" i="2"/>
  <c r="I1015" i="2"/>
  <c r="J1015" i="2" s="1"/>
  <c r="I1016" i="2"/>
  <c r="L1016" i="2" s="1"/>
  <c r="I1017" i="2"/>
  <c r="I1018" i="2"/>
  <c r="J1018" i="2" s="1"/>
  <c r="I1019" i="2"/>
  <c r="K1019" i="2" s="1"/>
  <c r="I1020" i="2"/>
  <c r="I1021" i="2"/>
  <c r="I1022" i="2"/>
  <c r="I1023" i="2"/>
  <c r="K1023" i="2" s="1"/>
  <c r="I1024" i="2"/>
  <c r="I1025" i="2"/>
  <c r="K1025" i="2" s="1"/>
  <c r="I1026" i="2"/>
  <c r="K1026" i="2" s="1"/>
  <c r="I1027" i="2"/>
  <c r="I1028" i="2"/>
  <c r="I1029" i="2"/>
  <c r="J1029" i="2" s="1"/>
  <c r="I1030" i="2"/>
  <c r="I1031" i="2"/>
  <c r="I1032" i="2"/>
  <c r="I1033" i="2"/>
  <c r="J1033" i="2" s="1"/>
  <c r="I1034" i="2"/>
  <c r="I1035" i="2"/>
  <c r="I1036" i="2"/>
  <c r="I1037" i="2"/>
  <c r="I1038" i="2"/>
  <c r="I1039" i="2"/>
  <c r="I1040" i="2"/>
  <c r="K1040" i="2" s="1"/>
  <c r="I1041" i="2"/>
  <c r="L1041" i="2" s="1"/>
  <c r="I1042" i="2"/>
  <c r="I1043" i="2"/>
  <c r="I1044" i="2"/>
  <c r="I1045" i="2"/>
  <c r="K1045" i="2" s="1"/>
  <c r="I1046" i="2"/>
  <c r="K1046" i="2" s="1"/>
  <c r="I1047" i="2"/>
  <c r="J1047" i="2" s="1"/>
  <c r="I1048" i="2"/>
  <c r="I1049" i="2"/>
  <c r="J1049" i="2" s="1"/>
  <c r="I1050" i="2"/>
  <c r="I1051" i="2"/>
  <c r="J1051" i="2" s="1"/>
  <c r="I1052" i="2"/>
  <c r="I1053" i="2"/>
  <c r="I1054" i="2"/>
  <c r="I1055" i="2"/>
  <c r="I1056" i="2"/>
  <c r="I1057" i="2"/>
  <c r="I1058" i="2"/>
  <c r="I1059" i="2"/>
  <c r="I1060" i="2"/>
  <c r="I1061" i="2"/>
  <c r="I1062" i="2"/>
  <c r="J1062" i="2" s="1"/>
  <c r="I1063" i="2"/>
  <c r="I1064" i="2"/>
  <c r="I1065" i="2"/>
  <c r="I1066" i="2"/>
  <c r="I1067" i="2"/>
  <c r="J1067" i="2" s="1"/>
  <c r="I1068" i="2"/>
  <c r="I1069" i="2"/>
  <c r="L1069" i="2" s="1"/>
  <c r="I1070" i="2"/>
  <c r="I1071" i="2"/>
  <c r="I1072" i="2"/>
  <c r="J1072" i="2" s="1"/>
  <c r="I1073" i="2"/>
  <c r="I1074" i="2"/>
  <c r="I1075" i="2"/>
  <c r="J1075" i="2" s="1"/>
  <c r="I1076" i="2"/>
  <c r="K1076" i="2" s="1"/>
  <c r="I1077" i="2"/>
  <c r="J1077" i="2" s="1"/>
  <c r="I1078" i="2"/>
  <c r="I1079" i="2"/>
  <c r="J1079" i="2" s="1"/>
  <c r="I1080" i="2"/>
  <c r="I1081" i="2"/>
  <c r="I1082" i="2"/>
  <c r="I1083" i="2"/>
  <c r="I1084" i="2"/>
  <c r="I1085" i="2"/>
  <c r="L1085" i="2" s="1"/>
  <c r="I1086" i="2"/>
  <c r="I1087" i="2"/>
  <c r="I1088" i="2"/>
  <c r="I1089" i="2"/>
  <c r="I1090" i="2"/>
  <c r="L1090" i="2" s="1"/>
  <c r="I1091" i="2"/>
  <c r="K1091" i="2" s="1"/>
  <c r="I1092" i="2"/>
  <c r="K1092" i="2" s="1"/>
  <c r="I1093" i="2"/>
  <c r="J1093" i="2" s="1"/>
  <c r="I1094" i="2"/>
  <c r="I1095" i="2"/>
  <c r="I1096" i="2"/>
  <c r="J1096" i="2" s="1"/>
  <c r="I1097" i="2"/>
  <c r="I1098" i="2"/>
  <c r="K1098" i="2" s="1"/>
  <c r="I1099" i="2"/>
  <c r="K1099" i="2" s="1"/>
  <c r="I1100" i="2"/>
  <c r="K1100" i="2" s="1"/>
  <c r="I1101" i="2"/>
  <c r="I1102" i="2"/>
  <c r="I1103" i="2"/>
  <c r="J1103" i="2" s="1"/>
  <c r="I1104" i="2"/>
  <c r="I1105" i="2"/>
  <c r="I1106" i="2"/>
  <c r="K1106" i="2" s="1"/>
  <c r="I1107" i="2"/>
  <c r="J1107" i="2" s="1"/>
  <c r="I1108" i="2"/>
  <c r="I1109" i="2"/>
  <c r="J1109" i="2" s="1"/>
  <c r="I1110" i="2"/>
  <c r="I1111" i="2"/>
  <c r="K1111" i="2" s="1"/>
  <c r="I1112" i="2"/>
  <c r="K1112" i="2" s="1"/>
  <c r="I1113" i="2"/>
  <c r="K1113" i="2" s="1"/>
  <c r="I1114" i="2"/>
  <c r="J1114" i="2" s="1"/>
  <c r="I1115" i="2"/>
  <c r="I1116" i="2"/>
  <c r="L1116" i="2" s="1"/>
  <c r="I1117" i="2"/>
  <c r="I1118" i="2"/>
  <c r="K1118" i="2" s="1"/>
  <c r="I1119" i="2"/>
  <c r="J1119" i="2" s="1"/>
  <c r="I1120" i="2"/>
  <c r="I1121" i="2"/>
  <c r="I1122" i="2"/>
  <c r="I1123" i="2"/>
  <c r="J1123" i="2" s="1"/>
  <c r="I1124" i="2"/>
  <c r="I1125" i="2"/>
  <c r="J1125" i="2" s="1"/>
  <c r="I1126" i="2"/>
  <c r="I1127" i="2"/>
  <c r="I1128" i="2"/>
  <c r="I1129" i="2"/>
  <c r="I1130" i="2"/>
  <c r="I1131" i="2"/>
  <c r="K1131" i="2" s="1"/>
  <c r="I1132" i="2"/>
  <c r="K1132" i="2" s="1"/>
  <c r="I1133" i="2"/>
  <c r="I1134" i="2"/>
  <c r="K1134" i="2" s="1"/>
  <c r="I1135" i="2"/>
  <c r="I1136" i="2"/>
  <c r="L1136" i="2" s="1"/>
  <c r="I1137" i="2"/>
  <c r="I1138" i="2"/>
  <c r="I1139" i="2"/>
  <c r="I1140" i="2"/>
  <c r="I1141" i="2"/>
  <c r="K1141" i="2" s="1"/>
  <c r="I1142" i="2"/>
  <c r="L1142" i="2" s="1"/>
  <c r="I1143" i="2"/>
  <c r="J1143" i="2" s="1"/>
  <c r="I1144" i="2"/>
  <c r="I1145" i="2"/>
  <c r="I1146" i="2"/>
  <c r="I1147" i="2"/>
  <c r="K1147" i="2" s="1"/>
  <c r="I1148" i="2"/>
  <c r="K1148" i="2" s="1"/>
  <c r="I1149" i="2"/>
  <c r="J1149" i="2" s="1"/>
  <c r="I1150" i="2"/>
  <c r="J1150" i="2" s="1"/>
  <c r="I1151" i="2"/>
  <c r="L1151" i="2" s="1"/>
  <c r="I1152" i="2"/>
  <c r="I1153" i="2"/>
  <c r="I1154" i="2"/>
  <c r="I1155" i="2"/>
  <c r="I1156" i="2"/>
  <c r="I1157" i="2"/>
  <c r="I1158" i="2"/>
  <c r="I1159" i="2"/>
  <c r="I1160" i="2"/>
  <c r="J1160" i="2" s="1"/>
  <c r="I1161" i="2"/>
  <c r="I1162" i="2"/>
  <c r="J1162" i="2" s="1"/>
  <c r="I1163" i="2"/>
  <c r="I1164" i="2"/>
  <c r="K1164" i="2" s="1"/>
  <c r="I1165" i="2"/>
  <c r="J1165" i="2" s="1"/>
  <c r="I1166" i="2"/>
  <c r="I1167" i="2"/>
  <c r="I1168" i="2"/>
  <c r="I1169" i="2"/>
  <c r="J1169" i="2" s="1"/>
  <c r="I1170" i="2"/>
  <c r="I1171" i="2"/>
  <c r="J1171" i="2" s="1"/>
  <c r="I1172" i="2"/>
  <c r="L1172" i="2" s="1"/>
  <c r="I1173" i="2"/>
  <c r="K1173" i="2" s="1"/>
  <c r="I1174" i="2"/>
  <c r="J1174" i="2" s="1"/>
  <c r="I1175" i="2"/>
  <c r="I1176" i="2"/>
  <c r="I1177" i="2"/>
  <c r="K1177" i="2" s="1"/>
  <c r="I1178" i="2"/>
  <c r="I1179" i="2"/>
  <c r="L1179" i="2" s="1"/>
  <c r="I1180" i="2"/>
  <c r="I1181" i="2"/>
  <c r="J1181" i="2" s="1"/>
  <c r="I1182" i="2"/>
  <c r="I1183" i="2"/>
  <c r="K1183" i="2" s="1"/>
  <c r="I1184" i="2"/>
  <c r="I1185" i="2"/>
  <c r="L1185" i="2" s="1"/>
  <c r="I1186" i="2"/>
  <c r="L1186" i="2" s="1"/>
  <c r="I1187" i="2"/>
  <c r="J1187" i="2" s="1"/>
  <c r="I1188" i="2"/>
  <c r="I1189" i="2"/>
  <c r="K1189" i="2" s="1"/>
  <c r="I1190" i="2"/>
  <c r="I1191" i="2"/>
  <c r="I1192" i="2"/>
  <c r="K1192" i="2" s="1"/>
  <c r="I1193" i="2"/>
  <c r="K1193" i="2" s="1"/>
  <c r="I1194" i="2"/>
  <c r="I1195" i="2"/>
  <c r="I1196" i="2"/>
  <c r="I1197" i="2"/>
  <c r="K1197" i="2" s="1"/>
  <c r="I1198" i="2"/>
  <c r="K1198" i="2" s="1"/>
  <c r="I1199" i="2"/>
  <c r="L1199" i="2" s="1"/>
  <c r="I1200" i="2"/>
  <c r="K1200" i="2" s="1"/>
  <c r="I1201" i="2"/>
  <c r="I1202" i="2"/>
  <c r="I1203" i="2"/>
  <c r="I1204" i="2"/>
  <c r="I1205" i="2"/>
  <c r="K1205" i="2" s="1"/>
  <c r="I1206" i="2"/>
  <c r="I1207" i="2"/>
  <c r="I1208" i="2"/>
  <c r="I1209" i="2"/>
  <c r="J1209" i="2" s="1"/>
  <c r="I1210" i="2"/>
  <c r="K1210" i="2" s="1"/>
  <c r="I1211" i="2"/>
  <c r="J1211" i="2" s="1"/>
  <c r="I1212" i="2"/>
  <c r="I1213" i="2"/>
  <c r="I1214" i="2"/>
  <c r="K1214" i="2" s="1"/>
  <c r="I1215" i="2"/>
  <c r="I1216" i="2"/>
  <c r="I1217" i="2"/>
  <c r="J1217" i="2" s="1"/>
  <c r="I1218" i="2"/>
  <c r="I1219" i="2"/>
  <c r="I1220" i="2"/>
  <c r="J1220" i="2" s="1"/>
  <c r="I1221" i="2"/>
  <c r="I1222" i="2"/>
  <c r="K1222" i="2" s="1"/>
  <c r="I1223" i="2"/>
  <c r="K1223" i="2" s="1"/>
  <c r="I1224" i="2"/>
  <c r="K1224" i="2" s="1"/>
  <c r="I1225" i="2"/>
  <c r="K1225" i="2" s="1"/>
  <c r="I1226" i="2"/>
  <c r="I1227" i="2"/>
  <c r="L1227" i="2" s="1"/>
  <c r="I1228" i="2"/>
  <c r="I1229" i="2"/>
  <c r="I1230" i="2"/>
  <c r="I1231" i="2"/>
  <c r="I1232" i="2"/>
  <c r="J1232" i="2" s="1"/>
  <c r="I1233" i="2"/>
  <c r="I1234" i="2"/>
  <c r="L1234" i="2" s="1"/>
  <c r="I1235" i="2"/>
  <c r="I1236" i="2"/>
  <c r="I1237" i="2"/>
  <c r="L1237" i="2" s="1"/>
  <c r="I1238" i="2"/>
  <c r="K1238" i="2" s="1"/>
  <c r="I1239" i="2"/>
  <c r="J1239" i="2" s="1"/>
  <c r="I1240" i="2"/>
  <c r="I1241" i="2"/>
  <c r="L1241" i="2" s="1"/>
  <c r="I1242" i="2"/>
  <c r="J1242" i="2" s="1"/>
  <c r="I1243" i="2"/>
  <c r="I1244" i="2"/>
  <c r="K1244" i="2" s="1"/>
  <c r="I1245" i="2"/>
  <c r="K1245" i="2" s="1"/>
  <c r="I1246" i="2"/>
  <c r="I1247" i="2"/>
  <c r="I1248" i="2"/>
  <c r="I1249" i="2"/>
  <c r="J1249" i="2" s="1"/>
  <c r="I1250" i="2"/>
  <c r="I1251" i="2"/>
  <c r="I1252" i="2"/>
  <c r="K1252" i="2" s="1"/>
  <c r="I1253" i="2"/>
  <c r="I1254" i="2"/>
  <c r="K1254" i="2" s="1"/>
  <c r="I1255" i="2"/>
  <c r="K1255" i="2" s="1"/>
  <c r="I1256" i="2"/>
  <c r="J1256" i="2" s="1"/>
  <c r="I1257" i="2"/>
  <c r="I1258" i="2"/>
  <c r="I1259" i="2"/>
  <c r="J1259" i="2" s="1"/>
  <c r="I1260" i="2"/>
  <c r="I1261" i="2"/>
  <c r="J1261" i="2" s="1"/>
  <c r="I1262" i="2"/>
  <c r="I1263" i="2"/>
  <c r="J1263" i="2" s="1"/>
  <c r="I1264" i="2"/>
  <c r="J1264" i="2" s="1"/>
  <c r="I1265" i="2"/>
  <c r="I1266" i="2"/>
  <c r="I1267" i="2"/>
  <c r="K1267" i="2" s="1"/>
  <c r="I1268" i="2"/>
  <c r="I1269" i="2"/>
  <c r="I1270" i="2"/>
  <c r="K1270" i="2" s="1"/>
  <c r="I1271" i="2"/>
  <c r="L1271" i="2" s="1"/>
  <c r="I1272" i="2"/>
  <c r="I1273" i="2"/>
  <c r="I1274" i="2"/>
  <c r="I1275" i="2"/>
  <c r="J1275" i="2" s="1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J1289" i="2" s="1"/>
  <c r="I1290" i="2"/>
  <c r="I1291" i="2"/>
  <c r="I1292" i="2"/>
  <c r="I1293" i="2"/>
  <c r="I1294" i="2"/>
  <c r="I1295" i="2"/>
  <c r="K1295" i="2" s="1"/>
  <c r="I1296" i="2"/>
  <c r="I1297" i="2"/>
  <c r="J1297" i="2" s="1"/>
  <c r="I1298" i="2"/>
  <c r="I1299" i="2"/>
  <c r="J1299" i="2" s="1"/>
  <c r="I1300" i="2"/>
  <c r="J1300" i="2" s="1"/>
  <c r="I1301" i="2"/>
  <c r="L1301" i="2" s="1"/>
  <c r="I1302" i="2"/>
  <c r="I1303" i="2"/>
  <c r="I1304" i="2"/>
  <c r="J1304" i="2" s="1"/>
  <c r="I1305" i="2"/>
  <c r="I1306" i="2"/>
  <c r="I1307" i="2"/>
  <c r="J1307" i="2" s="1"/>
  <c r="I1308" i="2"/>
  <c r="I1309" i="2"/>
  <c r="I1310" i="2"/>
  <c r="I1311" i="2"/>
  <c r="J1311" i="2" s="1"/>
  <c r="I1312" i="2"/>
  <c r="I1313" i="2"/>
  <c r="K1313" i="2" s="1"/>
  <c r="I1314" i="2"/>
  <c r="I1315" i="2"/>
  <c r="J1315" i="2" s="1"/>
  <c r="I1316" i="2"/>
  <c r="I1317" i="2"/>
  <c r="J1317" i="2" s="1"/>
  <c r="I1318" i="2"/>
  <c r="I1319" i="2"/>
  <c r="J1319" i="2" s="1"/>
  <c r="I1320" i="2"/>
  <c r="J1320" i="2" s="1"/>
  <c r="I1321" i="2"/>
  <c r="I1322" i="2"/>
  <c r="I1323" i="2"/>
  <c r="I1324" i="2"/>
  <c r="I1325" i="2"/>
  <c r="K1325" i="2" s="1"/>
  <c r="I1326" i="2"/>
  <c r="K1326" i="2" s="1"/>
  <c r="I1327" i="2"/>
  <c r="L1327" i="2" s="1"/>
  <c r="I1328" i="2"/>
  <c r="J1328" i="2" s="1"/>
  <c r="I1329" i="2"/>
  <c r="I1330" i="2"/>
  <c r="K1330" i="2" s="1"/>
  <c r="I1331" i="2"/>
  <c r="I1332" i="2"/>
  <c r="I1333" i="2"/>
  <c r="J1333" i="2" s="1"/>
  <c r="I1334" i="2"/>
  <c r="I1335" i="2"/>
  <c r="L1335" i="2" s="1"/>
  <c r="I1336" i="2"/>
  <c r="I1337" i="2"/>
  <c r="I1338" i="2"/>
  <c r="J1338" i="2" s="1"/>
  <c r="I1339" i="2"/>
  <c r="I1340" i="2"/>
  <c r="K1340" i="2" s="1"/>
  <c r="I1341" i="2"/>
  <c r="K1341" i="2" s="1"/>
  <c r="I1342" i="2"/>
  <c r="K1342" i="2" s="1"/>
  <c r="I1343" i="2"/>
  <c r="J1343" i="2" s="1"/>
  <c r="I1344" i="2"/>
  <c r="J1344" i="2" s="1"/>
  <c r="I1345" i="2"/>
  <c r="I1346" i="2"/>
  <c r="I1347" i="2"/>
  <c r="J1347" i="2" s="1"/>
  <c r="I1348" i="2"/>
  <c r="K1348" i="2" s="1"/>
  <c r="I1349" i="2"/>
  <c r="I1350" i="2"/>
  <c r="J1350" i="2" s="1"/>
  <c r="I1351" i="2"/>
  <c r="I1352" i="2"/>
  <c r="I1353" i="2"/>
  <c r="I1354" i="2"/>
  <c r="I1355" i="2"/>
  <c r="I1356" i="2"/>
  <c r="I1357" i="2"/>
  <c r="I1358" i="2"/>
  <c r="I1359" i="2"/>
  <c r="I1360" i="2"/>
  <c r="I1361" i="2"/>
  <c r="K1361" i="2" s="1"/>
  <c r="I1362" i="2"/>
  <c r="K1362" i="2" s="1"/>
  <c r="I1363" i="2"/>
  <c r="I1364" i="2"/>
  <c r="I1365" i="2"/>
  <c r="I1366" i="2"/>
  <c r="J1366" i="2" s="1"/>
  <c r="I1367" i="2"/>
  <c r="K1367" i="2" s="1"/>
  <c r="I1368" i="2"/>
  <c r="I1369" i="2"/>
  <c r="I1370" i="2"/>
  <c r="I1371" i="2"/>
  <c r="K1371" i="2" s="1"/>
  <c r="I1372" i="2"/>
  <c r="I1373" i="2"/>
  <c r="L1373" i="2" s="1"/>
  <c r="I1374" i="2"/>
  <c r="I1375" i="2"/>
  <c r="J1375" i="2" s="1"/>
  <c r="I1376" i="2"/>
  <c r="J1376" i="2" s="1"/>
  <c r="I1377" i="2"/>
  <c r="I1378" i="2"/>
  <c r="I1379" i="2"/>
  <c r="I1380" i="2"/>
  <c r="I1381" i="2"/>
  <c r="I1382" i="2"/>
  <c r="L1382" i="2" s="1"/>
  <c r="I1383" i="2"/>
  <c r="I1384" i="2"/>
  <c r="I1385" i="2"/>
  <c r="I1386" i="2"/>
  <c r="L1386" i="2" s="1"/>
  <c r="I1387" i="2"/>
  <c r="I1388" i="2"/>
  <c r="I1389" i="2"/>
  <c r="I1390" i="2"/>
  <c r="I1391" i="2"/>
  <c r="I1392" i="2"/>
  <c r="I1393" i="2"/>
  <c r="I1394" i="2"/>
  <c r="J1394" i="2" s="1"/>
  <c r="I1395" i="2"/>
  <c r="J1395" i="2" s="1"/>
  <c r="I1396" i="2"/>
  <c r="K1396" i="2" s="1"/>
  <c r="I1397" i="2"/>
  <c r="J1397" i="2" s="1"/>
  <c r="I1398" i="2"/>
  <c r="J1398" i="2" s="1"/>
  <c r="I1399" i="2"/>
  <c r="I1400" i="2"/>
  <c r="K1400" i="2" s="1"/>
  <c r="I1401" i="2"/>
  <c r="I1402" i="2"/>
  <c r="I1403" i="2"/>
  <c r="J1403" i="2" s="1"/>
  <c r="I1404" i="2"/>
  <c r="I1405" i="2"/>
  <c r="I1406" i="2"/>
  <c r="I1407" i="2"/>
  <c r="J1407" i="2" s="1"/>
  <c r="I1408" i="2"/>
  <c r="I1409" i="2"/>
  <c r="I1410" i="2"/>
  <c r="I1411" i="2"/>
  <c r="I1412" i="2"/>
  <c r="K1412" i="2" s="1"/>
  <c r="I1413" i="2"/>
  <c r="I1414" i="2"/>
  <c r="I1415" i="2"/>
  <c r="J1415" i="2" s="1"/>
  <c r="I1416" i="2"/>
  <c r="J1416" i="2" s="1"/>
  <c r="I1417" i="2"/>
  <c r="I1418" i="2"/>
  <c r="I1419" i="2"/>
  <c r="J1419" i="2" s="1"/>
  <c r="I1420" i="2"/>
  <c r="I1421" i="2"/>
  <c r="I1422" i="2"/>
  <c r="I1423" i="2"/>
  <c r="J1423" i="2" s="1"/>
  <c r="I1424" i="2"/>
  <c r="I1425" i="2"/>
  <c r="I1426" i="2"/>
  <c r="I1427" i="2"/>
  <c r="I1428" i="2"/>
  <c r="I1429" i="2"/>
  <c r="K1429" i="2" s="1"/>
  <c r="I1430" i="2"/>
  <c r="I1431" i="2"/>
  <c r="J1431" i="2" s="1"/>
  <c r="I1432" i="2"/>
  <c r="J1432" i="2" s="1"/>
  <c r="I1433" i="2"/>
  <c r="J1433" i="2" s="1"/>
  <c r="I1434" i="2"/>
  <c r="I1435" i="2"/>
  <c r="I1436" i="2"/>
  <c r="I1437" i="2"/>
  <c r="J1437" i="2" s="1"/>
  <c r="I1438" i="2"/>
  <c r="I1439" i="2"/>
  <c r="J1439" i="2" s="1"/>
  <c r="I1440" i="2"/>
  <c r="I1441" i="2"/>
  <c r="I1442" i="2"/>
  <c r="I1443" i="2"/>
  <c r="J1443" i="2" s="1"/>
  <c r="I1444" i="2"/>
  <c r="I1445" i="2"/>
  <c r="J1445" i="2" s="1"/>
  <c r="I1446" i="2"/>
  <c r="K1446" i="2" s="1"/>
  <c r="I1447" i="2"/>
  <c r="I1448" i="2"/>
  <c r="K1448" i="2" s="1"/>
  <c r="I1449" i="2"/>
  <c r="J1449" i="2" s="1"/>
  <c r="I1450" i="2"/>
  <c r="J1450" i="2" s="1"/>
  <c r="I1451" i="2"/>
  <c r="K1451" i="2" s="1"/>
  <c r="I1452" i="2"/>
  <c r="I1453" i="2"/>
  <c r="I1454" i="2"/>
  <c r="I1455" i="2"/>
  <c r="J1455" i="2" s="1"/>
  <c r="I1456" i="2"/>
  <c r="J1456" i="2" s="1"/>
  <c r="I1457" i="2"/>
  <c r="I1458" i="2"/>
  <c r="J1458" i="2" s="1"/>
  <c r="I1459" i="2"/>
  <c r="I1460" i="2"/>
  <c r="I1461" i="2"/>
  <c r="I1462" i="2"/>
  <c r="K1462" i="2" s="1"/>
  <c r="I1463" i="2"/>
  <c r="J1463" i="2" s="1"/>
  <c r="I1464" i="2"/>
  <c r="J1464" i="2" s="1"/>
  <c r="I1465" i="2"/>
  <c r="J1465" i="2" s="1"/>
  <c r="I1466" i="2"/>
  <c r="J1466" i="2" s="1"/>
  <c r="I1467" i="2"/>
  <c r="K1467" i="2" s="1"/>
  <c r="I1468" i="2"/>
  <c r="K1468" i="2" s="1"/>
  <c r="I1469" i="2"/>
  <c r="K1469" i="2" s="1"/>
  <c r="I1470" i="2"/>
  <c r="I1471" i="2"/>
  <c r="K1471" i="2" s="1"/>
  <c r="I1472" i="2"/>
  <c r="I1473" i="2"/>
  <c r="J1473" i="2" s="1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K1485" i="2" s="1"/>
  <c r="I1486" i="2"/>
  <c r="K1486" i="2" s="1"/>
  <c r="I1487" i="2"/>
  <c r="I1488" i="2"/>
  <c r="L1488" i="2" s="1"/>
  <c r="I1489" i="2"/>
  <c r="I1490" i="2"/>
  <c r="I1491" i="2"/>
  <c r="J1491" i="2" s="1"/>
  <c r="I1492" i="2"/>
  <c r="I1493" i="2"/>
  <c r="I1494" i="2"/>
  <c r="I1495" i="2"/>
  <c r="L1495" i="2" s="1"/>
  <c r="I1496" i="2"/>
  <c r="K1496" i="2" s="1"/>
  <c r="I1497" i="2"/>
  <c r="I1498" i="2"/>
  <c r="I1499" i="2"/>
  <c r="J1499" i="2" s="1"/>
  <c r="I1500" i="2"/>
  <c r="J1500" i="2" s="1"/>
  <c r="I1501" i="2"/>
  <c r="J1501" i="2" s="1"/>
  <c r="I1502" i="2"/>
  <c r="K1502" i="2" s="1"/>
  <c r="I1503" i="2"/>
  <c r="J1503" i="2" s="1"/>
  <c r="I1504" i="2"/>
  <c r="K1504" i="2" s="1"/>
  <c r="I1505" i="2"/>
  <c r="K1505" i="2" s="1"/>
  <c r="I1506" i="2"/>
  <c r="L1506" i="2" s="1"/>
  <c r="I1507" i="2"/>
  <c r="I1508" i="2"/>
  <c r="J1508" i="2" s="1"/>
  <c r="I1509" i="2"/>
  <c r="I1510" i="2"/>
  <c r="I1511" i="2"/>
  <c r="K1511" i="2" s="1"/>
  <c r="I1512" i="2"/>
  <c r="K1512" i="2" s="1"/>
  <c r="I1513" i="2"/>
  <c r="I1514" i="2"/>
  <c r="I1515" i="2"/>
  <c r="I1516" i="2"/>
  <c r="J1516" i="2" s="1"/>
  <c r="I1517" i="2"/>
  <c r="I1518" i="2"/>
  <c r="I1519" i="2"/>
  <c r="I1520" i="2"/>
  <c r="I1521" i="2"/>
  <c r="I1522" i="2"/>
  <c r="I1523" i="2"/>
  <c r="I1524" i="2"/>
  <c r="I1525" i="2"/>
  <c r="K1525" i="2" s="1"/>
  <c r="I1526" i="2"/>
  <c r="L1526" i="2" s="1"/>
  <c r="I1527" i="2"/>
  <c r="I1528" i="2"/>
  <c r="I1529" i="2"/>
  <c r="I1530" i="2"/>
  <c r="J1530" i="2" s="1"/>
  <c r="I1531" i="2"/>
  <c r="I1532" i="2"/>
  <c r="K1532" i="2" s="1"/>
  <c r="I1533" i="2"/>
  <c r="I1534" i="2"/>
  <c r="I1535" i="2"/>
  <c r="L1535" i="2" s="1"/>
  <c r="I1536" i="2"/>
  <c r="J1536" i="2" s="1"/>
  <c r="I1537" i="2"/>
  <c r="J1537" i="2" s="1"/>
  <c r="I1538" i="2"/>
  <c r="I1539" i="2"/>
  <c r="J1539" i="2" s="1"/>
  <c r="I1540" i="2"/>
  <c r="I1541" i="2"/>
  <c r="I1542" i="2"/>
  <c r="L1542" i="2" s="1"/>
  <c r="I1543" i="2"/>
  <c r="K1543" i="2" s="1"/>
  <c r="I1544" i="2"/>
  <c r="K1544" i="2" s="1"/>
  <c r="I1545" i="2"/>
  <c r="I1546" i="2"/>
  <c r="I1547" i="2"/>
  <c r="J1547" i="2" s="1"/>
  <c r="I1548" i="2"/>
  <c r="I1549" i="2"/>
  <c r="K1549" i="2" s="1"/>
  <c r="I1550" i="2"/>
  <c r="I1551" i="2"/>
  <c r="J1551" i="2" s="1"/>
  <c r="I1552" i="2"/>
  <c r="I1553" i="2"/>
  <c r="I1554" i="2"/>
  <c r="I1555" i="2"/>
  <c r="J1555" i="2" s="1"/>
  <c r="I1556" i="2"/>
  <c r="I1557" i="2"/>
  <c r="J1557" i="2" s="1"/>
  <c r="I1558" i="2"/>
  <c r="J1558" i="2" s="1"/>
  <c r="I1559" i="2"/>
  <c r="K1559" i="2" s="1"/>
  <c r="I1560" i="2"/>
  <c r="J1560" i="2" s="1"/>
  <c r="I1561" i="2"/>
  <c r="I1562" i="2"/>
  <c r="I1563" i="2"/>
  <c r="J1563" i="2" s="1"/>
  <c r="I1564" i="2"/>
  <c r="J1564" i="2" s="1"/>
  <c r="I1565" i="2"/>
  <c r="K1565" i="2" s="1"/>
  <c r="I1566" i="2"/>
  <c r="I1567" i="2"/>
  <c r="I1568" i="2"/>
  <c r="I1569" i="2"/>
  <c r="K1569" i="2" s="1"/>
  <c r="I1570" i="2"/>
  <c r="I1571" i="2"/>
  <c r="I1572" i="2"/>
  <c r="J1572" i="2" s="1"/>
  <c r="I1573" i="2"/>
  <c r="J1573" i="2" s="1"/>
  <c r="I1574" i="2"/>
  <c r="I1575" i="2"/>
  <c r="I1576" i="2"/>
  <c r="K1576" i="2" s="1"/>
  <c r="I1577" i="2"/>
  <c r="I1578" i="2"/>
  <c r="I1579" i="2"/>
  <c r="I1580" i="2"/>
  <c r="I1581" i="2"/>
  <c r="I1582" i="2"/>
  <c r="K1582" i="2" s="1"/>
  <c r="I1583" i="2"/>
  <c r="I1584" i="2"/>
  <c r="I1585" i="2"/>
  <c r="K1585" i="2" s="1"/>
  <c r="I1586" i="2"/>
  <c r="I1587" i="2"/>
  <c r="I1588" i="2"/>
  <c r="I1589" i="2"/>
  <c r="I1590" i="2"/>
  <c r="I1591" i="2"/>
  <c r="I1592" i="2"/>
  <c r="J1592" i="2" s="1"/>
  <c r="I1593" i="2"/>
  <c r="J1593" i="2" s="1"/>
  <c r="I1594" i="2"/>
  <c r="I1595" i="2"/>
  <c r="I1596" i="2"/>
  <c r="K1596" i="2" s="1"/>
  <c r="I1597" i="2"/>
  <c r="K1597" i="2" s="1"/>
  <c r="I1598" i="2"/>
  <c r="I1599" i="2"/>
  <c r="K1599" i="2" s="1"/>
  <c r="I1600" i="2"/>
  <c r="I1601" i="2"/>
  <c r="L1601" i="2" s="1"/>
  <c r="I1602" i="2"/>
  <c r="I1603" i="2"/>
  <c r="I1604" i="2"/>
  <c r="J1604" i="2" s="1"/>
  <c r="I1605" i="2"/>
  <c r="J1605" i="2" s="1"/>
  <c r="I1606" i="2"/>
  <c r="I1607" i="2"/>
  <c r="J1607" i="2" s="1"/>
  <c r="I1608" i="2"/>
  <c r="J1608" i="2" s="1"/>
  <c r="I1609" i="2"/>
  <c r="I1610" i="2"/>
  <c r="I1611" i="2"/>
  <c r="J1611" i="2" s="1"/>
  <c r="I1612" i="2"/>
  <c r="J1612" i="2" s="1"/>
  <c r="I1613" i="2"/>
  <c r="I1614" i="2"/>
  <c r="J1614" i="2" s="1"/>
  <c r="I1615" i="2"/>
  <c r="I1616" i="2"/>
  <c r="I1617" i="2"/>
  <c r="K1617" i="2" s="1"/>
  <c r="I1618" i="2"/>
  <c r="K1618" i="2" s="1"/>
  <c r="I1619" i="2"/>
  <c r="L1619" i="2" s="1"/>
  <c r="I1620" i="2"/>
  <c r="I1621" i="2"/>
  <c r="I1622" i="2"/>
  <c r="I1623" i="2"/>
  <c r="I1624" i="2"/>
  <c r="K1624" i="2" s="1"/>
  <c r="I1625" i="2"/>
  <c r="K1625" i="2" s="1"/>
  <c r="I1626" i="2"/>
  <c r="J1626" i="2" s="1"/>
  <c r="I1627" i="2"/>
  <c r="I1628" i="2"/>
  <c r="J1628" i="2" s="1"/>
  <c r="I1629" i="2"/>
  <c r="I1630" i="2"/>
  <c r="K1630" i="2" s="1"/>
  <c r="I1631" i="2"/>
  <c r="J1631" i="2" s="1"/>
  <c r="I1632" i="2"/>
  <c r="I1633" i="2"/>
  <c r="I1634" i="2"/>
  <c r="K1634" i="2" s="1"/>
  <c r="I1635" i="2"/>
  <c r="I1636" i="2"/>
  <c r="I1637" i="2"/>
  <c r="I1638" i="2"/>
  <c r="I1639" i="2"/>
  <c r="I1640" i="2"/>
  <c r="I1641" i="2"/>
  <c r="K1641" i="2" s="1"/>
  <c r="I1642" i="2"/>
  <c r="I1643" i="2"/>
  <c r="J1643" i="2" s="1"/>
  <c r="I1644" i="2"/>
  <c r="J1644" i="2" s="1"/>
  <c r="I1645" i="2"/>
  <c r="J1645" i="2" s="1"/>
  <c r="I1646" i="2"/>
  <c r="J1646" i="2" s="1"/>
  <c r="I1647" i="2"/>
  <c r="J1647" i="2" s="1"/>
  <c r="I1648" i="2"/>
  <c r="J1648" i="2" s="1"/>
  <c r="I1649" i="2"/>
  <c r="K1649" i="2" s="1"/>
  <c r="I1650" i="2"/>
  <c r="I1651" i="2"/>
  <c r="I1652" i="2"/>
  <c r="J1652" i="2" s="1"/>
  <c r="I1653" i="2"/>
  <c r="I1654" i="2"/>
  <c r="I1655" i="2"/>
  <c r="J1655" i="2" s="1"/>
  <c r="I1656" i="2"/>
  <c r="J1656" i="2" s="1"/>
  <c r="I1657" i="2"/>
  <c r="I1658" i="2"/>
  <c r="I1659" i="2"/>
  <c r="J1659" i="2" s="1"/>
  <c r="I1660" i="2"/>
  <c r="I1661" i="2"/>
  <c r="J1661" i="2" s="1"/>
  <c r="I1662" i="2"/>
  <c r="I1663" i="2"/>
  <c r="I1664" i="2"/>
  <c r="J1664" i="2" s="1"/>
  <c r="I1665" i="2"/>
  <c r="I1666" i="2"/>
  <c r="K1666" i="2" s="1"/>
  <c r="I1667" i="2"/>
  <c r="I1668" i="2"/>
  <c r="I1669" i="2"/>
  <c r="J1669" i="2" s="1"/>
  <c r="I1670" i="2"/>
  <c r="I1671" i="2"/>
  <c r="I1672" i="2"/>
  <c r="I1673" i="2"/>
  <c r="I1674" i="2"/>
  <c r="J1674" i="2" s="1"/>
  <c r="I1675" i="2"/>
  <c r="I1676" i="2"/>
  <c r="K1676" i="2" s="1"/>
  <c r="I1677" i="2"/>
  <c r="I1678" i="2"/>
  <c r="I1679" i="2"/>
  <c r="J1679" i="2" s="1"/>
  <c r="I1680" i="2"/>
  <c r="I1681" i="2"/>
  <c r="I1682" i="2"/>
  <c r="I1683" i="2"/>
  <c r="I1684" i="2"/>
  <c r="I1685" i="2"/>
  <c r="I1686" i="2"/>
  <c r="I1687" i="2"/>
  <c r="I1688" i="2"/>
  <c r="K1688" i="2" s="1"/>
  <c r="I1689" i="2"/>
  <c r="I1690" i="2"/>
  <c r="I1691" i="2"/>
  <c r="I1692" i="2"/>
  <c r="I1693" i="2"/>
  <c r="J1693" i="2" s="1"/>
  <c r="I1694" i="2"/>
  <c r="I1695" i="2"/>
  <c r="J1695" i="2" s="1"/>
  <c r="I1696" i="2"/>
  <c r="K1696" i="2" s="1"/>
  <c r="I1697" i="2"/>
  <c r="I1698" i="2"/>
  <c r="I1699" i="2"/>
  <c r="I1700" i="2"/>
  <c r="L1700" i="2" s="1"/>
  <c r="I1701" i="2"/>
  <c r="I1702" i="2"/>
  <c r="I1703" i="2"/>
  <c r="I1704" i="2"/>
  <c r="I1705" i="2"/>
  <c r="I1706" i="2"/>
  <c r="J1706" i="2" s="1"/>
  <c r="I1707" i="2"/>
  <c r="I1708" i="2"/>
  <c r="K1708" i="2" s="1"/>
  <c r="I1709" i="2"/>
  <c r="I1710" i="2"/>
  <c r="K1710" i="2" s="1"/>
  <c r="I1711" i="2"/>
  <c r="I1712" i="2"/>
  <c r="L1712" i="2" s="1"/>
  <c r="I1713" i="2"/>
  <c r="I1714" i="2"/>
  <c r="L1714" i="2" s="1"/>
  <c r="I1715" i="2"/>
  <c r="I1716" i="2"/>
  <c r="J1716" i="2" s="1"/>
  <c r="I1717" i="2"/>
  <c r="J1717" i="2" s="1"/>
  <c r="I1718" i="2"/>
  <c r="K1718" i="2" s="1"/>
  <c r="I1719" i="2"/>
  <c r="J1719" i="2" s="1"/>
  <c r="I1720" i="2"/>
  <c r="J1720" i="2" s="1"/>
  <c r="I1721" i="2"/>
  <c r="J1721" i="2" s="1"/>
  <c r="I1722" i="2"/>
  <c r="K1722" i="2" s="1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K1736" i="2" s="1"/>
  <c r="I1737" i="2"/>
  <c r="I1738" i="2"/>
  <c r="K1738" i="2" s="1"/>
  <c r="I1739" i="2"/>
  <c r="K1739" i="2" s="1"/>
  <c r="I1740" i="2"/>
  <c r="K1740" i="2" s="1"/>
  <c r="I1741" i="2"/>
  <c r="K1741" i="2" s="1"/>
  <c r="I1742" i="2"/>
  <c r="I1743" i="2"/>
  <c r="I1744" i="2"/>
  <c r="I1745" i="2"/>
  <c r="I1746" i="2"/>
  <c r="J1746" i="2" s="1"/>
  <c r="I1747" i="2"/>
  <c r="K1747" i="2" s="1"/>
  <c r="I1748" i="2"/>
  <c r="J1748" i="2" s="1"/>
  <c r="I1749" i="2"/>
  <c r="J1749" i="2" s="1"/>
  <c r="I1750" i="2"/>
  <c r="I1751" i="2"/>
  <c r="I1752" i="2"/>
  <c r="I1753" i="2"/>
  <c r="I1754" i="2"/>
  <c r="I1755" i="2"/>
  <c r="I1756" i="2"/>
  <c r="I1757" i="2"/>
  <c r="J1757" i="2" s="1"/>
  <c r="I1758" i="2"/>
  <c r="I1759" i="2"/>
  <c r="I1760" i="2"/>
  <c r="I1761" i="2"/>
  <c r="K1761" i="2" s="1"/>
  <c r="I1762" i="2"/>
  <c r="I1763" i="2"/>
  <c r="I1764" i="2"/>
  <c r="I1765" i="2"/>
  <c r="K1765" i="2" s="1"/>
  <c r="I1766" i="2"/>
  <c r="I1767" i="2"/>
  <c r="I1768" i="2"/>
  <c r="J1768" i="2" s="1"/>
  <c r="I1769" i="2"/>
  <c r="I1770" i="2"/>
  <c r="I1771" i="2"/>
  <c r="I1772" i="2"/>
  <c r="K1772" i="2" s="1"/>
  <c r="I1773" i="2"/>
  <c r="I1774" i="2"/>
  <c r="I1775" i="2"/>
  <c r="J1775" i="2" s="1"/>
  <c r="I1776" i="2"/>
  <c r="K1776" i="2" s="1"/>
  <c r="I1777" i="2"/>
  <c r="I1778" i="2"/>
  <c r="I1779" i="2"/>
  <c r="K1779" i="2" s="1"/>
  <c r="I1780" i="2"/>
  <c r="L1780" i="2" s="1"/>
  <c r="I1781" i="2"/>
  <c r="I1782" i="2"/>
  <c r="I1783" i="2"/>
  <c r="I1784" i="2"/>
  <c r="L1784" i="2" s="1"/>
  <c r="I1785" i="2"/>
  <c r="K1785" i="2" s="1"/>
  <c r="I1786" i="2"/>
  <c r="I1787" i="2"/>
  <c r="J1787" i="2" s="1"/>
  <c r="I1788" i="2"/>
  <c r="J1788" i="2" s="1"/>
  <c r="I1789" i="2"/>
  <c r="I1790" i="2"/>
  <c r="I1791" i="2"/>
  <c r="J1791" i="2" s="1"/>
  <c r="I1792" i="2"/>
  <c r="J1792" i="2" s="1"/>
  <c r="I1793" i="2"/>
  <c r="L1793" i="2" s="1"/>
  <c r="I1794" i="2"/>
  <c r="I1795" i="2"/>
  <c r="I1796" i="2"/>
  <c r="J1796" i="2" s="1"/>
  <c r="I1797" i="2"/>
  <c r="J1797" i="2" s="1"/>
  <c r="I1798" i="2"/>
  <c r="I1799" i="2"/>
  <c r="K1799" i="2" s="1"/>
  <c r="I1800" i="2"/>
  <c r="J1800" i="2" s="1"/>
  <c r="I1801" i="2"/>
  <c r="I1802" i="2"/>
  <c r="I1803" i="2"/>
  <c r="I1804" i="2"/>
  <c r="J1804" i="2" s="1"/>
  <c r="I1805" i="2"/>
  <c r="I1806" i="2"/>
  <c r="I1807" i="2"/>
  <c r="K1807" i="2" s="1"/>
  <c r="I1808" i="2"/>
  <c r="I1809" i="2"/>
  <c r="I1810" i="2"/>
  <c r="K1810" i="2" s="1"/>
  <c r="I1811" i="2"/>
  <c r="I1812" i="2"/>
  <c r="J1812" i="2" s="1"/>
  <c r="I1813" i="2"/>
  <c r="J1813" i="2" s="1"/>
  <c r="I1814" i="2"/>
  <c r="I1815" i="2"/>
  <c r="J1815" i="2" s="1"/>
  <c r="I1816" i="2"/>
  <c r="I1817" i="2"/>
  <c r="I1818" i="2"/>
  <c r="K1818" i="2" s="1"/>
  <c r="I1819" i="2"/>
  <c r="I1820" i="2"/>
  <c r="I1821" i="2"/>
  <c r="I1822" i="2"/>
  <c r="I1823" i="2"/>
  <c r="I1824" i="2"/>
  <c r="I1825" i="2"/>
  <c r="I1826" i="2"/>
  <c r="K1826" i="2" s="1"/>
  <c r="I1827" i="2"/>
  <c r="I1828" i="2"/>
  <c r="K1828" i="2" s="1"/>
  <c r="I1829" i="2"/>
  <c r="J1829" i="2" s="1"/>
  <c r="I1830" i="2"/>
  <c r="I1831" i="2"/>
  <c r="L1831" i="2" s="1"/>
  <c r="I1832" i="2"/>
  <c r="I1833" i="2"/>
  <c r="J1833" i="2" s="1"/>
  <c r="I1834" i="2"/>
  <c r="I1835" i="2"/>
  <c r="I1836" i="2"/>
  <c r="I1837" i="2"/>
  <c r="K1837" i="2" s="1"/>
  <c r="I1838" i="2"/>
  <c r="J1838" i="2" s="1"/>
  <c r="I1839" i="2"/>
  <c r="J1839" i="2" s="1"/>
  <c r="I1840" i="2"/>
  <c r="K1840" i="2" s="1"/>
  <c r="I1841" i="2"/>
  <c r="I1842" i="2"/>
  <c r="J1842" i="2" s="1"/>
  <c r="I1843" i="2"/>
  <c r="I1844" i="2"/>
  <c r="K1844" i="2" s="1"/>
  <c r="I1845" i="2"/>
  <c r="K1845" i="2" s="1"/>
  <c r="I1846" i="2"/>
  <c r="I1847" i="2"/>
  <c r="I1848" i="2"/>
  <c r="J1848" i="2" s="1"/>
  <c r="I1849" i="2"/>
  <c r="I1850" i="2"/>
  <c r="I1851" i="2"/>
  <c r="J1851" i="2" s="1"/>
  <c r="I1852" i="2"/>
  <c r="K1852" i="2" s="1"/>
  <c r="I1853" i="2"/>
  <c r="K1853" i="2" s="1"/>
  <c r="I1854" i="2"/>
  <c r="J1854" i="2" s="1"/>
  <c r="I1855" i="2"/>
  <c r="I1856" i="2"/>
  <c r="I1857" i="2"/>
  <c r="J1857" i="2" s="1"/>
  <c r="I1858" i="2"/>
  <c r="I1859" i="2"/>
  <c r="I1860" i="2"/>
  <c r="I1861" i="2"/>
  <c r="I1862" i="2"/>
  <c r="I1863" i="2"/>
  <c r="I1864" i="2"/>
  <c r="I1865" i="2"/>
  <c r="I1866" i="2"/>
  <c r="J1866" i="2" s="1"/>
  <c r="I1867" i="2"/>
  <c r="J1867" i="2" s="1"/>
  <c r="I1868" i="2"/>
  <c r="K1868" i="2" s="1"/>
  <c r="I1869" i="2"/>
  <c r="I1870" i="2"/>
  <c r="I1871" i="2"/>
  <c r="I1872" i="2"/>
  <c r="I1873" i="2"/>
  <c r="J1873" i="2" s="1"/>
  <c r="I1874" i="2"/>
  <c r="I1875" i="2"/>
  <c r="J1875" i="2" s="1"/>
  <c r="I1876" i="2"/>
  <c r="J1876" i="2" s="1"/>
  <c r="I1877" i="2"/>
  <c r="I1878" i="2"/>
  <c r="I1879" i="2"/>
  <c r="I1880" i="2"/>
  <c r="J1880" i="2" s="1"/>
  <c r="I1881" i="2"/>
  <c r="I1882" i="2"/>
  <c r="K1882" i="2" s="1"/>
  <c r="I1883" i="2"/>
  <c r="L1883" i="2" s="1"/>
  <c r="I1884" i="2"/>
  <c r="I1885" i="2"/>
  <c r="I1886" i="2"/>
  <c r="I1887" i="2"/>
  <c r="J1887" i="2" s="1"/>
  <c r="I1888" i="2"/>
  <c r="J1888" i="2" s="1"/>
  <c r="I1889" i="2"/>
  <c r="I1890" i="2"/>
  <c r="J1890" i="2" s="1"/>
  <c r="I1891" i="2"/>
  <c r="L1891" i="2" s="1"/>
  <c r="I1892" i="2"/>
  <c r="L1892" i="2" s="1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L1904" i="2" s="1"/>
  <c r="I1905" i="2"/>
  <c r="I1906" i="2"/>
  <c r="I1907" i="2"/>
  <c r="K1907" i="2" s="1"/>
  <c r="I1908" i="2"/>
  <c r="K1908" i="2" s="1"/>
  <c r="I1909" i="2"/>
  <c r="I1910" i="2"/>
  <c r="J1910" i="2" s="1"/>
  <c r="I1911" i="2"/>
  <c r="L1911" i="2" s="1"/>
  <c r="I1912" i="2"/>
  <c r="I1913" i="2"/>
  <c r="L1913" i="2" s="1"/>
  <c r="I1914" i="2"/>
  <c r="I1915" i="2"/>
  <c r="I1916" i="2"/>
  <c r="K1916" i="2" s="1"/>
  <c r="I1917" i="2"/>
  <c r="K1917" i="2" s="1"/>
  <c r="I1918" i="2"/>
  <c r="I1919" i="2"/>
  <c r="I1920" i="2"/>
  <c r="I1921" i="2"/>
  <c r="I1922" i="2"/>
  <c r="K1922" i="2" s="1"/>
  <c r="I1923" i="2"/>
  <c r="J1923" i="2" s="1"/>
  <c r="I1924" i="2"/>
  <c r="K1924" i="2" s="1"/>
  <c r="I1925" i="2"/>
  <c r="K1925" i="2" s="1"/>
  <c r="I1926" i="2"/>
  <c r="J1926" i="2" s="1"/>
  <c r="I1927" i="2"/>
  <c r="J1927" i="2" s="1"/>
  <c r="I1928" i="2"/>
  <c r="J1928" i="2" s="1"/>
  <c r="I1929" i="2"/>
  <c r="I1930" i="2"/>
  <c r="J1930" i="2" s="1"/>
  <c r="I1931" i="2"/>
  <c r="I1932" i="2"/>
  <c r="K1932" i="2" s="1"/>
  <c r="I1933" i="2"/>
  <c r="I1934" i="2"/>
  <c r="I1935" i="2"/>
  <c r="K1935" i="2" s="1"/>
  <c r="I1936" i="2"/>
  <c r="I1937" i="2"/>
  <c r="J1937" i="2" s="1"/>
  <c r="I1938" i="2"/>
  <c r="K1938" i="2" s="1"/>
  <c r="I1939" i="2"/>
  <c r="I1940" i="2"/>
  <c r="J1940" i="2" s="1"/>
  <c r="I1941" i="2"/>
  <c r="L1941" i="2" s="1"/>
  <c r="I1942" i="2"/>
  <c r="K1942" i="2" s="1"/>
  <c r="I1943" i="2"/>
  <c r="J1943" i="2" s="1"/>
  <c r="I1944" i="2"/>
  <c r="J1944" i="2" s="1"/>
  <c r="I1945" i="2"/>
  <c r="K1945" i="2" s="1"/>
  <c r="I1946" i="2"/>
  <c r="I1947" i="2"/>
  <c r="I1948" i="2"/>
  <c r="I1949" i="2"/>
  <c r="K1949" i="2" s="1"/>
  <c r="I1950" i="2"/>
  <c r="I1951" i="2"/>
  <c r="I1952" i="2"/>
  <c r="I1953" i="2"/>
  <c r="K1953" i="2" s="1"/>
  <c r="I1954" i="2"/>
  <c r="I1955" i="2"/>
  <c r="I1956" i="2"/>
  <c r="I1957" i="2"/>
  <c r="I1958" i="2"/>
  <c r="I1959" i="2"/>
  <c r="I1960" i="2"/>
  <c r="I1961" i="2"/>
  <c r="I1962" i="2"/>
  <c r="K1962" i="2" s="1"/>
  <c r="I1963" i="2"/>
  <c r="I1964" i="2"/>
  <c r="I1965" i="2"/>
  <c r="I1966" i="2"/>
  <c r="I1967" i="2"/>
  <c r="I1968" i="2"/>
  <c r="J1968" i="2" s="1"/>
  <c r="I1969" i="2"/>
  <c r="J1969" i="2" s="1"/>
  <c r="I1970" i="2"/>
  <c r="I1971" i="2"/>
  <c r="J1971" i="2" s="1"/>
  <c r="I1972" i="2"/>
  <c r="I1973" i="2"/>
  <c r="I1974" i="2"/>
  <c r="I1975" i="2"/>
  <c r="J1975" i="2" s="1"/>
  <c r="I1976" i="2"/>
  <c r="I1977" i="2"/>
  <c r="K1977" i="2" s="1"/>
  <c r="I1978" i="2"/>
  <c r="I1979" i="2"/>
  <c r="I1980" i="2"/>
  <c r="I1981" i="2"/>
  <c r="K1981" i="2" s="1"/>
  <c r="I1982" i="2"/>
  <c r="J1982" i="2" s="1"/>
  <c r="I1983" i="2"/>
  <c r="J1983" i="2" s="1"/>
  <c r="I1984" i="2"/>
  <c r="I1985" i="2"/>
  <c r="I1986" i="2"/>
  <c r="J1986" i="2" s="1"/>
  <c r="I1987" i="2"/>
  <c r="I1988" i="2"/>
  <c r="I1989" i="2"/>
  <c r="I1990" i="2"/>
  <c r="K1990" i="2" s="1"/>
  <c r="I1991" i="2"/>
  <c r="I1992" i="2"/>
  <c r="I1993" i="2"/>
  <c r="I1994" i="2"/>
  <c r="K1994" i="2" s="1"/>
  <c r="I1995" i="2"/>
  <c r="K1995" i="2" s="1"/>
  <c r="I1996" i="2"/>
  <c r="I1997" i="2"/>
  <c r="I1998" i="2"/>
  <c r="I1999" i="2"/>
  <c r="I2000" i="2"/>
  <c r="I2001" i="2"/>
  <c r="K2001" i="2" s="1"/>
  <c r="I2002" i="2"/>
  <c r="I2003" i="2"/>
  <c r="I2004" i="2"/>
  <c r="J2004" i="2" s="1"/>
  <c r="I2005" i="2"/>
  <c r="J2005" i="2" s="1"/>
  <c r="I2006" i="2"/>
  <c r="I2007" i="2"/>
  <c r="I2008" i="2"/>
  <c r="J2008" i="2" s="1"/>
  <c r="I2009" i="2"/>
  <c r="I2010" i="2"/>
  <c r="I2011" i="2"/>
  <c r="J2011" i="2" s="1"/>
  <c r="I2012" i="2"/>
  <c r="K2012" i="2" s="1"/>
  <c r="I2013" i="2"/>
  <c r="I2014" i="2"/>
  <c r="I2015" i="2"/>
  <c r="I2016" i="2"/>
  <c r="K2016" i="2" s="1"/>
  <c r="I2017" i="2"/>
  <c r="I2018" i="2"/>
  <c r="I2019" i="2"/>
  <c r="J2019" i="2" s="1"/>
  <c r="I2020" i="2"/>
  <c r="I2021" i="2"/>
  <c r="I2022" i="2"/>
  <c r="I2023" i="2"/>
  <c r="K2023" i="2" s="1"/>
  <c r="I2024" i="2"/>
  <c r="K2024" i="2" s="1"/>
  <c r="I2025" i="2"/>
  <c r="I2026" i="2"/>
  <c r="L2026" i="2" s="1"/>
  <c r="I2027" i="2"/>
  <c r="K2027" i="2" s="1"/>
  <c r="I2028" i="2"/>
  <c r="J2028" i="2" s="1"/>
  <c r="I2029" i="2"/>
  <c r="I2030" i="2"/>
  <c r="I2031" i="2"/>
  <c r="J2031" i="2" s="1"/>
  <c r="I2032" i="2"/>
  <c r="J2032" i="2" s="1"/>
  <c r="I2033" i="2"/>
  <c r="J2033" i="2" s="1"/>
  <c r="I2034" i="2"/>
  <c r="I2035" i="2"/>
  <c r="K2035" i="2" s="1"/>
  <c r="I2036" i="2"/>
  <c r="K2036" i="2" s="1"/>
  <c r="I2037" i="2"/>
  <c r="I2038" i="2"/>
  <c r="K2038" i="2" s="1"/>
  <c r="I2039" i="2"/>
  <c r="I2040" i="2"/>
  <c r="J2040" i="2" s="1"/>
  <c r="I2041" i="2"/>
  <c r="J2041" i="2" s="1"/>
  <c r="I2042" i="2"/>
  <c r="L2042" i="2" s="1"/>
  <c r="I2043" i="2"/>
  <c r="I2044" i="2"/>
  <c r="J2044" i="2" s="1"/>
  <c r="I2045" i="2"/>
  <c r="I2046" i="2"/>
  <c r="J2046" i="2" s="1"/>
  <c r="I2047" i="2"/>
  <c r="K2047" i="2" s="1"/>
  <c r="I2048" i="2"/>
  <c r="J2048" i="2" s="1"/>
  <c r="I2049" i="2"/>
  <c r="I2050" i="2"/>
  <c r="I2051" i="2"/>
  <c r="J2051" i="2" s="1"/>
  <c r="I2052" i="2"/>
  <c r="K2052" i="2" s="1"/>
  <c r="I2053" i="2"/>
  <c r="I2054" i="2"/>
  <c r="K2054" i="2" s="1"/>
  <c r="I2055" i="2"/>
  <c r="I2056" i="2"/>
  <c r="K2056" i="2" s="1"/>
  <c r="I2057" i="2"/>
  <c r="J2057" i="2" s="1"/>
  <c r="I2058" i="2"/>
  <c r="I2059" i="2"/>
  <c r="I2060" i="2"/>
  <c r="I2061" i="2"/>
  <c r="I2062" i="2"/>
  <c r="I2063" i="2"/>
  <c r="I2064" i="2"/>
  <c r="K2064" i="2" s="1"/>
  <c r="I2065" i="2"/>
  <c r="K2065" i="2" s="1"/>
  <c r="I2066" i="2"/>
  <c r="K2066" i="2" s="1"/>
  <c r="I2067" i="2"/>
  <c r="I2068" i="2"/>
  <c r="I2069" i="2"/>
  <c r="I2070" i="2"/>
  <c r="I2071" i="2"/>
  <c r="I2072" i="2"/>
  <c r="I2073" i="2"/>
  <c r="J2073" i="2" s="1"/>
  <c r="I2074" i="2"/>
  <c r="I2075" i="2"/>
  <c r="I2076" i="2"/>
  <c r="I2077" i="2"/>
  <c r="I2078" i="2"/>
  <c r="I2079" i="2"/>
  <c r="J2079" i="2" s="1"/>
  <c r="I2080" i="2"/>
  <c r="I2081" i="2"/>
  <c r="I2082" i="2"/>
  <c r="L2082" i="2" s="1"/>
  <c r="I2083" i="2"/>
  <c r="K2083" i="2" s="1"/>
  <c r="I2084" i="2"/>
  <c r="J2084" i="2" s="1"/>
  <c r="I2085" i="2"/>
  <c r="J2085" i="2" s="1"/>
  <c r="I2086" i="2"/>
  <c r="J2086" i="2" s="1"/>
  <c r="I2087" i="2"/>
  <c r="J2087" i="2" s="1"/>
  <c r="I2088" i="2"/>
  <c r="I2089" i="2"/>
  <c r="I2090" i="2"/>
  <c r="I2091" i="2"/>
  <c r="J2091" i="2" s="1"/>
  <c r="I2092" i="2"/>
  <c r="J2092" i="2" s="1"/>
  <c r="I2093" i="2"/>
  <c r="J2093" i="2" s="1"/>
  <c r="I2094" i="2"/>
  <c r="I2095" i="2"/>
  <c r="I2096" i="2"/>
  <c r="I2097" i="2"/>
  <c r="J2097" i="2" s="1"/>
  <c r="I2098" i="2"/>
  <c r="I2099" i="2"/>
  <c r="J2099" i="2" s="1"/>
  <c r="I2100" i="2"/>
  <c r="L2100" i="2" s="1"/>
  <c r="I2101" i="2"/>
  <c r="I2102" i="2"/>
  <c r="I2103" i="2"/>
  <c r="I2104" i="2"/>
  <c r="K2104" i="2" s="1"/>
  <c r="I2105" i="2"/>
  <c r="I2106" i="2"/>
  <c r="I2107" i="2"/>
  <c r="I2108" i="2"/>
  <c r="I2109" i="2"/>
  <c r="I2110" i="2"/>
  <c r="I2111" i="2"/>
  <c r="I2112" i="2"/>
  <c r="I2113" i="2"/>
  <c r="J2113" i="2" s="1"/>
  <c r="I2114" i="2"/>
  <c r="I2115" i="2"/>
  <c r="J2115" i="2" s="1"/>
  <c r="I2116" i="2"/>
  <c r="J2116" i="2" s="1"/>
  <c r="I2117" i="2"/>
  <c r="I2118" i="2"/>
  <c r="I2119" i="2"/>
  <c r="I2120" i="2"/>
  <c r="K2120" i="2" s="1"/>
  <c r="I2121" i="2"/>
  <c r="I2122" i="2"/>
  <c r="I2123" i="2"/>
  <c r="I2124" i="2"/>
  <c r="I2125" i="2"/>
  <c r="L2125" i="2" s="1"/>
  <c r="I2126" i="2"/>
  <c r="I2127" i="2"/>
  <c r="J2127" i="2" s="1"/>
  <c r="I2128" i="2"/>
  <c r="I2129" i="2"/>
  <c r="I2130" i="2"/>
  <c r="I2131" i="2"/>
  <c r="J2131" i="2" s="1"/>
  <c r="I2132" i="2"/>
  <c r="I2133" i="2"/>
  <c r="K2133" i="2" s="1"/>
  <c r="I2134" i="2"/>
  <c r="K2134" i="2" s="1"/>
  <c r="I2135" i="2"/>
  <c r="I2136" i="2"/>
  <c r="I2137" i="2"/>
  <c r="I2138" i="2"/>
  <c r="I2139" i="2"/>
  <c r="I2140" i="2"/>
  <c r="J2140" i="2" s="1"/>
  <c r="I2141" i="2"/>
  <c r="I2142" i="2"/>
  <c r="I2143" i="2"/>
  <c r="L2143" i="2" s="1"/>
  <c r="I2144" i="2"/>
  <c r="I2145" i="2"/>
  <c r="J2145" i="2" s="1"/>
  <c r="I2146" i="2"/>
  <c r="I2147" i="2"/>
  <c r="I2148" i="2"/>
  <c r="I2149" i="2"/>
  <c r="I2150" i="2"/>
  <c r="I2151" i="2"/>
  <c r="J2151" i="2" s="1"/>
  <c r="I2152" i="2"/>
  <c r="I2153" i="2"/>
  <c r="I2154" i="2"/>
  <c r="I2155" i="2"/>
  <c r="I2156" i="2"/>
  <c r="J2156" i="2" s="1"/>
  <c r="I2157" i="2"/>
  <c r="K2157" i="2" s="1"/>
  <c r="I2158" i="2"/>
  <c r="I2159" i="2"/>
  <c r="J2159" i="2" s="1"/>
  <c r="I2160" i="2"/>
  <c r="I2161" i="2"/>
  <c r="J2161" i="2" s="1"/>
  <c r="I2162" i="2"/>
  <c r="I2163" i="2"/>
  <c r="K2163" i="2" s="1"/>
  <c r="I2164" i="2"/>
  <c r="K2164" i="2" s="1"/>
  <c r="I2165" i="2"/>
  <c r="K2165" i="2" s="1"/>
  <c r="I2166" i="2"/>
  <c r="I2167" i="2"/>
  <c r="I2168" i="2"/>
  <c r="J2168" i="2" s="1"/>
  <c r="I2169" i="2"/>
  <c r="J2169" i="2" s="1"/>
  <c r="I2170" i="2"/>
  <c r="I2171" i="2"/>
  <c r="I2172" i="2"/>
  <c r="L2172" i="2" s="1"/>
  <c r="I2173" i="2"/>
  <c r="I2174" i="2"/>
  <c r="I2175" i="2"/>
  <c r="I2176" i="2"/>
  <c r="I2177" i="2"/>
  <c r="K2177" i="2" s="1"/>
  <c r="I2178" i="2"/>
  <c r="J2178" i="2" s="1"/>
  <c r="I2179" i="2"/>
  <c r="J2179" i="2" s="1"/>
  <c r="I2180" i="2"/>
  <c r="I2181" i="2"/>
  <c r="J2181" i="2" s="1"/>
  <c r="I2182" i="2"/>
  <c r="I2183" i="2"/>
  <c r="I2184" i="2"/>
  <c r="J2184" i="2" s="1"/>
  <c r="I2185" i="2"/>
  <c r="J2185" i="2" s="1"/>
  <c r="I2186" i="2"/>
  <c r="I2187" i="2"/>
  <c r="J2187" i="2" s="1"/>
  <c r="I2188" i="2"/>
  <c r="J2188" i="2" s="1"/>
  <c r="I2189" i="2"/>
  <c r="I2190" i="2"/>
  <c r="K2190" i="2" s="1"/>
  <c r="I2191" i="2"/>
  <c r="K2191" i="2" s="1"/>
  <c r="I2192" i="2"/>
  <c r="J2192" i="2" s="1"/>
  <c r="I2193" i="2"/>
  <c r="I2194" i="2"/>
  <c r="I2195" i="2"/>
  <c r="K2195" i="2" s="1"/>
  <c r="I2196" i="2"/>
  <c r="I2197" i="2"/>
  <c r="I2198" i="2"/>
  <c r="I2199" i="2"/>
  <c r="I2200" i="2"/>
  <c r="I2201" i="2"/>
  <c r="I2202" i="2"/>
  <c r="I2203" i="2"/>
  <c r="I2204" i="2"/>
  <c r="K2204" i="2" s="1"/>
  <c r="I2205" i="2"/>
  <c r="I2206" i="2"/>
  <c r="I2207" i="2"/>
  <c r="I2208" i="2"/>
  <c r="K2208" i="2" s="1"/>
  <c r="I2209" i="2"/>
  <c r="I2210" i="2"/>
  <c r="L2210" i="2" s="1"/>
  <c r="I2211" i="2"/>
  <c r="I2212" i="2"/>
  <c r="I2213" i="2"/>
  <c r="I2214" i="2"/>
  <c r="J2214" i="2" s="1"/>
  <c r="I2215" i="2"/>
  <c r="I2216" i="2"/>
  <c r="I2217" i="2"/>
  <c r="I2218" i="2"/>
  <c r="I2219" i="2"/>
  <c r="I2220" i="2"/>
  <c r="I2221" i="2"/>
  <c r="J2221" i="2" s="1"/>
  <c r="I2222" i="2"/>
  <c r="I2223" i="2"/>
  <c r="J2223" i="2" s="1"/>
  <c r="I2224" i="2"/>
  <c r="I2225" i="2"/>
  <c r="K2225" i="2" s="1"/>
  <c r="I2226" i="2"/>
  <c r="L2226" i="2" s="1"/>
  <c r="I2227" i="2"/>
  <c r="I2228" i="2"/>
  <c r="I2229" i="2"/>
  <c r="I2230" i="2"/>
  <c r="K2230" i="2" s="1"/>
  <c r="I2231" i="2"/>
  <c r="I2232" i="2"/>
  <c r="I2233" i="2"/>
  <c r="K2233" i="2" s="1"/>
  <c r="I2234" i="2"/>
  <c r="I2235" i="2"/>
  <c r="I2236" i="2"/>
  <c r="L2236" i="2" s="1"/>
  <c r="I2237" i="2"/>
  <c r="K2237" i="2" s="1"/>
  <c r="I2238" i="2"/>
  <c r="I2239" i="2"/>
  <c r="J2239" i="2" s="1"/>
  <c r="I2240" i="2"/>
  <c r="K2240" i="2" s="1"/>
  <c r="I2241" i="2"/>
  <c r="J2241" i="2" s="1"/>
  <c r="I2242" i="2"/>
  <c r="I2243" i="2"/>
  <c r="K2243" i="2" s="1"/>
  <c r="I2244" i="2"/>
  <c r="K2244" i="2" s="1"/>
  <c r="I2245" i="2"/>
  <c r="K2245" i="2" s="1"/>
  <c r="I2246" i="2"/>
  <c r="I2247" i="2"/>
  <c r="J2247" i="2" s="1"/>
  <c r="I2248" i="2"/>
  <c r="J2248" i="2" s="1"/>
  <c r="I2249" i="2"/>
  <c r="I2250" i="2"/>
  <c r="I2251" i="2"/>
  <c r="I2252" i="2"/>
  <c r="K2252" i="2" s="1"/>
  <c r="I2253" i="2"/>
  <c r="I2254" i="2"/>
  <c r="I2255" i="2"/>
  <c r="I2256" i="2"/>
  <c r="I2257" i="2"/>
  <c r="J2257" i="2" s="1"/>
  <c r="I2258" i="2"/>
  <c r="I2259" i="2"/>
  <c r="J2259" i="2" s="1"/>
  <c r="I2260" i="2"/>
  <c r="I2261" i="2"/>
  <c r="L2261" i="2" s="1"/>
  <c r="I2262" i="2"/>
  <c r="I2263" i="2"/>
  <c r="I2264" i="2"/>
  <c r="J2264" i="2" s="1"/>
  <c r="I2265" i="2"/>
  <c r="J2265" i="2" s="1"/>
  <c r="I2266" i="2"/>
  <c r="I2267" i="2"/>
  <c r="K2267" i="2" s="1"/>
  <c r="I2268" i="2"/>
  <c r="I2269" i="2"/>
  <c r="J2269" i="2" s="1"/>
  <c r="I2270" i="2"/>
  <c r="I2271" i="2"/>
  <c r="J2271" i="2" s="1"/>
  <c r="I2272" i="2"/>
  <c r="I2273" i="2"/>
  <c r="J2273" i="2" s="1"/>
  <c r="I2274" i="2"/>
  <c r="I2275" i="2"/>
  <c r="I2276" i="2"/>
  <c r="I2277" i="2"/>
  <c r="I2278" i="2"/>
  <c r="I2279" i="2"/>
  <c r="I2280" i="2"/>
  <c r="I2281" i="2"/>
  <c r="K2281" i="2" s="1"/>
  <c r="I2282" i="2"/>
  <c r="I2283" i="2"/>
  <c r="I2284" i="2"/>
  <c r="I2285" i="2"/>
  <c r="I2286" i="2"/>
  <c r="J2286" i="2" s="1"/>
  <c r="I2287" i="2"/>
  <c r="I2288" i="2"/>
  <c r="K2288" i="2" s="1"/>
  <c r="I2289" i="2"/>
  <c r="I2290" i="2"/>
  <c r="I2291" i="2"/>
  <c r="I2292" i="2"/>
  <c r="I2293" i="2"/>
  <c r="J2293" i="2" s="1"/>
  <c r="I2294" i="2"/>
  <c r="I2295" i="2"/>
  <c r="I2296" i="2"/>
  <c r="I2297" i="2"/>
  <c r="L2297" i="2" s="1"/>
  <c r="I2298" i="2"/>
  <c r="I2299" i="2"/>
  <c r="I2300" i="2"/>
  <c r="J2300" i="2" s="1"/>
  <c r="I2301" i="2"/>
  <c r="K2301" i="2" s="1"/>
  <c r="I2302" i="2"/>
  <c r="I2303" i="2"/>
  <c r="I2304" i="2"/>
  <c r="K2304" i="2" s="1"/>
  <c r="I2305" i="2"/>
  <c r="I2306" i="2"/>
  <c r="I2307" i="2"/>
  <c r="I2308" i="2"/>
  <c r="I2309" i="2"/>
  <c r="J2309" i="2" s="1"/>
  <c r="I2310" i="2"/>
  <c r="J2310" i="2" s="1"/>
  <c r="I2311" i="2"/>
  <c r="I2312" i="2"/>
  <c r="K2312" i="2" s="1"/>
  <c r="I2313" i="2"/>
  <c r="I2314" i="2"/>
  <c r="I2315" i="2"/>
  <c r="K2315" i="2" s="1"/>
  <c r="I2316" i="2"/>
  <c r="I2317" i="2"/>
  <c r="I2318" i="2"/>
  <c r="I2319" i="2"/>
  <c r="J2319" i="2" s="1"/>
  <c r="I2320" i="2"/>
  <c r="J2320" i="2" s="1"/>
  <c r="I2321" i="2"/>
  <c r="J2321" i="2" s="1"/>
  <c r="I2322" i="2"/>
  <c r="I2323" i="2"/>
  <c r="I2324" i="2"/>
  <c r="K2324" i="2" s="1"/>
  <c r="I2325" i="2"/>
  <c r="I2326" i="2"/>
  <c r="K2326" i="2" s="1"/>
  <c r="I2327" i="2"/>
  <c r="I2328" i="2"/>
  <c r="I2329" i="2"/>
  <c r="I2330" i="2"/>
  <c r="J2330" i="2" s="1"/>
  <c r="I2331" i="2"/>
  <c r="K2331" i="2" s="1"/>
  <c r="I2332" i="2"/>
  <c r="I2333" i="2"/>
  <c r="I2334" i="2"/>
  <c r="I2335" i="2"/>
  <c r="I2336" i="2"/>
  <c r="K2336" i="2" s="1"/>
  <c r="I2337" i="2"/>
  <c r="I2338" i="2"/>
  <c r="I2339" i="2"/>
  <c r="K2339" i="2" s="1"/>
  <c r="I2340" i="2"/>
  <c r="J2340" i="2" s="1"/>
  <c r="I2341" i="2"/>
  <c r="I2342" i="2"/>
  <c r="I2343" i="2"/>
  <c r="I2344" i="2"/>
  <c r="I2345" i="2"/>
  <c r="K2345" i="2" s="1"/>
  <c r="I2346" i="2"/>
  <c r="I2347" i="2"/>
  <c r="I2348" i="2"/>
  <c r="K2348" i="2" s="1"/>
  <c r="I2349" i="2"/>
  <c r="I2350" i="2"/>
  <c r="I2351" i="2"/>
  <c r="J2351" i="2" s="1"/>
  <c r="I2352" i="2"/>
  <c r="I2353" i="2"/>
  <c r="J2353" i="2" s="1"/>
  <c r="I2354" i="2"/>
  <c r="I2355" i="2"/>
  <c r="I2356" i="2"/>
  <c r="L2356" i="2" s="1"/>
  <c r="I2357" i="2"/>
  <c r="I2358" i="2"/>
  <c r="K2358" i="2" s="1"/>
  <c r="I2359" i="2"/>
  <c r="I2360" i="2"/>
  <c r="I2361" i="2"/>
  <c r="K2361" i="2" s="1"/>
  <c r="I2362" i="2"/>
  <c r="I2363" i="2"/>
  <c r="K2363" i="2" s="1"/>
  <c r="I2364" i="2"/>
  <c r="I2365" i="2"/>
  <c r="K2365" i="2" s="1"/>
  <c r="I2366" i="2"/>
  <c r="J2366" i="2" s="1"/>
  <c r="I2367" i="2"/>
  <c r="I2368" i="2"/>
  <c r="I2369" i="2"/>
  <c r="I2370" i="2"/>
  <c r="I2371" i="2"/>
  <c r="J2371" i="2" s="1"/>
  <c r="I2372" i="2"/>
  <c r="I2373" i="2"/>
  <c r="I2374" i="2"/>
  <c r="I2375" i="2"/>
  <c r="I2376" i="2"/>
  <c r="I2377" i="2"/>
  <c r="J2377" i="2" s="1"/>
  <c r="I2378" i="2"/>
  <c r="K2378" i="2" s="1"/>
  <c r="I2379" i="2"/>
  <c r="J2379" i="2" s="1"/>
  <c r="I2380" i="2"/>
  <c r="I2381" i="2"/>
  <c r="J2381" i="2" s="1"/>
  <c r="I2382" i="2"/>
  <c r="L2382" i="2" s="1"/>
  <c r="I2383" i="2"/>
  <c r="L2383" i="2" s="1"/>
  <c r="I2384" i="2"/>
  <c r="I2385" i="2"/>
  <c r="J2385" i="2" s="1"/>
  <c r="I2386" i="2"/>
  <c r="I2387" i="2"/>
  <c r="I2388" i="2"/>
  <c r="I2389" i="2"/>
  <c r="K2389" i="2" s="1"/>
  <c r="I2390" i="2"/>
  <c r="I2391" i="2"/>
  <c r="J2391" i="2" s="1"/>
  <c r="I2392" i="2"/>
  <c r="I2393" i="2"/>
  <c r="I2394" i="2"/>
  <c r="I2395" i="2"/>
  <c r="I2396" i="2"/>
  <c r="I2397" i="2"/>
  <c r="I2398" i="2"/>
  <c r="I2399" i="2"/>
  <c r="I2400" i="2"/>
  <c r="I2401" i="2"/>
  <c r="I2402" i="2"/>
  <c r="J2402" i="2" s="1"/>
  <c r="I2403" i="2"/>
  <c r="K2403" i="2" s="1"/>
  <c r="I2404" i="2"/>
  <c r="J2404" i="2" s="1"/>
  <c r="I2405" i="2"/>
  <c r="J2405" i="2" s="1"/>
  <c r="I2406" i="2"/>
  <c r="J2406" i="2" s="1"/>
  <c r="I2407" i="2"/>
  <c r="I2408" i="2"/>
  <c r="I2409" i="2"/>
  <c r="K2409" i="2" s="1"/>
  <c r="I2410" i="2"/>
  <c r="I2411" i="2"/>
  <c r="K2411" i="2" s="1"/>
  <c r="I2412" i="2"/>
  <c r="I2413" i="2"/>
  <c r="I2414" i="2"/>
  <c r="I2415" i="2"/>
  <c r="J2415" i="2" s="1"/>
  <c r="I2416" i="2"/>
  <c r="I2417" i="2"/>
  <c r="L2417" i="2" s="1"/>
  <c r="I2418" i="2"/>
  <c r="I2419" i="2"/>
  <c r="I2420" i="2"/>
  <c r="K2420" i="2" s="1"/>
  <c r="I2421" i="2"/>
  <c r="I2422" i="2"/>
  <c r="I2423" i="2"/>
  <c r="K2423" i="2" s="1"/>
  <c r="I2424" i="2"/>
  <c r="J2424" i="2" s="1"/>
  <c r="I2425" i="2"/>
  <c r="J2425" i="2" s="1"/>
  <c r="I2426" i="2"/>
  <c r="I2427" i="2"/>
  <c r="I2428" i="2"/>
  <c r="I2429" i="2"/>
  <c r="J2429" i="2" s="1"/>
  <c r="I2430" i="2"/>
  <c r="I2431" i="2"/>
  <c r="I2432" i="2"/>
  <c r="I2433" i="2"/>
  <c r="I2434" i="2"/>
  <c r="I2435" i="2"/>
  <c r="K2435" i="2" s="1"/>
  <c r="I2436" i="2"/>
  <c r="I2437" i="2"/>
  <c r="I2438" i="2"/>
  <c r="I2439" i="2"/>
  <c r="I2440" i="2"/>
  <c r="I2441" i="2"/>
  <c r="I2442" i="2"/>
  <c r="K2442" i="2" s="1"/>
  <c r="I2443" i="2"/>
  <c r="L2443" i="2" s="1"/>
  <c r="I2444" i="2"/>
  <c r="I2445" i="2"/>
  <c r="I2446" i="2"/>
  <c r="I2447" i="2"/>
  <c r="I2448" i="2"/>
  <c r="I2449" i="2"/>
  <c r="J2449" i="2" s="1"/>
  <c r="I2450" i="2"/>
  <c r="I2451" i="2"/>
  <c r="I2452" i="2"/>
  <c r="K2452" i="2" s="1"/>
  <c r="I2453" i="2"/>
  <c r="I2454" i="2"/>
  <c r="I2455" i="2"/>
  <c r="K2455" i="2" s="1"/>
  <c r="I2456" i="2"/>
  <c r="L2456" i="2" s="1"/>
  <c r="I2457" i="2"/>
  <c r="J2457" i="2" s="1"/>
  <c r="I2458" i="2"/>
  <c r="I2459" i="2"/>
  <c r="I2460" i="2"/>
  <c r="I2461" i="2"/>
  <c r="I2462" i="2"/>
  <c r="I2463" i="2"/>
  <c r="J2463" i="2" s="1"/>
  <c r="I2464" i="2"/>
  <c r="J2464" i="2" s="1"/>
  <c r="I2465" i="2"/>
  <c r="K2465" i="2" s="1"/>
  <c r="I2466" i="2"/>
  <c r="I2467" i="2"/>
  <c r="I2468" i="2"/>
  <c r="I2469" i="2"/>
  <c r="L2469" i="2" s="1"/>
  <c r="I2470" i="2"/>
  <c r="K2470" i="2" s="1"/>
  <c r="I2471" i="2"/>
  <c r="J2471" i="2" s="1"/>
  <c r="I2472" i="2"/>
  <c r="J2472" i="2" s="1"/>
  <c r="I2473" i="2"/>
  <c r="I2474" i="2"/>
  <c r="I2475" i="2"/>
  <c r="J2475" i="2" s="1"/>
  <c r="I2476" i="2"/>
  <c r="J2476" i="2" s="1"/>
  <c r="I2477" i="2"/>
  <c r="I2478" i="2"/>
  <c r="K2478" i="2" s="1"/>
  <c r="I2479" i="2"/>
  <c r="L2479" i="2" s="1"/>
  <c r="I2480" i="2"/>
  <c r="I2481" i="2"/>
  <c r="I2482" i="2"/>
  <c r="I2483" i="2"/>
  <c r="J2483" i="2" s="1"/>
  <c r="I2484" i="2"/>
  <c r="I2485" i="2"/>
  <c r="I2486" i="2"/>
  <c r="I2487" i="2"/>
  <c r="I2488" i="2"/>
  <c r="I2489" i="2"/>
  <c r="I2490" i="2"/>
  <c r="I2491" i="2"/>
  <c r="K2491" i="2" s="1"/>
  <c r="I2492" i="2"/>
  <c r="I2493" i="2"/>
  <c r="J2493" i="2" s="1"/>
  <c r="I2494" i="2"/>
  <c r="I2495" i="2"/>
  <c r="I2496" i="2"/>
  <c r="J2496" i="2" s="1"/>
  <c r="I2497" i="2"/>
  <c r="J2497" i="2" s="1"/>
  <c r="I2498" i="2"/>
  <c r="I2499" i="2"/>
  <c r="I2500" i="2"/>
  <c r="L2500" i="2" s="1"/>
  <c r="I2501" i="2"/>
  <c r="I2502" i="2"/>
  <c r="L2502" i="2" s="1"/>
  <c r="I2503" i="2"/>
  <c r="I2504" i="2"/>
  <c r="I2505" i="2"/>
  <c r="I2506" i="2"/>
  <c r="K2506" i="2" s="1"/>
  <c r="I2507" i="2"/>
  <c r="K2507" i="2" s="1"/>
  <c r="I2508" i="2"/>
  <c r="J2508" i="2" s="1"/>
  <c r="I2509" i="2"/>
  <c r="I2510" i="2"/>
  <c r="I2511" i="2"/>
  <c r="L2511" i="2" s="1"/>
  <c r="I2512" i="2"/>
  <c r="J2512" i="2" s="1"/>
  <c r="I2513" i="2"/>
  <c r="I2514" i="2"/>
  <c r="J2514" i="2" s="1"/>
  <c r="I2515" i="2"/>
  <c r="I2516" i="2"/>
  <c r="I2517" i="2"/>
  <c r="I2518" i="2"/>
  <c r="I2519" i="2"/>
  <c r="K2519" i="2" s="1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J2533" i="2" s="1"/>
  <c r="I2534" i="2"/>
  <c r="I2535" i="2"/>
  <c r="L2535" i="2" s="1"/>
  <c r="I2536" i="2"/>
  <c r="J2536" i="2" s="1"/>
  <c r="I2537" i="2"/>
  <c r="J2537" i="2" s="1"/>
  <c r="I2538" i="2"/>
  <c r="I2539" i="2"/>
  <c r="L2539" i="2" s="1"/>
  <c r="I2540" i="2"/>
  <c r="K2540" i="2" s="1"/>
  <c r="I2541" i="2"/>
  <c r="J2541" i="2" s="1"/>
  <c r="I2542" i="2"/>
  <c r="I2543" i="2"/>
  <c r="J2543" i="2" s="1"/>
  <c r="I2544" i="2"/>
  <c r="I2545" i="2"/>
  <c r="I2546" i="2"/>
  <c r="J2546" i="2" s="1"/>
  <c r="I2547" i="2"/>
  <c r="J2547" i="2" s="1"/>
  <c r="I2548" i="2"/>
  <c r="I2549" i="2"/>
  <c r="I2550" i="2"/>
  <c r="I2551" i="2"/>
  <c r="I2552" i="2"/>
  <c r="I2553" i="2"/>
  <c r="J2553" i="2" s="1"/>
  <c r="I2554" i="2"/>
  <c r="I2555" i="2"/>
  <c r="I2556" i="2"/>
  <c r="I2557" i="2"/>
  <c r="I2558" i="2"/>
  <c r="I2559" i="2"/>
  <c r="J2559" i="2" s="1"/>
  <c r="I2560" i="2"/>
  <c r="I2561" i="2"/>
  <c r="K2561" i="2" s="1"/>
  <c r="I2562" i="2"/>
  <c r="J2562" i="2" s="1"/>
  <c r="I2563" i="2"/>
  <c r="L2563" i="2" s="1"/>
  <c r="I2564" i="2"/>
  <c r="I2565" i="2"/>
  <c r="I2566" i="2"/>
  <c r="I2567" i="2"/>
  <c r="K2567" i="2" s="1"/>
  <c r="I2568" i="2"/>
  <c r="K2568" i="2" s="1"/>
  <c r="I2569" i="2"/>
  <c r="K2569" i="2" s="1"/>
  <c r="I2570" i="2"/>
  <c r="I2571" i="2"/>
  <c r="I2572" i="2"/>
  <c r="K2572" i="2" s="1"/>
  <c r="I2573" i="2"/>
  <c r="L2573" i="2" s="1"/>
  <c r="I2574" i="2"/>
  <c r="I2575" i="2"/>
  <c r="I2576" i="2"/>
  <c r="K2576" i="2" s="1"/>
  <c r="I2577" i="2"/>
  <c r="J2577" i="2" s="1"/>
  <c r="I2578" i="2"/>
  <c r="K2578" i="2" s="1"/>
  <c r="I2579" i="2"/>
  <c r="K2579" i="2" s="1"/>
  <c r="I2580" i="2"/>
  <c r="J2580" i="2" s="1"/>
  <c r="I2581" i="2"/>
  <c r="J2581" i="2" s="1"/>
  <c r="I2582" i="2"/>
  <c r="I2583" i="2"/>
  <c r="I2584" i="2"/>
  <c r="I2585" i="2"/>
  <c r="I2586" i="2"/>
  <c r="I2587" i="2"/>
  <c r="I2588" i="2"/>
  <c r="K2588" i="2" s="1"/>
  <c r="I2589" i="2"/>
  <c r="I2590" i="2"/>
  <c r="I2591" i="2"/>
  <c r="I2592" i="2"/>
  <c r="I2593" i="2"/>
  <c r="I2594" i="2"/>
  <c r="I2595" i="2"/>
  <c r="K2595" i="2" s="1"/>
  <c r="I2596" i="2"/>
  <c r="I2597" i="2"/>
  <c r="I2598" i="2"/>
  <c r="I2599" i="2"/>
  <c r="J2599" i="2" s="1"/>
  <c r="I2600" i="2"/>
  <c r="I2601" i="2"/>
  <c r="K2601" i="2" s="1"/>
  <c r="I2602" i="2"/>
  <c r="I2603" i="2"/>
  <c r="I2604" i="2"/>
  <c r="J2604" i="2" s="1"/>
  <c r="I2605" i="2"/>
  <c r="I2606" i="2"/>
  <c r="I2607" i="2"/>
  <c r="I2608" i="2"/>
  <c r="I2609" i="2"/>
  <c r="I2610" i="2"/>
  <c r="J2610" i="2" s="1"/>
  <c r="I2611" i="2"/>
  <c r="I2612" i="2"/>
  <c r="I2613" i="2"/>
  <c r="I2614" i="2"/>
  <c r="I2615" i="2"/>
  <c r="K2615" i="2" s="1"/>
  <c r="I2616" i="2"/>
  <c r="K2616" i="2" s="1"/>
  <c r="I2617" i="2"/>
  <c r="I2618" i="2"/>
  <c r="K2618" i="2" s="1"/>
  <c r="I2619" i="2"/>
  <c r="J2619" i="2" s="1"/>
  <c r="I2620" i="2"/>
  <c r="J2620" i="2" s="1"/>
  <c r="I2621" i="2"/>
  <c r="I2622" i="2"/>
  <c r="I2623" i="2"/>
  <c r="I2624" i="2"/>
  <c r="I2625" i="2"/>
  <c r="I2626" i="2"/>
  <c r="I2627" i="2"/>
  <c r="K2627" i="2" s="1"/>
  <c r="I2628" i="2"/>
  <c r="I2629" i="2"/>
  <c r="I2630" i="2"/>
  <c r="I2631" i="2"/>
  <c r="I2632" i="2"/>
  <c r="I2633" i="2"/>
  <c r="J2633" i="2" s="1"/>
  <c r="I2634" i="2"/>
  <c r="I2635" i="2"/>
  <c r="I2636" i="2"/>
  <c r="J2636" i="2" s="1"/>
  <c r="I2637" i="2"/>
  <c r="I2638" i="2"/>
  <c r="K2638" i="2" s="1"/>
  <c r="I2639" i="2"/>
  <c r="I2640" i="2"/>
  <c r="I2641" i="2"/>
  <c r="I2642" i="2"/>
  <c r="I2643" i="2"/>
  <c r="K2643" i="2" s="1"/>
  <c r="I2644" i="2"/>
  <c r="I2645" i="2"/>
  <c r="I2646" i="2"/>
  <c r="J2646" i="2" s="1"/>
  <c r="I2647" i="2"/>
  <c r="J2647" i="2" s="1"/>
  <c r="I2648" i="2"/>
  <c r="K2648" i="2" s="1"/>
  <c r="I2649" i="2"/>
  <c r="I2650" i="2"/>
  <c r="I2651" i="2"/>
  <c r="I2652" i="2"/>
  <c r="J2652" i="2" s="1"/>
  <c r="I2653" i="2"/>
  <c r="I2654" i="2"/>
  <c r="I2655" i="2"/>
  <c r="I2656" i="2"/>
  <c r="K2656" i="2" s="1"/>
  <c r="I2657" i="2"/>
  <c r="J2657" i="2" s="1"/>
  <c r="I2658" i="2"/>
  <c r="I2659" i="2"/>
  <c r="I2660" i="2"/>
  <c r="I2661" i="2"/>
  <c r="I2662" i="2"/>
  <c r="I2663" i="2"/>
  <c r="J2663" i="2" s="1"/>
  <c r="I2664" i="2"/>
  <c r="I2665" i="2"/>
  <c r="K2665" i="2" s="1"/>
  <c r="I2666" i="2"/>
  <c r="I2667" i="2"/>
  <c r="J2667" i="2" s="1"/>
  <c r="I2668" i="2"/>
  <c r="J2668" i="2" s="1"/>
  <c r="I2669" i="2"/>
  <c r="I2670" i="2"/>
  <c r="I2671" i="2"/>
  <c r="K2671" i="2" s="1"/>
  <c r="I2672" i="2"/>
  <c r="I2673" i="2"/>
  <c r="I2674" i="2"/>
  <c r="I2675" i="2"/>
  <c r="I2676" i="2"/>
  <c r="J2676" i="2" s="1"/>
  <c r="I2677" i="2"/>
  <c r="I2678" i="2"/>
  <c r="I2679" i="2"/>
  <c r="I2680" i="2"/>
  <c r="I2681" i="2"/>
  <c r="I2682" i="2"/>
  <c r="I2683" i="2"/>
  <c r="I2684" i="2"/>
  <c r="J2684" i="2" s="1"/>
  <c r="I2685" i="2"/>
  <c r="I2686" i="2"/>
  <c r="I2687" i="2"/>
  <c r="I2688" i="2"/>
  <c r="L2688" i="2" s="1"/>
  <c r="I2689" i="2"/>
  <c r="I2690" i="2"/>
  <c r="K2690" i="2" s="1"/>
  <c r="I2691" i="2"/>
  <c r="J2691" i="2" s="1"/>
  <c r="I2692" i="2"/>
  <c r="K2692" i="2" s="1"/>
  <c r="I2693" i="2"/>
  <c r="I2694" i="2"/>
  <c r="I2695" i="2"/>
  <c r="I2696" i="2"/>
  <c r="K2696" i="2" s="1"/>
  <c r="I2697" i="2"/>
  <c r="I2698" i="2"/>
  <c r="I2699" i="2"/>
  <c r="I2700" i="2"/>
  <c r="I2701" i="2"/>
  <c r="K2701" i="2" s="1"/>
  <c r="I2702" i="2"/>
  <c r="K2702" i="2" s="1"/>
  <c r="I2703" i="2"/>
  <c r="J2703" i="2" s="1"/>
  <c r="I2704" i="2"/>
  <c r="I2705" i="2"/>
  <c r="I2706" i="2"/>
  <c r="J2706" i="2" s="1"/>
  <c r="I2707" i="2"/>
  <c r="J2707" i="2" s="1"/>
  <c r="I2708" i="2"/>
  <c r="I2709" i="2"/>
  <c r="J2709" i="2" s="1"/>
  <c r="I2710" i="2"/>
  <c r="I2711" i="2"/>
  <c r="I2712" i="2"/>
  <c r="K2712" i="2" s="1"/>
  <c r="I2713" i="2"/>
  <c r="K2713" i="2" s="1"/>
  <c r="I2714" i="2"/>
  <c r="I2715" i="2"/>
  <c r="K2715" i="2" s="1"/>
  <c r="I2716" i="2"/>
  <c r="J2716" i="2" s="1"/>
  <c r="I2717" i="2"/>
  <c r="I2718" i="2"/>
  <c r="L2718" i="2" s="1"/>
  <c r="I2719" i="2"/>
  <c r="K2719" i="2" s="1"/>
  <c r="I2720" i="2"/>
  <c r="L2720" i="2" s="1"/>
  <c r="I2721" i="2"/>
  <c r="I2722" i="2"/>
  <c r="I2723" i="2"/>
  <c r="I2724" i="2"/>
  <c r="I2725" i="2"/>
  <c r="I2726" i="2"/>
  <c r="J2726" i="2" s="1"/>
  <c r="I2727" i="2"/>
  <c r="I2728" i="2"/>
  <c r="I2729" i="2"/>
  <c r="I2730" i="2"/>
  <c r="L2730" i="2" s="1"/>
  <c r="I2731" i="2"/>
  <c r="I2732" i="2"/>
  <c r="I2733" i="2"/>
  <c r="I2734" i="2"/>
  <c r="I2735" i="2"/>
  <c r="I2736" i="2"/>
  <c r="I2737" i="2"/>
  <c r="I2738" i="2"/>
  <c r="I2739" i="2"/>
  <c r="I2740" i="2"/>
  <c r="J2740" i="2" s="1"/>
  <c r="I2741" i="2"/>
  <c r="K2741" i="2" s="1"/>
  <c r="I2742" i="2"/>
  <c r="K2742" i="2" s="1"/>
  <c r="I2743" i="2"/>
  <c r="I2744" i="2"/>
  <c r="I2745" i="2"/>
  <c r="K2745" i="2" s="1"/>
  <c r="I2746" i="2"/>
  <c r="I2747" i="2"/>
  <c r="J2747" i="2" s="1"/>
  <c r="I2748" i="2"/>
  <c r="I2749" i="2"/>
  <c r="L2749" i="2" s="1"/>
  <c r="I2750" i="2"/>
  <c r="I2751" i="2"/>
  <c r="I2752" i="2"/>
  <c r="J2752" i="2" s="1"/>
  <c r="I2753" i="2"/>
  <c r="I2754" i="2"/>
  <c r="L2754" i="2" s="1"/>
  <c r="I2755" i="2"/>
  <c r="L2755" i="2" s="1"/>
  <c r="I2756" i="2"/>
  <c r="I2757" i="2"/>
  <c r="I2758" i="2"/>
  <c r="K2758" i="2" s="1"/>
  <c r="I2759" i="2"/>
  <c r="I2760" i="2"/>
  <c r="J2760" i="2" s="1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J2772" i="2" s="1"/>
  <c r="I2773" i="2"/>
  <c r="I2774" i="2"/>
  <c r="I2775" i="2"/>
  <c r="I2776" i="2"/>
  <c r="J2776" i="2" s="1"/>
  <c r="I2777" i="2"/>
  <c r="I2778" i="2"/>
  <c r="I2779" i="2"/>
  <c r="K2779" i="2" s="1"/>
  <c r="I2780" i="2"/>
  <c r="I2781" i="2"/>
  <c r="J2781" i="2" s="1"/>
  <c r="I2782" i="2"/>
  <c r="I2783" i="2"/>
  <c r="I2784" i="2"/>
  <c r="I2785" i="2"/>
  <c r="I2786" i="2"/>
  <c r="I2787" i="2"/>
  <c r="I2788" i="2"/>
  <c r="L2788" i="2" s="1"/>
  <c r="I2789" i="2"/>
  <c r="I2790" i="2"/>
  <c r="J2790" i="2" s="1"/>
  <c r="I2791" i="2"/>
  <c r="I2792" i="2"/>
  <c r="J2792" i="2" s="1"/>
  <c r="I2793" i="2"/>
  <c r="J2793" i="2" s="1"/>
  <c r="I2794" i="2"/>
  <c r="I2795" i="2"/>
  <c r="J2795" i="2" s="1"/>
  <c r="I2796" i="2"/>
  <c r="I2797" i="2"/>
  <c r="L2797" i="2" s="1"/>
  <c r="I2798" i="2"/>
  <c r="K2798" i="2" s="1"/>
  <c r="I2799" i="2"/>
  <c r="K2799" i="2" s="1"/>
  <c r="I2800" i="2"/>
  <c r="I2801" i="2"/>
  <c r="I2802" i="2"/>
  <c r="I2803" i="2"/>
  <c r="I2804" i="2"/>
  <c r="I2805" i="2"/>
  <c r="I2806" i="2"/>
  <c r="K2806" i="2" s="1"/>
  <c r="I2807" i="2"/>
  <c r="I2808" i="2"/>
  <c r="J2808" i="2" s="1"/>
  <c r="I2809" i="2"/>
  <c r="I2810" i="2"/>
  <c r="I2811" i="2"/>
  <c r="I2812" i="2"/>
  <c r="I2813" i="2"/>
  <c r="I2814" i="2"/>
  <c r="I2815" i="2"/>
  <c r="L2815" i="2" s="1"/>
  <c r="I2816" i="2"/>
  <c r="J2816" i="2" s="1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K2831" i="2" s="1"/>
  <c r="I2832" i="2"/>
  <c r="I2833" i="2"/>
  <c r="J2833" i="2" s="1"/>
  <c r="I2834" i="2"/>
  <c r="I2835" i="2"/>
  <c r="I2836" i="2"/>
  <c r="I2837" i="2"/>
  <c r="I2838" i="2"/>
  <c r="I2839" i="2"/>
  <c r="I2840" i="2"/>
  <c r="I2841" i="2"/>
  <c r="I2842" i="2"/>
  <c r="I2843" i="2"/>
  <c r="I2844" i="2"/>
  <c r="L2844" i="2" s="1"/>
  <c r="I2845" i="2"/>
  <c r="I2846" i="2"/>
  <c r="I2847" i="2"/>
  <c r="J2847" i="2" s="1"/>
  <c r="I2848" i="2"/>
  <c r="I2849" i="2"/>
  <c r="J2849" i="2" s="1"/>
  <c r="I2850" i="2"/>
  <c r="I2851" i="2"/>
  <c r="I2852" i="2"/>
  <c r="I2853" i="2"/>
  <c r="I2854" i="2"/>
  <c r="I2855" i="2"/>
  <c r="I2856" i="2"/>
  <c r="I2857" i="2"/>
  <c r="I2858" i="2"/>
  <c r="I2859" i="2"/>
  <c r="I2860" i="2"/>
  <c r="L2860" i="2" s="1"/>
  <c r="I2861" i="2"/>
  <c r="L2861" i="2" s="1"/>
  <c r="I2862" i="2"/>
  <c r="L2862" i="2" s="1"/>
  <c r="I2863" i="2"/>
  <c r="I2864" i="2"/>
  <c r="J2864" i="2" s="1"/>
  <c r="I2865" i="2"/>
  <c r="I2866" i="2"/>
  <c r="I2867" i="2"/>
  <c r="I2868" i="2"/>
  <c r="K2868" i="2" s="1"/>
  <c r="I2869" i="2"/>
  <c r="K2869" i="2" s="1"/>
  <c r="I2870" i="2"/>
  <c r="I2871" i="2"/>
  <c r="J2871" i="2" s="1"/>
  <c r="I2872" i="2"/>
  <c r="J2872" i="2" s="1"/>
  <c r="I2873" i="2"/>
  <c r="I2874" i="2"/>
  <c r="I2875" i="2"/>
  <c r="J2875" i="2" s="1"/>
  <c r="I2876" i="2"/>
  <c r="I2877" i="2"/>
  <c r="I2878" i="2"/>
  <c r="I2879" i="2"/>
  <c r="L2879" i="2" s="1"/>
  <c r="I2880" i="2"/>
  <c r="I2881" i="2"/>
  <c r="J2881" i="2" s="1"/>
  <c r="I2882" i="2"/>
  <c r="I2883" i="2"/>
  <c r="I2884" i="2"/>
  <c r="I2885" i="2"/>
  <c r="K2885" i="2" s="1"/>
  <c r="I2886" i="2"/>
  <c r="I2887" i="2"/>
  <c r="I2888" i="2"/>
  <c r="I2889" i="2"/>
  <c r="I2890" i="2"/>
  <c r="I2891" i="2"/>
  <c r="I2892" i="2"/>
  <c r="I2893" i="2"/>
  <c r="I2894" i="2"/>
  <c r="I2895" i="2"/>
  <c r="I2896" i="2"/>
  <c r="K2896" i="2" s="1"/>
  <c r="I2897" i="2"/>
  <c r="I2898" i="2"/>
  <c r="I2899" i="2"/>
  <c r="I2900" i="2"/>
  <c r="I2901" i="2"/>
  <c r="I2902" i="2"/>
  <c r="K2902" i="2" s="1"/>
  <c r="I2903" i="2"/>
  <c r="J2903" i="2" s="1"/>
  <c r="I2904" i="2"/>
  <c r="I2905" i="2"/>
  <c r="J2905" i="2" s="1"/>
  <c r="I2906" i="2"/>
  <c r="I2907" i="2"/>
  <c r="J2907" i="2" s="1"/>
  <c r="I2908" i="2"/>
  <c r="I2909" i="2"/>
  <c r="I2910" i="2"/>
  <c r="K2910" i="2" s="1"/>
  <c r="I2911" i="2"/>
  <c r="L2911" i="2" s="1"/>
  <c r="I2912" i="2"/>
  <c r="I2913" i="2"/>
  <c r="L2913" i="2" s="1"/>
  <c r="I2914" i="2"/>
  <c r="I2915" i="2"/>
  <c r="K2915" i="2" s="1"/>
  <c r="I2916" i="2"/>
  <c r="I2917" i="2"/>
  <c r="I2918" i="2"/>
  <c r="I2919" i="2"/>
  <c r="I2920" i="2"/>
  <c r="J2920" i="2" s="1"/>
  <c r="I2921" i="2"/>
  <c r="I2922" i="2"/>
  <c r="I2923" i="2"/>
  <c r="I2924" i="2"/>
  <c r="I2925" i="2"/>
  <c r="K2925" i="2" s="1"/>
  <c r="I2926" i="2"/>
  <c r="K2926" i="2" s="1"/>
  <c r="I2927" i="2"/>
  <c r="I2928" i="2"/>
  <c r="I2929" i="2"/>
  <c r="K2929" i="2" s="1"/>
  <c r="I2930" i="2"/>
  <c r="I2931" i="2"/>
  <c r="I2932" i="2"/>
  <c r="I2933" i="2"/>
  <c r="L2933" i="2" s="1"/>
  <c r="I2934" i="2"/>
  <c r="I2935" i="2"/>
  <c r="I2936" i="2"/>
  <c r="I2937" i="2"/>
  <c r="I2938" i="2"/>
  <c r="I2939" i="2"/>
  <c r="J2939" i="2" s="1"/>
  <c r="I2940" i="2"/>
  <c r="I2941" i="2"/>
  <c r="I2942" i="2"/>
  <c r="I2943" i="2"/>
  <c r="I2944" i="2"/>
  <c r="I2945" i="2"/>
  <c r="J2945" i="2" s="1"/>
  <c r="I2946" i="2"/>
  <c r="I2947" i="2"/>
  <c r="I2948" i="2"/>
  <c r="K2948" i="2" s="1"/>
  <c r="I2949" i="2"/>
  <c r="K2949" i="2" s="1"/>
  <c r="I2950" i="2"/>
  <c r="I2951" i="2"/>
  <c r="K2951" i="2" s="1"/>
  <c r="I2952" i="2"/>
  <c r="L2952" i="2" s="1"/>
  <c r="I2953" i="2"/>
  <c r="I2954" i="2"/>
  <c r="I2955" i="2"/>
  <c r="K2955" i="2" s="1"/>
  <c r="I2956" i="2"/>
  <c r="I2957" i="2"/>
  <c r="I2958" i="2"/>
  <c r="I2959" i="2"/>
  <c r="I2960" i="2"/>
  <c r="I2961" i="2"/>
  <c r="I2962" i="2"/>
  <c r="I2963" i="2"/>
  <c r="I2964" i="2"/>
  <c r="I2965" i="2"/>
  <c r="J2965" i="2" s="1"/>
  <c r="I2966" i="2"/>
  <c r="I2967" i="2"/>
  <c r="I2968" i="2"/>
  <c r="J2968" i="2" s="1"/>
  <c r="I2969" i="2"/>
  <c r="I2970" i="2"/>
  <c r="I2971" i="2"/>
  <c r="L2971" i="2" s="1"/>
  <c r="I2972" i="2"/>
  <c r="I2973" i="2"/>
  <c r="I2974" i="2"/>
  <c r="I2975" i="2"/>
  <c r="I2976" i="2"/>
  <c r="I2977" i="2"/>
  <c r="I2978" i="2"/>
  <c r="K2978" i="2" s="1"/>
  <c r="I2979" i="2"/>
  <c r="I2980" i="2"/>
  <c r="I2981" i="2"/>
  <c r="K2981" i="2" s="1"/>
  <c r="I2982" i="2"/>
  <c r="K2982" i="2" s="1"/>
  <c r="I2983" i="2"/>
  <c r="I2984" i="2"/>
  <c r="I2985" i="2"/>
  <c r="I2986" i="2"/>
  <c r="I2987" i="2"/>
  <c r="I2988" i="2"/>
  <c r="I2989" i="2"/>
  <c r="L2989" i="2" s="1"/>
  <c r="I2990" i="2"/>
  <c r="I2991" i="2"/>
  <c r="J2991" i="2" s="1"/>
  <c r="I2992" i="2"/>
  <c r="K2992" i="2" s="1"/>
  <c r="I2993" i="2"/>
  <c r="K2993" i="2" s="1"/>
  <c r="I2994" i="2"/>
  <c r="I2995" i="2"/>
  <c r="I2996" i="2"/>
  <c r="I2997" i="2"/>
  <c r="I2998" i="2"/>
  <c r="I2999" i="2"/>
  <c r="I3000" i="2"/>
  <c r="I3001" i="2"/>
  <c r="K3001" i="2" s="1"/>
  <c r="I3002" i="2"/>
  <c r="J3002" i="2" s="1"/>
  <c r="I3003" i="2"/>
  <c r="J3003" i="2" s="1"/>
  <c r="I3004" i="2"/>
  <c r="J3004" i="2" s="1"/>
  <c r="I3005" i="2"/>
  <c r="I3006" i="2"/>
  <c r="L3006" i="2" s="1"/>
  <c r="I3007" i="2"/>
  <c r="I3008" i="2"/>
  <c r="J3008" i="2" s="1"/>
  <c r="I3009" i="2"/>
  <c r="K3009" i="2" s="1"/>
  <c r="I3010" i="2"/>
  <c r="I3011" i="2"/>
  <c r="J3011" i="2" s="1"/>
  <c r="I3012" i="2"/>
  <c r="I3013" i="2"/>
  <c r="I3014" i="2"/>
  <c r="I3015" i="2"/>
  <c r="I3016" i="2"/>
  <c r="I3017" i="2"/>
  <c r="I3018" i="2"/>
  <c r="I3019" i="2"/>
  <c r="I3020" i="2"/>
  <c r="J3020" i="2" s="1"/>
  <c r="I3021" i="2"/>
  <c r="J3021" i="2" s="1"/>
  <c r="I3022" i="2"/>
  <c r="I3023" i="2"/>
  <c r="I3024" i="2"/>
  <c r="I3025" i="2"/>
  <c r="J3025" i="2" s="1"/>
  <c r="I3026" i="2"/>
  <c r="I3027" i="2"/>
  <c r="I3028" i="2"/>
  <c r="J3028" i="2" s="1"/>
  <c r="I3029" i="2"/>
  <c r="I3030" i="2"/>
  <c r="J3030" i="2" s="1"/>
  <c r="I3031" i="2"/>
  <c r="I3032" i="2"/>
  <c r="K3032" i="2" s="1"/>
  <c r="I3033" i="2"/>
  <c r="K3033" i="2" s="1"/>
  <c r="I3034" i="2"/>
  <c r="K3034" i="2" s="1"/>
  <c r="I3035" i="2"/>
  <c r="I3036" i="2"/>
  <c r="I3037" i="2"/>
  <c r="I3038" i="2"/>
  <c r="I3039" i="2"/>
  <c r="I3040" i="2"/>
  <c r="I3041" i="2"/>
  <c r="I3042" i="2"/>
  <c r="I3043" i="2"/>
  <c r="I3044" i="2"/>
  <c r="J3044" i="2" s="1"/>
  <c r="I3045" i="2"/>
  <c r="I3046" i="2"/>
  <c r="I3047" i="2"/>
  <c r="I3048" i="2"/>
  <c r="I3049" i="2"/>
  <c r="I3050" i="2"/>
  <c r="I3051" i="2"/>
  <c r="I3052" i="2"/>
  <c r="I3053" i="2"/>
  <c r="K3053" i="2" s="1"/>
  <c r="I3054" i="2"/>
  <c r="I3055" i="2"/>
  <c r="I3056" i="2"/>
  <c r="I3057" i="2"/>
  <c r="I3058" i="2"/>
  <c r="I3059" i="2"/>
  <c r="I3060" i="2"/>
  <c r="I3061" i="2"/>
  <c r="J3061" i="2" s="1"/>
  <c r="I3062" i="2"/>
  <c r="I3063" i="2"/>
  <c r="I3064" i="2"/>
  <c r="K3064" i="2" s="1"/>
  <c r="I3065" i="2"/>
  <c r="J3065" i="2" s="1"/>
  <c r="I3066" i="2"/>
  <c r="I3067" i="2"/>
  <c r="K3067" i="2" s="1"/>
  <c r="I3068" i="2"/>
  <c r="I3069" i="2"/>
  <c r="I3070" i="2"/>
  <c r="I3071" i="2"/>
  <c r="I3072" i="2"/>
  <c r="I3073" i="2"/>
  <c r="I3074" i="2"/>
  <c r="I3075" i="2"/>
  <c r="J3075" i="2" s="1"/>
  <c r="I3076" i="2"/>
  <c r="K3076" i="2" s="1"/>
  <c r="I3077" i="2"/>
  <c r="L3077" i="2" s="1"/>
  <c r="I3078" i="2"/>
  <c r="J3078" i="2" s="1"/>
  <c r="I3079" i="2"/>
  <c r="J3079" i="2" s="1"/>
  <c r="I3080" i="2"/>
  <c r="J3080" i="2" s="1"/>
  <c r="I3081" i="2"/>
  <c r="I3082" i="2"/>
  <c r="I3083" i="2"/>
  <c r="I3084" i="2"/>
  <c r="I3085" i="2"/>
  <c r="I3086" i="2"/>
  <c r="I3087" i="2"/>
  <c r="I3088" i="2"/>
  <c r="K3088" i="2" s="1"/>
  <c r="I3089" i="2"/>
  <c r="K3089" i="2" s="1"/>
  <c r="I3090" i="2"/>
  <c r="I3091" i="2"/>
  <c r="I3092" i="2"/>
  <c r="J3092" i="2" s="1"/>
  <c r="I3093" i="2"/>
  <c r="J3093" i="2" s="1"/>
  <c r="I3094" i="2"/>
  <c r="I3095" i="2"/>
  <c r="I3096" i="2"/>
  <c r="I3097" i="2"/>
  <c r="I3098" i="2"/>
  <c r="I3099" i="2"/>
  <c r="I3100" i="2"/>
  <c r="I3101" i="2"/>
  <c r="K3101" i="2" s="1"/>
  <c r="I3102" i="2"/>
  <c r="I3103" i="2"/>
  <c r="I3104" i="2"/>
  <c r="I3105" i="2"/>
  <c r="I3106" i="2"/>
  <c r="I3107" i="2"/>
  <c r="J3107" i="2" s="1"/>
  <c r="I3108" i="2"/>
  <c r="K3108" i="2" s="1"/>
  <c r="I3109" i="2"/>
  <c r="K3109" i="2" s="1"/>
  <c r="I3110" i="2"/>
  <c r="I3111" i="2"/>
  <c r="J3111" i="2" s="1"/>
  <c r="I3112" i="2"/>
  <c r="I3113" i="2"/>
  <c r="I3114" i="2"/>
  <c r="I3115" i="2"/>
  <c r="I3116" i="2"/>
  <c r="J3116" i="2" s="1"/>
  <c r="I3117" i="2"/>
  <c r="I3118" i="2"/>
  <c r="I3119" i="2"/>
  <c r="I3120" i="2"/>
  <c r="I3121" i="2"/>
  <c r="I3122" i="2"/>
  <c r="J3122" i="2" s="1"/>
  <c r="I3123" i="2"/>
  <c r="I3124" i="2"/>
  <c r="I3125" i="2"/>
  <c r="I3126" i="2"/>
  <c r="I3127" i="2"/>
  <c r="J3127" i="2" s="1"/>
  <c r="I3128" i="2"/>
  <c r="K3128" i="2" s="1"/>
  <c r="I3129" i="2"/>
  <c r="I3130" i="2"/>
  <c r="I3131" i="2"/>
  <c r="K3131" i="2" s="1"/>
  <c r="I3132" i="2"/>
  <c r="I3133" i="2"/>
  <c r="J3133" i="2" s="1"/>
  <c r="I3134" i="2"/>
  <c r="I3135" i="2"/>
  <c r="J3135" i="2" s="1"/>
  <c r="I3136" i="2"/>
  <c r="I3137" i="2"/>
  <c r="J3137" i="2" s="1"/>
  <c r="I3138" i="2"/>
  <c r="I3139" i="2"/>
  <c r="I3140" i="2"/>
  <c r="I3141" i="2"/>
  <c r="I3142" i="2"/>
  <c r="K3142" i="2" s="1"/>
  <c r="I3143" i="2"/>
  <c r="I3144" i="2"/>
  <c r="I3145" i="2"/>
  <c r="K3145" i="2" s="1"/>
  <c r="I3146" i="2"/>
  <c r="K3146" i="2" s="1"/>
  <c r="I3147" i="2"/>
  <c r="J3147" i="2" s="1"/>
  <c r="I3148" i="2"/>
  <c r="I3149" i="2"/>
  <c r="I3150" i="2"/>
  <c r="J3150" i="2" s="1"/>
  <c r="I3151" i="2"/>
  <c r="I3152" i="2"/>
  <c r="I3153" i="2"/>
  <c r="J3153" i="2" s="1"/>
  <c r="I3154" i="2"/>
  <c r="I3155" i="2"/>
  <c r="I3156" i="2"/>
  <c r="I3157" i="2"/>
  <c r="I3158" i="2"/>
  <c r="I3159" i="2"/>
  <c r="J3159" i="2" s="1"/>
  <c r="I3160" i="2"/>
  <c r="I3161" i="2"/>
  <c r="J3161" i="2" s="1"/>
  <c r="I3162" i="2"/>
  <c r="J3162" i="2" s="1"/>
  <c r="I3163" i="2"/>
  <c r="K3163" i="2" s="1"/>
  <c r="I3164" i="2"/>
  <c r="I3165" i="2"/>
  <c r="I3166" i="2"/>
  <c r="I3167" i="2"/>
  <c r="I3168" i="2"/>
  <c r="I3169" i="2"/>
  <c r="L3169" i="2" s="1"/>
  <c r="I3170" i="2"/>
  <c r="I3171" i="2"/>
  <c r="K3171" i="2" s="1"/>
  <c r="I3172" i="2"/>
  <c r="K3172" i="2" s="1"/>
  <c r="I3173" i="2"/>
  <c r="I3174" i="2"/>
  <c r="L3174" i="2" s="1"/>
  <c r="I3175" i="2"/>
  <c r="I3176" i="2"/>
  <c r="I3177" i="2"/>
  <c r="I3178" i="2"/>
  <c r="I3179" i="2"/>
  <c r="I3180" i="2"/>
  <c r="I3181" i="2"/>
  <c r="L3181" i="2" s="1"/>
  <c r="I3182" i="2"/>
  <c r="I3183" i="2"/>
  <c r="K3183" i="2" s="1"/>
  <c r="I3184" i="2"/>
  <c r="I3185" i="2"/>
  <c r="K3185" i="2" s="1"/>
  <c r="I3186" i="2"/>
  <c r="J3186" i="2" s="1"/>
  <c r="I3187" i="2"/>
  <c r="J3187" i="2" s="1"/>
  <c r="I3188" i="2"/>
  <c r="K3188" i="2" s="1"/>
  <c r="I3189" i="2"/>
  <c r="J3189" i="2" s="1"/>
  <c r="I3190" i="2"/>
  <c r="I3191" i="2"/>
  <c r="I3192" i="2"/>
  <c r="J3192" i="2" s="1"/>
  <c r="I3193" i="2"/>
  <c r="K3193" i="2" s="1"/>
  <c r="I3194" i="2"/>
  <c r="I3195" i="2"/>
  <c r="I3196" i="2"/>
  <c r="K3196" i="2" s="1"/>
  <c r="I3197" i="2"/>
  <c r="K3197" i="2" s="1"/>
  <c r="I3198" i="2"/>
  <c r="J3198" i="2" s="1"/>
  <c r="I3199" i="2"/>
  <c r="I3200" i="2"/>
  <c r="J3200" i="2" s="1"/>
  <c r="I3201" i="2"/>
  <c r="I3202" i="2"/>
  <c r="I3203" i="2"/>
  <c r="L3203" i="2" s="1"/>
  <c r="I3204" i="2"/>
  <c r="L3204" i="2" s="1"/>
  <c r="I3205" i="2"/>
  <c r="I3206" i="2"/>
  <c r="I3207" i="2"/>
  <c r="J3207" i="2" s="1"/>
  <c r="I3208" i="2"/>
  <c r="J3208" i="2" s="1"/>
  <c r="I3209" i="2"/>
  <c r="I3210" i="2"/>
  <c r="I3211" i="2"/>
  <c r="I3212" i="2"/>
  <c r="I3213" i="2"/>
  <c r="I3214" i="2"/>
  <c r="I3215" i="2"/>
  <c r="K3215" i="2" s="1"/>
  <c r="I3216" i="2"/>
  <c r="I3217" i="2"/>
  <c r="J3217" i="2" s="1"/>
  <c r="I3218" i="2"/>
  <c r="J3218" i="2" s="1"/>
  <c r="I3219" i="2"/>
  <c r="I3220" i="2"/>
  <c r="I3221" i="2"/>
  <c r="I3222" i="2"/>
  <c r="L3222" i="2" s="1"/>
  <c r="I3223" i="2"/>
  <c r="I3224" i="2"/>
  <c r="I3225" i="2"/>
  <c r="I3226" i="2"/>
  <c r="I3227" i="2"/>
  <c r="I3228" i="2"/>
  <c r="K3228" i="2" s="1"/>
  <c r="I3229" i="2"/>
  <c r="I3230" i="2"/>
  <c r="I3231" i="2"/>
  <c r="J3231" i="2" s="1"/>
  <c r="I3232" i="2"/>
  <c r="I3233" i="2"/>
  <c r="I3234" i="2"/>
  <c r="J3234" i="2" s="1"/>
  <c r="I3235" i="2"/>
  <c r="L3235" i="2" s="1"/>
  <c r="I3236" i="2"/>
  <c r="I3237" i="2"/>
  <c r="I3238" i="2"/>
  <c r="I3239" i="2"/>
  <c r="I3240" i="2"/>
  <c r="I3241" i="2"/>
  <c r="J3241" i="2" s="1"/>
  <c r="I3242" i="2"/>
  <c r="I3243" i="2"/>
  <c r="I3244" i="2"/>
  <c r="J3244" i="2" s="1"/>
  <c r="I3245" i="2"/>
  <c r="L3245" i="2" s="1"/>
  <c r="I3246" i="2"/>
  <c r="I3247" i="2"/>
  <c r="I3248" i="2"/>
  <c r="I3249" i="2"/>
  <c r="I3250" i="2"/>
  <c r="I3251" i="2"/>
  <c r="I3252" i="2"/>
  <c r="I3253" i="2"/>
  <c r="I3254" i="2"/>
  <c r="I3255" i="2"/>
  <c r="J3255" i="2" s="1"/>
  <c r="I3256" i="2"/>
  <c r="I3257" i="2"/>
  <c r="I3258" i="2"/>
  <c r="I3259" i="2"/>
  <c r="I3260" i="2"/>
  <c r="I3261" i="2"/>
  <c r="J3261" i="2" s="1"/>
  <c r="I3262" i="2"/>
  <c r="I3263" i="2"/>
  <c r="J3263" i="2" s="1"/>
  <c r="I3264" i="2"/>
  <c r="I3265" i="2"/>
  <c r="I3266" i="2"/>
  <c r="I3267" i="2"/>
  <c r="K3267" i="2" s="1"/>
  <c r="I3268" i="2"/>
  <c r="I3269" i="2"/>
  <c r="I3270" i="2"/>
  <c r="J3270" i="2" s="1"/>
  <c r="I3271" i="2"/>
  <c r="I3272" i="2"/>
  <c r="I3273" i="2"/>
  <c r="K3273" i="2" s="1"/>
  <c r="I3274" i="2"/>
  <c r="K3274" i="2" s="1"/>
  <c r="I3275" i="2"/>
  <c r="I3276" i="2"/>
  <c r="J3276" i="2" s="1"/>
  <c r="I3277" i="2"/>
  <c r="I3278" i="2"/>
  <c r="I3279" i="2"/>
  <c r="I3280" i="2"/>
  <c r="L3280" i="2" s="1"/>
  <c r="I3281" i="2"/>
  <c r="I3282" i="2"/>
  <c r="I3283" i="2"/>
  <c r="I3284" i="2"/>
  <c r="I3285" i="2"/>
  <c r="I3286" i="2"/>
  <c r="I3287" i="2"/>
  <c r="K3287" i="2" s="1"/>
  <c r="I3288" i="2"/>
  <c r="I3289" i="2"/>
  <c r="J3289" i="2" s="1"/>
  <c r="I3290" i="2"/>
  <c r="I3291" i="2"/>
  <c r="J3291" i="2" s="1"/>
  <c r="I3292" i="2"/>
  <c r="K3292" i="2" s="1"/>
  <c r="I3293" i="2"/>
  <c r="K3293" i="2" s="1"/>
  <c r="I3294" i="2"/>
  <c r="I3295" i="2"/>
  <c r="I3296" i="2"/>
  <c r="I3297" i="2"/>
  <c r="I3298" i="2"/>
  <c r="I3299" i="2"/>
  <c r="I3300" i="2"/>
  <c r="I3301" i="2"/>
  <c r="K3301" i="2" s="1"/>
  <c r="I3302" i="2"/>
  <c r="I3303" i="2"/>
  <c r="J3303" i="2" s="1"/>
  <c r="I3304" i="2"/>
  <c r="J3304" i="2" s="1"/>
  <c r="I3305" i="2"/>
  <c r="I3306" i="2"/>
  <c r="L3306" i="2" s="1"/>
  <c r="I3307" i="2"/>
  <c r="I3308" i="2"/>
  <c r="L3308" i="2" s="1"/>
  <c r="I3309" i="2"/>
  <c r="L3309" i="2" s="1"/>
  <c r="I3310" i="2"/>
  <c r="I3311" i="2"/>
  <c r="I3312" i="2"/>
  <c r="I3313" i="2"/>
  <c r="I3314" i="2"/>
  <c r="I3315" i="2"/>
  <c r="J3315" i="2" s="1"/>
  <c r="I3316" i="2"/>
  <c r="J3316" i="2" s="1"/>
  <c r="I3317" i="2"/>
  <c r="I3318" i="2"/>
  <c r="K3318" i="2" s="1"/>
  <c r="I3319" i="2"/>
  <c r="I3320" i="2"/>
  <c r="I3321" i="2"/>
  <c r="I3322" i="2"/>
  <c r="K3322" i="2" s="1"/>
  <c r="I3323" i="2"/>
  <c r="K3323" i="2" s="1"/>
  <c r="I3324" i="2"/>
  <c r="I3325" i="2"/>
  <c r="I3326" i="2"/>
  <c r="I3327" i="2"/>
  <c r="K3327" i="2" s="1"/>
  <c r="I3328" i="2"/>
  <c r="I3329" i="2"/>
  <c r="I3330" i="2"/>
  <c r="J3330" i="2" s="1"/>
  <c r="I3331" i="2"/>
  <c r="I3332" i="2"/>
  <c r="I3333" i="2"/>
  <c r="K3333" i="2" s="1"/>
  <c r="I3334" i="2"/>
  <c r="K3334" i="2" s="1"/>
  <c r="I3335" i="2"/>
  <c r="I3336" i="2"/>
  <c r="L3336" i="2" s="1"/>
  <c r="I3337" i="2"/>
  <c r="I3338" i="2"/>
  <c r="J3338" i="2" s="1"/>
  <c r="I3339" i="2"/>
  <c r="I3340" i="2"/>
  <c r="I3341" i="2"/>
  <c r="I3342" i="2"/>
  <c r="J3342" i="2" s="1"/>
  <c r="I3343" i="2"/>
  <c r="I3344" i="2"/>
  <c r="I3345" i="2"/>
  <c r="L3345" i="2" s="1"/>
  <c r="I3346" i="2"/>
  <c r="K3346" i="2" s="1"/>
  <c r="I3347" i="2"/>
  <c r="J3347" i="2" s="1"/>
  <c r="I3348" i="2"/>
  <c r="I3349" i="2"/>
  <c r="I3350" i="2"/>
  <c r="I3351" i="2"/>
  <c r="I3352" i="2"/>
  <c r="K3352" i="2" s="1"/>
  <c r="I3353" i="2"/>
  <c r="J3353" i="2" s="1"/>
  <c r="I3354" i="2"/>
  <c r="I3355" i="2"/>
  <c r="J3355" i="2" s="1"/>
  <c r="I3356" i="2"/>
  <c r="J3356" i="2" s="1"/>
  <c r="I3357" i="2"/>
  <c r="J3357" i="2" s="1"/>
  <c r="I3358" i="2"/>
  <c r="K3358" i="2" s="1"/>
  <c r="I3359" i="2"/>
  <c r="I3360" i="2"/>
  <c r="L3360" i="2" s="1"/>
  <c r="I3361" i="2"/>
  <c r="I3362" i="2"/>
  <c r="K3362" i="2" s="1"/>
  <c r="I3363" i="2"/>
  <c r="I3364" i="2"/>
  <c r="I3365" i="2"/>
  <c r="I3366" i="2"/>
  <c r="I3367" i="2"/>
  <c r="L3367" i="2" s="1"/>
  <c r="I3368" i="2"/>
  <c r="K3368" i="2" s="1"/>
  <c r="I3369" i="2"/>
  <c r="L3369" i="2" s="1"/>
  <c r="I3370" i="2"/>
  <c r="I3371" i="2"/>
  <c r="I3372" i="2"/>
  <c r="L3372" i="2" s="1"/>
  <c r="I3373" i="2"/>
  <c r="K3373" i="2" s="1"/>
  <c r="I3374" i="2"/>
  <c r="I3375" i="2"/>
  <c r="I3376" i="2"/>
  <c r="K3376" i="2" s="1"/>
  <c r="I3377" i="2"/>
  <c r="L3377" i="2" s="1"/>
  <c r="I3378" i="2"/>
  <c r="J3378" i="2" s="1"/>
  <c r="I3379" i="2"/>
  <c r="J3379" i="2" s="1"/>
  <c r="I3380" i="2"/>
  <c r="I3381" i="2"/>
  <c r="I3382" i="2"/>
  <c r="I3383" i="2"/>
  <c r="L3383" i="2" s="1"/>
  <c r="I3384" i="2"/>
  <c r="I3385" i="2"/>
  <c r="J3385" i="2" s="1"/>
  <c r="I3386" i="2"/>
  <c r="J3386" i="2" s="1"/>
  <c r="I3387" i="2"/>
  <c r="I3388" i="2"/>
  <c r="I3389" i="2"/>
  <c r="I3390" i="2"/>
  <c r="I3391" i="2"/>
  <c r="J3391" i="2" s="1"/>
  <c r="I3392" i="2"/>
  <c r="J3392" i="2" s="1"/>
  <c r="I3393" i="2"/>
  <c r="I3394" i="2"/>
  <c r="I3395" i="2"/>
  <c r="I3396" i="2"/>
  <c r="I3397" i="2"/>
  <c r="I3398" i="2"/>
  <c r="I3399" i="2"/>
  <c r="J3399" i="2" s="1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J3412" i="2" s="1"/>
  <c r="I3413" i="2"/>
  <c r="I3414" i="2"/>
  <c r="K3414" i="2" s="1"/>
  <c r="I3415" i="2"/>
  <c r="L3415" i="2" s="1"/>
  <c r="I3416" i="2"/>
  <c r="I3417" i="2"/>
  <c r="I3418" i="2"/>
  <c r="I3419" i="2"/>
  <c r="I3420" i="2"/>
  <c r="K3420" i="2" s="1"/>
  <c r="I3421" i="2"/>
  <c r="J3421" i="2" s="1"/>
  <c r="I3422" i="2"/>
  <c r="I3423" i="2"/>
  <c r="I3424" i="2"/>
  <c r="I3425" i="2"/>
  <c r="I3426" i="2"/>
  <c r="I3427" i="2"/>
  <c r="J3427" i="2" s="1"/>
  <c r="I3428" i="2"/>
  <c r="J3428" i="2" s="1"/>
  <c r="I3429" i="2"/>
  <c r="I3430" i="2"/>
  <c r="I3431" i="2"/>
  <c r="I3432" i="2"/>
  <c r="I3433" i="2"/>
  <c r="J3433" i="2" s="1"/>
  <c r="I3434" i="2"/>
  <c r="I3435" i="2"/>
  <c r="I3436" i="2"/>
  <c r="I3437" i="2"/>
  <c r="K3437" i="2" s="1"/>
  <c r="I3438" i="2"/>
  <c r="I3439" i="2"/>
  <c r="I3440" i="2"/>
  <c r="I3441" i="2"/>
  <c r="I3442" i="2"/>
  <c r="I3443" i="2"/>
  <c r="K3443" i="2" s="1"/>
  <c r="I3444" i="2"/>
  <c r="I3445" i="2"/>
  <c r="J3445" i="2" s="1"/>
  <c r="I3446" i="2"/>
  <c r="I3447" i="2"/>
  <c r="I3448" i="2"/>
  <c r="J3448" i="2" s="1"/>
  <c r="I3449" i="2"/>
  <c r="I3450" i="2"/>
  <c r="I3451" i="2"/>
  <c r="I3452" i="2"/>
  <c r="I3453" i="2"/>
  <c r="K3453" i="2" s="1"/>
  <c r="I3454" i="2"/>
  <c r="I3455" i="2"/>
  <c r="K3455" i="2" s="1"/>
  <c r="I3456" i="2"/>
  <c r="I3457" i="2"/>
  <c r="I3458" i="2"/>
  <c r="K3458" i="2" s="1"/>
  <c r="I3459" i="2"/>
  <c r="K3459" i="2" s="1"/>
  <c r="I3460" i="2"/>
  <c r="J3460" i="2" s="1"/>
  <c r="I3461" i="2"/>
  <c r="I3462" i="2"/>
  <c r="L3462" i="2" s="1"/>
  <c r="I3463" i="2"/>
  <c r="J3463" i="2" s="1"/>
  <c r="I3464" i="2"/>
  <c r="I3465" i="2"/>
  <c r="I3466" i="2"/>
  <c r="I3467" i="2"/>
  <c r="I3468" i="2"/>
  <c r="I3469" i="2"/>
  <c r="I3470" i="2"/>
  <c r="I3471" i="2"/>
  <c r="I3472" i="2"/>
  <c r="J3472" i="2" s="1"/>
  <c r="I3473" i="2"/>
  <c r="K3473" i="2" s="1"/>
  <c r="I3474" i="2"/>
  <c r="J3474" i="2" s="1"/>
  <c r="I3475" i="2"/>
  <c r="I3476" i="2"/>
  <c r="I3477" i="2"/>
  <c r="I3478" i="2"/>
  <c r="I3479" i="2"/>
  <c r="I3480" i="2"/>
  <c r="J3480" i="2" s="1"/>
  <c r="I3481" i="2"/>
  <c r="I3482" i="2"/>
  <c r="I3483" i="2"/>
  <c r="K3483" i="2" s="1"/>
  <c r="I3484" i="2"/>
  <c r="J3484" i="2" s="1"/>
  <c r="I3485" i="2"/>
  <c r="J3485" i="2" s="1"/>
  <c r="I3486" i="2"/>
  <c r="K3486" i="2" s="1"/>
  <c r="I3487" i="2"/>
  <c r="I3488" i="2"/>
  <c r="I3489" i="2"/>
  <c r="I3490" i="2"/>
  <c r="I3491" i="2"/>
  <c r="I3492" i="2"/>
  <c r="I3493" i="2"/>
  <c r="L3493" i="2" s="1"/>
  <c r="I3494" i="2"/>
  <c r="I3495" i="2"/>
  <c r="K3495" i="2" s="1"/>
  <c r="I3496" i="2"/>
  <c r="K3496" i="2" s="1"/>
  <c r="I3497" i="2"/>
  <c r="K3497" i="2" s="1"/>
  <c r="I3498" i="2"/>
  <c r="I3499" i="2"/>
  <c r="K3499" i="2" s="1"/>
  <c r="I3500" i="2"/>
  <c r="J3500" i="2" s="1"/>
  <c r="I3501" i="2"/>
  <c r="J3501" i="2" s="1"/>
  <c r="I3502" i="2"/>
  <c r="I3503" i="2"/>
  <c r="J3503" i="2" s="1"/>
  <c r="I3504" i="2"/>
  <c r="I3505" i="2"/>
  <c r="J3505" i="2" s="1"/>
  <c r="I3506" i="2"/>
  <c r="I3507" i="2"/>
  <c r="I3508" i="2"/>
  <c r="I3509" i="2"/>
  <c r="I3510" i="2"/>
  <c r="I3511" i="2"/>
  <c r="I3512" i="2"/>
  <c r="I3513" i="2"/>
  <c r="I3514" i="2"/>
  <c r="I3515" i="2"/>
  <c r="K3515" i="2" s="1"/>
  <c r="I3516" i="2"/>
  <c r="L3516" i="2" s="1"/>
  <c r="I3517" i="2"/>
  <c r="I3518" i="2"/>
  <c r="K3518" i="2" s="1"/>
  <c r="I3519" i="2"/>
  <c r="J3519" i="2" s="1"/>
  <c r="I3520" i="2"/>
  <c r="K3520" i="2" s="1"/>
  <c r="I3521" i="2"/>
  <c r="I3522" i="2"/>
  <c r="L3522" i="2" s="1"/>
  <c r="I3523" i="2"/>
  <c r="I3524" i="2"/>
  <c r="K3524" i="2" s="1"/>
  <c r="I3525" i="2"/>
  <c r="I3526" i="2"/>
  <c r="I3527" i="2"/>
  <c r="J3527" i="2" s="1"/>
  <c r="I3528" i="2"/>
  <c r="J3528" i="2" s="1"/>
  <c r="I3529" i="2"/>
  <c r="I3530" i="2"/>
  <c r="I3531" i="2"/>
  <c r="I3532" i="2"/>
  <c r="I3533" i="2"/>
  <c r="J3533" i="2" s="1"/>
  <c r="I3534" i="2"/>
  <c r="L3534" i="2" s="1"/>
  <c r="I3535" i="2"/>
  <c r="I3536" i="2"/>
  <c r="I3537" i="2"/>
  <c r="I3538" i="2"/>
  <c r="I3539" i="2"/>
  <c r="K3539" i="2" s="1"/>
  <c r="I3540" i="2"/>
  <c r="I3541" i="2"/>
  <c r="J3541" i="2" s="1"/>
  <c r="I3542" i="2"/>
  <c r="I3543" i="2"/>
  <c r="I3544" i="2"/>
  <c r="I3545" i="2"/>
  <c r="J3545" i="2" s="1"/>
  <c r="I3546" i="2"/>
  <c r="I3547" i="2"/>
  <c r="K3547" i="2" s="1"/>
  <c r="I3548" i="2"/>
  <c r="I3549" i="2"/>
  <c r="I3550" i="2"/>
  <c r="I3551" i="2"/>
  <c r="I3552" i="2"/>
  <c r="I3553" i="2"/>
  <c r="I3554" i="2"/>
  <c r="J3554" i="2" s="1"/>
  <c r="I3555" i="2"/>
  <c r="J3555" i="2" s="1"/>
  <c r="I3556" i="2"/>
  <c r="I3557" i="2"/>
  <c r="I3558" i="2"/>
  <c r="J3558" i="2" s="1"/>
  <c r="I3559" i="2"/>
  <c r="I3560" i="2"/>
  <c r="I3561" i="2"/>
  <c r="L3561" i="2" s="1"/>
  <c r="I3562" i="2"/>
  <c r="I3563" i="2"/>
  <c r="J3563" i="2" s="1"/>
  <c r="I3564" i="2"/>
  <c r="I3565" i="2"/>
  <c r="I3566" i="2"/>
  <c r="I3567" i="2"/>
  <c r="I3568" i="2"/>
  <c r="K3568" i="2" s="1"/>
  <c r="I3569" i="2"/>
  <c r="K3569" i="2" s="1"/>
  <c r="I3570" i="2"/>
  <c r="I3571" i="2"/>
  <c r="I3572" i="2"/>
  <c r="K3572" i="2" s="1"/>
  <c r="I3573" i="2"/>
  <c r="I3574" i="2"/>
  <c r="I3575" i="2"/>
  <c r="I3576" i="2"/>
  <c r="I3577" i="2"/>
  <c r="K3577" i="2" s="1"/>
  <c r="I3578" i="2"/>
  <c r="I3579" i="2"/>
  <c r="I3580" i="2"/>
  <c r="K3580" i="2" s="1"/>
  <c r="I3581" i="2"/>
  <c r="I3582" i="2"/>
  <c r="J3582" i="2" s="1"/>
  <c r="I3583" i="2"/>
  <c r="I3584" i="2"/>
  <c r="I3585" i="2"/>
  <c r="I3586" i="2"/>
  <c r="I3587" i="2"/>
  <c r="K3587" i="2" s="1"/>
  <c r="I3588" i="2"/>
  <c r="L3588" i="2" s="1"/>
  <c r="I3589" i="2"/>
  <c r="J3589" i="2" s="1"/>
  <c r="I3590" i="2"/>
  <c r="J3590" i="2" s="1"/>
  <c r="I3591" i="2"/>
  <c r="I3592" i="2"/>
  <c r="K3592" i="2" s="1"/>
  <c r="I3593" i="2"/>
  <c r="I3594" i="2"/>
  <c r="I3595" i="2"/>
  <c r="K3595" i="2" s="1"/>
  <c r="I3596" i="2"/>
  <c r="K3596" i="2" s="1"/>
  <c r="I3597" i="2"/>
  <c r="K3597" i="2" s="1"/>
  <c r="I3598" i="2"/>
  <c r="I3599" i="2"/>
  <c r="K3599" i="2" s="1"/>
  <c r="I3600" i="2"/>
  <c r="I3601" i="2"/>
  <c r="K3601" i="2" s="1"/>
  <c r="I3602" i="2"/>
  <c r="I3603" i="2"/>
  <c r="J3603" i="2" s="1"/>
  <c r="I3604" i="2"/>
  <c r="K3604" i="2" s="1"/>
  <c r="I3605" i="2"/>
  <c r="I3606" i="2"/>
  <c r="I3607" i="2"/>
  <c r="I3608" i="2"/>
  <c r="I3609" i="2"/>
  <c r="I3610" i="2"/>
  <c r="I3611" i="2"/>
  <c r="K3611" i="2" s="1"/>
  <c r="I3612" i="2"/>
  <c r="I3613" i="2"/>
  <c r="I3614" i="2"/>
  <c r="I3615" i="2"/>
  <c r="I3616" i="2"/>
  <c r="J3616" i="2" s="1"/>
  <c r="I3617" i="2"/>
  <c r="I3618" i="2"/>
  <c r="K3618" i="2" s="1"/>
  <c r="I3619" i="2"/>
  <c r="K3619" i="2" s="1"/>
  <c r="I3620" i="2"/>
  <c r="I3621" i="2"/>
  <c r="K3621" i="2" s="1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J3636" i="2" s="1"/>
  <c r="I3637" i="2"/>
  <c r="I3638" i="2"/>
  <c r="I3639" i="2"/>
  <c r="I3640" i="2"/>
  <c r="K3640" i="2" s="1"/>
  <c r="I3641" i="2"/>
  <c r="K3641" i="2" s="1"/>
  <c r="I3642" i="2"/>
  <c r="I3643" i="2"/>
  <c r="I3644" i="2"/>
  <c r="J3644" i="2" s="1"/>
  <c r="I3645" i="2"/>
  <c r="J3645" i="2" s="1"/>
  <c r="I3646" i="2"/>
  <c r="K3646" i="2" s="1"/>
  <c r="I3647" i="2"/>
  <c r="L3647" i="2" s="1"/>
  <c r="I3648" i="2"/>
  <c r="I3649" i="2"/>
  <c r="I3650" i="2"/>
  <c r="I3651" i="2"/>
  <c r="I3652" i="2"/>
  <c r="J3652" i="2" s="1"/>
  <c r="I3653" i="2"/>
  <c r="I3654" i="2"/>
  <c r="I3655" i="2"/>
  <c r="J3655" i="2" s="1"/>
  <c r="I3656" i="2"/>
  <c r="L3656" i="2" s="1"/>
  <c r="I3657" i="2"/>
  <c r="I3658" i="2"/>
  <c r="K3658" i="2" s="1"/>
  <c r="I3659" i="2"/>
  <c r="I3660" i="2"/>
  <c r="K3660" i="2" s="1"/>
  <c r="I3661" i="2"/>
  <c r="J3661" i="2" s="1"/>
  <c r="I3662" i="2"/>
  <c r="I3663" i="2"/>
  <c r="I3664" i="2"/>
  <c r="I3665" i="2"/>
  <c r="I3666" i="2"/>
  <c r="I3667" i="2"/>
  <c r="J3667" i="2" s="1"/>
  <c r="I3668" i="2"/>
  <c r="J3668" i="2" s="1"/>
  <c r="I3669" i="2"/>
  <c r="J3669" i="2" s="1"/>
  <c r="I3670" i="2"/>
  <c r="I3671" i="2"/>
  <c r="J3671" i="2" s="1"/>
  <c r="I3672" i="2"/>
  <c r="I3673" i="2"/>
  <c r="I3674" i="2"/>
  <c r="I3675" i="2"/>
  <c r="J3675" i="2" s="1"/>
  <c r="I3676" i="2"/>
  <c r="I3677" i="2"/>
  <c r="J3677" i="2" s="1"/>
  <c r="I3678" i="2"/>
  <c r="J3678" i="2" s="1"/>
  <c r="I3679" i="2"/>
  <c r="J3679" i="2" s="1"/>
  <c r="I3680" i="2"/>
  <c r="K3680" i="2" s="1"/>
  <c r="I3681" i="2"/>
  <c r="L3681" i="2" s="1"/>
  <c r="I3682" i="2"/>
  <c r="I3683" i="2"/>
  <c r="L3683" i="2" s="1"/>
  <c r="I3684" i="2"/>
  <c r="I3685" i="2"/>
  <c r="I3686" i="2"/>
  <c r="K3686" i="2" s="1"/>
  <c r="I3687" i="2"/>
  <c r="I3688" i="2"/>
  <c r="I3689" i="2"/>
  <c r="J3689" i="2" s="1"/>
  <c r="I3690" i="2"/>
  <c r="I3691" i="2"/>
  <c r="I3692" i="2"/>
  <c r="L3692" i="2" s="1"/>
  <c r="I3693" i="2"/>
  <c r="I3694" i="2"/>
  <c r="I3695" i="2"/>
  <c r="I3696" i="2"/>
  <c r="I3697" i="2"/>
  <c r="K3697" i="2" s="1"/>
  <c r="I3698" i="2"/>
  <c r="I3699" i="2"/>
  <c r="J3699" i="2" s="1"/>
  <c r="I3700" i="2"/>
  <c r="I3701" i="2"/>
  <c r="J3701" i="2" s="1"/>
  <c r="I3702" i="2"/>
  <c r="K3702" i="2" s="1"/>
  <c r="I3703" i="2"/>
  <c r="K3703" i="2" s="1"/>
  <c r="I3704" i="2"/>
  <c r="I3705" i="2"/>
  <c r="K3705" i="2" s="1"/>
  <c r="I3706" i="2"/>
  <c r="I3707" i="2"/>
  <c r="I3708" i="2"/>
  <c r="I3709" i="2"/>
  <c r="I3710" i="2"/>
  <c r="I3711" i="2"/>
  <c r="I3712" i="2"/>
  <c r="J3712" i="2" s="1"/>
  <c r="I3713" i="2"/>
  <c r="I3714" i="2"/>
  <c r="K3714" i="2" s="1"/>
  <c r="I3715" i="2"/>
  <c r="K3715" i="2" s="1"/>
  <c r="I3716" i="2"/>
  <c r="K3716" i="2" s="1"/>
  <c r="I3717" i="2"/>
  <c r="K3717" i="2" s="1"/>
  <c r="I3718" i="2"/>
  <c r="I3719" i="2"/>
  <c r="I3720" i="2"/>
  <c r="I3721" i="2"/>
  <c r="I3722" i="2"/>
  <c r="J3722" i="2" s="1"/>
  <c r="I3723" i="2"/>
  <c r="I3724" i="2"/>
  <c r="J3724" i="2" s="1"/>
  <c r="I3725" i="2"/>
  <c r="J3725" i="2" s="1"/>
  <c r="I3726" i="2"/>
  <c r="I3727" i="2"/>
  <c r="I3728" i="2"/>
  <c r="I3729" i="2"/>
  <c r="I3730" i="2"/>
  <c r="J3730" i="2" s="1"/>
  <c r="I3731" i="2"/>
  <c r="I3732" i="2"/>
  <c r="I3733" i="2"/>
  <c r="J3733" i="2" s="1"/>
  <c r="I3734" i="2"/>
  <c r="I3735" i="2"/>
  <c r="K3735" i="2" s="1"/>
  <c r="I3736" i="2"/>
  <c r="K3736" i="2" s="1"/>
  <c r="L3736" i="2" s="1"/>
  <c r="I3737" i="2"/>
  <c r="K3737" i="2" s="1"/>
  <c r="I3738" i="2"/>
  <c r="J3738" i="2" s="1"/>
  <c r="I3739" i="2"/>
  <c r="K3739" i="2" s="1"/>
  <c r="I3740" i="2"/>
  <c r="I3741" i="2"/>
  <c r="J3741" i="2" s="1"/>
  <c r="I3742" i="2"/>
  <c r="I3743" i="2"/>
  <c r="I3744" i="2"/>
  <c r="I3745" i="2"/>
  <c r="I3746" i="2"/>
  <c r="I3747" i="2"/>
  <c r="J3747" i="2" s="1"/>
  <c r="I3748" i="2"/>
  <c r="K3748" i="2" s="1"/>
  <c r="I3749" i="2"/>
  <c r="K3749" i="2" s="1"/>
  <c r="I3750" i="2"/>
  <c r="I3751" i="2"/>
  <c r="J3751" i="2" s="1"/>
  <c r="I3752" i="2"/>
  <c r="I3753" i="2"/>
  <c r="I3754" i="2"/>
  <c r="I3755" i="2"/>
  <c r="J3755" i="2" s="1"/>
  <c r="I3756" i="2"/>
  <c r="I3757" i="2"/>
  <c r="I3758" i="2"/>
  <c r="I3759" i="2"/>
  <c r="J3759" i="2" s="1"/>
  <c r="I3760" i="2"/>
  <c r="I3761" i="2"/>
  <c r="J3761" i="2" s="1"/>
  <c r="I3762" i="2"/>
  <c r="K3762" i="2" s="1"/>
  <c r="I3763" i="2"/>
  <c r="K3763" i="2" s="1"/>
  <c r="I3764" i="2"/>
  <c r="I3765" i="2"/>
  <c r="K3765" i="2" s="1"/>
  <c r="I3766" i="2"/>
  <c r="J3766" i="2" s="1"/>
  <c r="I3767" i="2"/>
  <c r="I3768" i="2"/>
  <c r="I3769" i="2"/>
  <c r="I3770" i="2"/>
  <c r="I3771" i="2"/>
  <c r="I3772" i="2"/>
  <c r="K3772" i="2" s="1"/>
  <c r="I3773" i="2"/>
  <c r="J3773" i="2" s="1"/>
  <c r="I3774" i="2"/>
  <c r="J3774" i="2" s="1"/>
  <c r="I3775" i="2"/>
  <c r="I3776" i="2"/>
  <c r="I3777" i="2"/>
  <c r="I3778" i="2"/>
  <c r="I3779" i="2"/>
  <c r="J3779" i="2" s="1"/>
  <c r="I3780" i="2"/>
  <c r="I3781" i="2"/>
  <c r="I3782" i="2"/>
  <c r="K3782" i="2" s="1"/>
  <c r="I3783" i="2"/>
  <c r="I3784" i="2"/>
  <c r="I3785" i="2"/>
  <c r="I3786" i="2"/>
  <c r="J3786" i="2" s="1"/>
  <c r="I3787" i="2"/>
  <c r="J3787" i="2" s="1"/>
  <c r="I3788" i="2"/>
  <c r="J3788" i="2" s="1"/>
  <c r="I3789" i="2"/>
  <c r="I3790" i="2"/>
  <c r="I3791" i="2"/>
  <c r="K3791" i="2" s="1"/>
  <c r="I3792" i="2"/>
  <c r="I3793" i="2"/>
  <c r="I3794" i="2"/>
  <c r="I3795" i="2"/>
  <c r="I3796" i="2"/>
  <c r="I3797" i="2"/>
  <c r="I3798" i="2"/>
  <c r="I3799" i="2"/>
  <c r="I3800" i="2"/>
  <c r="I3801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K3797" i="2" l="1"/>
  <c r="J3797" i="2"/>
  <c r="L3797" i="2" s="1"/>
  <c r="K3785" i="2"/>
  <c r="J3785" i="2"/>
  <c r="L3785" i="2" s="1"/>
  <c r="K3713" i="2"/>
  <c r="J3713" i="2"/>
  <c r="L3713" i="2" s="1"/>
  <c r="L3653" i="2"/>
  <c r="K3653" i="2"/>
  <c r="J3653" i="2"/>
  <c r="K3617" i="2"/>
  <c r="J3617" i="2"/>
  <c r="L3617" i="2" s="1"/>
  <c r="K3581" i="2"/>
  <c r="L3581" i="2" s="1"/>
  <c r="J3581" i="2"/>
  <c r="K3341" i="2"/>
  <c r="J3341" i="2"/>
  <c r="L3341" i="2" s="1"/>
  <c r="K3257" i="2"/>
  <c r="J3257" i="2"/>
  <c r="L3257" i="2" s="1"/>
  <c r="K3221" i="2"/>
  <c r="L3221" i="2"/>
  <c r="J3221" i="2"/>
  <c r="L3005" i="2"/>
  <c r="J3005" i="2"/>
  <c r="K2921" i="2"/>
  <c r="J2921" i="2"/>
  <c r="L2873" i="2"/>
  <c r="J2873" i="2"/>
  <c r="L2837" i="2"/>
  <c r="J2837" i="2"/>
  <c r="K2789" i="2"/>
  <c r="J2789" i="2"/>
  <c r="K2765" i="2"/>
  <c r="J2765" i="2"/>
  <c r="L2765" i="2" s="1"/>
  <c r="K2693" i="2"/>
  <c r="J2693" i="2"/>
  <c r="L2693" i="2" s="1"/>
  <c r="K2681" i="2"/>
  <c r="J2681" i="2"/>
  <c r="L2681" i="2" s="1"/>
  <c r="J2645" i="2"/>
  <c r="L2645" i="2"/>
  <c r="K2609" i="2"/>
  <c r="J2609" i="2"/>
  <c r="L2585" i="2"/>
  <c r="J2585" i="2"/>
  <c r="J2369" i="2"/>
  <c r="K2369" i="2"/>
  <c r="L2369" i="2" s="1"/>
  <c r="L2153" i="2"/>
  <c r="K2153" i="2"/>
  <c r="L2069" i="2"/>
  <c r="K2069" i="2"/>
  <c r="K2045" i="2"/>
  <c r="J2045" i="2"/>
  <c r="L2045" i="2"/>
  <c r="L2009" i="2"/>
  <c r="K2009" i="2"/>
  <c r="J2009" i="2"/>
  <c r="K1877" i="2"/>
  <c r="J1877" i="2"/>
  <c r="L1877" i="2" s="1"/>
  <c r="J1709" i="2"/>
  <c r="K1709" i="2"/>
  <c r="K1673" i="2"/>
  <c r="J1673" i="2"/>
  <c r="L1673" i="2" s="1"/>
  <c r="J1493" i="2"/>
  <c r="K1493" i="2"/>
  <c r="K1457" i="2"/>
  <c r="J1457" i="2"/>
  <c r="K1121" i="2"/>
  <c r="L1121" i="2"/>
  <c r="J1121" i="2"/>
  <c r="K1097" i="2"/>
  <c r="J1097" i="2"/>
  <c r="L1097" i="2" s="1"/>
  <c r="L977" i="2"/>
  <c r="K977" i="2"/>
  <c r="L881" i="2"/>
  <c r="K881" i="2"/>
  <c r="J881" i="2"/>
  <c r="J809" i="2"/>
  <c r="K809" i="2"/>
  <c r="L785" i="2"/>
  <c r="K785" i="2"/>
  <c r="J785" i="2"/>
  <c r="K533" i="2"/>
  <c r="J533" i="2"/>
  <c r="L533" i="2" s="1"/>
  <c r="L353" i="2"/>
  <c r="K353" i="2"/>
  <c r="L149" i="2"/>
  <c r="J149" i="2"/>
  <c r="K149" i="2"/>
  <c r="L41" i="2"/>
  <c r="J41" i="2"/>
  <c r="K3784" i="2"/>
  <c r="J3784" i="2"/>
  <c r="L3784" i="2" s="1"/>
  <c r="K3544" i="2"/>
  <c r="J3544" i="2"/>
  <c r="L3544" i="2"/>
  <c r="L3400" i="2"/>
  <c r="K3400" i="2"/>
  <c r="K3328" i="2"/>
  <c r="J3328" i="2"/>
  <c r="K3256" i="2"/>
  <c r="J3256" i="2"/>
  <c r="L3256" i="2"/>
  <c r="L3100" i="2"/>
  <c r="K3100" i="2"/>
  <c r="K2908" i="2"/>
  <c r="J2908" i="2"/>
  <c r="L2908" i="2" s="1"/>
  <c r="K2824" i="2"/>
  <c r="J2824" i="2"/>
  <c r="L2824" i="2" s="1"/>
  <c r="J2800" i="2"/>
  <c r="K2800" i="2"/>
  <c r="J2344" i="2"/>
  <c r="K2344" i="2"/>
  <c r="J2308" i="2"/>
  <c r="K2308" i="2"/>
  <c r="K2272" i="2"/>
  <c r="J2272" i="2"/>
  <c r="K2224" i="2"/>
  <c r="J2224" i="2"/>
  <c r="L2116" i="2"/>
  <c r="K1732" i="2"/>
  <c r="J1732" i="2"/>
  <c r="L1732" i="2" s="1"/>
  <c r="J1636" i="2"/>
  <c r="K1636" i="2"/>
  <c r="K1588" i="2"/>
  <c r="J1588" i="2"/>
  <c r="J1552" i="2"/>
  <c r="K1552" i="2"/>
  <c r="L1444" i="2"/>
  <c r="K1444" i="2"/>
  <c r="J1444" i="2"/>
  <c r="K1324" i="2"/>
  <c r="J1324" i="2"/>
  <c r="L1276" i="2"/>
  <c r="J1276" i="2"/>
  <c r="L1240" i="2"/>
  <c r="K1240" i="2"/>
  <c r="J1240" i="2"/>
  <c r="K1216" i="2"/>
  <c r="L1216" i="2"/>
  <c r="J1216" i="2"/>
  <c r="K1180" i="2"/>
  <c r="J1180" i="2"/>
  <c r="L1180" i="2" s="1"/>
  <c r="J1120" i="2"/>
  <c r="K1120" i="2"/>
  <c r="K748" i="2"/>
  <c r="L748" i="2"/>
  <c r="K532" i="2"/>
  <c r="J532" i="2"/>
  <c r="K316" i="2"/>
  <c r="J316" i="2"/>
  <c r="L316" i="2" s="1"/>
  <c r="L292" i="2"/>
  <c r="K292" i="2"/>
  <c r="K172" i="2"/>
  <c r="J172" i="2"/>
  <c r="L172" i="2" s="1"/>
  <c r="K136" i="2"/>
  <c r="J136" i="2"/>
  <c r="L136" i="2" s="1"/>
  <c r="J4" i="2"/>
  <c r="K4" i="2"/>
  <c r="J3101" i="2"/>
  <c r="K3602" i="2"/>
  <c r="J3602" i="2"/>
  <c r="J3110" i="2"/>
  <c r="K3110" i="2"/>
  <c r="K3026" i="2"/>
  <c r="J3026" i="2"/>
  <c r="K2942" i="2"/>
  <c r="J2942" i="2"/>
  <c r="J2534" i="2"/>
  <c r="L2534" i="2"/>
  <c r="K2186" i="2"/>
  <c r="J2186" i="2"/>
  <c r="K1670" i="2"/>
  <c r="J1670" i="2"/>
  <c r="L1670" i="2" s="1"/>
  <c r="J830" i="2"/>
  <c r="K830" i="2"/>
  <c r="K2" i="2"/>
  <c r="J2" i="2"/>
  <c r="L2" i="2" s="1"/>
  <c r="J3077" i="2"/>
  <c r="J748" i="2"/>
  <c r="J233" i="2"/>
  <c r="K340" i="2"/>
  <c r="L340" i="2" s="1"/>
  <c r="K3677" i="2"/>
  <c r="J3605" i="2"/>
  <c r="K3605" i="2"/>
  <c r="J3461" i="2"/>
  <c r="K3461" i="2"/>
  <c r="K3425" i="2"/>
  <c r="J3425" i="2"/>
  <c r="L3425" i="2" s="1"/>
  <c r="L3389" i="2"/>
  <c r="J3389" i="2"/>
  <c r="K3329" i="2"/>
  <c r="J3329" i="2"/>
  <c r="L3329" i="2" s="1"/>
  <c r="L3305" i="2"/>
  <c r="J3305" i="2"/>
  <c r="K3305" i="2"/>
  <c r="L3173" i="2"/>
  <c r="K3173" i="2"/>
  <c r="K3113" i="2"/>
  <c r="J3113" i="2"/>
  <c r="L3113" i="2" s="1"/>
  <c r="L3029" i="2"/>
  <c r="J3029" i="2"/>
  <c r="K3029" i="2"/>
  <c r="K2909" i="2"/>
  <c r="L2909" i="2"/>
  <c r="J2909" i="2"/>
  <c r="K2825" i="2"/>
  <c r="J2825" i="2"/>
  <c r="K2777" i="2"/>
  <c r="L2777" i="2"/>
  <c r="L2753" i="2"/>
  <c r="K2753" i="2"/>
  <c r="J2717" i="2"/>
  <c r="K2717" i="2"/>
  <c r="J2669" i="2"/>
  <c r="K2669" i="2"/>
  <c r="L2441" i="2"/>
  <c r="J2441" i="2"/>
  <c r="J2249" i="2"/>
  <c r="L2249" i="2"/>
  <c r="K2201" i="2"/>
  <c r="J2201" i="2"/>
  <c r="L2201" i="2"/>
  <c r="K2141" i="2"/>
  <c r="J2141" i="2"/>
  <c r="L2141" i="2" s="1"/>
  <c r="J2117" i="2"/>
  <c r="L2117" i="2"/>
  <c r="K2117" i="2"/>
  <c r="J1961" i="2"/>
  <c r="K1961" i="2"/>
  <c r="L1805" i="2"/>
  <c r="J1805" i="2"/>
  <c r="J1781" i="2"/>
  <c r="K1781" i="2"/>
  <c r="K1697" i="2"/>
  <c r="J1697" i="2"/>
  <c r="L1697" i="2" s="1"/>
  <c r="K1613" i="2"/>
  <c r="J1613" i="2"/>
  <c r="L1589" i="2"/>
  <c r="K1589" i="2"/>
  <c r="J1589" i="2"/>
  <c r="K1409" i="2"/>
  <c r="L1409" i="2" s="1"/>
  <c r="J1409" i="2"/>
  <c r="K1265" i="2"/>
  <c r="J1265" i="2"/>
  <c r="K1157" i="2"/>
  <c r="J1157" i="2"/>
  <c r="L1157" i="2" s="1"/>
  <c r="K1073" i="2"/>
  <c r="J1073" i="2"/>
  <c r="K593" i="2"/>
  <c r="J593" i="2"/>
  <c r="L593" i="2" s="1"/>
  <c r="K569" i="2"/>
  <c r="J569" i="2"/>
  <c r="L569" i="2" s="1"/>
  <c r="J509" i="2"/>
  <c r="L509" i="2" s="1"/>
  <c r="K509" i="2"/>
  <c r="J497" i="2"/>
  <c r="K497" i="2"/>
  <c r="L497" i="2" s="1"/>
  <c r="K377" i="2"/>
  <c r="J377" i="2"/>
  <c r="K305" i="2"/>
  <c r="J305" i="2"/>
  <c r="L209" i="2"/>
  <c r="J209" i="2"/>
  <c r="J2237" i="2"/>
  <c r="L2237" i="2" s="1"/>
  <c r="L3532" i="2"/>
  <c r="J3532" i="2"/>
  <c r="J3508" i="2"/>
  <c r="K3508" i="2"/>
  <c r="K3388" i="2"/>
  <c r="J3388" i="2"/>
  <c r="L3388" i="2" s="1"/>
  <c r="K3148" i="2"/>
  <c r="J3148" i="2"/>
  <c r="J3112" i="2"/>
  <c r="K3112" i="2"/>
  <c r="K3016" i="2"/>
  <c r="J3016" i="2"/>
  <c r="L3016" i="2" s="1"/>
  <c r="K2836" i="2"/>
  <c r="L2836" i="2"/>
  <c r="K2764" i="2"/>
  <c r="J2764" i="2"/>
  <c r="L2764" i="2" s="1"/>
  <c r="K2704" i="2"/>
  <c r="J2704" i="2"/>
  <c r="L2596" i="2"/>
  <c r="K2596" i="2"/>
  <c r="J2596" i="2"/>
  <c r="K2560" i="2"/>
  <c r="J2560" i="2"/>
  <c r="L2560" i="2"/>
  <c r="K2440" i="2"/>
  <c r="L2440" i="2"/>
  <c r="J2440" i="2"/>
  <c r="J2416" i="2"/>
  <c r="K2416" i="2"/>
  <c r="K2296" i="2"/>
  <c r="J2296" i="2"/>
  <c r="L2296" i="2" s="1"/>
  <c r="K2200" i="2"/>
  <c r="J2200" i="2"/>
  <c r="L2200" i="2" s="1"/>
  <c r="K1972" i="2"/>
  <c r="J1972" i="2"/>
  <c r="L1972" i="2"/>
  <c r="K1936" i="2"/>
  <c r="L1936" i="2"/>
  <c r="J1936" i="2"/>
  <c r="K1900" i="2"/>
  <c r="L1900" i="2"/>
  <c r="J1900" i="2"/>
  <c r="K1816" i="2"/>
  <c r="J1816" i="2"/>
  <c r="K1744" i="2"/>
  <c r="J1744" i="2"/>
  <c r="L1744" i="2" s="1"/>
  <c r="J1540" i="2"/>
  <c r="K1540" i="2"/>
  <c r="L1480" i="2"/>
  <c r="K1480" i="2"/>
  <c r="K1372" i="2"/>
  <c r="J1372" i="2"/>
  <c r="L1372" i="2" s="1"/>
  <c r="L916" i="2"/>
  <c r="K916" i="2"/>
  <c r="J916" i="2"/>
  <c r="L808" i="2"/>
  <c r="J808" i="2"/>
  <c r="K808" i="2"/>
  <c r="K736" i="2"/>
  <c r="L736" i="2"/>
  <c r="J736" i="2"/>
  <c r="K712" i="2"/>
  <c r="L712" i="2" s="1"/>
  <c r="J712" i="2"/>
  <c r="J688" i="2"/>
  <c r="K688" i="2"/>
  <c r="K664" i="2"/>
  <c r="J664" i="2"/>
  <c r="L508" i="2"/>
  <c r="J508" i="2"/>
  <c r="K508" i="2"/>
  <c r="L220" i="2"/>
  <c r="K220" i="2"/>
  <c r="K196" i="2"/>
  <c r="J196" i="2"/>
  <c r="L196" i="2" s="1"/>
  <c r="K3723" i="2"/>
  <c r="J3723" i="2"/>
  <c r="K3591" i="2"/>
  <c r="J3591" i="2"/>
  <c r="L3591" i="2" s="1"/>
  <c r="K2727" i="2"/>
  <c r="J2727" i="2"/>
  <c r="L2727" i="2" s="1"/>
  <c r="K87" i="2"/>
  <c r="J87" i="2"/>
  <c r="L87" i="2" s="1"/>
  <c r="K3" i="2"/>
  <c r="L3" i="2"/>
  <c r="J3641" i="2"/>
  <c r="L3641" i="2" s="1"/>
  <c r="J3100" i="2"/>
  <c r="K41" i="2"/>
  <c r="K3770" i="2"/>
  <c r="J3770" i="2"/>
  <c r="K3374" i="2"/>
  <c r="J3374" i="2"/>
  <c r="L3374" i="2" s="1"/>
  <c r="K3170" i="2"/>
  <c r="J3170" i="2"/>
  <c r="L3170" i="2" s="1"/>
  <c r="K2834" i="2"/>
  <c r="J2834" i="2"/>
  <c r="L2834" i="2" s="1"/>
  <c r="K2498" i="2"/>
  <c r="J2498" i="2"/>
  <c r="K2234" i="2"/>
  <c r="J2234" i="2"/>
  <c r="K2102" i="2"/>
  <c r="J2102" i="2"/>
  <c r="J1790" i="2"/>
  <c r="K1790" i="2"/>
  <c r="K1298" i="2"/>
  <c r="J1298" i="2"/>
  <c r="L1298" i="2" s="1"/>
  <c r="J650" i="2"/>
  <c r="L650" i="2" s="1"/>
  <c r="K650" i="2"/>
  <c r="J3064" i="2"/>
  <c r="L3064" i="2" s="1"/>
  <c r="J1852" i="2"/>
  <c r="K904" i="2"/>
  <c r="L904" i="2" s="1"/>
  <c r="K1829" i="2"/>
  <c r="K2249" i="2"/>
  <c r="K3689" i="2"/>
  <c r="J3665" i="2"/>
  <c r="K3665" i="2"/>
  <c r="K3629" i="2"/>
  <c r="J3629" i="2"/>
  <c r="L3629" i="2" s="1"/>
  <c r="L3449" i="2"/>
  <c r="J3449" i="2"/>
  <c r="K3413" i="2"/>
  <c r="L3413" i="2"/>
  <c r="J3413" i="2"/>
  <c r="L3317" i="2"/>
  <c r="K3317" i="2"/>
  <c r="J3317" i="2"/>
  <c r="K3269" i="2"/>
  <c r="J3269" i="2"/>
  <c r="L3269" i="2" s="1"/>
  <c r="K3149" i="2"/>
  <c r="J3149" i="2"/>
  <c r="L3149" i="2" s="1"/>
  <c r="J2705" i="2"/>
  <c r="K2705" i="2"/>
  <c r="K2621" i="2"/>
  <c r="J2621" i="2"/>
  <c r="L2621" i="2" s="1"/>
  <c r="L2597" i="2"/>
  <c r="K2597" i="2"/>
  <c r="J2597" i="2"/>
  <c r="L2549" i="2"/>
  <c r="J2549" i="2"/>
  <c r="J2525" i="2"/>
  <c r="K2525" i="2"/>
  <c r="K2477" i="2"/>
  <c r="J2477" i="2"/>
  <c r="K2357" i="2"/>
  <c r="J2357" i="2"/>
  <c r="L2357" i="2" s="1"/>
  <c r="J2213" i="2"/>
  <c r="K2213" i="2"/>
  <c r="K2129" i="2"/>
  <c r="J2129" i="2"/>
  <c r="K1997" i="2"/>
  <c r="J1997" i="2"/>
  <c r="K1973" i="2"/>
  <c r="J1973" i="2"/>
  <c r="K1901" i="2"/>
  <c r="J1901" i="2"/>
  <c r="L1901" i="2" s="1"/>
  <c r="L1733" i="2"/>
  <c r="J1733" i="2"/>
  <c r="J1577" i="2"/>
  <c r="K1577" i="2"/>
  <c r="L1541" i="2"/>
  <c r="K1541" i="2"/>
  <c r="J1541" i="2"/>
  <c r="L1517" i="2"/>
  <c r="J1517" i="2"/>
  <c r="L1385" i="2"/>
  <c r="J1385" i="2"/>
  <c r="K1385" i="2"/>
  <c r="K1349" i="2"/>
  <c r="J1349" i="2"/>
  <c r="L1349" i="2" s="1"/>
  <c r="J1133" i="2"/>
  <c r="K1133" i="2"/>
  <c r="K1037" i="2"/>
  <c r="J1037" i="2"/>
  <c r="L1037" i="2" s="1"/>
  <c r="L1001" i="2"/>
  <c r="J1001" i="2"/>
  <c r="K1001" i="2"/>
  <c r="L857" i="2"/>
  <c r="K857" i="2"/>
  <c r="J857" i="2"/>
  <c r="K845" i="2"/>
  <c r="J845" i="2"/>
  <c r="L845" i="2" s="1"/>
  <c r="K557" i="2"/>
  <c r="J557" i="2"/>
  <c r="L557" i="2" s="1"/>
  <c r="L365" i="2"/>
  <c r="K365" i="2"/>
  <c r="K293" i="2"/>
  <c r="J293" i="2"/>
  <c r="L293" i="2" s="1"/>
  <c r="K101" i="2"/>
  <c r="J101" i="2"/>
  <c r="L101" i="2" s="1"/>
  <c r="K17" i="2"/>
  <c r="J17" i="2"/>
  <c r="L17" i="2" s="1"/>
  <c r="J2069" i="2"/>
  <c r="K3688" i="2"/>
  <c r="J3688" i="2"/>
  <c r="L3688" i="2" s="1"/>
  <c r="K3628" i="2"/>
  <c r="L3628" i="2" s="1"/>
  <c r="J3628" i="2"/>
  <c r="K3556" i="2"/>
  <c r="L3556" i="2"/>
  <c r="J3556" i="2"/>
  <c r="K3424" i="2"/>
  <c r="J3424" i="2"/>
  <c r="L3424" i="2" s="1"/>
  <c r="K3268" i="2"/>
  <c r="J3268" i="2"/>
  <c r="L3268" i="2"/>
  <c r="K3232" i="2"/>
  <c r="J3232" i="2"/>
  <c r="L3232" i="2" s="1"/>
  <c r="J3160" i="2"/>
  <c r="L3160" i="2" s="1"/>
  <c r="K3160" i="2"/>
  <c r="J3124" i="2"/>
  <c r="K3124" i="2"/>
  <c r="K3052" i="2"/>
  <c r="J3052" i="2"/>
  <c r="L3052" i="2"/>
  <c r="K2980" i="2"/>
  <c r="L2980" i="2"/>
  <c r="J2944" i="2"/>
  <c r="K2944" i="2"/>
  <c r="L2848" i="2"/>
  <c r="K2848" i="2"/>
  <c r="J2812" i="2"/>
  <c r="K2812" i="2"/>
  <c r="L2812" i="2" s="1"/>
  <c r="L2680" i="2"/>
  <c r="J2680" i="2"/>
  <c r="K2680" i="2"/>
  <c r="J2644" i="2"/>
  <c r="K2644" i="2"/>
  <c r="K2608" i="2"/>
  <c r="J2608" i="2"/>
  <c r="L2608" i="2" s="1"/>
  <c r="K2584" i="2"/>
  <c r="J2584" i="2"/>
  <c r="L2584" i="2" s="1"/>
  <c r="K2524" i="2"/>
  <c r="J2524" i="2"/>
  <c r="K2428" i="2"/>
  <c r="J2428" i="2"/>
  <c r="K2368" i="2"/>
  <c r="J2368" i="2"/>
  <c r="L2368" i="2"/>
  <c r="K2128" i="2"/>
  <c r="J2128" i="2"/>
  <c r="L2128" i="2" s="1"/>
  <c r="J2068" i="2"/>
  <c r="K2068" i="2"/>
  <c r="L2068" i="2"/>
  <c r="K1996" i="2"/>
  <c r="L1996" i="2" s="1"/>
  <c r="J1996" i="2"/>
  <c r="L1960" i="2"/>
  <c r="J1960" i="2"/>
  <c r="K1960" i="2"/>
  <c r="K1912" i="2"/>
  <c r="J1912" i="2"/>
  <c r="K1756" i="2"/>
  <c r="J1756" i="2"/>
  <c r="K1660" i="2"/>
  <c r="J1660" i="2"/>
  <c r="L1660" i="2" s="1"/>
  <c r="L1420" i="2"/>
  <c r="K1420" i="2"/>
  <c r="J1420" i="2"/>
  <c r="J1384" i="2"/>
  <c r="K1384" i="2"/>
  <c r="K1360" i="2"/>
  <c r="L1360" i="2"/>
  <c r="J1360" i="2"/>
  <c r="J1228" i="2"/>
  <c r="K1228" i="2"/>
  <c r="K1204" i="2"/>
  <c r="L1204" i="2"/>
  <c r="J1084" i="2"/>
  <c r="K1084" i="2"/>
  <c r="K1024" i="2"/>
  <c r="L1024" i="2"/>
  <c r="J1000" i="2"/>
  <c r="K1000" i="2"/>
  <c r="L1000" i="2" s="1"/>
  <c r="L964" i="2"/>
  <c r="J964" i="2"/>
  <c r="K964" i="2"/>
  <c r="J652" i="2"/>
  <c r="K652" i="2"/>
  <c r="J580" i="2"/>
  <c r="L580" i="2"/>
  <c r="L544" i="2"/>
  <c r="K544" i="2"/>
  <c r="K460" i="2"/>
  <c r="J460" i="2"/>
  <c r="J424" i="2"/>
  <c r="K424" i="2"/>
  <c r="L388" i="2"/>
  <c r="K388" i="2"/>
  <c r="J388" i="2"/>
  <c r="L376" i="2"/>
  <c r="J376" i="2"/>
  <c r="J232" i="2"/>
  <c r="L232" i="2" s="1"/>
  <c r="K232" i="2"/>
  <c r="J112" i="2"/>
  <c r="K112" i="2"/>
  <c r="K16" i="2"/>
  <c r="J16" i="2"/>
  <c r="J268" i="2"/>
  <c r="K580" i="2"/>
  <c r="K2943" i="2"/>
  <c r="J2943" i="2"/>
  <c r="L2943" i="2" s="1"/>
  <c r="K2103" i="2"/>
  <c r="J2103" i="2"/>
  <c r="L2103" i="2" s="1"/>
  <c r="K387" i="2"/>
  <c r="J387" i="2"/>
  <c r="L387" i="2" s="1"/>
  <c r="J1252" i="2"/>
  <c r="L1252" i="2" s="1"/>
  <c r="K1433" i="2"/>
  <c r="K3758" i="2"/>
  <c r="J3758" i="2"/>
  <c r="L2342" i="2"/>
  <c r="J2342" i="2"/>
  <c r="K1562" i="2"/>
  <c r="J1562" i="2"/>
  <c r="L1562" i="2" s="1"/>
  <c r="J1022" i="2"/>
  <c r="K1022" i="2"/>
  <c r="J3580" i="2"/>
  <c r="L3580" i="2" s="1"/>
  <c r="J2848" i="2"/>
  <c r="J2465" i="2"/>
  <c r="L2465" i="2" s="1"/>
  <c r="J2153" i="2"/>
  <c r="J1840" i="2"/>
  <c r="L1840" i="2" s="1"/>
  <c r="K2261" i="2"/>
  <c r="L1405" i="2"/>
  <c r="J1405" i="2"/>
  <c r="J2088" i="2"/>
  <c r="K2088" i="2"/>
  <c r="K1884" i="2"/>
  <c r="J1884" i="2"/>
  <c r="L1884" i="2" s="1"/>
  <c r="J3373" i="2"/>
  <c r="K2711" i="2"/>
  <c r="J2711" i="2"/>
  <c r="K1163" i="2"/>
  <c r="J1163" i="2"/>
  <c r="K418" i="2"/>
  <c r="K1151" i="2"/>
  <c r="J1451" i="2"/>
  <c r="J287" i="2"/>
  <c r="K1535" i="2"/>
  <c r="L2027" i="2"/>
  <c r="L481" i="2"/>
  <c r="J2065" i="2"/>
  <c r="L2065" i="2" s="1"/>
  <c r="L1404" i="2"/>
  <c r="J1404" i="2"/>
  <c r="J1583" i="2"/>
  <c r="L1583" i="2"/>
  <c r="K1583" i="2"/>
  <c r="L1475" i="2"/>
  <c r="K1475" i="2"/>
  <c r="L1379" i="2"/>
  <c r="K1379" i="2"/>
  <c r="K1031" i="2"/>
  <c r="J1031" i="2"/>
  <c r="L1031" i="2"/>
  <c r="K803" i="2"/>
  <c r="L803" i="2" s="1"/>
  <c r="J803" i="2"/>
  <c r="J755" i="2"/>
  <c r="K755" i="2"/>
  <c r="L623" i="2"/>
  <c r="K623" i="2"/>
  <c r="K239" i="2"/>
  <c r="J239" i="2"/>
  <c r="L239" i="2"/>
  <c r="L191" i="2"/>
  <c r="K191" i="2"/>
  <c r="K71" i="2"/>
  <c r="J71" i="2"/>
  <c r="J1295" i="2"/>
  <c r="K3011" i="2"/>
  <c r="K287" i="2"/>
  <c r="L1332" i="2"/>
  <c r="J1332" i="2"/>
  <c r="L1727" i="2"/>
  <c r="J1727" i="2"/>
  <c r="K1523" i="2"/>
  <c r="J1523" i="2"/>
  <c r="L1523" i="2" s="1"/>
  <c r="L1487" i="2"/>
  <c r="J1487" i="2"/>
  <c r="J1331" i="2"/>
  <c r="L1331" i="2" s="1"/>
  <c r="K1331" i="2"/>
  <c r="J1199" i="2"/>
  <c r="K1199" i="2"/>
  <c r="J791" i="2"/>
  <c r="L791" i="2"/>
  <c r="K443" i="2"/>
  <c r="L443" i="2"/>
  <c r="L11" i="2"/>
  <c r="J11" i="2"/>
  <c r="K59" i="2"/>
  <c r="K1307" i="2"/>
  <c r="J3131" i="2"/>
  <c r="J1559" i="2"/>
  <c r="J1367" i="2"/>
  <c r="K658" i="2"/>
  <c r="K2994" i="2"/>
  <c r="J2994" i="2"/>
  <c r="J2874" i="2"/>
  <c r="L2874" i="2"/>
  <c r="L2850" i="2"/>
  <c r="K2850" i="2"/>
  <c r="L2394" i="2"/>
  <c r="K2394" i="2"/>
  <c r="K1266" i="2"/>
  <c r="L1266" i="2"/>
  <c r="L534" i="2"/>
  <c r="K534" i="2"/>
  <c r="J3215" i="2"/>
  <c r="J2989" i="2"/>
  <c r="J2567" i="2"/>
  <c r="J1776" i="2"/>
  <c r="J1619" i="2"/>
  <c r="J1019" i="2"/>
  <c r="L1019" i="2" s="1"/>
  <c r="J647" i="2"/>
  <c r="L647" i="2" s="1"/>
  <c r="K11" i="2"/>
  <c r="L1866" i="2"/>
  <c r="J1929" i="2"/>
  <c r="K1929" i="2"/>
  <c r="K2432" i="2"/>
  <c r="J2432" i="2"/>
  <c r="K2060" i="2"/>
  <c r="J2060" i="2"/>
  <c r="L2060" i="2" s="1"/>
  <c r="L1760" i="2"/>
  <c r="J1760" i="2"/>
  <c r="L704" i="2"/>
  <c r="K524" i="2"/>
  <c r="L524" i="2" s="1"/>
  <c r="K2492" i="2"/>
  <c r="J2492" i="2"/>
  <c r="K2228" i="2"/>
  <c r="J2228" i="2"/>
  <c r="K1856" i="2"/>
  <c r="J1856" i="2"/>
  <c r="K416" i="2"/>
  <c r="J416" i="2"/>
  <c r="K344" i="2"/>
  <c r="J344" i="2"/>
  <c r="L344" i="2" s="1"/>
  <c r="J248" i="2"/>
  <c r="K248" i="2"/>
  <c r="L248" i="2" s="1"/>
  <c r="L188" i="2"/>
  <c r="K188" i="2"/>
  <c r="J188" i="2"/>
  <c r="J692" i="2"/>
  <c r="J392" i="2"/>
  <c r="K848" i="2"/>
  <c r="K1904" i="2"/>
  <c r="L2420" i="2"/>
  <c r="L800" i="2"/>
  <c r="J2635" i="2"/>
  <c r="L2635" i="2" s="1"/>
  <c r="K2635" i="2"/>
  <c r="J2336" i="2"/>
  <c r="L2336" i="2" s="1"/>
  <c r="J2252" i="2"/>
  <c r="L2252" i="2" s="1"/>
  <c r="J2036" i="2"/>
  <c r="L2036" i="2" s="1"/>
  <c r="J1173" i="2"/>
  <c r="J1076" i="2"/>
  <c r="L1076" i="2" s="1"/>
  <c r="J104" i="2"/>
  <c r="K332" i="2"/>
  <c r="K1748" i="2"/>
  <c r="J2100" i="2"/>
  <c r="J578" i="2"/>
  <c r="J434" i="2"/>
  <c r="L434" i="2" s="1"/>
  <c r="K2342" i="2"/>
  <c r="K2726" i="2"/>
  <c r="L2726" i="2" s="1"/>
  <c r="K3122" i="2"/>
  <c r="L3122" i="2" s="1"/>
  <c r="L2702" i="2"/>
  <c r="L1371" i="2"/>
  <c r="K122" i="2"/>
  <c r="L122" i="2" s="1"/>
  <c r="K697" i="2"/>
  <c r="L697" i="2" s="1"/>
  <c r="K2989" i="2"/>
  <c r="L3373" i="2"/>
  <c r="J1995" i="2"/>
  <c r="L1995" i="2" s="1"/>
  <c r="J1599" i="2"/>
  <c r="L1599" i="2" s="1"/>
  <c r="J638" i="2"/>
  <c r="L638" i="2" s="1"/>
  <c r="K698" i="2"/>
  <c r="K1526" i="2"/>
  <c r="K1982" i="2"/>
  <c r="K2366" i="2"/>
  <c r="L2366" i="2" s="1"/>
  <c r="K2534" i="2"/>
  <c r="K3002" i="2"/>
  <c r="L710" i="2"/>
  <c r="K3771" i="2"/>
  <c r="J3771" i="2"/>
  <c r="L3771" i="2" s="1"/>
  <c r="K3759" i="2"/>
  <c r="L3759" i="2"/>
  <c r="K3627" i="2"/>
  <c r="J3627" i="2"/>
  <c r="L3627" i="2" s="1"/>
  <c r="J3579" i="2"/>
  <c r="K3579" i="2"/>
  <c r="K3543" i="2"/>
  <c r="J3543" i="2"/>
  <c r="K3447" i="2"/>
  <c r="J3447" i="2"/>
  <c r="J3411" i="2"/>
  <c r="L3411" i="2"/>
  <c r="K3411" i="2"/>
  <c r="K3279" i="2"/>
  <c r="J3279" i="2"/>
  <c r="K3027" i="2"/>
  <c r="L3027" i="2"/>
  <c r="K2883" i="2"/>
  <c r="J2883" i="2"/>
  <c r="K2835" i="2"/>
  <c r="J2835" i="2"/>
  <c r="K2787" i="2"/>
  <c r="L2787" i="2"/>
  <c r="J2787" i="2"/>
  <c r="K2739" i="2"/>
  <c r="J2739" i="2"/>
  <c r="K2655" i="2"/>
  <c r="L2655" i="2"/>
  <c r="K2583" i="2"/>
  <c r="J2583" i="2"/>
  <c r="L2583" i="2" s="1"/>
  <c r="K2535" i="2"/>
  <c r="J2535" i="2"/>
  <c r="K2427" i="2"/>
  <c r="J2427" i="2"/>
  <c r="K2211" i="2"/>
  <c r="J2211" i="2"/>
  <c r="K2067" i="2"/>
  <c r="L2067" i="2"/>
  <c r="K1947" i="2"/>
  <c r="J1947" i="2"/>
  <c r="L1947" i="2" s="1"/>
  <c r="K1755" i="2"/>
  <c r="J1755" i="2"/>
  <c r="L1755" i="2" s="1"/>
  <c r="K1431" i="2"/>
  <c r="L1431" i="2"/>
  <c r="K1383" i="2"/>
  <c r="L1383" i="2"/>
  <c r="K1359" i="2"/>
  <c r="J1359" i="2"/>
  <c r="L1359" i="2"/>
  <c r="K1155" i="2"/>
  <c r="J1155" i="2"/>
  <c r="K1071" i="2"/>
  <c r="K987" i="2"/>
  <c r="J987" i="2"/>
  <c r="L987" i="2" s="1"/>
  <c r="K939" i="2"/>
  <c r="L939" i="2"/>
  <c r="J939" i="2"/>
  <c r="K639" i="2"/>
  <c r="J639" i="2"/>
  <c r="K555" i="2"/>
  <c r="L555" i="2"/>
  <c r="J555" i="2"/>
  <c r="K519" i="2"/>
  <c r="J519" i="2"/>
  <c r="L519" i="2"/>
  <c r="K483" i="2"/>
  <c r="J483" i="2"/>
  <c r="K363" i="2"/>
  <c r="J363" i="2"/>
  <c r="J3483" i="2"/>
  <c r="L3770" i="2"/>
  <c r="J3638" i="2"/>
  <c r="K3638" i="2"/>
  <c r="L3638" i="2"/>
  <c r="K3566" i="2"/>
  <c r="L3566" i="2"/>
  <c r="J3566" i="2"/>
  <c r="K3530" i="2"/>
  <c r="J3530" i="2"/>
  <c r="L3530" i="2" s="1"/>
  <c r="L3494" i="2"/>
  <c r="K3494" i="2"/>
  <c r="K3446" i="2"/>
  <c r="J3446" i="2"/>
  <c r="L3410" i="2"/>
  <c r="K3410" i="2"/>
  <c r="L3362" i="2"/>
  <c r="J3362" i="2"/>
  <c r="K3314" i="2"/>
  <c r="J3314" i="2"/>
  <c r="L3314" i="2" s="1"/>
  <c r="K3266" i="2"/>
  <c r="J3266" i="2"/>
  <c r="L3266" i="2" s="1"/>
  <c r="L3230" i="2"/>
  <c r="J3230" i="2"/>
  <c r="K3194" i="2"/>
  <c r="J3194" i="2"/>
  <c r="K3158" i="2"/>
  <c r="L3158" i="2"/>
  <c r="J3158" i="2"/>
  <c r="K3098" i="2"/>
  <c r="J3098" i="2"/>
  <c r="L3026" i="2"/>
  <c r="L2978" i="2"/>
  <c r="J2978" i="2"/>
  <c r="L2918" i="2"/>
  <c r="K2918" i="2"/>
  <c r="J2918" i="2"/>
  <c r="K2870" i="2"/>
  <c r="J2870" i="2"/>
  <c r="L2870" i="2"/>
  <c r="L2762" i="2"/>
  <c r="K2762" i="2"/>
  <c r="K2654" i="2"/>
  <c r="J2654" i="2"/>
  <c r="L2654" i="2" s="1"/>
  <c r="K2606" i="2"/>
  <c r="J2606" i="2"/>
  <c r="L2606" i="2" s="1"/>
  <c r="K2570" i="2"/>
  <c r="J2570" i="2"/>
  <c r="J2474" i="2"/>
  <c r="L2474" i="2"/>
  <c r="K2474" i="2"/>
  <c r="L2438" i="2"/>
  <c r="K2438" i="2"/>
  <c r="L2402" i="2"/>
  <c r="K2402" i="2"/>
  <c r="K2354" i="2"/>
  <c r="L2354" i="2"/>
  <c r="J2354" i="2"/>
  <c r="J2318" i="2"/>
  <c r="L2318" i="2" s="1"/>
  <c r="K2318" i="2"/>
  <c r="L2270" i="2"/>
  <c r="K2270" i="2"/>
  <c r="L2222" i="2"/>
  <c r="J2222" i="2"/>
  <c r="K2222" i="2"/>
  <c r="K2174" i="2"/>
  <c r="J2174" i="2"/>
  <c r="L2174" i="2" s="1"/>
  <c r="L2066" i="2"/>
  <c r="L1982" i="2"/>
  <c r="L1934" i="2"/>
  <c r="K1934" i="2"/>
  <c r="J1934" i="2"/>
  <c r="K1886" i="2"/>
  <c r="L1886" i="2"/>
  <c r="J1886" i="2"/>
  <c r="K1850" i="2"/>
  <c r="J1850" i="2"/>
  <c r="K1814" i="2"/>
  <c r="J1814" i="2"/>
  <c r="L1814" i="2" s="1"/>
  <c r="K1766" i="2"/>
  <c r="J1766" i="2"/>
  <c r="L1766" i="2"/>
  <c r="J1718" i="2"/>
  <c r="L1718" i="2"/>
  <c r="K1682" i="2"/>
  <c r="J1682" i="2"/>
  <c r="K1514" i="2"/>
  <c r="J1514" i="2"/>
  <c r="L1514" i="2" s="1"/>
  <c r="K1466" i="2"/>
  <c r="L1466" i="2" s="1"/>
  <c r="L1418" i="2"/>
  <c r="J1418" i="2"/>
  <c r="K1418" i="2"/>
  <c r="L1370" i="2"/>
  <c r="K1370" i="2"/>
  <c r="J1370" i="2"/>
  <c r="K1346" i="2"/>
  <c r="J1346" i="2"/>
  <c r="L1310" i="2"/>
  <c r="J1310" i="2"/>
  <c r="K1310" i="2"/>
  <c r="L1286" i="2"/>
  <c r="K1286" i="2"/>
  <c r="J1286" i="2"/>
  <c r="K1250" i="2"/>
  <c r="J1250" i="2"/>
  <c r="L1190" i="2"/>
  <c r="J1190" i="2"/>
  <c r="K1190" i="2"/>
  <c r="K1142" i="2"/>
  <c r="J1142" i="2"/>
  <c r="L1082" i="2"/>
  <c r="J1082" i="2"/>
  <c r="K1082" i="2"/>
  <c r="L1034" i="2"/>
  <c r="K1034" i="2"/>
  <c r="J1034" i="2"/>
  <c r="J998" i="2"/>
  <c r="K998" i="2"/>
  <c r="J938" i="2"/>
  <c r="L938" i="2"/>
  <c r="K938" i="2"/>
  <c r="K914" i="2"/>
  <c r="J914" i="2"/>
  <c r="L878" i="2"/>
  <c r="K878" i="2"/>
  <c r="K842" i="2"/>
  <c r="J842" i="2"/>
  <c r="L782" i="2"/>
  <c r="J782" i="2"/>
  <c r="J518" i="2"/>
  <c r="K518" i="2"/>
  <c r="K290" i="2"/>
  <c r="J290" i="2"/>
  <c r="L242" i="2"/>
  <c r="K242" i="2"/>
  <c r="J242" i="2"/>
  <c r="J158" i="2"/>
  <c r="K158" i="2"/>
  <c r="L158" i="2"/>
  <c r="L62" i="2"/>
  <c r="K62" i="2"/>
  <c r="J62" i="2"/>
  <c r="K26" i="2"/>
  <c r="L26" i="2" s="1"/>
  <c r="J26" i="2"/>
  <c r="J3517" i="2"/>
  <c r="K3517" i="2"/>
  <c r="L3517" i="2" s="1"/>
  <c r="K3349" i="2"/>
  <c r="L3349" i="2"/>
  <c r="L3205" i="2"/>
  <c r="K3205" i="2"/>
  <c r="J3205" i="2"/>
  <c r="K3157" i="2"/>
  <c r="J3157" i="2"/>
  <c r="L3157" i="2" s="1"/>
  <c r="L3109" i="2"/>
  <c r="J3109" i="2"/>
  <c r="K3073" i="2"/>
  <c r="J3049" i="2"/>
  <c r="K3049" i="2"/>
  <c r="K2953" i="2"/>
  <c r="J2953" i="2"/>
  <c r="L2953" i="2" s="1"/>
  <c r="L2917" i="2"/>
  <c r="J2917" i="2"/>
  <c r="L2833" i="2"/>
  <c r="K2833" i="2"/>
  <c r="J2761" i="2"/>
  <c r="K2761" i="2"/>
  <c r="K2725" i="2"/>
  <c r="J2725" i="2"/>
  <c r="L2689" i="2"/>
  <c r="J2689" i="2"/>
  <c r="K2689" i="2"/>
  <c r="L2557" i="2"/>
  <c r="K2557" i="2"/>
  <c r="J2557" i="2"/>
  <c r="L2413" i="2"/>
  <c r="J2413" i="2"/>
  <c r="K2413" i="2"/>
  <c r="J2317" i="2"/>
  <c r="K2317" i="2"/>
  <c r="L2209" i="2"/>
  <c r="K2209" i="2"/>
  <c r="J1993" i="2"/>
  <c r="K1993" i="2"/>
  <c r="K1957" i="2"/>
  <c r="J1957" i="2"/>
  <c r="K1909" i="2"/>
  <c r="J1909" i="2"/>
  <c r="K1777" i="2"/>
  <c r="J1777" i="2"/>
  <c r="L1777" i="2" s="1"/>
  <c r="L1669" i="2"/>
  <c r="K1669" i="2"/>
  <c r="L1561" i="2"/>
  <c r="K1561" i="2"/>
  <c r="J1561" i="2"/>
  <c r="K1489" i="2"/>
  <c r="J1489" i="2"/>
  <c r="L1489" i="2" s="1"/>
  <c r="K1417" i="2"/>
  <c r="J1417" i="2"/>
  <c r="K1321" i="2"/>
  <c r="J1321" i="2"/>
  <c r="L1321" i="2" s="1"/>
  <c r="L1201" i="2"/>
  <c r="K1201" i="2"/>
  <c r="J1129" i="2"/>
  <c r="K1129" i="2"/>
  <c r="L1021" i="2"/>
  <c r="K1021" i="2"/>
  <c r="K997" i="2"/>
  <c r="J997" i="2"/>
  <c r="L997" i="2" s="1"/>
  <c r="L829" i="2"/>
  <c r="J829" i="2"/>
  <c r="J637" i="2"/>
  <c r="L637" i="2"/>
  <c r="K637" i="2"/>
  <c r="L517" i="2"/>
  <c r="K517" i="2"/>
  <c r="J517" i="2"/>
  <c r="L373" i="2"/>
  <c r="J373" i="2"/>
  <c r="K373" i="2"/>
  <c r="K3711" i="2"/>
  <c r="J3711" i="2"/>
  <c r="K3651" i="2"/>
  <c r="L3651" i="2"/>
  <c r="J3651" i="2"/>
  <c r="K3531" i="2"/>
  <c r="J3531" i="2"/>
  <c r="L3531" i="2"/>
  <c r="L3423" i="2"/>
  <c r="K3423" i="2"/>
  <c r="L3375" i="2"/>
  <c r="K3375" i="2"/>
  <c r="J3375" i="2"/>
  <c r="K3255" i="2"/>
  <c r="L3255" i="2"/>
  <c r="K3243" i="2"/>
  <c r="J3243" i="2"/>
  <c r="L3243" i="2" s="1"/>
  <c r="L3195" i="2"/>
  <c r="K3195" i="2"/>
  <c r="K3123" i="2"/>
  <c r="J3123" i="2"/>
  <c r="K3087" i="2"/>
  <c r="J3087" i="2"/>
  <c r="L3087" i="2" s="1"/>
  <c r="K3039" i="2"/>
  <c r="J3039" i="2"/>
  <c r="K2967" i="2"/>
  <c r="J2967" i="2"/>
  <c r="L2967" i="2" s="1"/>
  <c r="K2811" i="2"/>
  <c r="J2811" i="2"/>
  <c r="K2763" i="2"/>
  <c r="J2763" i="2"/>
  <c r="L2763" i="2"/>
  <c r="K2607" i="2"/>
  <c r="J2607" i="2"/>
  <c r="L2607" i="2" s="1"/>
  <c r="K2571" i="2"/>
  <c r="J2571" i="2"/>
  <c r="L2571" i="2" s="1"/>
  <c r="K2523" i="2"/>
  <c r="J2523" i="2"/>
  <c r="K2223" i="2"/>
  <c r="L2223" i="2"/>
  <c r="K2175" i="2"/>
  <c r="J2175" i="2"/>
  <c r="L2175" i="2" s="1"/>
  <c r="K2139" i="2"/>
  <c r="J2139" i="2"/>
  <c r="K1899" i="2"/>
  <c r="J1899" i="2"/>
  <c r="L1899" i="2" s="1"/>
  <c r="K1731" i="2"/>
  <c r="J1731" i="2"/>
  <c r="L1731" i="2"/>
  <c r="K1575" i="2"/>
  <c r="J1575" i="2"/>
  <c r="L1575" i="2" s="1"/>
  <c r="K1251" i="2"/>
  <c r="L1251" i="2"/>
  <c r="J1251" i="2"/>
  <c r="K1215" i="2"/>
  <c r="L1215" i="2"/>
  <c r="K1167" i="2"/>
  <c r="J1167" i="2"/>
  <c r="K951" i="2"/>
  <c r="J951" i="2"/>
  <c r="L951" i="2" s="1"/>
  <c r="K903" i="2"/>
  <c r="J903" i="2"/>
  <c r="K795" i="2"/>
  <c r="J795" i="2"/>
  <c r="L795" i="2"/>
  <c r="K759" i="2"/>
  <c r="L759" i="2"/>
  <c r="J759" i="2"/>
  <c r="K711" i="2"/>
  <c r="J711" i="2"/>
  <c r="L711" i="2" s="1"/>
  <c r="K423" i="2"/>
  <c r="L423" i="2"/>
  <c r="J423" i="2"/>
  <c r="K375" i="2"/>
  <c r="L375" i="2"/>
  <c r="K339" i="2"/>
  <c r="J339" i="2"/>
  <c r="L339" i="2"/>
  <c r="K291" i="2"/>
  <c r="L291" i="2"/>
  <c r="J291" i="2"/>
  <c r="K63" i="2"/>
  <c r="L63" i="2" s="1"/>
  <c r="J63" i="2"/>
  <c r="K3722" i="2"/>
  <c r="L3722" i="2" s="1"/>
  <c r="K3662" i="2"/>
  <c r="L3662" i="2"/>
  <c r="J3662" i="2"/>
  <c r="L3614" i="2"/>
  <c r="K3614" i="2"/>
  <c r="J3614" i="2"/>
  <c r="L3554" i="2"/>
  <c r="K3554" i="2"/>
  <c r="K3350" i="2"/>
  <c r="J3350" i="2"/>
  <c r="K3302" i="2"/>
  <c r="J3302" i="2"/>
  <c r="L3302" i="2" s="1"/>
  <c r="J3254" i="2"/>
  <c r="K3254" i="2"/>
  <c r="L3254" i="2" s="1"/>
  <c r="K3206" i="2"/>
  <c r="J3206" i="2"/>
  <c r="L3206" i="2" s="1"/>
  <c r="J3182" i="2"/>
  <c r="K3182" i="2"/>
  <c r="L3182" i="2"/>
  <c r="K3062" i="2"/>
  <c r="J3062" i="2"/>
  <c r="K3038" i="2"/>
  <c r="L3038" i="2"/>
  <c r="J3038" i="2"/>
  <c r="K2990" i="2"/>
  <c r="J2990" i="2"/>
  <c r="L2990" i="2"/>
  <c r="K2954" i="2"/>
  <c r="J2954" i="2"/>
  <c r="L2954" i="2" s="1"/>
  <c r="K2882" i="2"/>
  <c r="J2882" i="2"/>
  <c r="K2774" i="2"/>
  <c r="J2774" i="2"/>
  <c r="L2774" i="2" s="1"/>
  <c r="K2738" i="2"/>
  <c r="J2738" i="2"/>
  <c r="L2738" i="2"/>
  <c r="L2690" i="2"/>
  <c r="J2690" i="2"/>
  <c r="K2642" i="2"/>
  <c r="L2642" i="2"/>
  <c r="J2642" i="2"/>
  <c r="K2594" i="2"/>
  <c r="L2594" i="2"/>
  <c r="K2558" i="2"/>
  <c r="J2558" i="2"/>
  <c r="L2558" i="2" s="1"/>
  <c r="L2522" i="2"/>
  <c r="K2522" i="2"/>
  <c r="J2522" i="2"/>
  <c r="K2486" i="2"/>
  <c r="J2486" i="2"/>
  <c r="L2426" i="2"/>
  <c r="K2426" i="2"/>
  <c r="J2426" i="2"/>
  <c r="L2330" i="2"/>
  <c r="K2330" i="2"/>
  <c r="K2282" i="2"/>
  <c r="J2282" i="2"/>
  <c r="K2258" i="2"/>
  <c r="J2258" i="2"/>
  <c r="K2210" i="2"/>
  <c r="J2210" i="2"/>
  <c r="L2162" i="2"/>
  <c r="J2162" i="2"/>
  <c r="J2054" i="2"/>
  <c r="L2054" i="2"/>
  <c r="K1958" i="2"/>
  <c r="L1958" i="2"/>
  <c r="J1958" i="2"/>
  <c r="L1910" i="2"/>
  <c r="K1910" i="2"/>
  <c r="L1862" i="2"/>
  <c r="K1862" i="2"/>
  <c r="J1862" i="2"/>
  <c r="L1826" i="2"/>
  <c r="J1826" i="2"/>
  <c r="K1778" i="2"/>
  <c r="J1778" i="2"/>
  <c r="K1730" i="2"/>
  <c r="J1730" i="2"/>
  <c r="L1730" i="2"/>
  <c r="K1694" i="2"/>
  <c r="J1694" i="2"/>
  <c r="L1694" i="2"/>
  <c r="K1658" i="2"/>
  <c r="J1658" i="2"/>
  <c r="L1658" i="2" s="1"/>
  <c r="L1622" i="2"/>
  <c r="J1622" i="2"/>
  <c r="K1622" i="2"/>
  <c r="K1586" i="2"/>
  <c r="J1586" i="2"/>
  <c r="L1550" i="2"/>
  <c r="K1550" i="2"/>
  <c r="J1550" i="2"/>
  <c r="K1490" i="2"/>
  <c r="J1490" i="2"/>
  <c r="L1490" i="2" s="1"/>
  <c r="K1442" i="2"/>
  <c r="L1442" i="2"/>
  <c r="J1442" i="2"/>
  <c r="K1406" i="2"/>
  <c r="J1406" i="2"/>
  <c r="J1358" i="2"/>
  <c r="L1358" i="2" s="1"/>
  <c r="K1358" i="2"/>
  <c r="L1322" i="2"/>
  <c r="K1322" i="2"/>
  <c r="J1322" i="2"/>
  <c r="L1262" i="2"/>
  <c r="K1262" i="2"/>
  <c r="J1262" i="2"/>
  <c r="K1226" i="2"/>
  <c r="J1226" i="2"/>
  <c r="L1226" i="2" s="1"/>
  <c r="L1178" i="2"/>
  <c r="J1178" i="2"/>
  <c r="K1130" i="2"/>
  <c r="L1130" i="2"/>
  <c r="J1130" i="2"/>
  <c r="K974" i="2"/>
  <c r="L974" i="2"/>
  <c r="J974" i="2"/>
  <c r="L830" i="2"/>
  <c r="L770" i="2"/>
  <c r="K770" i="2"/>
  <c r="J770" i="2"/>
  <c r="L602" i="2"/>
  <c r="J602" i="2"/>
  <c r="K554" i="2"/>
  <c r="L554" i="2"/>
  <c r="J554" i="2"/>
  <c r="K506" i="2"/>
  <c r="J506" i="2"/>
  <c r="L470" i="2"/>
  <c r="J470" i="2"/>
  <c r="K470" i="2"/>
  <c r="J422" i="2"/>
  <c r="L422" i="2"/>
  <c r="J386" i="2"/>
  <c r="L386" i="2" s="1"/>
  <c r="K386" i="2"/>
  <c r="L350" i="2"/>
  <c r="K350" i="2"/>
  <c r="J350" i="2"/>
  <c r="J302" i="2"/>
  <c r="K302" i="2"/>
  <c r="K254" i="2"/>
  <c r="J254" i="2"/>
  <c r="K206" i="2"/>
  <c r="J206" i="2"/>
  <c r="J182" i="2"/>
  <c r="K182" i="2"/>
  <c r="L134" i="2"/>
  <c r="K134" i="2"/>
  <c r="J134" i="2"/>
  <c r="J86" i="2"/>
  <c r="K86" i="2"/>
  <c r="J3337" i="2"/>
  <c r="L3337" i="2"/>
  <c r="K3337" i="2"/>
  <c r="K3313" i="2"/>
  <c r="J3313" i="2"/>
  <c r="L3085" i="2"/>
  <c r="J3085" i="2"/>
  <c r="K2977" i="2"/>
  <c r="L2977" i="2"/>
  <c r="J2977" i="2"/>
  <c r="J2629" i="2"/>
  <c r="L2629" i="2"/>
  <c r="K2629" i="2"/>
  <c r="K2593" i="2"/>
  <c r="L2593" i="2"/>
  <c r="J2593" i="2"/>
  <c r="K2329" i="2"/>
  <c r="L2329" i="2"/>
  <c r="L2137" i="2"/>
  <c r="K2137" i="2"/>
  <c r="J2137" i="2"/>
  <c r="J2089" i="2"/>
  <c r="K2089" i="2"/>
  <c r="L1981" i="2"/>
  <c r="J1981" i="2"/>
  <c r="K1933" i="2"/>
  <c r="J1933" i="2"/>
  <c r="L1933" i="2"/>
  <c r="J1885" i="2"/>
  <c r="K1885" i="2"/>
  <c r="L1885" i="2"/>
  <c r="L1693" i="2"/>
  <c r="K1693" i="2"/>
  <c r="L1657" i="2"/>
  <c r="K1657" i="2"/>
  <c r="J1657" i="2"/>
  <c r="K1621" i="2"/>
  <c r="J1621" i="2"/>
  <c r="L1621" i="2"/>
  <c r="K1357" i="2"/>
  <c r="L1357" i="2"/>
  <c r="J1357" i="2"/>
  <c r="L1189" i="2"/>
  <c r="J1189" i="2"/>
  <c r="L805" i="2"/>
  <c r="J805" i="2"/>
  <c r="L769" i="2"/>
  <c r="J769" i="2"/>
  <c r="K673" i="2"/>
  <c r="J673" i="2"/>
  <c r="J601" i="2"/>
  <c r="K601" i="2"/>
  <c r="K445" i="2"/>
  <c r="L445" i="2"/>
  <c r="J445" i="2"/>
  <c r="L397" i="2"/>
  <c r="K397" i="2"/>
  <c r="K349" i="2"/>
  <c r="J349" i="2"/>
  <c r="L349" i="2"/>
  <c r="J2594" i="2"/>
  <c r="L3504" i="2"/>
  <c r="J3504" i="2"/>
  <c r="J2592" i="2"/>
  <c r="L2592" i="2"/>
  <c r="K2592" i="2"/>
  <c r="J3663" i="2"/>
  <c r="L3663" i="2"/>
  <c r="K3663" i="2"/>
  <c r="L3507" i="2"/>
  <c r="K3507" i="2"/>
  <c r="K3471" i="2"/>
  <c r="J3471" i="2"/>
  <c r="L3471" i="2" s="1"/>
  <c r="J3363" i="2"/>
  <c r="L3363" i="2" s="1"/>
  <c r="K3339" i="2"/>
  <c r="J3339" i="2"/>
  <c r="L3339" i="2" s="1"/>
  <c r="K3291" i="2"/>
  <c r="L3291" i="2"/>
  <c r="K3099" i="2"/>
  <c r="J3099" i="2"/>
  <c r="K3051" i="2"/>
  <c r="J3051" i="2"/>
  <c r="K3015" i="2"/>
  <c r="J3015" i="2"/>
  <c r="L3015" i="2" s="1"/>
  <c r="K2823" i="2"/>
  <c r="L2823" i="2"/>
  <c r="J2823" i="2"/>
  <c r="K2751" i="2"/>
  <c r="L2751" i="2"/>
  <c r="J2751" i="2"/>
  <c r="K2679" i="2"/>
  <c r="J2679" i="2"/>
  <c r="K2511" i="2"/>
  <c r="J2511" i="2"/>
  <c r="K2439" i="2"/>
  <c r="J2439" i="2"/>
  <c r="L2439" i="2" s="1"/>
  <c r="K2355" i="2"/>
  <c r="J2355" i="2"/>
  <c r="K2307" i="2"/>
  <c r="L2307" i="2"/>
  <c r="J2307" i="2"/>
  <c r="K1827" i="2"/>
  <c r="L1827" i="2"/>
  <c r="J1827" i="2"/>
  <c r="K1803" i="2"/>
  <c r="L1803" i="2"/>
  <c r="K1743" i="2"/>
  <c r="J1743" i="2"/>
  <c r="K1707" i="2"/>
  <c r="J1707" i="2"/>
  <c r="L1707" i="2" s="1"/>
  <c r="K1671" i="2"/>
  <c r="J1671" i="2"/>
  <c r="L1671" i="2" s="1"/>
  <c r="K1635" i="2"/>
  <c r="J1635" i="2"/>
  <c r="K1587" i="2"/>
  <c r="J1587" i="2"/>
  <c r="K1563" i="2"/>
  <c r="L1563" i="2"/>
  <c r="K1515" i="2"/>
  <c r="J1515" i="2"/>
  <c r="L1515" i="2"/>
  <c r="K1323" i="2"/>
  <c r="J1323" i="2"/>
  <c r="K1287" i="2"/>
  <c r="J1287" i="2"/>
  <c r="L1287" i="2" s="1"/>
  <c r="K1203" i="2"/>
  <c r="J1203" i="2"/>
  <c r="K1095" i="2"/>
  <c r="J1095" i="2"/>
  <c r="L1095" i="2" s="1"/>
  <c r="K1059" i="2"/>
  <c r="L1059" i="2"/>
  <c r="J1059" i="2"/>
  <c r="K819" i="2"/>
  <c r="J819" i="2"/>
  <c r="K783" i="2"/>
  <c r="J783" i="2"/>
  <c r="L783" i="2" s="1"/>
  <c r="K579" i="2"/>
  <c r="J579" i="2"/>
  <c r="K531" i="2"/>
  <c r="L531" i="2" s="1"/>
  <c r="K495" i="2"/>
  <c r="J495" i="2"/>
  <c r="L495" i="2"/>
  <c r="K447" i="2"/>
  <c r="L447" i="2"/>
  <c r="J447" i="2"/>
  <c r="K411" i="2"/>
  <c r="J411" i="2"/>
  <c r="L411" i="2" s="1"/>
  <c r="K279" i="2"/>
  <c r="L279" i="2"/>
  <c r="J279" i="2"/>
  <c r="K243" i="2"/>
  <c r="J243" i="2"/>
  <c r="L243" i="2" s="1"/>
  <c r="K75" i="2"/>
  <c r="J75" i="2"/>
  <c r="K51" i="2"/>
  <c r="J51" i="2"/>
  <c r="L51" i="2"/>
  <c r="K15" i="2"/>
  <c r="J15" i="2"/>
  <c r="J2655" i="2"/>
  <c r="J3782" i="2"/>
  <c r="L3782" i="2" s="1"/>
  <c r="K3734" i="2"/>
  <c r="J3734" i="2"/>
  <c r="K3698" i="2"/>
  <c r="J3698" i="2"/>
  <c r="L3650" i="2"/>
  <c r="K3650" i="2"/>
  <c r="J3650" i="2"/>
  <c r="K3590" i="2"/>
  <c r="L3590" i="2"/>
  <c r="K3482" i="2"/>
  <c r="J3482" i="2"/>
  <c r="J3434" i="2"/>
  <c r="K3434" i="2"/>
  <c r="K3326" i="2"/>
  <c r="J3326" i="2"/>
  <c r="L3326" i="2" s="1"/>
  <c r="L3278" i="2"/>
  <c r="J3278" i="2"/>
  <c r="K3278" i="2"/>
  <c r="L3218" i="2"/>
  <c r="K3218" i="2"/>
  <c r="L3074" i="2"/>
  <c r="K3074" i="2"/>
  <c r="K3050" i="2"/>
  <c r="J3050" i="2"/>
  <c r="L3014" i="2"/>
  <c r="J3014" i="2"/>
  <c r="K3014" i="2"/>
  <c r="L2966" i="2"/>
  <c r="J2966" i="2"/>
  <c r="K2966" i="2"/>
  <c r="J2930" i="2"/>
  <c r="K2930" i="2"/>
  <c r="K2906" i="2"/>
  <c r="J2906" i="2"/>
  <c r="L2906" i="2" s="1"/>
  <c r="K2858" i="2"/>
  <c r="J2858" i="2"/>
  <c r="L2858" i="2" s="1"/>
  <c r="J2810" i="2"/>
  <c r="L2810" i="2"/>
  <c r="K2810" i="2"/>
  <c r="K2678" i="2"/>
  <c r="J2678" i="2"/>
  <c r="J2618" i="2"/>
  <c r="L2618" i="2" s="1"/>
  <c r="L2510" i="2"/>
  <c r="K2510" i="2"/>
  <c r="J2510" i="2"/>
  <c r="K2462" i="2"/>
  <c r="L2462" i="2"/>
  <c r="J2462" i="2"/>
  <c r="L2414" i="2"/>
  <c r="K2414" i="2"/>
  <c r="J2414" i="2"/>
  <c r="K2306" i="2"/>
  <c r="J2306" i="2"/>
  <c r="K2198" i="2"/>
  <c r="J2198" i="2"/>
  <c r="L2198" i="2"/>
  <c r="L2150" i="2"/>
  <c r="K2150" i="2"/>
  <c r="J2150" i="2"/>
  <c r="L2114" i="2"/>
  <c r="J2114" i="2"/>
  <c r="K2114" i="2"/>
  <c r="L2078" i="2"/>
  <c r="K2078" i="2"/>
  <c r="J2078" i="2"/>
  <c r="J2030" i="2"/>
  <c r="K2030" i="2"/>
  <c r="L2006" i="2"/>
  <c r="K2006" i="2"/>
  <c r="J2006" i="2"/>
  <c r="K1970" i="2"/>
  <c r="J1970" i="2"/>
  <c r="K1946" i="2"/>
  <c r="J1946" i="2"/>
  <c r="L1946" i="2" s="1"/>
  <c r="L1898" i="2"/>
  <c r="J1898" i="2"/>
  <c r="K1838" i="2"/>
  <c r="L1838" i="2" s="1"/>
  <c r="L1802" i="2"/>
  <c r="K1802" i="2"/>
  <c r="J1802" i="2"/>
  <c r="K1754" i="2"/>
  <c r="J1754" i="2"/>
  <c r="L1706" i="2"/>
  <c r="K1706" i="2"/>
  <c r="K1598" i="2"/>
  <c r="J1598" i="2"/>
  <c r="J1478" i="2"/>
  <c r="L1478" i="2"/>
  <c r="K1478" i="2"/>
  <c r="K1430" i="2"/>
  <c r="L1430" i="2"/>
  <c r="J1430" i="2"/>
  <c r="K1382" i="2"/>
  <c r="J1382" i="2"/>
  <c r="K1334" i="2"/>
  <c r="J1334" i="2"/>
  <c r="J1274" i="2"/>
  <c r="L1274" i="2" s="1"/>
  <c r="K1274" i="2"/>
  <c r="L1238" i="2"/>
  <c r="J1238" i="2"/>
  <c r="J1202" i="2"/>
  <c r="K1202" i="2"/>
  <c r="K1154" i="2"/>
  <c r="J1154" i="2"/>
  <c r="L1106" i="2"/>
  <c r="J1106" i="2"/>
  <c r="K1070" i="2"/>
  <c r="L1070" i="2"/>
  <c r="L1046" i="2"/>
  <c r="J1046" i="2"/>
  <c r="L986" i="2"/>
  <c r="K986" i="2"/>
  <c r="L950" i="2"/>
  <c r="K950" i="2"/>
  <c r="J950" i="2"/>
  <c r="K926" i="2"/>
  <c r="J926" i="2"/>
  <c r="L926" i="2" s="1"/>
  <c r="K890" i="2"/>
  <c r="J890" i="2"/>
  <c r="J854" i="2"/>
  <c r="K854" i="2"/>
  <c r="L806" i="2"/>
  <c r="K806" i="2"/>
  <c r="J806" i="2"/>
  <c r="L758" i="2"/>
  <c r="J758" i="2"/>
  <c r="K758" i="2"/>
  <c r="J734" i="2"/>
  <c r="K734" i="2"/>
  <c r="L686" i="2"/>
  <c r="J686" i="2"/>
  <c r="K686" i="2"/>
  <c r="L662" i="2"/>
  <c r="J662" i="2"/>
  <c r="K662" i="2"/>
  <c r="L614" i="2"/>
  <c r="J614" i="2"/>
  <c r="K614" i="2"/>
  <c r="K566" i="2"/>
  <c r="J566" i="2"/>
  <c r="L530" i="2"/>
  <c r="K530" i="2"/>
  <c r="K482" i="2"/>
  <c r="J482" i="2"/>
  <c r="J446" i="2"/>
  <c r="L446" i="2"/>
  <c r="K446" i="2"/>
  <c r="J398" i="2"/>
  <c r="L398" i="2" s="1"/>
  <c r="K398" i="2"/>
  <c r="K362" i="2"/>
  <c r="J362" i="2"/>
  <c r="L362" i="2" s="1"/>
  <c r="L314" i="2"/>
  <c r="K314" i="2"/>
  <c r="J314" i="2"/>
  <c r="L266" i="2"/>
  <c r="K266" i="2"/>
  <c r="J266" i="2"/>
  <c r="J218" i="2"/>
  <c r="K218" i="2"/>
  <c r="J170" i="2"/>
  <c r="L170" i="2"/>
  <c r="L110" i="2"/>
  <c r="J110" i="2"/>
  <c r="L74" i="2"/>
  <c r="J74" i="2"/>
  <c r="K74" i="2"/>
  <c r="J38" i="2"/>
  <c r="K38" i="2"/>
  <c r="J2595" i="2"/>
  <c r="L428" i="2"/>
  <c r="L3529" i="2"/>
  <c r="K3529" i="2"/>
  <c r="J3529" i="2"/>
  <c r="J3481" i="2"/>
  <c r="K3481" i="2"/>
  <c r="L3481" i="2"/>
  <c r="L3457" i="2"/>
  <c r="K3457" i="2"/>
  <c r="K3421" i="2"/>
  <c r="L3421" i="2" s="1"/>
  <c r="K3397" i="2"/>
  <c r="J3397" i="2"/>
  <c r="K3361" i="2"/>
  <c r="J3361" i="2"/>
  <c r="L3361" i="2" s="1"/>
  <c r="K3277" i="2"/>
  <c r="J3277" i="2"/>
  <c r="K2845" i="2"/>
  <c r="L2845" i="2"/>
  <c r="K2809" i="2"/>
  <c r="J2809" i="2"/>
  <c r="L2809" i="2" s="1"/>
  <c r="K2653" i="2"/>
  <c r="J2653" i="2"/>
  <c r="K2509" i="2"/>
  <c r="L2509" i="2"/>
  <c r="J2509" i="2"/>
  <c r="K1825" i="2"/>
  <c r="J1825" i="2"/>
  <c r="L1825" i="2"/>
  <c r="K1729" i="2"/>
  <c r="L1729" i="2"/>
  <c r="J1729" i="2"/>
  <c r="L1633" i="2"/>
  <c r="K1633" i="2"/>
  <c r="J1345" i="2"/>
  <c r="K1345" i="2"/>
  <c r="J1309" i="2"/>
  <c r="L1309" i="2"/>
  <c r="J1273" i="2"/>
  <c r="K1273" i="2"/>
  <c r="J1117" i="2"/>
  <c r="L1117" i="2"/>
  <c r="K889" i="2"/>
  <c r="J889" i="2"/>
  <c r="L661" i="2"/>
  <c r="K661" i="2"/>
  <c r="L337" i="2"/>
  <c r="K337" i="2"/>
  <c r="K253" i="2"/>
  <c r="J253" i="2"/>
  <c r="L253" i="2"/>
  <c r="J217" i="2"/>
  <c r="K217" i="2"/>
  <c r="L217" i="2" s="1"/>
  <c r="K133" i="2"/>
  <c r="J133" i="2"/>
  <c r="L133" i="2" s="1"/>
  <c r="K109" i="2"/>
  <c r="J109" i="2"/>
  <c r="K73" i="2"/>
  <c r="J73" i="2"/>
  <c r="L73" i="2" s="1"/>
  <c r="K37" i="2"/>
  <c r="J37" i="2"/>
  <c r="L37" i="2"/>
  <c r="L3048" i="2"/>
  <c r="K3048" i="2"/>
  <c r="K2832" i="2"/>
  <c r="J2832" i="2"/>
  <c r="L2832" i="2" s="1"/>
  <c r="L2796" i="2"/>
  <c r="K2796" i="2"/>
  <c r="J2688" i="2"/>
  <c r="K2688" i="2"/>
  <c r="K2664" i="2"/>
  <c r="L2664" i="2" s="1"/>
  <c r="J2664" i="2"/>
  <c r="J2556" i="2"/>
  <c r="K2556" i="2"/>
  <c r="L2556" i="2" s="1"/>
  <c r="K2508" i="2"/>
  <c r="L2508" i="2"/>
  <c r="J2484" i="2"/>
  <c r="K2484" i="2"/>
  <c r="L2412" i="2"/>
  <c r="K2412" i="2"/>
  <c r="J2412" i="2"/>
  <c r="L2316" i="2"/>
  <c r="K2316" i="2"/>
  <c r="J2316" i="2"/>
  <c r="K2268" i="2"/>
  <c r="L2268" i="2"/>
  <c r="K2256" i="2"/>
  <c r="J2256" i="2"/>
  <c r="L2256" i="2" s="1"/>
  <c r="J1980" i="2"/>
  <c r="L1980" i="2"/>
  <c r="K1980" i="2"/>
  <c r="L1956" i="2"/>
  <c r="K1956" i="2"/>
  <c r="J1956" i="2"/>
  <c r="K1896" i="2"/>
  <c r="L1896" i="2"/>
  <c r="J1668" i="2"/>
  <c r="K1668" i="2"/>
  <c r="L1668" i="2" s="1"/>
  <c r="J1584" i="2"/>
  <c r="K1584" i="2"/>
  <c r="L1584" i="2" s="1"/>
  <c r="J2378" i="2"/>
  <c r="L2378" i="2" s="1"/>
  <c r="J2270" i="2"/>
  <c r="L3350" i="2"/>
  <c r="L902" i="2"/>
  <c r="L698" i="2"/>
  <c r="J3686" i="2"/>
  <c r="L3686" i="2" s="1"/>
  <c r="J3459" i="2"/>
  <c r="L3459" i="2" s="1"/>
  <c r="J3073" i="2"/>
  <c r="J2797" i="2"/>
  <c r="J1922" i="2"/>
  <c r="J1803" i="2"/>
  <c r="J1215" i="2"/>
  <c r="K710" i="2"/>
  <c r="L206" i="2"/>
  <c r="J3518" i="2"/>
  <c r="L3518" i="2" s="1"/>
  <c r="J3458" i="2"/>
  <c r="L3458" i="2" s="1"/>
  <c r="J3145" i="2"/>
  <c r="J2796" i="2"/>
  <c r="J2268" i="2"/>
  <c r="J1526" i="2"/>
  <c r="J1214" i="2"/>
  <c r="L1214" i="2" s="1"/>
  <c r="J1071" i="2"/>
  <c r="L1071" i="2" s="1"/>
  <c r="J471" i="2"/>
  <c r="L471" i="2" s="1"/>
  <c r="J338" i="2"/>
  <c r="L338" i="2" s="1"/>
  <c r="K422" i="2"/>
  <c r="L3602" i="2"/>
  <c r="L2883" i="2"/>
  <c r="L2355" i="2"/>
  <c r="L1598" i="2"/>
  <c r="K3795" i="2"/>
  <c r="J3795" i="2"/>
  <c r="L3795" i="2" s="1"/>
  <c r="L3687" i="2"/>
  <c r="K3687" i="2"/>
  <c r="K3615" i="2"/>
  <c r="L3615" i="2"/>
  <c r="J3615" i="2"/>
  <c r="L3567" i="2"/>
  <c r="J3567" i="2"/>
  <c r="K3567" i="2"/>
  <c r="L3519" i="2"/>
  <c r="K3519" i="2"/>
  <c r="J3495" i="2"/>
  <c r="L3495" i="2"/>
  <c r="L3435" i="2"/>
  <c r="K3435" i="2"/>
  <c r="J3435" i="2"/>
  <c r="K3387" i="2"/>
  <c r="L3387" i="2"/>
  <c r="J3387" i="2"/>
  <c r="K3219" i="2"/>
  <c r="J3219" i="2"/>
  <c r="K2979" i="2"/>
  <c r="J2979" i="2"/>
  <c r="L2979" i="2"/>
  <c r="K2931" i="2"/>
  <c r="J2931" i="2"/>
  <c r="L2931" i="2"/>
  <c r="K2895" i="2"/>
  <c r="J2895" i="2"/>
  <c r="L2895" i="2" s="1"/>
  <c r="K2859" i="2"/>
  <c r="J2859" i="2"/>
  <c r="K2499" i="2"/>
  <c r="J2499" i="2"/>
  <c r="L2499" i="2"/>
  <c r="K2451" i="2"/>
  <c r="L2451" i="2"/>
  <c r="J2451" i="2"/>
  <c r="K2367" i="2"/>
  <c r="J2367" i="2"/>
  <c r="L2367" i="2" s="1"/>
  <c r="K2295" i="2"/>
  <c r="L2295" i="2"/>
  <c r="J2295" i="2"/>
  <c r="K2283" i="2"/>
  <c r="J2283" i="2"/>
  <c r="L2283" i="2"/>
  <c r="K2235" i="2"/>
  <c r="L2235" i="2"/>
  <c r="J2235" i="2"/>
  <c r="K2043" i="2"/>
  <c r="J2043" i="2"/>
  <c r="L2043" i="2" s="1"/>
  <c r="K2007" i="2"/>
  <c r="L2007" i="2"/>
  <c r="K1959" i="2"/>
  <c r="L1959" i="2"/>
  <c r="J1959" i="2"/>
  <c r="K1863" i="2"/>
  <c r="J1863" i="2"/>
  <c r="L1863" i="2"/>
  <c r="K1683" i="2"/>
  <c r="J1683" i="2"/>
  <c r="K1527" i="2"/>
  <c r="J1527" i="2"/>
  <c r="L1527" i="2" s="1"/>
  <c r="K1083" i="2"/>
  <c r="L1083" i="2"/>
  <c r="K855" i="2"/>
  <c r="J855" i="2"/>
  <c r="K663" i="2"/>
  <c r="J663" i="2"/>
  <c r="L663" i="2" s="1"/>
  <c r="K267" i="2"/>
  <c r="L267" i="2"/>
  <c r="J267" i="2"/>
  <c r="K183" i="2"/>
  <c r="L183" i="2"/>
  <c r="J183" i="2"/>
  <c r="K159" i="2"/>
  <c r="L159" i="2"/>
  <c r="J3794" i="2"/>
  <c r="K3794" i="2"/>
  <c r="K3746" i="2"/>
  <c r="J3746" i="2"/>
  <c r="L3746" i="2" s="1"/>
  <c r="K3710" i="2"/>
  <c r="J3710" i="2"/>
  <c r="L3674" i="2"/>
  <c r="K3674" i="2"/>
  <c r="L3626" i="2"/>
  <c r="K3626" i="2"/>
  <c r="J3626" i="2"/>
  <c r="L3578" i="2"/>
  <c r="J3578" i="2"/>
  <c r="K3578" i="2"/>
  <c r="K3542" i="2"/>
  <c r="L3542" i="2"/>
  <c r="J3542" i="2"/>
  <c r="K3506" i="2"/>
  <c r="J3506" i="2"/>
  <c r="K3470" i="2"/>
  <c r="J3470" i="2"/>
  <c r="L3470" i="2" s="1"/>
  <c r="L3422" i="2"/>
  <c r="K3422" i="2"/>
  <c r="J3422" i="2"/>
  <c r="K3398" i="2"/>
  <c r="J3398" i="2"/>
  <c r="L3398" i="2" s="1"/>
  <c r="L3338" i="2"/>
  <c r="K3338" i="2"/>
  <c r="J3290" i="2"/>
  <c r="L3290" i="2" s="1"/>
  <c r="K3290" i="2"/>
  <c r="K3242" i="2"/>
  <c r="L3242" i="2"/>
  <c r="J3242" i="2"/>
  <c r="K3134" i="2"/>
  <c r="J3134" i="2"/>
  <c r="L3134" i="2" s="1"/>
  <c r="K3086" i="2"/>
  <c r="J3086" i="2"/>
  <c r="L3086" i="2" s="1"/>
  <c r="L3002" i="2"/>
  <c r="J2894" i="2"/>
  <c r="K2894" i="2"/>
  <c r="L2846" i="2"/>
  <c r="K2846" i="2"/>
  <c r="J2846" i="2"/>
  <c r="K2822" i="2"/>
  <c r="J2822" i="2"/>
  <c r="L2822" i="2"/>
  <c r="K2786" i="2"/>
  <c r="J2786" i="2"/>
  <c r="L2786" i="2" s="1"/>
  <c r="L2750" i="2"/>
  <c r="K2750" i="2"/>
  <c r="J2750" i="2"/>
  <c r="K2714" i="2"/>
  <c r="J2714" i="2"/>
  <c r="K2666" i="2"/>
  <c r="J2666" i="2"/>
  <c r="K2630" i="2"/>
  <c r="L2630" i="2"/>
  <c r="J2630" i="2"/>
  <c r="L2582" i="2"/>
  <c r="K2582" i="2"/>
  <c r="J2582" i="2"/>
  <c r="K2450" i="2"/>
  <c r="L2450" i="2"/>
  <c r="J2450" i="2"/>
  <c r="L2390" i="2"/>
  <c r="K2390" i="2"/>
  <c r="J2390" i="2"/>
  <c r="K2294" i="2"/>
  <c r="J2294" i="2"/>
  <c r="L2294" i="2" s="1"/>
  <c r="K2246" i="2"/>
  <c r="J2246" i="2"/>
  <c r="L2246" i="2" s="1"/>
  <c r="K2138" i="2"/>
  <c r="J2138" i="2"/>
  <c r="L2138" i="2" s="1"/>
  <c r="K2126" i="2"/>
  <c r="J2126" i="2"/>
  <c r="K2090" i="2"/>
  <c r="L2090" i="2"/>
  <c r="J2090" i="2"/>
  <c r="K2042" i="2"/>
  <c r="J2042" i="2"/>
  <c r="K2018" i="2"/>
  <c r="L2018" i="2"/>
  <c r="J2018" i="2"/>
  <c r="L1922" i="2"/>
  <c r="K1874" i="2"/>
  <c r="J1874" i="2"/>
  <c r="L1874" i="2" s="1"/>
  <c r="L1790" i="2"/>
  <c r="K1742" i="2"/>
  <c r="J1742" i="2"/>
  <c r="J1610" i="2"/>
  <c r="K1610" i="2"/>
  <c r="L1610" i="2"/>
  <c r="J1574" i="2"/>
  <c r="K1574" i="2"/>
  <c r="L1574" i="2"/>
  <c r="J1538" i="2"/>
  <c r="K1538" i="2"/>
  <c r="L1502" i="2"/>
  <c r="J1502" i="2"/>
  <c r="K1454" i="2"/>
  <c r="J1454" i="2"/>
  <c r="L1454" i="2"/>
  <c r="L1394" i="2"/>
  <c r="K1394" i="2"/>
  <c r="J1166" i="2"/>
  <c r="L1166" i="2"/>
  <c r="K1166" i="2"/>
  <c r="J1118" i="2"/>
  <c r="L1118" i="2" s="1"/>
  <c r="J1094" i="2"/>
  <c r="K1094" i="2"/>
  <c r="L1058" i="2"/>
  <c r="K1058" i="2"/>
  <c r="J1058" i="2"/>
  <c r="L1010" i="2"/>
  <c r="J1010" i="2"/>
  <c r="L962" i="2"/>
  <c r="J962" i="2"/>
  <c r="K866" i="2"/>
  <c r="L866" i="2"/>
  <c r="J866" i="2"/>
  <c r="L818" i="2"/>
  <c r="K818" i="2"/>
  <c r="J818" i="2"/>
  <c r="K794" i="2"/>
  <c r="J794" i="2"/>
  <c r="K746" i="2"/>
  <c r="J746" i="2"/>
  <c r="K674" i="2"/>
  <c r="J674" i="2"/>
  <c r="L674" i="2" s="1"/>
  <c r="K626" i="2"/>
  <c r="L626" i="2"/>
  <c r="J590" i="2"/>
  <c r="L590" i="2"/>
  <c r="L542" i="2"/>
  <c r="J542" i="2"/>
  <c r="K494" i="2"/>
  <c r="J494" i="2"/>
  <c r="L494" i="2" s="1"/>
  <c r="K458" i="2"/>
  <c r="J458" i="2"/>
  <c r="L458" i="2" s="1"/>
  <c r="J410" i="2"/>
  <c r="K410" i="2"/>
  <c r="L374" i="2"/>
  <c r="J374" i="2"/>
  <c r="K374" i="2"/>
  <c r="K326" i="2"/>
  <c r="J326" i="2"/>
  <c r="J278" i="2"/>
  <c r="K278" i="2"/>
  <c r="L230" i="2"/>
  <c r="J230" i="2"/>
  <c r="K194" i="2"/>
  <c r="J194" i="2"/>
  <c r="L194" i="2" s="1"/>
  <c r="K146" i="2"/>
  <c r="J146" i="2"/>
  <c r="L98" i="2"/>
  <c r="K98" i="2"/>
  <c r="J98" i="2"/>
  <c r="L50" i="2"/>
  <c r="J50" i="2"/>
  <c r="K50" i="2"/>
  <c r="J14" i="2"/>
  <c r="K14" i="2"/>
  <c r="J3410" i="2"/>
  <c r="J3097" i="2"/>
  <c r="K3097" i="2"/>
  <c r="J2857" i="2"/>
  <c r="L2857" i="2"/>
  <c r="K2773" i="2"/>
  <c r="J2773" i="2"/>
  <c r="K2485" i="2"/>
  <c r="L2485" i="2"/>
  <c r="J2485" i="2"/>
  <c r="K2341" i="2"/>
  <c r="J2341" i="2"/>
  <c r="L2197" i="2"/>
  <c r="K2197" i="2"/>
  <c r="J2197" i="2"/>
  <c r="K1897" i="2"/>
  <c r="L1897" i="2"/>
  <c r="L1849" i="2"/>
  <c r="J1849" i="2"/>
  <c r="L1801" i="2"/>
  <c r="K1801" i="2"/>
  <c r="J1801" i="2"/>
  <c r="K1513" i="2"/>
  <c r="L1513" i="2"/>
  <c r="J1513" i="2"/>
  <c r="L1381" i="2"/>
  <c r="J1381" i="2"/>
  <c r="L937" i="2"/>
  <c r="K937" i="2"/>
  <c r="J937" i="2"/>
  <c r="L649" i="2"/>
  <c r="L541" i="2"/>
  <c r="K541" i="2"/>
  <c r="J541" i="2"/>
  <c r="K505" i="2"/>
  <c r="J505" i="2"/>
  <c r="J469" i="2"/>
  <c r="K469" i="2"/>
  <c r="L469" i="2" s="1"/>
  <c r="L181" i="2"/>
  <c r="J181" i="2"/>
  <c r="J2762" i="2"/>
  <c r="K3756" i="2"/>
  <c r="J3756" i="2"/>
  <c r="L3756" i="2" s="1"/>
  <c r="K3216" i="2"/>
  <c r="J3216" i="2"/>
  <c r="K2724" i="2"/>
  <c r="J2724" i="2"/>
  <c r="L2724" i="2" s="1"/>
  <c r="L2520" i="2"/>
  <c r="K2520" i="2"/>
  <c r="L2352" i="2"/>
  <c r="J2352" i="2"/>
  <c r="K2196" i="2"/>
  <c r="J2196" i="2"/>
  <c r="L2196" i="2"/>
  <c r="K2112" i="2"/>
  <c r="J2112" i="2"/>
  <c r="L2112" i="2" s="1"/>
  <c r="K1692" i="2"/>
  <c r="J1692" i="2"/>
  <c r="K1632" i="2"/>
  <c r="L1632" i="2"/>
  <c r="K1620" i="2"/>
  <c r="J1620" i="2"/>
  <c r="J3687" i="2"/>
  <c r="J3327" i="2"/>
  <c r="L3327" i="2" s="1"/>
  <c r="J3074" i="2"/>
  <c r="J2798" i="2"/>
  <c r="L2798" i="2" s="1"/>
  <c r="J2438" i="2"/>
  <c r="J1994" i="2"/>
  <c r="L1994" i="2" s="1"/>
  <c r="J1634" i="2"/>
  <c r="K962" i="2"/>
  <c r="K3363" i="2"/>
  <c r="L2666" i="2"/>
  <c r="L2030" i="2"/>
  <c r="J3146" i="2"/>
  <c r="L3146" i="2" s="1"/>
  <c r="J2869" i="2"/>
  <c r="L2869" i="2" s="1"/>
  <c r="J2702" i="2"/>
  <c r="J626" i="2"/>
  <c r="K1898" i="2"/>
  <c r="K2546" i="2"/>
  <c r="K3386" i="2"/>
  <c r="L3386" i="2" s="1"/>
  <c r="J3674" i="2"/>
  <c r="J3457" i="2"/>
  <c r="J3171" i="2"/>
  <c r="L3171" i="2" s="1"/>
  <c r="J2568" i="2"/>
  <c r="L2568" i="2" s="1"/>
  <c r="L1912" i="2"/>
  <c r="J1371" i="2"/>
  <c r="J1070" i="2"/>
  <c r="J337" i="2"/>
  <c r="K230" i="2"/>
  <c r="K649" i="2"/>
  <c r="K902" i="2"/>
  <c r="K1178" i="2"/>
  <c r="K1646" i="2"/>
  <c r="L1646" i="2" s="1"/>
  <c r="K3230" i="2"/>
  <c r="L3579" i="2"/>
  <c r="L2882" i="2"/>
  <c r="L1586" i="2"/>
  <c r="L855" i="2"/>
  <c r="L3496" i="2"/>
  <c r="L392" i="2"/>
  <c r="K1452" i="2"/>
  <c r="J1452" i="2"/>
  <c r="L1380" i="2"/>
  <c r="K1380" i="2"/>
  <c r="J1152" i="2"/>
  <c r="K1152" i="2"/>
  <c r="L1152" i="2" s="1"/>
  <c r="J228" i="2"/>
  <c r="L228" i="2"/>
  <c r="L2825" i="2"/>
  <c r="L2612" i="2"/>
  <c r="K1930" i="2"/>
  <c r="L1930" i="2" s="1"/>
  <c r="K3129" i="2"/>
  <c r="J3129" i="2"/>
  <c r="L3129" i="2" s="1"/>
  <c r="K2901" i="2"/>
  <c r="J2901" i="2"/>
  <c r="L2901" i="2" s="1"/>
  <c r="K2505" i="2"/>
  <c r="L2505" i="2"/>
  <c r="K2025" i="2"/>
  <c r="L2025" i="2"/>
  <c r="J1293" i="2"/>
  <c r="K1293" i="2"/>
  <c r="K549" i="2"/>
  <c r="J549" i="2"/>
  <c r="J261" i="2"/>
  <c r="K261" i="2"/>
  <c r="K334" i="2"/>
  <c r="L334" i="2" s="1"/>
  <c r="L2301" i="2"/>
  <c r="L3164" i="2"/>
  <c r="K3164" i="2"/>
  <c r="K2936" i="2"/>
  <c r="L2936" i="2"/>
  <c r="J2780" i="2"/>
  <c r="L2780" i="2" s="1"/>
  <c r="K2780" i="2"/>
  <c r="K2708" i="2"/>
  <c r="J2708" i="2"/>
  <c r="L2708" i="2" s="1"/>
  <c r="K2636" i="2"/>
  <c r="L2636" i="2"/>
  <c r="K2600" i="2"/>
  <c r="J2600" i="2"/>
  <c r="J2552" i="2"/>
  <c r="K2552" i="2"/>
  <c r="K2528" i="2"/>
  <c r="L2528" i="2"/>
  <c r="J2528" i="2"/>
  <c r="K2516" i="2"/>
  <c r="L2516" i="2"/>
  <c r="K2504" i="2"/>
  <c r="J2504" i="2"/>
  <c r="L2480" i="2"/>
  <c r="J2480" i="2"/>
  <c r="L2468" i="2"/>
  <c r="K2444" i="2"/>
  <c r="J2444" i="2"/>
  <c r="J2408" i="2"/>
  <c r="L2408" i="2"/>
  <c r="L2396" i="2"/>
  <c r="K2384" i="2"/>
  <c r="L2384" i="2"/>
  <c r="K2372" i="2"/>
  <c r="L2372" i="2"/>
  <c r="L2360" i="2"/>
  <c r="K2360" i="2"/>
  <c r="J2360" i="2"/>
  <c r="K2276" i="2"/>
  <c r="J2276" i="2"/>
  <c r="K2216" i="2"/>
  <c r="L2216" i="2"/>
  <c r="L2180" i="2"/>
  <c r="K2180" i="2"/>
  <c r="J2180" i="2"/>
  <c r="L2168" i="2"/>
  <c r="K2168" i="2"/>
  <c r="L2144" i="2"/>
  <c r="K2144" i="2"/>
  <c r="L2132" i="2"/>
  <c r="K2132" i="2"/>
  <c r="K2108" i="2"/>
  <c r="J2108" i="2"/>
  <c r="L2072" i="2"/>
  <c r="K2072" i="2"/>
  <c r="L2012" i="2"/>
  <c r="J2012" i="2"/>
  <c r="L2000" i="2"/>
  <c r="J2000" i="2"/>
  <c r="K2000" i="2"/>
  <c r="L1988" i="2"/>
  <c r="K1988" i="2"/>
  <c r="L1964" i="2"/>
  <c r="J1964" i="2"/>
  <c r="L1928" i="2"/>
  <c r="K1928" i="2"/>
  <c r="L1880" i="2"/>
  <c r="K1880" i="2"/>
  <c r="L1844" i="2"/>
  <c r="J1844" i="2"/>
  <c r="J1820" i="2"/>
  <c r="K1820" i="2"/>
  <c r="L1736" i="2"/>
  <c r="J1736" i="2"/>
  <c r="L1724" i="2"/>
  <c r="K1724" i="2"/>
  <c r="J1724" i="2"/>
  <c r="L1640" i="2"/>
  <c r="K1640" i="2"/>
  <c r="L1628" i="2"/>
  <c r="K1628" i="2"/>
  <c r="L1616" i="2"/>
  <c r="K1616" i="2"/>
  <c r="L1580" i="2"/>
  <c r="K1580" i="2"/>
  <c r="K1568" i="2"/>
  <c r="J1568" i="2"/>
  <c r="J1556" i="2"/>
  <c r="K1556" i="2"/>
  <c r="L1484" i="2"/>
  <c r="K1484" i="2"/>
  <c r="J1484" i="2"/>
  <c r="L1472" i="2"/>
  <c r="K1472" i="2"/>
  <c r="J1460" i="2"/>
  <c r="K1460" i="2"/>
  <c r="L1424" i="2"/>
  <c r="K1424" i="2"/>
  <c r="J1424" i="2"/>
  <c r="L1388" i="2"/>
  <c r="K1388" i="2"/>
  <c r="L1352" i="2"/>
  <c r="K1352" i="2"/>
  <c r="L1328" i="2"/>
  <c r="K1328" i="2"/>
  <c r="L1316" i="2"/>
  <c r="J1316" i="2"/>
  <c r="L1280" i="2"/>
  <c r="K1280" i="2"/>
  <c r="L1208" i="2"/>
  <c r="J1208" i="2"/>
  <c r="L1196" i="2"/>
  <c r="J1196" i="2"/>
  <c r="K1196" i="2"/>
  <c r="L1184" i="2"/>
  <c r="K1184" i="2"/>
  <c r="L1124" i="2"/>
  <c r="J1124" i="2"/>
  <c r="K1088" i="2"/>
  <c r="J1088" i="2"/>
  <c r="L1064" i="2"/>
  <c r="K1064" i="2"/>
  <c r="J1064" i="2"/>
  <c r="L1028" i="2"/>
  <c r="K1028" i="2"/>
  <c r="L992" i="2"/>
  <c r="K992" i="2"/>
  <c r="K968" i="2"/>
  <c r="J968" i="2"/>
  <c r="L968" i="2" s="1"/>
  <c r="K932" i="2"/>
  <c r="J932" i="2"/>
  <c r="L932" i="2" s="1"/>
  <c r="K920" i="2"/>
  <c r="L920" i="2" s="1"/>
  <c r="L908" i="2"/>
  <c r="K908" i="2"/>
  <c r="L896" i="2"/>
  <c r="J896" i="2"/>
  <c r="K872" i="2"/>
  <c r="J872" i="2"/>
  <c r="L860" i="2"/>
  <c r="L836" i="2"/>
  <c r="K836" i="2"/>
  <c r="J812" i="2"/>
  <c r="K812" i="2"/>
  <c r="L812" i="2" s="1"/>
  <c r="J776" i="2"/>
  <c r="K776" i="2"/>
  <c r="L776" i="2" s="1"/>
  <c r="J716" i="2"/>
  <c r="K716" i="2"/>
  <c r="J668" i="2"/>
  <c r="K668" i="2"/>
  <c r="L668" i="2" s="1"/>
  <c r="K656" i="2"/>
  <c r="L656" i="2"/>
  <c r="K644" i="2"/>
  <c r="J644" i="2"/>
  <c r="L632" i="2"/>
  <c r="K632" i="2"/>
  <c r="L596" i="2"/>
  <c r="K596" i="2"/>
  <c r="J596" i="2"/>
  <c r="L584" i="2"/>
  <c r="K584" i="2"/>
  <c r="K560" i="2"/>
  <c r="J560" i="2"/>
  <c r="L548" i="2"/>
  <c r="J548" i="2"/>
  <c r="L536" i="2"/>
  <c r="K536" i="2"/>
  <c r="K500" i="2"/>
  <c r="L500" i="2"/>
  <c r="L488" i="2"/>
  <c r="J488" i="2"/>
  <c r="L476" i="2"/>
  <c r="L440" i="2"/>
  <c r="J440" i="2"/>
  <c r="K440" i="2"/>
  <c r="K368" i="2"/>
  <c r="L368" i="2" s="1"/>
  <c r="J368" i="2"/>
  <c r="L332" i="2"/>
  <c r="J320" i="2"/>
  <c r="L320" i="2" s="1"/>
  <c r="L308" i="2"/>
  <c r="J308" i="2"/>
  <c r="K308" i="2"/>
  <c r="J284" i="2"/>
  <c r="K284" i="2"/>
  <c r="L284" i="2" s="1"/>
  <c r="L260" i="2"/>
  <c r="K260" i="2"/>
  <c r="K224" i="2"/>
  <c r="L224" i="2"/>
  <c r="J224" i="2"/>
  <c r="K212" i="2"/>
  <c r="L212" i="2"/>
  <c r="J212" i="2"/>
  <c r="K200" i="2"/>
  <c r="J200" i="2"/>
  <c r="J152" i="2"/>
  <c r="K152" i="2"/>
  <c r="J116" i="2"/>
  <c r="K116" i="2"/>
  <c r="K80" i="2"/>
  <c r="L80" i="2"/>
  <c r="J80" i="2"/>
  <c r="L20" i="2"/>
  <c r="J20" i="2"/>
  <c r="L8" i="2"/>
  <c r="K8" i="2"/>
  <c r="J3188" i="2"/>
  <c r="L3188" i="2" s="1"/>
  <c r="J2850" i="2"/>
  <c r="J2479" i="2"/>
  <c r="J2420" i="2"/>
  <c r="J2384" i="2"/>
  <c r="J2288" i="2"/>
  <c r="L2288" i="2" s="1"/>
  <c r="J2240" i="2"/>
  <c r="L2240" i="2" s="1"/>
  <c r="J1892" i="2"/>
  <c r="J1380" i="2"/>
  <c r="J992" i="2"/>
  <c r="J404" i="2"/>
  <c r="L404" i="2" s="1"/>
  <c r="J44" i="2"/>
  <c r="K272" i="2"/>
  <c r="K740" i="2"/>
  <c r="K1004" i="2"/>
  <c r="L1004" i="2" s="1"/>
  <c r="K1208" i="2"/>
  <c r="K1542" i="2"/>
  <c r="K2300" i="2"/>
  <c r="L2300" i="2" s="1"/>
  <c r="K2408" i="2"/>
  <c r="K3306" i="2"/>
  <c r="L1452" i="2"/>
  <c r="L572" i="2"/>
  <c r="L152" i="2"/>
  <c r="K1308" i="2"/>
  <c r="J1308" i="2"/>
  <c r="J1116" i="2"/>
  <c r="K1116" i="2"/>
  <c r="L2613" i="2"/>
  <c r="K2613" i="2"/>
  <c r="K2337" i="2"/>
  <c r="J2337" i="2"/>
  <c r="K2265" i="2"/>
  <c r="L2265" i="2"/>
  <c r="K1401" i="2"/>
  <c r="J1401" i="2"/>
  <c r="L1137" i="2"/>
  <c r="K1137" i="2"/>
  <c r="L633" i="2"/>
  <c r="K633" i="2"/>
  <c r="L465" i="2"/>
  <c r="J465" i="2"/>
  <c r="J285" i="2"/>
  <c r="K285" i="2"/>
  <c r="L285" i="2"/>
  <c r="L201" i="2"/>
  <c r="K201" i="2"/>
  <c r="L153" i="2"/>
  <c r="K153" i="2"/>
  <c r="K3559" i="2"/>
  <c r="J3559" i="2"/>
  <c r="L3487" i="2"/>
  <c r="K3487" i="2"/>
  <c r="J3295" i="2"/>
  <c r="K3295" i="2"/>
  <c r="L2959" i="2"/>
  <c r="J2959" i="2"/>
  <c r="L2923" i="2"/>
  <c r="K2923" i="2"/>
  <c r="L2851" i="2"/>
  <c r="K2851" i="2"/>
  <c r="K2791" i="2"/>
  <c r="J2791" i="2"/>
  <c r="L2791" i="2" s="1"/>
  <c r="J2743" i="2"/>
  <c r="K2743" i="2"/>
  <c r="L2743" i="2"/>
  <c r="J2287" i="2"/>
  <c r="L2287" i="2"/>
  <c r="K2059" i="2"/>
  <c r="L2059" i="2"/>
  <c r="K1771" i="2"/>
  <c r="J1771" i="2"/>
  <c r="L1771" i="2" s="1"/>
  <c r="L1759" i="2"/>
  <c r="K1759" i="2"/>
  <c r="K1735" i="2"/>
  <c r="L1735" i="2"/>
  <c r="L1711" i="2"/>
  <c r="K1711" i="2"/>
  <c r="K1399" i="2"/>
  <c r="J1399" i="2"/>
  <c r="L1243" i="2"/>
  <c r="K1243" i="2"/>
  <c r="L859" i="2"/>
  <c r="J859" i="2"/>
  <c r="K751" i="2"/>
  <c r="J751" i="2"/>
  <c r="L751" i="2" s="1"/>
  <c r="K439" i="2"/>
  <c r="J439" i="2"/>
  <c r="L319" i="2"/>
  <c r="J319" i="2"/>
  <c r="J283" i="2"/>
  <c r="K283" i="2"/>
  <c r="L283" i="2" s="1"/>
  <c r="K139" i="2"/>
  <c r="J139" i="2"/>
  <c r="L3737" i="2"/>
  <c r="J3499" i="2"/>
  <c r="L3499" i="2" s="1"/>
  <c r="J2576" i="2"/>
  <c r="J2478" i="2"/>
  <c r="L2478" i="2" s="1"/>
  <c r="J1891" i="2"/>
  <c r="J1784" i="2"/>
  <c r="J1747" i="2"/>
  <c r="L1747" i="2" s="1"/>
  <c r="J1676" i="2"/>
  <c r="L1676" i="2" s="1"/>
  <c r="J1580" i="2"/>
  <c r="J1412" i="2"/>
  <c r="L1412" i="2" s="1"/>
  <c r="J1148" i="2"/>
  <c r="L1148" i="2" s="1"/>
  <c r="J1040" i="2"/>
  <c r="J990" i="2"/>
  <c r="K32" i="2"/>
  <c r="K92" i="2"/>
  <c r="L92" i="2" s="1"/>
  <c r="K464" i="2"/>
  <c r="K572" i="2"/>
  <c r="K752" i="2"/>
  <c r="L752" i="2" s="1"/>
  <c r="K1090" i="2"/>
  <c r="K1160" i="2"/>
  <c r="L1160" i="2" s="1"/>
  <c r="K1488" i="2"/>
  <c r="K1700" i="2"/>
  <c r="L1040" i="2"/>
  <c r="L560" i="2"/>
  <c r="L1476" i="2"/>
  <c r="J1476" i="2"/>
  <c r="J1044" i="2"/>
  <c r="K1044" i="2"/>
  <c r="J804" i="2"/>
  <c r="K804" i="2"/>
  <c r="L804" i="2"/>
  <c r="J684" i="2"/>
  <c r="L684" i="2"/>
  <c r="J1488" i="2"/>
  <c r="K3726" i="2"/>
  <c r="L3726" i="2" s="1"/>
  <c r="K3630" i="2"/>
  <c r="J3630" i="2"/>
  <c r="L3582" i="2"/>
  <c r="K3582" i="2"/>
  <c r="K3510" i="2"/>
  <c r="L3510" i="2"/>
  <c r="J3294" i="2"/>
  <c r="L3294" i="2"/>
  <c r="K3258" i="2"/>
  <c r="L3258" i="2"/>
  <c r="J3138" i="2"/>
  <c r="K3138" i="2"/>
  <c r="J2670" i="2"/>
  <c r="K2670" i="2"/>
  <c r="L2670" i="2" s="1"/>
  <c r="L2454" i="2"/>
  <c r="K2454" i="2"/>
  <c r="K1770" i="2"/>
  <c r="J1770" i="2"/>
  <c r="L1302" i="2"/>
  <c r="K1302" i="2"/>
  <c r="L1278" i="2"/>
  <c r="K1278" i="2"/>
  <c r="J1278" i="2"/>
  <c r="L1242" i="2"/>
  <c r="K1242" i="2"/>
  <c r="L1182" i="2"/>
  <c r="K1182" i="2"/>
  <c r="K1050" i="2"/>
  <c r="J1050" i="2"/>
  <c r="L750" i="2"/>
  <c r="J750" i="2"/>
  <c r="L726" i="2"/>
  <c r="J726" i="2"/>
  <c r="L522" i="2"/>
  <c r="J522" i="2"/>
  <c r="J450" i="2"/>
  <c r="K450" i="2"/>
  <c r="L450" i="2" s="1"/>
  <c r="L402" i="2"/>
  <c r="J402" i="2"/>
  <c r="J3462" i="2"/>
  <c r="J2443" i="2"/>
  <c r="J2312" i="2"/>
  <c r="L2312" i="2" s="1"/>
  <c r="L1997" i="2"/>
  <c r="J1472" i="2"/>
  <c r="J800" i="2"/>
  <c r="J500" i="2"/>
  <c r="J260" i="2"/>
  <c r="J32" i="2"/>
  <c r="K465" i="2"/>
  <c r="K516" i="2"/>
  <c r="L516" i="2" s="1"/>
  <c r="K810" i="2"/>
  <c r="L810" i="2" s="1"/>
  <c r="K895" i="2"/>
  <c r="K1784" i="2"/>
  <c r="K3462" i="2"/>
  <c r="L2553" i="2"/>
  <c r="L2444" i="2"/>
  <c r="L2264" i="2"/>
  <c r="K3701" i="2"/>
  <c r="L3701" i="2" s="1"/>
  <c r="L3677" i="2"/>
  <c r="K3557" i="2"/>
  <c r="L3557" i="2" s="1"/>
  <c r="L3545" i="2"/>
  <c r="K3545" i="2"/>
  <c r="L3533" i="2"/>
  <c r="K3533" i="2"/>
  <c r="K3401" i="2"/>
  <c r="J3401" i="2"/>
  <c r="J3377" i="2"/>
  <c r="K3377" i="2"/>
  <c r="L3281" i="2"/>
  <c r="K3281" i="2"/>
  <c r="J3209" i="2"/>
  <c r="L3209" i="2"/>
  <c r="K3137" i="2"/>
  <c r="L3137" i="2"/>
  <c r="J3125" i="2"/>
  <c r="K3125" i="2"/>
  <c r="K3065" i="2"/>
  <c r="L3065" i="2" s="1"/>
  <c r="K3017" i="2"/>
  <c r="J3017" i="2"/>
  <c r="K2969" i="2"/>
  <c r="L2969" i="2"/>
  <c r="L2957" i="2"/>
  <c r="K2957" i="2"/>
  <c r="L2897" i="2"/>
  <c r="K2897" i="2"/>
  <c r="J2885" i="2"/>
  <c r="L2885" i="2"/>
  <c r="L2849" i="2"/>
  <c r="K2849" i="2"/>
  <c r="J2813" i="2"/>
  <c r="L2813" i="2"/>
  <c r="J2573" i="2"/>
  <c r="K2573" i="2"/>
  <c r="L2561" i="2"/>
  <c r="J2561" i="2"/>
  <c r="L2537" i="2"/>
  <c r="K2537" i="2"/>
  <c r="J2501" i="2"/>
  <c r="K2501" i="2"/>
  <c r="K2453" i="2"/>
  <c r="L2453" i="2" s="1"/>
  <c r="L2429" i="2"/>
  <c r="K2429" i="2"/>
  <c r="L2393" i="2"/>
  <c r="K2393" i="2"/>
  <c r="K2381" i="2"/>
  <c r="L2381" i="2" s="1"/>
  <c r="K2321" i="2"/>
  <c r="L2321" i="2"/>
  <c r="L2309" i="2"/>
  <c r="K2309" i="2"/>
  <c r="K2285" i="2"/>
  <c r="L2285" i="2"/>
  <c r="J2285" i="2"/>
  <c r="J2177" i="2"/>
  <c r="L2177" i="2"/>
  <c r="L2165" i="2"/>
  <c r="J2165" i="2"/>
  <c r="J2105" i="2"/>
  <c r="K2105" i="2"/>
  <c r="J2081" i="2"/>
  <c r="K2081" i="2"/>
  <c r="L2021" i="2"/>
  <c r="K2021" i="2"/>
  <c r="L1985" i="2"/>
  <c r="K1985" i="2"/>
  <c r="J1985" i="2"/>
  <c r="K1913" i="2"/>
  <c r="J1913" i="2"/>
  <c r="K1889" i="2"/>
  <c r="J1889" i="2"/>
  <c r="L1889" i="2" s="1"/>
  <c r="L1865" i="2"/>
  <c r="K1865" i="2"/>
  <c r="K1841" i="2"/>
  <c r="J1841" i="2"/>
  <c r="L1841" i="2"/>
  <c r="K1817" i="2"/>
  <c r="J1817" i="2"/>
  <c r="J1793" i="2"/>
  <c r="K1793" i="2"/>
  <c r="K1769" i="2"/>
  <c r="L1769" i="2"/>
  <c r="J1769" i="2"/>
  <c r="K1745" i="2"/>
  <c r="J1745" i="2"/>
  <c r="L1745" i="2" s="1"/>
  <c r="L1721" i="2"/>
  <c r="K1721" i="2"/>
  <c r="L1685" i="2"/>
  <c r="K1685" i="2"/>
  <c r="K1661" i="2"/>
  <c r="L1661" i="2"/>
  <c r="J1637" i="2"/>
  <c r="K1637" i="2"/>
  <c r="K1601" i="2"/>
  <c r="J1601" i="2"/>
  <c r="J1553" i="2"/>
  <c r="K1553" i="2"/>
  <c r="L1553" i="2"/>
  <c r="K1529" i="2"/>
  <c r="L1529" i="2" s="1"/>
  <c r="J1529" i="2"/>
  <c r="L1445" i="2"/>
  <c r="K1445" i="2"/>
  <c r="L1421" i="2"/>
  <c r="K1421" i="2"/>
  <c r="K1373" i="2"/>
  <c r="J1373" i="2"/>
  <c r="K1337" i="2"/>
  <c r="L1337" i="2"/>
  <c r="L1289" i="2"/>
  <c r="K1289" i="2"/>
  <c r="L1277" i="2"/>
  <c r="K1277" i="2"/>
  <c r="L1253" i="2"/>
  <c r="K1253" i="2"/>
  <c r="J1241" i="2"/>
  <c r="K1241" i="2"/>
  <c r="K1229" i="2"/>
  <c r="J1229" i="2"/>
  <c r="L1229" i="2" s="1"/>
  <c r="L1217" i="2"/>
  <c r="K1217" i="2"/>
  <c r="L1169" i="2"/>
  <c r="K1169" i="2"/>
  <c r="L1145" i="2"/>
  <c r="K1145" i="2"/>
  <c r="K1109" i="2"/>
  <c r="L1109" i="2"/>
  <c r="J1061" i="2"/>
  <c r="K1061" i="2"/>
  <c r="L1061" i="2" s="1"/>
  <c r="J1013" i="2"/>
  <c r="K1013" i="2"/>
  <c r="L1013" i="2" s="1"/>
  <c r="L989" i="2"/>
  <c r="K989" i="2"/>
  <c r="J989" i="2"/>
  <c r="L965" i="2"/>
  <c r="J965" i="2"/>
  <c r="L953" i="2"/>
  <c r="J953" i="2"/>
  <c r="K905" i="2"/>
  <c r="J905" i="2"/>
  <c r="L833" i="2"/>
  <c r="K833" i="2"/>
  <c r="K737" i="2"/>
  <c r="L737" i="2"/>
  <c r="J737" i="2"/>
  <c r="L725" i="2"/>
  <c r="J725" i="2"/>
  <c r="L689" i="2"/>
  <c r="J689" i="2"/>
  <c r="L677" i="2"/>
  <c r="J677" i="2"/>
  <c r="L665" i="2"/>
  <c r="K665" i="2"/>
  <c r="J629" i="2"/>
  <c r="K629" i="2"/>
  <c r="L629" i="2" s="1"/>
  <c r="K617" i="2"/>
  <c r="J617" i="2"/>
  <c r="K581" i="2"/>
  <c r="J581" i="2"/>
  <c r="K545" i="2"/>
  <c r="L545" i="2"/>
  <c r="L521" i="2"/>
  <c r="J521" i="2"/>
  <c r="K461" i="2"/>
  <c r="J461" i="2"/>
  <c r="L449" i="2"/>
  <c r="J449" i="2"/>
  <c r="J437" i="2"/>
  <c r="L437" i="2" s="1"/>
  <c r="K437" i="2"/>
  <c r="L425" i="2"/>
  <c r="K425" i="2"/>
  <c r="J425" i="2"/>
  <c r="L401" i="2"/>
  <c r="K401" i="2"/>
  <c r="K317" i="2"/>
  <c r="L317" i="2"/>
  <c r="L281" i="2"/>
  <c r="K281" i="2"/>
  <c r="L269" i="2"/>
  <c r="K269" i="2"/>
  <c r="L257" i="2"/>
  <c r="J257" i="2"/>
  <c r="L245" i="2"/>
  <c r="J245" i="2"/>
  <c r="K245" i="2"/>
  <c r="J161" i="2"/>
  <c r="L161" i="2" s="1"/>
  <c r="K161" i="2"/>
  <c r="K137" i="2"/>
  <c r="J137" i="2"/>
  <c r="L89" i="2"/>
  <c r="K89" i="2"/>
  <c r="L77" i="2"/>
  <c r="J77" i="2"/>
  <c r="J53" i="2"/>
  <c r="L53" i="2"/>
  <c r="J3640" i="2"/>
  <c r="L3640" i="2" s="1"/>
  <c r="J3604" i="2"/>
  <c r="L3604" i="2" s="1"/>
  <c r="J3245" i="2"/>
  <c r="J3088" i="2"/>
  <c r="L3088" i="2" s="1"/>
  <c r="J2993" i="2"/>
  <c r="L2993" i="2" s="1"/>
  <c r="J2933" i="2"/>
  <c r="J2897" i="2"/>
  <c r="J2861" i="2"/>
  <c r="J2836" i="2"/>
  <c r="J2777" i="2"/>
  <c r="J2692" i="2"/>
  <c r="L2692" i="2" s="1"/>
  <c r="J2393" i="2"/>
  <c r="J1925" i="2"/>
  <c r="L1925" i="2" s="1"/>
  <c r="J1012" i="2"/>
  <c r="J893" i="2"/>
  <c r="L893" i="2" s="1"/>
  <c r="J797" i="2"/>
  <c r="J365" i="2"/>
  <c r="J292" i="2"/>
  <c r="K65" i="2"/>
  <c r="K113" i="2"/>
  <c r="L113" i="2" s="1"/>
  <c r="K209" i="2"/>
  <c r="K869" i="2"/>
  <c r="L869" i="2" s="1"/>
  <c r="K1397" i="2"/>
  <c r="L1397" i="2" s="1"/>
  <c r="K1792" i="2"/>
  <c r="L1792" i="2" s="1"/>
  <c r="K2417" i="2"/>
  <c r="K2645" i="2"/>
  <c r="K2813" i="2"/>
  <c r="K2933" i="2"/>
  <c r="K3161" i="2"/>
  <c r="L3161" i="2" s="1"/>
  <c r="K3244" i="2"/>
  <c r="L3244" i="2" s="1"/>
  <c r="L2644" i="2"/>
  <c r="L2272" i="2"/>
  <c r="L1469" i="2"/>
  <c r="L761" i="2"/>
  <c r="J3796" i="2"/>
  <c r="K3796" i="2"/>
  <c r="L3796" i="2" s="1"/>
  <c r="K3760" i="2"/>
  <c r="J3760" i="2"/>
  <c r="L3700" i="2"/>
  <c r="J3700" i="2"/>
  <c r="K3700" i="2"/>
  <c r="L3664" i="2"/>
  <c r="K3664" i="2"/>
  <c r="K3616" i="2"/>
  <c r="L3616" i="2"/>
  <c r="L3568" i="2"/>
  <c r="K3472" i="2"/>
  <c r="L3472" i="2"/>
  <c r="L3460" i="2"/>
  <c r="K3460" i="2"/>
  <c r="K3448" i="2"/>
  <c r="L3448" i="2"/>
  <c r="K3412" i="2"/>
  <c r="L3412" i="2"/>
  <c r="J3364" i="2"/>
  <c r="K3364" i="2"/>
  <c r="K3340" i="2"/>
  <c r="J3340" i="2"/>
  <c r="L3340" i="2" s="1"/>
  <c r="K3316" i="2"/>
  <c r="L3316" i="2"/>
  <c r="J3280" i="2"/>
  <c r="K3280" i="2"/>
  <c r="J3220" i="2"/>
  <c r="K3220" i="2"/>
  <c r="L3220" i="2" s="1"/>
  <c r="K3208" i="2"/>
  <c r="L3208" i="2"/>
  <c r="K3184" i="2"/>
  <c r="L3184" i="2"/>
  <c r="K3136" i="2"/>
  <c r="L3136" i="2"/>
  <c r="J3136" i="2"/>
  <c r="L3112" i="2"/>
  <c r="K3028" i="2"/>
  <c r="L3028" i="2"/>
  <c r="L2956" i="2"/>
  <c r="J2956" i="2"/>
  <c r="K2956" i="2"/>
  <c r="L2920" i="2"/>
  <c r="K2920" i="2"/>
  <c r="J2884" i="2"/>
  <c r="K2884" i="2"/>
  <c r="K2872" i="2"/>
  <c r="L2872" i="2" s="1"/>
  <c r="J2788" i="2"/>
  <c r="K2788" i="2"/>
  <c r="L2740" i="2"/>
  <c r="K2740" i="2"/>
  <c r="J2728" i="2"/>
  <c r="K2728" i="2"/>
  <c r="L2632" i="2"/>
  <c r="K2632" i="2"/>
  <c r="K2620" i="2"/>
  <c r="L2620" i="2"/>
  <c r="L2548" i="2"/>
  <c r="K2548" i="2"/>
  <c r="K2512" i="2"/>
  <c r="L2512" i="2"/>
  <c r="J2500" i="2"/>
  <c r="K2500" i="2"/>
  <c r="J2488" i="2"/>
  <c r="K2488" i="2"/>
  <c r="L2392" i="2"/>
  <c r="K2392" i="2"/>
  <c r="L2380" i="2"/>
  <c r="K2380" i="2"/>
  <c r="K2320" i="2"/>
  <c r="L2320" i="2"/>
  <c r="L2284" i="2"/>
  <c r="K2284" i="2"/>
  <c r="J2260" i="2"/>
  <c r="K2260" i="2"/>
  <c r="K2236" i="2"/>
  <c r="J2236" i="2"/>
  <c r="J2212" i="2"/>
  <c r="L2212" i="2"/>
  <c r="J2164" i="2"/>
  <c r="L2164" i="2" s="1"/>
  <c r="K2152" i="2"/>
  <c r="L2152" i="2" s="1"/>
  <c r="J2104" i="2"/>
  <c r="L2104" i="2"/>
  <c r="K2092" i="2"/>
  <c r="L2092" i="2"/>
  <c r="L2080" i="2"/>
  <c r="K2080" i="2"/>
  <c r="J2080" i="2"/>
  <c r="L2056" i="2"/>
  <c r="J2056" i="2"/>
  <c r="K2044" i="2"/>
  <c r="L2044" i="2"/>
  <c r="L2020" i="2"/>
  <c r="K2020" i="2"/>
  <c r="K1984" i="2"/>
  <c r="L1984" i="2"/>
  <c r="L1948" i="2"/>
  <c r="K1948" i="2"/>
  <c r="K1864" i="2"/>
  <c r="L1864" i="2"/>
  <c r="L1804" i="2"/>
  <c r="K1804" i="2"/>
  <c r="L1768" i="2"/>
  <c r="K1768" i="2"/>
  <c r="J1696" i="2"/>
  <c r="L1696" i="2" s="1"/>
  <c r="L1684" i="2"/>
  <c r="K1684" i="2"/>
  <c r="K1672" i="2"/>
  <c r="J1672" i="2"/>
  <c r="L1672" i="2" s="1"/>
  <c r="L1648" i="2"/>
  <c r="K1648" i="2"/>
  <c r="K1600" i="2"/>
  <c r="L1600" i="2"/>
  <c r="J1600" i="2"/>
  <c r="L1576" i="2"/>
  <c r="J1576" i="2"/>
  <c r="L1552" i="2"/>
  <c r="K1528" i="2"/>
  <c r="J1528" i="2"/>
  <c r="L1528" i="2" s="1"/>
  <c r="L1504" i="2"/>
  <c r="J1504" i="2"/>
  <c r="J1492" i="2"/>
  <c r="L1492" i="2"/>
  <c r="K1492" i="2"/>
  <c r="K1408" i="2"/>
  <c r="L1408" i="2"/>
  <c r="J1408" i="2"/>
  <c r="K1336" i="2"/>
  <c r="J1336" i="2"/>
  <c r="L1336" i="2" s="1"/>
  <c r="K1288" i="2"/>
  <c r="J1288" i="2"/>
  <c r="L1288" i="2" s="1"/>
  <c r="L1264" i="2"/>
  <c r="K1264" i="2"/>
  <c r="L1228" i="2"/>
  <c r="K1168" i="2"/>
  <c r="J1168" i="2"/>
  <c r="J1156" i="2"/>
  <c r="L1156" i="2"/>
  <c r="K1156" i="2"/>
  <c r="K1108" i="2"/>
  <c r="J1108" i="2"/>
  <c r="L1108" i="2" s="1"/>
  <c r="L1072" i="2"/>
  <c r="J1060" i="2"/>
  <c r="K1060" i="2"/>
  <c r="K1036" i="2"/>
  <c r="J1036" i="2"/>
  <c r="L1036" i="2" s="1"/>
  <c r="J976" i="2"/>
  <c r="L976" i="2"/>
  <c r="K976" i="2"/>
  <c r="L952" i="2"/>
  <c r="K952" i="2"/>
  <c r="J928" i="2"/>
  <c r="K928" i="2"/>
  <c r="J868" i="2"/>
  <c r="L868" i="2"/>
  <c r="L844" i="2"/>
  <c r="J844" i="2"/>
  <c r="L796" i="2"/>
  <c r="K796" i="2"/>
  <c r="L772" i="2"/>
  <c r="K772" i="2"/>
  <c r="J760" i="2"/>
  <c r="L760" i="2" s="1"/>
  <c r="L640" i="2"/>
  <c r="J640" i="2"/>
  <c r="K628" i="2"/>
  <c r="J628" i="2"/>
  <c r="L628" i="2"/>
  <c r="J616" i="2"/>
  <c r="K616" i="2"/>
  <c r="L616" i="2" s="1"/>
  <c r="K448" i="2"/>
  <c r="J448" i="2"/>
  <c r="L400" i="2"/>
  <c r="J400" i="2"/>
  <c r="K400" i="2"/>
  <c r="K352" i="2"/>
  <c r="J352" i="2"/>
  <c r="J328" i="2"/>
  <c r="K328" i="2"/>
  <c r="K304" i="2"/>
  <c r="L304" i="2"/>
  <c r="L244" i="2"/>
  <c r="K244" i="2"/>
  <c r="J184" i="2"/>
  <c r="L184" i="2"/>
  <c r="K148" i="2"/>
  <c r="J148" i="2"/>
  <c r="L124" i="2"/>
  <c r="K124" i="2"/>
  <c r="J88" i="2"/>
  <c r="K88" i="2"/>
  <c r="L52" i="2"/>
  <c r="K52" i="2"/>
  <c r="J40" i="2"/>
  <c r="L40" i="2" s="1"/>
  <c r="K40" i="2"/>
  <c r="J3772" i="2"/>
  <c r="L3772" i="2" s="1"/>
  <c r="J3473" i="2"/>
  <c r="L3473" i="2" s="1"/>
  <c r="J3173" i="2"/>
  <c r="J2992" i="2"/>
  <c r="J2957" i="2"/>
  <c r="J2896" i="2"/>
  <c r="L2896" i="2" s="1"/>
  <c r="J2860" i="2"/>
  <c r="J2632" i="2"/>
  <c r="J2392" i="2"/>
  <c r="J1984" i="2"/>
  <c r="J1853" i="2"/>
  <c r="L1853" i="2" s="1"/>
  <c r="J1828" i="2"/>
  <c r="J1565" i="2"/>
  <c r="L1565" i="2" s="1"/>
  <c r="J1480" i="2"/>
  <c r="J1421" i="2"/>
  <c r="J1337" i="2"/>
  <c r="J1277" i="2"/>
  <c r="J1204" i="2"/>
  <c r="J796" i="2"/>
  <c r="K449" i="2"/>
  <c r="K677" i="2"/>
  <c r="K1301" i="2"/>
  <c r="K1937" i="2"/>
  <c r="L1937" i="2" s="1"/>
  <c r="K2212" i="2"/>
  <c r="K2273" i="2"/>
  <c r="L2273" i="2" s="1"/>
  <c r="K3353" i="2"/>
  <c r="L3353" i="2" s="1"/>
  <c r="L3124" i="2"/>
  <c r="L2501" i="2"/>
  <c r="L2129" i="2"/>
  <c r="L1973" i="2"/>
  <c r="L1637" i="2"/>
  <c r="L581" i="2"/>
  <c r="L448" i="2"/>
  <c r="L88" i="2"/>
  <c r="L2213" i="2"/>
  <c r="J2687" i="2"/>
  <c r="L2687" i="2"/>
  <c r="J2015" i="2"/>
  <c r="K2015" i="2"/>
  <c r="J1739" i="2"/>
  <c r="L1739" i="2" s="1"/>
  <c r="J1511" i="2"/>
  <c r="L1511" i="2"/>
  <c r="L1091" i="2"/>
  <c r="J1091" i="2"/>
  <c r="J911" i="2"/>
  <c r="K911" i="2"/>
  <c r="K887" i="2"/>
  <c r="L887" i="2"/>
  <c r="L875" i="2"/>
  <c r="J875" i="2"/>
  <c r="J719" i="2"/>
  <c r="K719" i="2"/>
  <c r="K599" i="2"/>
  <c r="J599" i="2"/>
  <c r="L599" i="2"/>
  <c r="K551" i="2"/>
  <c r="J551" i="2"/>
  <c r="L551" i="2" s="1"/>
  <c r="L503" i="2"/>
  <c r="J503" i="2"/>
  <c r="K395" i="2"/>
  <c r="L395" i="2"/>
  <c r="L383" i="2"/>
  <c r="J383" i="2"/>
  <c r="L167" i="2"/>
  <c r="K167" i="2"/>
  <c r="J1799" i="2"/>
  <c r="L1799" i="2" s="1"/>
  <c r="J935" i="2"/>
  <c r="L2831" i="2"/>
  <c r="L1290" i="2"/>
  <c r="K3696" i="2"/>
  <c r="L3696" i="2"/>
  <c r="J3696" i="2"/>
  <c r="J3720" i="2"/>
  <c r="K3720" i="2"/>
  <c r="K3684" i="2"/>
  <c r="L3672" i="2"/>
  <c r="K3672" i="2"/>
  <c r="J3672" i="2"/>
  <c r="J3648" i="2"/>
  <c r="K3648" i="2"/>
  <c r="K3612" i="2"/>
  <c r="L3612" i="2"/>
  <c r="L3576" i="2"/>
  <c r="K3576" i="2"/>
  <c r="L3468" i="2"/>
  <c r="K3468" i="2"/>
  <c r="K3432" i="2"/>
  <c r="K3372" i="2"/>
  <c r="J3372" i="2"/>
  <c r="K3348" i="2"/>
  <c r="K3300" i="2"/>
  <c r="K3252" i="2"/>
  <c r="J3252" i="2"/>
  <c r="K3156" i="2"/>
  <c r="J3156" i="2"/>
  <c r="L3156" i="2"/>
  <c r="L3096" i="2"/>
  <c r="K3096" i="2"/>
  <c r="J3096" i="2"/>
  <c r="K3012" i="2"/>
  <c r="J3012" i="2"/>
  <c r="L3012" i="2"/>
  <c r="K2964" i="2"/>
  <c r="K2892" i="2"/>
  <c r="J2892" i="2"/>
  <c r="J3619" i="2"/>
  <c r="L3619" i="2" s="1"/>
  <c r="K3564" i="2"/>
  <c r="L3564" i="2" s="1"/>
  <c r="J3564" i="2"/>
  <c r="K3540" i="2"/>
  <c r="K3456" i="2"/>
  <c r="J3456" i="2"/>
  <c r="L3456" i="2" s="1"/>
  <c r="J3396" i="2"/>
  <c r="K3396" i="2"/>
  <c r="J3324" i="2"/>
  <c r="K3324" i="2"/>
  <c r="K3312" i="2"/>
  <c r="J3312" i="2"/>
  <c r="L3312" i="2"/>
  <c r="K3276" i="2"/>
  <c r="L3276" i="2"/>
  <c r="L3240" i="2"/>
  <c r="J3240" i="2"/>
  <c r="J3168" i="2"/>
  <c r="K3168" i="2"/>
  <c r="L3132" i="2"/>
  <c r="K3132" i="2"/>
  <c r="K3120" i="2"/>
  <c r="J3120" i="2"/>
  <c r="J3084" i="2"/>
  <c r="K3084" i="2"/>
  <c r="L3084" i="2" s="1"/>
  <c r="K3060" i="2"/>
  <c r="L3024" i="2"/>
  <c r="J3024" i="2"/>
  <c r="K3024" i="2"/>
  <c r="K2916" i="2"/>
  <c r="J2880" i="2"/>
  <c r="L2880" i="2"/>
  <c r="J3300" i="2"/>
  <c r="K3607" i="2"/>
  <c r="J3607" i="2"/>
  <c r="K3583" i="2"/>
  <c r="J3583" i="2"/>
  <c r="L3583" i="2" s="1"/>
  <c r="L3547" i="2"/>
  <c r="J3547" i="2"/>
  <c r="K3511" i="2"/>
  <c r="K3475" i="2"/>
  <c r="L3475" i="2" s="1"/>
  <c r="K3367" i="2"/>
  <c r="J3367" i="2"/>
  <c r="K3199" i="2"/>
  <c r="L3199" i="2"/>
  <c r="K3151" i="2"/>
  <c r="L3151" i="2"/>
  <c r="K3079" i="2"/>
  <c r="L3079" i="2"/>
  <c r="K2767" i="2"/>
  <c r="J2767" i="2"/>
  <c r="K222" i="2"/>
  <c r="K3744" i="2"/>
  <c r="J3744" i="2"/>
  <c r="L3744" i="2"/>
  <c r="J2195" i="2"/>
  <c r="J1713" i="2"/>
  <c r="J1234" i="2"/>
  <c r="J418" i="2"/>
  <c r="K10" i="2"/>
  <c r="K2051" i="2"/>
  <c r="L2051" i="2" s="1"/>
  <c r="K3240" i="2"/>
  <c r="K3561" i="2"/>
  <c r="L2423" i="2"/>
  <c r="K3776" i="2"/>
  <c r="J3776" i="2"/>
  <c r="L3776" i="2" s="1"/>
  <c r="K3740" i="2"/>
  <c r="K3632" i="2"/>
  <c r="L3632" i="2"/>
  <c r="K3620" i="2"/>
  <c r="J3620" i="2"/>
  <c r="K3584" i="2"/>
  <c r="L3584" i="2"/>
  <c r="J3584" i="2"/>
  <c r="K3488" i="2"/>
  <c r="K3464" i="2"/>
  <c r="L3464" i="2"/>
  <c r="J3464" i="2"/>
  <c r="K3404" i="2"/>
  <c r="L3404" i="2"/>
  <c r="K3380" i="2"/>
  <c r="L3380" i="2"/>
  <c r="J3380" i="2"/>
  <c r="K3344" i="2"/>
  <c r="K3308" i="2"/>
  <c r="J3308" i="2"/>
  <c r="K3260" i="2"/>
  <c r="K3224" i="2"/>
  <c r="J3224" i="2"/>
  <c r="L3224" i="2" s="1"/>
  <c r="K3212" i="2"/>
  <c r="L3212" i="2"/>
  <c r="J3212" i="2"/>
  <c r="K3176" i="2"/>
  <c r="J3176" i="2"/>
  <c r="J3140" i="2"/>
  <c r="L3140" i="2"/>
  <c r="K3140" i="2"/>
  <c r="K3104" i="2"/>
  <c r="J3104" i="2"/>
  <c r="L3056" i="2"/>
  <c r="K3056" i="2"/>
  <c r="K3020" i="2"/>
  <c r="L3020" i="2"/>
  <c r="L2924" i="2"/>
  <c r="J2924" i="2"/>
  <c r="K2888" i="2"/>
  <c r="L2852" i="2"/>
  <c r="K2852" i="2"/>
  <c r="K2804" i="2"/>
  <c r="L2804" i="2"/>
  <c r="L2768" i="2"/>
  <c r="K2768" i="2"/>
  <c r="K2732" i="2"/>
  <c r="J2732" i="2"/>
  <c r="L2732" i="2" s="1"/>
  <c r="K2684" i="2"/>
  <c r="L2684" i="2" s="1"/>
  <c r="L56" i="2"/>
  <c r="J3204" i="2"/>
  <c r="J2952" i="2"/>
  <c r="K3643" i="2"/>
  <c r="L3643" i="2"/>
  <c r="J234" i="2"/>
  <c r="K234" i="2"/>
  <c r="K3769" i="2"/>
  <c r="J3745" i="2"/>
  <c r="K3709" i="2"/>
  <c r="L3709" i="2"/>
  <c r="K3673" i="2"/>
  <c r="L3673" i="2"/>
  <c r="J3673" i="2"/>
  <c r="K3780" i="2"/>
  <c r="K3624" i="2"/>
  <c r="J3624" i="2"/>
  <c r="J3600" i="2"/>
  <c r="K3600" i="2"/>
  <c r="K3552" i="2"/>
  <c r="J3552" i="2"/>
  <c r="L3552" i="2"/>
  <c r="L3528" i="2"/>
  <c r="K3528" i="2"/>
  <c r="J3492" i="2"/>
  <c r="K3492" i="2"/>
  <c r="L3492" i="2"/>
  <c r="K3444" i="2"/>
  <c r="J3444" i="2"/>
  <c r="J3408" i="2"/>
  <c r="K3408" i="2"/>
  <c r="L3408" i="2"/>
  <c r="K3384" i="2"/>
  <c r="K3336" i="2"/>
  <c r="J3336" i="2"/>
  <c r="K3288" i="2"/>
  <c r="L3288" i="2"/>
  <c r="L3264" i="2"/>
  <c r="K3264" i="2"/>
  <c r="J3264" i="2"/>
  <c r="K3180" i="2"/>
  <c r="K3144" i="2"/>
  <c r="L3144" i="2"/>
  <c r="J3144" i="2"/>
  <c r="K3072" i="2"/>
  <c r="J3072" i="2"/>
  <c r="K3000" i="2"/>
  <c r="L3000" i="2"/>
  <c r="J3000" i="2"/>
  <c r="K2976" i="2"/>
  <c r="J2940" i="2"/>
  <c r="L2940" i="2" s="1"/>
  <c r="K2940" i="2"/>
  <c r="K2928" i="2"/>
  <c r="J2928" i="2"/>
  <c r="L2928" i="2"/>
  <c r="J3588" i="2"/>
  <c r="J3360" i="2"/>
  <c r="J3108" i="2"/>
  <c r="L3108" i="2" s="1"/>
  <c r="K3480" i="2"/>
  <c r="K3661" i="2"/>
  <c r="L3661" i="2" s="1"/>
  <c r="L3480" i="2"/>
  <c r="L3420" i="2"/>
  <c r="L3216" i="2"/>
  <c r="L3072" i="2"/>
  <c r="J3791" i="2"/>
  <c r="L3791" i="2" s="1"/>
  <c r="J3767" i="2"/>
  <c r="K3743" i="2"/>
  <c r="J3743" i="2"/>
  <c r="K3719" i="2"/>
  <c r="K3671" i="2"/>
  <c r="L3671" i="2" s="1"/>
  <c r="L3623" i="2"/>
  <c r="J3623" i="2"/>
  <c r="K3623" i="2"/>
  <c r="K3575" i="2"/>
  <c r="J3515" i="2"/>
  <c r="L3515" i="2" s="1"/>
  <c r="L3491" i="2"/>
  <c r="K3491" i="2"/>
  <c r="L3467" i="2"/>
  <c r="K3467" i="2"/>
  <c r="J3467" i="2"/>
  <c r="K3431" i="2"/>
  <c r="L3431" i="2" s="1"/>
  <c r="K3419" i="2"/>
  <c r="L3335" i="2"/>
  <c r="K3335" i="2"/>
  <c r="J3335" i="2"/>
  <c r="J3311" i="2"/>
  <c r="L3311" i="2"/>
  <c r="K3311" i="2"/>
  <c r="K3299" i="2"/>
  <c r="J3299" i="2"/>
  <c r="L3299" i="2"/>
  <c r="K3275" i="2"/>
  <c r="K3251" i="2"/>
  <c r="K3227" i="2"/>
  <c r="K3179" i="2"/>
  <c r="J3155" i="2"/>
  <c r="L3155" i="2"/>
  <c r="K3155" i="2"/>
  <c r="L3119" i="2"/>
  <c r="K3119" i="2"/>
  <c r="K3095" i="2"/>
  <c r="K3071" i="2"/>
  <c r="J3071" i="2"/>
  <c r="L3047" i="2"/>
  <c r="K3047" i="2"/>
  <c r="K3023" i="2"/>
  <c r="K2999" i="2"/>
  <c r="J2999" i="2"/>
  <c r="L2999" i="2" s="1"/>
  <c r="K2987" i="2"/>
  <c r="L2939" i="2"/>
  <c r="K2939" i="2"/>
  <c r="J2927" i="2"/>
  <c r="K2891" i="2"/>
  <c r="J2891" i="2"/>
  <c r="J2867" i="2"/>
  <c r="K2867" i="2"/>
  <c r="L2867" i="2"/>
  <c r="L2819" i="2"/>
  <c r="J2819" i="2"/>
  <c r="L2795" i="2"/>
  <c r="K2795" i="2"/>
  <c r="J2771" i="2"/>
  <c r="L2771" i="2" s="1"/>
  <c r="K2771" i="2"/>
  <c r="L2747" i="2"/>
  <c r="K2747" i="2"/>
  <c r="J2723" i="2"/>
  <c r="L2723" i="2"/>
  <c r="K2699" i="2"/>
  <c r="K2675" i="2"/>
  <c r="K2651" i="2"/>
  <c r="K2639" i="2"/>
  <c r="J2639" i="2"/>
  <c r="L2639" i="2" s="1"/>
  <c r="L2615" i="2"/>
  <c r="J2615" i="2"/>
  <c r="J2591" i="2"/>
  <c r="J2579" i="2"/>
  <c r="L2579" i="2" s="1"/>
  <c r="K2555" i="2"/>
  <c r="J2555" i="2"/>
  <c r="L2531" i="2"/>
  <c r="K2531" i="2"/>
  <c r="J2531" i="2"/>
  <c r="J2519" i="2"/>
  <c r="L2519" i="2" s="1"/>
  <c r="K2459" i="2"/>
  <c r="J2459" i="2"/>
  <c r="L2459" i="2"/>
  <c r="J2447" i="2"/>
  <c r="L2447" i="2" s="1"/>
  <c r="K2447" i="2"/>
  <c r="K2387" i="2"/>
  <c r="L2387" i="2"/>
  <c r="J2375" i="2"/>
  <c r="K2375" i="2"/>
  <c r="L2327" i="2"/>
  <c r="J2327" i="2"/>
  <c r="J2303" i="2"/>
  <c r="L2303" i="2"/>
  <c r="K2279" i="2"/>
  <c r="L2279" i="2"/>
  <c r="J2279" i="2"/>
  <c r="J2243" i="2"/>
  <c r="L2243" i="2" s="1"/>
  <c r="L2171" i="2"/>
  <c r="J2171" i="2"/>
  <c r="J2147" i="2"/>
  <c r="K2147" i="2"/>
  <c r="L2147" i="2"/>
  <c r="L2099" i="2"/>
  <c r="K2099" i="2"/>
  <c r="L2075" i="2"/>
  <c r="K2075" i="2"/>
  <c r="J2063" i="2"/>
  <c r="L2063" i="2" s="1"/>
  <c r="K2039" i="2"/>
  <c r="J2003" i="2"/>
  <c r="K2003" i="2"/>
  <c r="K1979" i="2"/>
  <c r="J1979" i="2"/>
  <c r="K1955" i="2"/>
  <c r="L1931" i="2"/>
  <c r="K1931" i="2"/>
  <c r="J1931" i="2"/>
  <c r="L1907" i="2"/>
  <c r="J1907" i="2"/>
  <c r="L1871" i="2"/>
  <c r="K1871" i="2"/>
  <c r="K1847" i="2"/>
  <c r="L1847" i="2"/>
  <c r="J1847" i="2"/>
  <c r="K1823" i="2"/>
  <c r="J1823" i="2"/>
  <c r="J3384" i="2"/>
  <c r="J3359" i="2"/>
  <c r="J3275" i="2"/>
  <c r="L3275" i="2" s="1"/>
  <c r="K2327" i="2"/>
  <c r="K2880" i="2"/>
  <c r="K2952" i="2"/>
  <c r="K3516" i="2"/>
  <c r="L3601" i="2"/>
  <c r="J3790" i="2"/>
  <c r="J3694" i="2"/>
  <c r="K3694" i="2"/>
  <c r="L3694" i="2"/>
  <c r="J3658" i="2"/>
  <c r="L3658" i="2" s="1"/>
  <c r="J3622" i="2"/>
  <c r="K3622" i="2"/>
  <c r="L3586" i="2"/>
  <c r="J3586" i="2"/>
  <c r="L3550" i="2"/>
  <c r="J3550" i="2"/>
  <c r="K3550" i="2"/>
  <c r="L3514" i="2"/>
  <c r="K3514" i="2"/>
  <c r="J3514" i="2"/>
  <c r="J3502" i="2"/>
  <c r="K3502" i="2"/>
  <c r="L3466" i="2"/>
  <c r="J3466" i="2"/>
  <c r="K3466" i="2"/>
  <c r="J3418" i="2"/>
  <c r="K3418" i="2"/>
  <c r="L3382" i="2"/>
  <c r="J3382" i="2"/>
  <c r="L3370" i="2"/>
  <c r="J3370" i="2"/>
  <c r="K3370" i="2"/>
  <c r="L3334" i="2"/>
  <c r="J3334" i="2"/>
  <c r="L3298" i="2"/>
  <c r="J3298" i="2"/>
  <c r="K3298" i="2"/>
  <c r="J3286" i="2"/>
  <c r="L3286" i="2" s="1"/>
  <c r="K3286" i="2"/>
  <c r="K3250" i="2"/>
  <c r="J3250" i="2"/>
  <c r="L3250" i="2" s="1"/>
  <c r="L3214" i="2"/>
  <c r="K3214" i="2"/>
  <c r="J3214" i="2"/>
  <c r="L3190" i="2"/>
  <c r="J3190" i="2"/>
  <c r="K3190" i="2"/>
  <c r="L3166" i="2"/>
  <c r="J3166" i="2"/>
  <c r="K3166" i="2"/>
  <c r="J3130" i="2"/>
  <c r="K3130" i="2"/>
  <c r="J3094" i="2"/>
  <c r="K3094" i="2"/>
  <c r="J3058" i="2"/>
  <c r="K3058" i="2"/>
  <c r="J3046" i="2"/>
  <c r="K3046" i="2"/>
  <c r="L3010" i="2"/>
  <c r="J3010" i="2"/>
  <c r="K3010" i="2"/>
  <c r="L2974" i="2"/>
  <c r="K2974" i="2"/>
  <c r="J2974" i="2"/>
  <c r="J2950" i="2"/>
  <c r="K2950" i="2"/>
  <c r="L2914" i="2"/>
  <c r="J2914" i="2"/>
  <c r="K2914" i="2"/>
  <c r="L2890" i="2"/>
  <c r="J2890" i="2"/>
  <c r="K2890" i="2"/>
  <c r="J2854" i="2"/>
  <c r="K2854" i="2"/>
  <c r="K2830" i="2"/>
  <c r="J2830" i="2"/>
  <c r="J2806" i="2"/>
  <c r="L2806" i="2" s="1"/>
  <c r="L2770" i="2"/>
  <c r="J2770" i="2"/>
  <c r="K2770" i="2"/>
  <c r="J2746" i="2"/>
  <c r="K2746" i="2"/>
  <c r="L2710" i="2"/>
  <c r="J2710" i="2"/>
  <c r="K2710" i="2"/>
  <c r="J2698" i="2"/>
  <c r="L2698" i="2" s="1"/>
  <c r="K2698" i="2"/>
  <c r="J2662" i="2"/>
  <c r="J2626" i="2"/>
  <c r="J2590" i="2"/>
  <c r="K2590" i="2"/>
  <c r="L2554" i="2"/>
  <c r="J2554" i="2"/>
  <c r="K2554" i="2"/>
  <c r="J2518" i="2"/>
  <c r="K2518" i="2"/>
  <c r="J2482" i="2"/>
  <c r="J2446" i="2"/>
  <c r="L2446" i="2" s="1"/>
  <c r="K2446" i="2"/>
  <c r="J2410" i="2"/>
  <c r="K2410" i="2"/>
  <c r="J2374" i="2"/>
  <c r="K2374" i="2"/>
  <c r="J2338" i="2"/>
  <c r="J2326" i="2"/>
  <c r="L2326" i="2" s="1"/>
  <c r="L2290" i="2"/>
  <c r="J2290" i="2"/>
  <c r="K2254" i="2"/>
  <c r="J2254" i="2"/>
  <c r="L2254" i="2" s="1"/>
  <c r="L2218" i="2"/>
  <c r="J2218" i="2"/>
  <c r="J2182" i="2"/>
  <c r="K2182" i="2"/>
  <c r="L2182" i="2"/>
  <c r="J2146" i="2"/>
  <c r="K2146" i="2"/>
  <c r="J2122" i="2"/>
  <c r="K2122" i="2"/>
  <c r="L2122" i="2"/>
  <c r="J2098" i="2"/>
  <c r="K2098" i="2"/>
  <c r="L2098" i="2" s="1"/>
  <c r="L2062" i="2"/>
  <c r="J2062" i="2"/>
  <c r="J2026" i="2"/>
  <c r="K2026" i="2"/>
  <c r="J2002" i="2"/>
  <c r="L2002" i="2"/>
  <c r="J1978" i="2"/>
  <c r="K1978" i="2"/>
  <c r="J1954" i="2"/>
  <c r="K1954" i="2"/>
  <c r="J1918" i="2"/>
  <c r="J1894" i="2"/>
  <c r="K1894" i="2"/>
  <c r="J1846" i="2"/>
  <c r="L1846" i="2"/>
  <c r="K1846" i="2"/>
  <c r="L1774" i="2"/>
  <c r="J1774" i="2"/>
  <c r="K1774" i="2"/>
  <c r="J1546" i="2"/>
  <c r="K1546" i="2"/>
  <c r="L1546" i="2"/>
  <c r="K670" i="2"/>
  <c r="J670" i="2"/>
  <c r="L670" i="2" s="1"/>
  <c r="L646" i="2"/>
  <c r="K646" i="2"/>
  <c r="J550" i="2"/>
  <c r="K550" i="2"/>
  <c r="K514" i="2"/>
  <c r="J514" i="2"/>
  <c r="L478" i="2"/>
  <c r="K478" i="2"/>
  <c r="J406" i="2"/>
  <c r="L406" i="2"/>
  <c r="J3789" i="2"/>
  <c r="L3789" i="2" s="1"/>
  <c r="K3753" i="2"/>
  <c r="L3753" i="2"/>
  <c r="J3717" i="2"/>
  <c r="L3717" i="2" s="1"/>
  <c r="K3693" i="2"/>
  <c r="J3693" i="2"/>
  <c r="K3657" i="2"/>
  <c r="J3657" i="2"/>
  <c r="J3537" i="2"/>
  <c r="K3537" i="2"/>
  <c r="K3513" i="2"/>
  <c r="L3513" i="2"/>
  <c r="J3513" i="2"/>
  <c r="L3489" i="2"/>
  <c r="K3489" i="2"/>
  <c r="K3477" i="2"/>
  <c r="J3477" i="2"/>
  <c r="K3441" i="2"/>
  <c r="J3441" i="2"/>
  <c r="J3405" i="2"/>
  <c r="K3369" i="2"/>
  <c r="J3369" i="2"/>
  <c r="K3309" i="2"/>
  <c r="J3309" i="2"/>
  <c r="K3285" i="2"/>
  <c r="J3285" i="2"/>
  <c r="L3285" i="2"/>
  <c r="K3249" i="2"/>
  <c r="J3249" i="2"/>
  <c r="K3201" i="2"/>
  <c r="K3165" i="2"/>
  <c r="L3165" i="2"/>
  <c r="J3141" i="2"/>
  <c r="K3117" i="2"/>
  <c r="L3117" i="2" s="1"/>
  <c r="J3081" i="2"/>
  <c r="L3081" i="2"/>
  <c r="K3045" i="2"/>
  <c r="L3045" i="2"/>
  <c r="L3021" i="2"/>
  <c r="K3021" i="2"/>
  <c r="K2985" i="2"/>
  <c r="J2985" i="2"/>
  <c r="K2973" i="2"/>
  <c r="L2973" i="2"/>
  <c r="L2937" i="2"/>
  <c r="K2937" i="2"/>
  <c r="K2841" i="2"/>
  <c r="J2841" i="2"/>
  <c r="L2841" i="2"/>
  <c r="K2793" i="2"/>
  <c r="L2793" i="2"/>
  <c r="K2721" i="2"/>
  <c r="K2685" i="2"/>
  <c r="J2685" i="2"/>
  <c r="L2649" i="2"/>
  <c r="K2649" i="2"/>
  <c r="L2625" i="2"/>
  <c r="K2625" i="2"/>
  <c r="K2589" i="2"/>
  <c r="J2589" i="2"/>
  <c r="L2589" i="2" s="1"/>
  <c r="J2565" i="2"/>
  <c r="K2565" i="2"/>
  <c r="K2529" i="2"/>
  <c r="L2529" i="2"/>
  <c r="J2529" i="2"/>
  <c r="K2469" i="2"/>
  <c r="J2469" i="2"/>
  <c r="J2421" i="2"/>
  <c r="K2421" i="2"/>
  <c r="L2421" i="2" s="1"/>
  <c r="K2397" i="2"/>
  <c r="J2361" i="2"/>
  <c r="L2361" i="2" s="1"/>
  <c r="K2325" i="2"/>
  <c r="J2289" i="2"/>
  <c r="K2289" i="2"/>
  <c r="K2253" i="2"/>
  <c r="L2253" i="2"/>
  <c r="K2229" i="2"/>
  <c r="K2205" i="2"/>
  <c r="J2205" i="2"/>
  <c r="L2205" i="2" s="1"/>
  <c r="L2181" i="2"/>
  <c r="K2181" i="2"/>
  <c r="J2157" i="2"/>
  <c r="L2157" i="2" s="1"/>
  <c r="K2121" i="2"/>
  <c r="L2121" i="2"/>
  <c r="J2121" i="2"/>
  <c r="K2109" i="2"/>
  <c r="K2073" i="2"/>
  <c r="L2073" i="2" s="1"/>
  <c r="L2049" i="2"/>
  <c r="J2049" i="2"/>
  <c r="K2049" i="2"/>
  <c r="K2013" i="2"/>
  <c r="L2013" i="2" s="1"/>
  <c r="J1989" i="2"/>
  <c r="K1989" i="2"/>
  <c r="K1965" i="2"/>
  <c r="L1965" i="2"/>
  <c r="J1965" i="2"/>
  <c r="L1893" i="2"/>
  <c r="J1893" i="2"/>
  <c r="J1845" i="2"/>
  <c r="L1845" i="2" s="1"/>
  <c r="K1821" i="2"/>
  <c r="J1821" i="2"/>
  <c r="L1821" i="2" s="1"/>
  <c r="K1797" i="2"/>
  <c r="L1797" i="2"/>
  <c r="K1725" i="2"/>
  <c r="J1689" i="2"/>
  <c r="L1689" i="2" s="1"/>
  <c r="K1665" i="2"/>
  <c r="J1665" i="2"/>
  <c r="L1665" i="2" s="1"/>
  <c r="J1653" i="2"/>
  <c r="L1653" i="2"/>
  <c r="K1653" i="2"/>
  <c r="L1617" i="2"/>
  <c r="J1617" i="2"/>
  <c r="K1593" i="2"/>
  <c r="L1593" i="2" s="1"/>
  <c r="J1581" i="2"/>
  <c r="K1581" i="2"/>
  <c r="K1545" i="2"/>
  <c r="L1533" i="2"/>
  <c r="K1533" i="2"/>
  <c r="J1533" i="2"/>
  <c r="J1509" i="2"/>
  <c r="L1509" i="2" s="1"/>
  <c r="K1437" i="2"/>
  <c r="L1437" i="2" s="1"/>
  <c r="K1389" i="2"/>
  <c r="L1389" i="2"/>
  <c r="J1353" i="2"/>
  <c r="K1353" i="2"/>
  <c r="K1305" i="2"/>
  <c r="J1305" i="2"/>
  <c r="L1305" i="2" s="1"/>
  <c r="K1281" i="2"/>
  <c r="L1281" i="2"/>
  <c r="J1257" i="2"/>
  <c r="K1257" i="2"/>
  <c r="K1101" i="2"/>
  <c r="L1101" i="2"/>
  <c r="J1101" i="2"/>
  <c r="L1053" i="2"/>
  <c r="K1053" i="2"/>
  <c r="J1053" i="2"/>
  <c r="K1017" i="2"/>
  <c r="L1017" i="2"/>
  <c r="J969" i="2"/>
  <c r="K969" i="2"/>
  <c r="L969" i="2"/>
  <c r="L921" i="2"/>
  <c r="K921" i="2"/>
  <c r="J885" i="2"/>
  <c r="L885" i="2"/>
  <c r="K873" i="2"/>
  <c r="J873" i="2"/>
  <c r="J837" i="2"/>
  <c r="L837" i="2"/>
  <c r="K801" i="2"/>
  <c r="L801" i="2"/>
  <c r="J741" i="2"/>
  <c r="L741" i="2" s="1"/>
  <c r="K729" i="2"/>
  <c r="J729" i="2"/>
  <c r="K645" i="2"/>
  <c r="L645" i="2"/>
  <c r="J537" i="2"/>
  <c r="K477" i="2"/>
  <c r="J441" i="2"/>
  <c r="L441" i="2"/>
  <c r="L405" i="2"/>
  <c r="J405" i="2"/>
  <c r="L381" i="2"/>
  <c r="K381" i="2"/>
  <c r="L357" i="2"/>
  <c r="J357" i="2"/>
  <c r="L321" i="2"/>
  <c r="K321" i="2"/>
  <c r="J321" i="2"/>
  <c r="L309" i="2"/>
  <c r="K309" i="2"/>
  <c r="K273" i="2"/>
  <c r="L273" i="2" s="1"/>
  <c r="J249" i="2"/>
  <c r="L249" i="2"/>
  <c r="K225" i="2"/>
  <c r="L225" i="2"/>
  <c r="K189" i="2"/>
  <c r="J189" i="2"/>
  <c r="L189" i="2"/>
  <c r="J129" i="2"/>
  <c r="L129" i="2"/>
  <c r="K93" i="2"/>
  <c r="L93" i="2" s="1"/>
  <c r="K9" i="2"/>
  <c r="J3419" i="2"/>
  <c r="J3036" i="2"/>
  <c r="J2976" i="2"/>
  <c r="L3571" i="2"/>
  <c r="K3571" i="2"/>
  <c r="J3523" i="2"/>
  <c r="K3523" i="2"/>
  <c r="L3463" i="2"/>
  <c r="K3463" i="2"/>
  <c r="K3439" i="2"/>
  <c r="L3439" i="2"/>
  <c r="K3403" i="2"/>
  <c r="J3403" i="2"/>
  <c r="L3403" i="2" s="1"/>
  <c r="L3343" i="2"/>
  <c r="K3343" i="2"/>
  <c r="K3319" i="2"/>
  <c r="J3319" i="2"/>
  <c r="K3307" i="2"/>
  <c r="K3271" i="2"/>
  <c r="L3271" i="2"/>
  <c r="K3223" i="2"/>
  <c r="L3223" i="2" s="1"/>
  <c r="J3223" i="2"/>
  <c r="L3187" i="2"/>
  <c r="K3187" i="2"/>
  <c r="L3163" i="2"/>
  <c r="L3127" i="2"/>
  <c r="K3127" i="2"/>
  <c r="K3091" i="2"/>
  <c r="L3091" i="2"/>
  <c r="J3067" i="2"/>
  <c r="L3067" i="2" s="1"/>
  <c r="L3019" i="2"/>
  <c r="L2983" i="2"/>
  <c r="K2983" i="2"/>
  <c r="J2983" i="2"/>
  <c r="K2935" i="2"/>
  <c r="L2935" i="2"/>
  <c r="J2911" i="2"/>
  <c r="K2911" i="2"/>
  <c r="K2887" i="2"/>
  <c r="K2863" i="2"/>
  <c r="J2827" i="2"/>
  <c r="L2827" i="2"/>
  <c r="K2827" i="2"/>
  <c r="J2815" i="2"/>
  <c r="K2815" i="2"/>
  <c r="L2803" i="2"/>
  <c r="K2803" i="2"/>
  <c r="J2803" i="2"/>
  <c r="K2731" i="2"/>
  <c r="L2731" i="2"/>
  <c r="J2731" i="2"/>
  <c r="K2707" i="2"/>
  <c r="L2707" i="2" s="1"/>
  <c r="L2683" i="2"/>
  <c r="K2683" i="2"/>
  <c r="J2683" i="2"/>
  <c r="J2671" i="2"/>
  <c r="L2671" i="2" s="1"/>
  <c r="K2611" i="2"/>
  <c r="L2599" i="2"/>
  <c r="K2599" i="2"/>
  <c r="L2575" i="2"/>
  <c r="K2575" i="2"/>
  <c r="K2551" i="2"/>
  <c r="L2551" i="2"/>
  <c r="K2527" i="2"/>
  <c r="K2515" i="2"/>
  <c r="L2515" i="2"/>
  <c r="J2515" i="2"/>
  <c r="K2503" i="2"/>
  <c r="J2503" i="2"/>
  <c r="L2467" i="2"/>
  <c r="J2467" i="2"/>
  <c r="K2419" i="2"/>
  <c r="J2419" i="2"/>
  <c r="J2395" i="2"/>
  <c r="K2395" i="2"/>
  <c r="K2383" i="2"/>
  <c r="J2383" i="2"/>
  <c r="K2359" i="2"/>
  <c r="J2359" i="2"/>
  <c r="L2335" i="2"/>
  <c r="K2335" i="2"/>
  <c r="K2311" i="2"/>
  <c r="L2311" i="2"/>
  <c r="J2311" i="2"/>
  <c r="K2299" i="2"/>
  <c r="L2299" i="2" s="1"/>
  <c r="K2275" i="2"/>
  <c r="J2275" i="2"/>
  <c r="L2275" i="2" s="1"/>
  <c r="J2251" i="2"/>
  <c r="L2251" i="2"/>
  <c r="K2251" i="2"/>
  <c r="K2239" i="2"/>
  <c r="L2239" i="2" s="1"/>
  <c r="K2227" i="2"/>
  <c r="J2227" i="2"/>
  <c r="L2203" i="2"/>
  <c r="J2203" i="2"/>
  <c r="K2203" i="2"/>
  <c r="L2191" i="2"/>
  <c r="J2191" i="2"/>
  <c r="K2167" i="2"/>
  <c r="J2119" i="2"/>
  <c r="K2119" i="2"/>
  <c r="L1999" i="2"/>
  <c r="K1999" i="2"/>
  <c r="J1999" i="2"/>
  <c r="K1975" i="2"/>
  <c r="L1975" i="2" s="1"/>
  <c r="K1951" i="2"/>
  <c r="J1951" i="2"/>
  <c r="L1951" i="2"/>
  <c r="K1939" i="2"/>
  <c r="K1915" i="2"/>
  <c r="J1915" i="2"/>
  <c r="K1855" i="2"/>
  <c r="K1843" i="2"/>
  <c r="L1843" i="2"/>
  <c r="J1843" i="2"/>
  <c r="J1819" i="2"/>
  <c r="K1819" i="2"/>
  <c r="K1795" i="2"/>
  <c r="J1795" i="2"/>
  <c r="L1795" i="2" s="1"/>
  <c r="L1723" i="2"/>
  <c r="J1723" i="2"/>
  <c r="K1699" i="2"/>
  <c r="L1699" i="2"/>
  <c r="J1675" i="2"/>
  <c r="K1675" i="2"/>
  <c r="K1663" i="2"/>
  <c r="K1639" i="2"/>
  <c r="J1639" i="2"/>
  <c r="L1615" i="2"/>
  <c r="J1615" i="2"/>
  <c r="K1591" i="2"/>
  <c r="L1591" i="2" s="1"/>
  <c r="J1567" i="2"/>
  <c r="K1567" i="2"/>
  <c r="L1519" i="2"/>
  <c r="K1519" i="2"/>
  <c r="K1507" i="2"/>
  <c r="L1507" i="2"/>
  <c r="J1483" i="2"/>
  <c r="K1483" i="2"/>
  <c r="L1483" i="2"/>
  <c r="K1459" i="2"/>
  <c r="K1435" i="2"/>
  <c r="L1435" i="2" s="1"/>
  <c r="K1411" i="2"/>
  <c r="J1411" i="2"/>
  <c r="L1411" i="2"/>
  <c r="J1387" i="2"/>
  <c r="L1387" i="2"/>
  <c r="K1375" i="2"/>
  <c r="L1375" i="2"/>
  <c r="J1339" i="2"/>
  <c r="K1339" i="2"/>
  <c r="L1339" i="2"/>
  <c r="J1231" i="2"/>
  <c r="L1231" i="2"/>
  <c r="K1207" i="2"/>
  <c r="J1207" i="2"/>
  <c r="L1207" i="2" s="1"/>
  <c r="K1195" i="2"/>
  <c r="L1195" i="2"/>
  <c r="K1171" i="2"/>
  <c r="L1171" i="2" s="1"/>
  <c r="L1159" i="2"/>
  <c r="K1159" i="2"/>
  <c r="J1159" i="2"/>
  <c r="K1123" i="2"/>
  <c r="L1123" i="2"/>
  <c r="J1087" i="2"/>
  <c r="K1087" i="2"/>
  <c r="L1063" i="2"/>
  <c r="K1063" i="2"/>
  <c r="J1063" i="2"/>
  <c r="J1039" i="2"/>
  <c r="K1039" i="2"/>
  <c r="J1027" i="2"/>
  <c r="L1027" i="2" s="1"/>
  <c r="K1003" i="2"/>
  <c r="L1003" i="2"/>
  <c r="J1003" i="2"/>
  <c r="L979" i="2"/>
  <c r="K979" i="2"/>
  <c r="L955" i="2"/>
  <c r="K955" i="2"/>
  <c r="J955" i="2"/>
  <c r="K931" i="2"/>
  <c r="J931" i="2"/>
  <c r="L931" i="2" s="1"/>
  <c r="L871" i="2"/>
  <c r="K871" i="2"/>
  <c r="J871" i="2"/>
  <c r="L811" i="2"/>
  <c r="J811" i="2"/>
  <c r="L787" i="2"/>
  <c r="K787" i="2"/>
  <c r="J763" i="2"/>
  <c r="K763" i="2"/>
  <c r="L763" i="2"/>
  <c r="L739" i="2"/>
  <c r="K739" i="2"/>
  <c r="J739" i="2"/>
  <c r="J715" i="2"/>
  <c r="K691" i="2"/>
  <c r="L679" i="2"/>
  <c r="J679" i="2"/>
  <c r="K643" i="2"/>
  <c r="J643" i="2"/>
  <c r="L643" i="2" s="1"/>
  <c r="L595" i="2"/>
  <c r="K595" i="2"/>
  <c r="K571" i="2"/>
  <c r="L571" i="2" s="1"/>
  <c r="J559" i="2"/>
  <c r="L559" i="2"/>
  <c r="K535" i="2"/>
  <c r="K523" i="2"/>
  <c r="L523" i="2" s="1"/>
  <c r="K499" i="2"/>
  <c r="L499" i="2"/>
  <c r="J499" i="2"/>
  <c r="J475" i="2"/>
  <c r="L475" i="2" s="1"/>
  <c r="J451" i="2"/>
  <c r="L415" i="2"/>
  <c r="J415" i="2"/>
  <c r="K415" i="2"/>
  <c r="K391" i="2"/>
  <c r="J391" i="2"/>
  <c r="L391" i="2" s="1"/>
  <c r="L379" i="2"/>
  <c r="K379" i="2"/>
  <c r="J379" i="2"/>
  <c r="K355" i="2"/>
  <c r="L355" i="2"/>
  <c r="K343" i="2"/>
  <c r="J343" i="2"/>
  <c r="L343" i="2" s="1"/>
  <c r="L307" i="2"/>
  <c r="K307" i="2"/>
  <c r="J295" i="2"/>
  <c r="L295" i="2" s="1"/>
  <c r="L271" i="2"/>
  <c r="K271" i="2"/>
  <c r="J247" i="2"/>
  <c r="L247" i="2" s="1"/>
  <c r="J235" i="2"/>
  <c r="K235" i="2"/>
  <c r="J223" i="2"/>
  <c r="K223" i="2"/>
  <c r="L223" i="2"/>
  <c r="K199" i="2"/>
  <c r="J199" i="2"/>
  <c r="L199" i="2"/>
  <c r="J187" i="2"/>
  <c r="L187" i="2" s="1"/>
  <c r="L163" i="2"/>
  <c r="K163" i="2"/>
  <c r="J127" i="2"/>
  <c r="L127" i="2" s="1"/>
  <c r="J103" i="2"/>
  <c r="L103" i="2" s="1"/>
  <c r="L79" i="2"/>
  <c r="J79" i="2"/>
  <c r="K79" i="2"/>
  <c r="K55" i="2"/>
  <c r="J43" i="2"/>
  <c r="L7" i="2"/>
  <c r="J7" i="2"/>
  <c r="K7" i="2"/>
  <c r="J3769" i="2"/>
  <c r="L3769" i="2" s="1"/>
  <c r="J3703" i="2"/>
  <c r="L3703" i="2" s="1"/>
  <c r="J3599" i="2"/>
  <c r="L3599" i="2" s="1"/>
  <c r="J3432" i="2"/>
  <c r="J3415" i="2"/>
  <c r="J3203" i="2"/>
  <c r="J2973" i="2"/>
  <c r="J2868" i="2"/>
  <c r="J1785" i="2"/>
  <c r="L1785" i="2" s="1"/>
  <c r="J1711" i="2"/>
  <c r="J1389" i="2"/>
  <c r="J1185" i="2"/>
  <c r="J789" i="2"/>
  <c r="J634" i="2"/>
  <c r="L634" i="2" s="1"/>
  <c r="J394" i="2"/>
  <c r="L394" i="2" s="1"/>
  <c r="J222" i="2"/>
  <c r="J201" i="2"/>
  <c r="K187" i="2"/>
  <c r="K295" i="2"/>
  <c r="K742" i="2"/>
  <c r="K1365" i="2"/>
  <c r="K1689" i="2"/>
  <c r="K1831" i="2"/>
  <c r="K1891" i="2"/>
  <c r="K2338" i="2"/>
  <c r="K2563" i="2"/>
  <c r="K3563" i="2"/>
  <c r="L3563" i="2" s="1"/>
  <c r="K3637" i="2"/>
  <c r="L3192" i="2"/>
  <c r="L2337" i="2"/>
  <c r="L1401" i="2"/>
  <c r="L1173" i="2"/>
  <c r="K3774" i="2"/>
  <c r="L3774" i="2" s="1"/>
  <c r="J3750" i="2"/>
  <c r="K3750" i="2"/>
  <c r="J3690" i="2"/>
  <c r="K3690" i="2"/>
  <c r="K3654" i="2"/>
  <c r="L3618" i="2"/>
  <c r="J3606" i="2"/>
  <c r="L3606" i="2" s="1"/>
  <c r="K3570" i="2"/>
  <c r="J3570" i="2"/>
  <c r="K3522" i="2"/>
  <c r="J3522" i="2"/>
  <c r="L3486" i="2"/>
  <c r="K3450" i="2"/>
  <c r="J3450" i="2"/>
  <c r="L3450" i="2" s="1"/>
  <c r="L3378" i="2"/>
  <c r="K3378" i="2"/>
  <c r="K3342" i="2"/>
  <c r="L3342" i="2"/>
  <c r="K3270" i="2"/>
  <c r="L3270" i="2" s="1"/>
  <c r="J3246" i="2"/>
  <c r="K3246" i="2"/>
  <c r="K3114" i="2"/>
  <c r="L3090" i="2"/>
  <c r="K3090" i="2"/>
  <c r="J3090" i="2"/>
  <c r="K3078" i="2"/>
  <c r="L3078" i="2" s="1"/>
  <c r="K3042" i="2"/>
  <c r="J3042" i="2"/>
  <c r="L3042" i="2" s="1"/>
  <c r="L3030" i="2"/>
  <c r="K3030" i="2"/>
  <c r="J2970" i="2"/>
  <c r="K2970" i="2"/>
  <c r="L2970" i="2"/>
  <c r="L2946" i="2"/>
  <c r="K2946" i="2"/>
  <c r="J2946" i="2"/>
  <c r="K2922" i="2"/>
  <c r="J2898" i="2"/>
  <c r="J2826" i="2"/>
  <c r="J2814" i="2"/>
  <c r="K2814" i="2"/>
  <c r="K2790" i="2"/>
  <c r="L2790" i="2" s="1"/>
  <c r="L2766" i="2"/>
  <c r="K2766" i="2"/>
  <c r="J2766" i="2"/>
  <c r="L2646" i="2"/>
  <c r="K2646" i="2"/>
  <c r="K2622" i="2"/>
  <c r="L2622" i="2"/>
  <c r="J2622" i="2"/>
  <c r="K2598" i="2"/>
  <c r="L2598" i="2" s="1"/>
  <c r="K2574" i="2"/>
  <c r="J2574" i="2"/>
  <c r="L2574" i="2" s="1"/>
  <c r="K2550" i="2"/>
  <c r="L2550" i="2"/>
  <c r="J2526" i="2"/>
  <c r="K2526" i="2"/>
  <c r="L2526" i="2"/>
  <c r="K2502" i="2"/>
  <c r="J2502" i="2"/>
  <c r="K2490" i="2"/>
  <c r="K2466" i="2"/>
  <c r="L2466" i="2"/>
  <c r="L2418" i="2"/>
  <c r="K2418" i="2"/>
  <c r="J2418" i="2"/>
  <c r="J2382" i="2"/>
  <c r="K2382" i="2"/>
  <c r="K2370" i="2"/>
  <c r="L2370" i="2"/>
  <c r="L2334" i="2"/>
  <c r="K2334" i="2"/>
  <c r="L2298" i="2"/>
  <c r="L2274" i="2"/>
  <c r="J2274" i="2"/>
  <c r="K2274" i="2"/>
  <c r="K2250" i="2"/>
  <c r="K2226" i="2"/>
  <c r="J2226" i="2"/>
  <c r="L2202" i="2"/>
  <c r="K2202" i="2"/>
  <c r="L2190" i="2"/>
  <c r="J2190" i="2"/>
  <c r="L2166" i="2"/>
  <c r="K2166" i="2"/>
  <c r="J2118" i="2"/>
  <c r="K2118" i="2"/>
  <c r="L2118" i="2" s="1"/>
  <c r="L1938" i="2"/>
  <c r="K1914" i="2"/>
  <c r="J1914" i="2"/>
  <c r="L1890" i="2"/>
  <c r="K1890" i="2"/>
  <c r="J1878" i="2"/>
  <c r="K1878" i="2"/>
  <c r="L1854" i="2"/>
  <c r="K1854" i="2"/>
  <c r="L1830" i="2"/>
  <c r="J1806" i="2"/>
  <c r="K1806" i="2"/>
  <c r="K1794" i="2"/>
  <c r="J1794" i="2"/>
  <c r="L1794" i="2" s="1"/>
  <c r="K1782" i="2"/>
  <c r="J1758" i="2"/>
  <c r="L1734" i="2"/>
  <c r="K1734" i="2"/>
  <c r="J1710" i="2"/>
  <c r="L1710" i="2"/>
  <c r="L1674" i="2"/>
  <c r="K1674" i="2"/>
  <c r="J1662" i="2"/>
  <c r="K1662" i="2"/>
  <c r="K1638" i="2"/>
  <c r="J1638" i="2"/>
  <c r="L1638" i="2" s="1"/>
  <c r="K1614" i="2"/>
  <c r="L1614" i="2" s="1"/>
  <c r="K1590" i="2"/>
  <c r="L1590" i="2" s="1"/>
  <c r="J1566" i="2"/>
  <c r="K1566" i="2"/>
  <c r="L1518" i="2"/>
  <c r="J1518" i="2"/>
  <c r="K1518" i="2"/>
  <c r="K1494" i="2"/>
  <c r="L1494" i="2"/>
  <c r="L1470" i="2"/>
  <c r="K1470" i="2"/>
  <c r="J1446" i="2"/>
  <c r="L1446" i="2" s="1"/>
  <c r="K1422" i="2"/>
  <c r="L1422" i="2"/>
  <c r="L1410" i="2"/>
  <c r="J1410" i="2"/>
  <c r="K1410" i="2"/>
  <c r="L1362" i="2"/>
  <c r="J1362" i="2"/>
  <c r="K1338" i="2"/>
  <c r="L1338" i="2"/>
  <c r="J1254" i="2"/>
  <c r="L1254" i="2" s="1"/>
  <c r="K1230" i="2"/>
  <c r="L1230" i="2"/>
  <c r="L1206" i="2"/>
  <c r="K1206" i="2"/>
  <c r="K1194" i="2"/>
  <c r="J1194" i="2"/>
  <c r="L1194" i="2"/>
  <c r="J1170" i="2"/>
  <c r="L1170" i="2"/>
  <c r="K1170" i="2"/>
  <c r="L1146" i="2"/>
  <c r="J1146" i="2"/>
  <c r="K1146" i="2"/>
  <c r="K1122" i="2"/>
  <c r="J1122" i="2"/>
  <c r="L1122" i="2" s="1"/>
  <c r="J1098" i="2"/>
  <c r="L1098" i="2"/>
  <c r="L1074" i="2"/>
  <c r="J1074" i="2"/>
  <c r="K1062" i="2"/>
  <c r="L1062" i="2" s="1"/>
  <c r="J1038" i="2"/>
  <c r="K1038" i="2"/>
  <c r="J966" i="2"/>
  <c r="K942" i="2"/>
  <c r="L942" i="2" s="1"/>
  <c r="K918" i="2"/>
  <c r="L918" i="2" s="1"/>
  <c r="L894" i="2"/>
  <c r="K894" i="2"/>
  <c r="L858" i="2"/>
  <c r="K846" i="2"/>
  <c r="K774" i="2"/>
  <c r="J774" i="2"/>
  <c r="K762" i="2"/>
  <c r="J762" i="2"/>
  <c r="L762" i="2" s="1"/>
  <c r="L678" i="2"/>
  <c r="K654" i="2"/>
  <c r="J642" i="2"/>
  <c r="K642" i="2"/>
  <c r="J606" i="2"/>
  <c r="L606" i="2" s="1"/>
  <c r="L582" i="2"/>
  <c r="K582" i="2"/>
  <c r="J582" i="2"/>
  <c r="L558" i="2"/>
  <c r="J558" i="2"/>
  <c r="L498" i="2"/>
  <c r="J498" i="2"/>
  <c r="L474" i="2"/>
  <c r="K474" i="2"/>
  <c r="J474" i="2"/>
  <c r="K462" i="2"/>
  <c r="L462" i="2" s="1"/>
  <c r="J438" i="2"/>
  <c r="L438" i="2" s="1"/>
  <c r="L426" i="2"/>
  <c r="K426" i="2"/>
  <c r="K414" i="2"/>
  <c r="L414" i="2" s="1"/>
  <c r="J390" i="2"/>
  <c r="K390" i="2"/>
  <c r="L366" i="2"/>
  <c r="K366" i="2"/>
  <c r="J354" i="2"/>
  <c r="L342" i="2"/>
  <c r="K342" i="2"/>
  <c r="J342" i="2"/>
  <c r="L330" i="2"/>
  <c r="K330" i="2"/>
  <c r="J330" i="2"/>
  <c r="K318" i="2"/>
  <c r="L318" i="2" s="1"/>
  <c r="J270" i="2"/>
  <c r="L186" i="2"/>
  <c r="K186" i="2"/>
  <c r="K162" i="2"/>
  <c r="L162" i="2" s="1"/>
  <c r="L138" i="2"/>
  <c r="J138" i="2"/>
  <c r="K138" i="2"/>
  <c r="L126" i="2"/>
  <c r="K126" i="2"/>
  <c r="J126" i="2"/>
  <c r="J102" i="2"/>
  <c r="L102" i="2" s="1"/>
  <c r="L78" i="2"/>
  <c r="K78" i="2"/>
  <c r="J66" i="2"/>
  <c r="L42" i="2"/>
  <c r="K42" i="2"/>
  <c r="J42" i="2"/>
  <c r="J18" i="2"/>
  <c r="K18" i="2"/>
  <c r="J3768" i="2"/>
  <c r="J3702" i="2"/>
  <c r="L3702" i="2" s="1"/>
  <c r="J3597" i="2"/>
  <c r="L3597" i="2" s="1"/>
  <c r="J3576" i="2"/>
  <c r="J3431" i="2"/>
  <c r="J3414" i="2"/>
  <c r="L3414" i="2" s="1"/>
  <c r="J3348" i="2"/>
  <c r="J3307" i="2"/>
  <c r="J3222" i="2"/>
  <c r="J3180" i="2"/>
  <c r="L3180" i="2" s="1"/>
  <c r="J2972" i="2"/>
  <c r="L2972" i="2" s="1"/>
  <c r="J2949" i="2"/>
  <c r="L2949" i="2" s="1"/>
  <c r="J2720" i="2"/>
  <c r="J2454" i="2"/>
  <c r="J2334" i="2"/>
  <c r="J981" i="2"/>
  <c r="J478" i="2"/>
  <c r="J307" i="2"/>
  <c r="J130" i="2"/>
  <c r="K402" i="2"/>
  <c r="K537" i="2"/>
  <c r="L537" i="2" s="1"/>
  <c r="K1366" i="2"/>
  <c r="L1366" i="2" s="1"/>
  <c r="K1450" i="2"/>
  <c r="K1866" i="2"/>
  <c r="K2082" i="2"/>
  <c r="K2862" i="2"/>
  <c r="K3766" i="2"/>
  <c r="L3766" i="2" s="1"/>
  <c r="L3396" i="2"/>
  <c r="L2085" i="2"/>
  <c r="L1450" i="2"/>
  <c r="L1399" i="2"/>
  <c r="L1050" i="2"/>
  <c r="L202" i="2"/>
  <c r="L31" i="2"/>
  <c r="L2981" i="2"/>
  <c r="L2741" i="2"/>
  <c r="J3660" i="2"/>
  <c r="J3575" i="2"/>
  <c r="J3306" i="2"/>
  <c r="J3288" i="2"/>
  <c r="J3179" i="2"/>
  <c r="J2719" i="2"/>
  <c r="L2719" i="2" s="1"/>
  <c r="J2611" i="2"/>
  <c r="J2575" i="2"/>
  <c r="J2551" i="2"/>
  <c r="J1883" i="2"/>
  <c r="J1543" i="2"/>
  <c r="J1506" i="2"/>
  <c r="J1386" i="2"/>
  <c r="J1267" i="2"/>
  <c r="L1267" i="2" s="1"/>
  <c r="J1137" i="2"/>
  <c r="J894" i="2"/>
  <c r="J501" i="2"/>
  <c r="L501" i="2" s="1"/>
  <c r="J477" i="2"/>
  <c r="J430" i="2"/>
  <c r="L430" i="2" s="1"/>
  <c r="K750" i="2"/>
  <c r="K933" i="2"/>
  <c r="K1867" i="2"/>
  <c r="K2143" i="2"/>
  <c r="K2662" i="2"/>
  <c r="K2865" i="2"/>
  <c r="K2927" i="2"/>
  <c r="L3693" i="2"/>
  <c r="L1588" i="2"/>
  <c r="L112" i="2"/>
  <c r="J3739" i="2"/>
  <c r="L3739" i="2" s="1"/>
  <c r="J3719" i="2"/>
  <c r="J3680" i="2"/>
  <c r="J3637" i="2"/>
  <c r="J3595" i="2"/>
  <c r="L3595" i="2" s="1"/>
  <c r="J3572" i="2"/>
  <c r="L3572" i="2" s="1"/>
  <c r="J3510" i="2"/>
  <c r="J3489" i="2"/>
  <c r="J3368" i="2"/>
  <c r="L3368" i="2" s="1"/>
  <c r="J3345" i="2"/>
  <c r="J3287" i="2"/>
  <c r="J3199" i="2"/>
  <c r="J3174" i="2"/>
  <c r="J3048" i="2"/>
  <c r="J3007" i="2"/>
  <c r="J2988" i="2"/>
  <c r="J2922" i="2"/>
  <c r="J2863" i="2"/>
  <c r="J2718" i="2"/>
  <c r="J2699" i="2"/>
  <c r="L2699" i="2" s="1"/>
  <c r="J2550" i="2"/>
  <c r="J2491" i="2"/>
  <c r="J2411" i="2"/>
  <c r="J2370" i="2"/>
  <c r="J2325" i="2"/>
  <c r="L2308" i="2"/>
  <c r="J2083" i="2"/>
  <c r="L2083" i="2" s="1"/>
  <c r="J2023" i="2"/>
  <c r="L2023" i="2" s="1"/>
  <c r="J1941" i="2"/>
  <c r="J1782" i="2"/>
  <c r="J1542" i="2"/>
  <c r="J1485" i="2"/>
  <c r="L1485" i="2" s="1"/>
  <c r="J1365" i="2"/>
  <c r="J1266" i="2"/>
  <c r="J979" i="2"/>
  <c r="J918" i="2"/>
  <c r="J847" i="2"/>
  <c r="L847" i="2" s="1"/>
  <c r="J765" i="2"/>
  <c r="J717" i="2"/>
  <c r="J693" i="2"/>
  <c r="J609" i="2"/>
  <c r="L609" i="2" s="1"/>
  <c r="J586" i="2"/>
  <c r="J366" i="2"/>
  <c r="J346" i="2"/>
  <c r="L346" i="2" s="1"/>
  <c r="J78" i="2"/>
  <c r="J10" i="2"/>
  <c r="K43" i="2"/>
  <c r="K66" i="2"/>
  <c r="K405" i="2"/>
  <c r="K858" i="2"/>
  <c r="K934" i="2"/>
  <c r="L934" i="2" s="1"/>
  <c r="K990" i="2"/>
  <c r="K1077" i="2"/>
  <c r="L1077" i="2" s="1"/>
  <c r="K1162" i="2"/>
  <c r="K1186" i="2"/>
  <c r="K1234" i="2"/>
  <c r="K1398" i="2"/>
  <c r="L1398" i="2" s="1"/>
  <c r="K1506" i="2"/>
  <c r="K1557" i="2"/>
  <c r="L1557" i="2" s="1"/>
  <c r="K1605" i="2"/>
  <c r="L1605" i="2" s="1"/>
  <c r="K2002" i="2"/>
  <c r="K2063" i="2"/>
  <c r="K2086" i="2"/>
  <c r="K2287" i="2"/>
  <c r="K2443" i="2"/>
  <c r="K2482" i="2"/>
  <c r="K2663" i="2"/>
  <c r="L2663" i="2" s="1"/>
  <c r="K2755" i="2"/>
  <c r="K3006" i="2"/>
  <c r="K3035" i="2"/>
  <c r="K3081" i="2"/>
  <c r="K3192" i="2"/>
  <c r="K3382" i="2"/>
  <c r="K3415" i="2"/>
  <c r="K3504" i="2"/>
  <c r="K3606" i="2"/>
  <c r="K3647" i="2"/>
  <c r="K3679" i="2"/>
  <c r="L3679" i="2" s="1"/>
  <c r="K3738" i="2"/>
  <c r="L3738" i="2" s="1"/>
  <c r="K3768" i="2"/>
  <c r="L3441" i="2"/>
  <c r="L3379" i="2"/>
  <c r="L3287" i="2"/>
  <c r="L2994" i="2"/>
  <c r="L2948" i="2"/>
  <c r="L2567" i="2"/>
  <c r="L2409" i="2"/>
  <c r="L2358" i="2"/>
  <c r="L729" i="2"/>
  <c r="K3781" i="2"/>
  <c r="J3781" i="2"/>
  <c r="L3781" i="2" s="1"/>
  <c r="K3733" i="2"/>
  <c r="L3733" i="2" s="1"/>
  <c r="K3685" i="2"/>
  <c r="L3685" i="2" s="1"/>
  <c r="J3649" i="2"/>
  <c r="L3649" i="2" s="1"/>
  <c r="K3649" i="2"/>
  <c r="K3613" i="2"/>
  <c r="J3613" i="2"/>
  <c r="L3613" i="2"/>
  <c r="J3697" i="2"/>
  <c r="K3708" i="2"/>
  <c r="J3708" i="2"/>
  <c r="L3708" i="2" s="1"/>
  <c r="K3779" i="2"/>
  <c r="L3779" i="2" s="1"/>
  <c r="K3755" i="2"/>
  <c r="L3755" i="2" s="1"/>
  <c r="J3731" i="2"/>
  <c r="L3731" i="2" s="1"/>
  <c r="K3707" i="2"/>
  <c r="J3707" i="2"/>
  <c r="K3695" i="2"/>
  <c r="J3695" i="2"/>
  <c r="K3659" i="2"/>
  <c r="J3659" i="2"/>
  <c r="L3659" i="2" s="1"/>
  <c r="J3635" i="2"/>
  <c r="K3635" i="2"/>
  <c r="L3587" i="2"/>
  <c r="J3587" i="2"/>
  <c r="K3551" i="2"/>
  <c r="J3551" i="2"/>
  <c r="L3551" i="2"/>
  <c r="K3527" i="2"/>
  <c r="L3527" i="2"/>
  <c r="L3503" i="2"/>
  <c r="K3503" i="2"/>
  <c r="J3479" i="2"/>
  <c r="K3479" i="2"/>
  <c r="L3479" i="2"/>
  <c r="J3443" i="2"/>
  <c r="L3443" i="2" s="1"/>
  <c r="K3407" i="2"/>
  <c r="L3407" i="2"/>
  <c r="J3407" i="2"/>
  <c r="J3395" i="2"/>
  <c r="K3395" i="2"/>
  <c r="L3395" i="2"/>
  <c r="K3371" i="2"/>
  <c r="J3371" i="2"/>
  <c r="K3347" i="2"/>
  <c r="L3347" i="2" s="1"/>
  <c r="J3323" i="2"/>
  <c r="L3323" i="2"/>
  <c r="K3263" i="2"/>
  <c r="L3263" i="2"/>
  <c r="J3239" i="2"/>
  <c r="K3239" i="2"/>
  <c r="L3191" i="2"/>
  <c r="K3191" i="2"/>
  <c r="J3191" i="2"/>
  <c r="J3167" i="2"/>
  <c r="K3167" i="2"/>
  <c r="K3143" i="2"/>
  <c r="L3143" i="2"/>
  <c r="J3143" i="2"/>
  <c r="J3083" i="2"/>
  <c r="L3059" i="2"/>
  <c r="K3059" i="2"/>
  <c r="K2963" i="2"/>
  <c r="L2963" i="2"/>
  <c r="J2963" i="2"/>
  <c r="K2855" i="2"/>
  <c r="L2855" i="2"/>
  <c r="J2855" i="2"/>
  <c r="K2843" i="2"/>
  <c r="J2843" i="2"/>
  <c r="L2843" i="2"/>
  <c r="K2807" i="2"/>
  <c r="L2807" i="2"/>
  <c r="K2783" i="2"/>
  <c r="L2783" i="2"/>
  <c r="J2783" i="2"/>
  <c r="K2759" i="2"/>
  <c r="L2759" i="2"/>
  <c r="J2759" i="2"/>
  <c r="L2735" i="2"/>
  <c r="K2735" i="2"/>
  <c r="J2603" i="2"/>
  <c r="K2603" i="2"/>
  <c r="L2603" i="2"/>
  <c r="K2543" i="2"/>
  <c r="L2543" i="2"/>
  <c r="K2495" i="2"/>
  <c r="L2471" i="2"/>
  <c r="K2471" i="2"/>
  <c r="J2435" i="2"/>
  <c r="L2435" i="2"/>
  <c r="K2399" i="2"/>
  <c r="J2399" i="2"/>
  <c r="L2399" i="2" s="1"/>
  <c r="L2363" i="2"/>
  <c r="L2351" i="2"/>
  <c r="K2351" i="2"/>
  <c r="J2291" i="2"/>
  <c r="L2291" i="2" s="1"/>
  <c r="K2291" i="2"/>
  <c r="K2231" i="2"/>
  <c r="L2231" i="2"/>
  <c r="J2219" i="2"/>
  <c r="K2219" i="2"/>
  <c r="K2207" i="2"/>
  <c r="K2183" i="2"/>
  <c r="K2135" i="2"/>
  <c r="J2135" i="2"/>
  <c r="L2135" i="2" s="1"/>
  <c r="K2123" i="2"/>
  <c r="L2123" i="2"/>
  <c r="J2123" i="2"/>
  <c r="K1991" i="2"/>
  <c r="K1967" i="2"/>
  <c r="L1967" i="2"/>
  <c r="J1967" i="2"/>
  <c r="L1943" i="2"/>
  <c r="K1943" i="2"/>
  <c r="K1919" i="2"/>
  <c r="L1919" i="2"/>
  <c r="K1895" i="2"/>
  <c r="J1895" i="2"/>
  <c r="L1895" i="2"/>
  <c r="J1859" i="2"/>
  <c r="K1859" i="2"/>
  <c r="L1859" i="2"/>
  <c r="K1835" i="2"/>
  <c r="L1835" i="2" s="1"/>
  <c r="K1811" i="2"/>
  <c r="L1811" i="2"/>
  <c r="J1811" i="2"/>
  <c r="J3647" i="2"/>
  <c r="J3060" i="2"/>
  <c r="J2916" i="2"/>
  <c r="J2075" i="2"/>
  <c r="J1955" i="2"/>
  <c r="L1955" i="2" s="1"/>
  <c r="K1883" i="2"/>
  <c r="K3203" i="2"/>
  <c r="L3635" i="2"/>
  <c r="L3215" i="2"/>
  <c r="L3168" i="2"/>
  <c r="L3071" i="2"/>
  <c r="K3742" i="2"/>
  <c r="J3742" i="2"/>
  <c r="J3706" i="2"/>
  <c r="K3682" i="2"/>
  <c r="J3682" i="2"/>
  <c r="L3634" i="2"/>
  <c r="J3634" i="2"/>
  <c r="K3634" i="2"/>
  <c r="J3610" i="2"/>
  <c r="K3610" i="2"/>
  <c r="L3574" i="2"/>
  <c r="J3574" i="2"/>
  <c r="K3574" i="2"/>
  <c r="L3538" i="2"/>
  <c r="K3538" i="2"/>
  <c r="J3538" i="2"/>
  <c r="L3490" i="2"/>
  <c r="J3490" i="2"/>
  <c r="K3490" i="2"/>
  <c r="L3454" i="2"/>
  <c r="J3454" i="2"/>
  <c r="K3454" i="2"/>
  <c r="K3442" i="2"/>
  <c r="J3442" i="2"/>
  <c r="L3442" i="2" s="1"/>
  <c r="J3406" i="2"/>
  <c r="K3406" i="2"/>
  <c r="L3358" i="2"/>
  <c r="J3358" i="2"/>
  <c r="L3310" i="2"/>
  <c r="J3310" i="2"/>
  <c r="K3310" i="2"/>
  <c r="J3262" i="2"/>
  <c r="K3262" i="2"/>
  <c r="J3238" i="2"/>
  <c r="K3238" i="2"/>
  <c r="J3202" i="2"/>
  <c r="K3202" i="2"/>
  <c r="J3142" i="2"/>
  <c r="L3142" i="2" s="1"/>
  <c r="L3118" i="2"/>
  <c r="K3118" i="2"/>
  <c r="J3118" i="2"/>
  <c r="L3082" i="2"/>
  <c r="J3082" i="2"/>
  <c r="L3022" i="2"/>
  <c r="J3022" i="2"/>
  <c r="K3022" i="2"/>
  <c r="L2986" i="2"/>
  <c r="J2986" i="2"/>
  <c r="K2986" i="2"/>
  <c r="L2938" i="2"/>
  <c r="J2938" i="2"/>
  <c r="K2938" i="2"/>
  <c r="L2902" i="2"/>
  <c r="J2902" i="2"/>
  <c r="L2866" i="2"/>
  <c r="J2866" i="2"/>
  <c r="K2866" i="2"/>
  <c r="L2818" i="2"/>
  <c r="J2818" i="2"/>
  <c r="K2818" i="2"/>
  <c r="L2782" i="2"/>
  <c r="J2782" i="2"/>
  <c r="K2782" i="2"/>
  <c r="L2734" i="2"/>
  <c r="J2734" i="2"/>
  <c r="K2734" i="2"/>
  <c r="L2674" i="2"/>
  <c r="J2674" i="2"/>
  <c r="K2674" i="2"/>
  <c r="J2650" i="2"/>
  <c r="K2650" i="2"/>
  <c r="L2602" i="2"/>
  <c r="J2602" i="2"/>
  <c r="K2602" i="2"/>
  <c r="J2566" i="2"/>
  <c r="K2566" i="2"/>
  <c r="J2530" i="2"/>
  <c r="J2506" i="2"/>
  <c r="L2506" i="2" s="1"/>
  <c r="L2458" i="2"/>
  <c r="J2458" i="2"/>
  <c r="K2458" i="2"/>
  <c r="J2422" i="2"/>
  <c r="K2422" i="2"/>
  <c r="J2386" i="2"/>
  <c r="K2386" i="2"/>
  <c r="J2362" i="2"/>
  <c r="L2302" i="2"/>
  <c r="J2302" i="2"/>
  <c r="K2302" i="2"/>
  <c r="L2266" i="2"/>
  <c r="J2266" i="2"/>
  <c r="K2266" i="2"/>
  <c r="L2230" i="2"/>
  <c r="J2230" i="2"/>
  <c r="J2194" i="2"/>
  <c r="L2194" i="2"/>
  <c r="K2194" i="2"/>
  <c r="J2158" i="2"/>
  <c r="L2158" i="2"/>
  <c r="L2110" i="2"/>
  <c r="K2110" i="2"/>
  <c r="J2110" i="2"/>
  <c r="J2074" i="2"/>
  <c r="K2074" i="2"/>
  <c r="J2038" i="2"/>
  <c r="L2038" i="2"/>
  <c r="J1990" i="2"/>
  <c r="L1990" i="2"/>
  <c r="J1882" i="2"/>
  <c r="L1882" i="2"/>
  <c r="J1858" i="2"/>
  <c r="K1858" i="2"/>
  <c r="K1822" i="2"/>
  <c r="J1822" i="2"/>
  <c r="J1786" i="2"/>
  <c r="L1786" i="2"/>
  <c r="K1786" i="2"/>
  <c r="J1750" i="2"/>
  <c r="K1750" i="2"/>
  <c r="L1750" i="2"/>
  <c r="J1726" i="2"/>
  <c r="L1726" i="2"/>
  <c r="K1726" i="2"/>
  <c r="J1714" i="2"/>
  <c r="K1714" i="2"/>
  <c r="J1690" i="2"/>
  <c r="K1690" i="2"/>
  <c r="J1666" i="2"/>
  <c r="L1666" i="2"/>
  <c r="J1654" i="2"/>
  <c r="L1654" i="2"/>
  <c r="K1654" i="2"/>
  <c r="J1618" i="2"/>
  <c r="L1618" i="2"/>
  <c r="J1594" i="2"/>
  <c r="K1594" i="2"/>
  <c r="L1594" i="2"/>
  <c r="J1522" i="2"/>
  <c r="J1498" i="2"/>
  <c r="L1498" i="2"/>
  <c r="K1498" i="2"/>
  <c r="J1474" i="2"/>
  <c r="J1414" i="2"/>
  <c r="L1414" i="2"/>
  <c r="K1414" i="2"/>
  <c r="K1390" i="2"/>
  <c r="J1390" i="2"/>
  <c r="L1390" i="2"/>
  <c r="J1342" i="2"/>
  <c r="L1342" i="2" s="1"/>
  <c r="J1318" i="2"/>
  <c r="L1318" i="2"/>
  <c r="J1282" i="2"/>
  <c r="K1282" i="2"/>
  <c r="L1282" i="2"/>
  <c r="K1258" i="2"/>
  <c r="L1258" i="2"/>
  <c r="J1258" i="2"/>
  <c r="K1246" i="2"/>
  <c r="L1222" i="2"/>
  <c r="J1222" i="2"/>
  <c r="K1174" i="2"/>
  <c r="L1174" i="2"/>
  <c r="K1150" i="2"/>
  <c r="L1150" i="2" s="1"/>
  <c r="J1126" i="2"/>
  <c r="K1126" i="2"/>
  <c r="L1126" i="2"/>
  <c r="L1066" i="2"/>
  <c r="K1066" i="2"/>
  <c r="K1042" i="2"/>
  <c r="K1018" i="2"/>
  <c r="L1018" i="2" s="1"/>
  <c r="K994" i="2"/>
  <c r="K970" i="2"/>
  <c r="J970" i="2"/>
  <c r="L970" i="2"/>
  <c r="J946" i="2"/>
  <c r="L946" i="2"/>
  <c r="K946" i="2"/>
  <c r="K922" i="2"/>
  <c r="L898" i="2"/>
  <c r="J898" i="2"/>
  <c r="L850" i="2"/>
  <c r="J850" i="2"/>
  <c r="K850" i="2"/>
  <c r="K826" i="2"/>
  <c r="K802" i="2"/>
  <c r="L766" i="2"/>
  <c r="K754" i="2"/>
  <c r="L754" i="2" s="1"/>
  <c r="J754" i="2"/>
  <c r="J730" i="2"/>
  <c r="K730" i="2"/>
  <c r="K706" i="2"/>
  <c r="K682" i="2"/>
  <c r="J682" i="2"/>
  <c r="L682" i="2" s="1"/>
  <c r="L562" i="2"/>
  <c r="K562" i="2"/>
  <c r="J562" i="2"/>
  <c r="K526" i="2"/>
  <c r="J526" i="2"/>
  <c r="L526" i="2" s="1"/>
  <c r="K490" i="2"/>
  <c r="J490" i="2"/>
  <c r="J466" i="2"/>
  <c r="L466" i="2"/>
  <c r="K466" i="2"/>
  <c r="K382" i="2"/>
  <c r="L382" i="2" s="1"/>
  <c r="K322" i="2"/>
  <c r="J322" i="2"/>
  <c r="J298" i="2"/>
  <c r="K298" i="2"/>
  <c r="L274" i="2"/>
  <c r="K274" i="2"/>
  <c r="L178" i="2"/>
  <c r="J178" i="2"/>
  <c r="L106" i="2"/>
  <c r="J106" i="2"/>
  <c r="J82" i="2"/>
  <c r="L82" i="2"/>
  <c r="J70" i="2"/>
  <c r="K70" i="2"/>
  <c r="L34" i="2"/>
  <c r="J34" i="2"/>
  <c r="J3420" i="2"/>
  <c r="J3383" i="2"/>
  <c r="J3059" i="2"/>
  <c r="J2915" i="2"/>
  <c r="L2915" i="2" s="1"/>
  <c r="J1991" i="2"/>
  <c r="J1871" i="2"/>
  <c r="K586" i="2"/>
  <c r="K2158" i="2"/>
  <c r="K2218" i="2"/>
  <c r="K3586" i="2"/>
  <c r="K3790" i="2"/>
  <c r="L3600" i="2"/>
  <c r="J3801" i="2"/>
  <c r="J3765" i="2"/>
  <c r="L3765" i="2" s="1"/>
  <c r="K3741" i="2"/>
  <c r="L3741" i="2"/>
  <c r="J3705" i="2"/>
  <c r="L3705" i="2" s="1"/>
  <c r="K3669" i="2"/>
  <c r="L3669" i="2"/>
  <c r="L3645" i="2"/>
  <c r="K3645" i="2"/>
  <c r="J3621" i="2"/>
  <c r="L3621" i="2" s="1"/>
  <c r="K3585" i="2"/>
  <c r="J3585" i="2"/>
  <c r="J3549" i="2"/>
  <c r="K3549" i="2"/>
  <c r="L3501" i="2"/>
  <c r="K3501" i="2"/>
  <c r="J3465" i="2"/>
  <c r="L3465" i="2" s="1"/>
  <c r="K3465" i="2"/>
  <c r="J3429" i="2"/>
  <c r="K3429" i="2"/>
  <c r="L3429" i="2" s="1"/>
  <c r="J3393" i="2"/>
  <c r="L3393" i="2" s="1"/>
  <c r="L3357" i="2"/>
  <c r="K3357" i="2"/>
  <c r="K3321" i="2"/>
  <c r="L3321" i="2" s="1"/>
  <c r="L3273" i="2"/>
  <c r="K3237" i="2"/>
  <c r="J3237" i="2"/>
  <c r="L3237" i="2" s="1"/>
  <c r="K3213" i="2"/>
  <c r="J3213" i="2"/>
  <c r="K3177" i="2"/>
  <c r="J3177" i="2"/>
  <c r="L3177" i="2" s="1"/>
  <c r="L3093" i="2"/>
  <c r="K3093" i="2"/>
  <c r="K3057" i="2"/>
  <c r="L3033" i="2"/>
  <c r="J3033" i="2"/>
  <c r="J2997" i="2"/>
  <c r="L2997" i="2"/>
  <c r="K2997" i="2"/>
  <c r="K2961" i="2"/>
  <c r="L2961" i="2"/>
  <c r="J2961" i="2"/>
  <c r="K2913" i="2"/>
  <c r="J2913" i="2"/>
  <c r="J2889" i="2"/>
  <c r="K2889" i="2"/>
  <c r="J2853" i="2"/>
  <c r="K2853" i="2"/>
  <c r="K2817" i="2"/>
  <c r="K2805" i="2"/>
  <c r="L2769" i="2"/>
  <c r="K2769" i="2"/>
  <c r="J2769" i="2"/>
  <c r="K2661" i="2"/>
  <c r="J2661" i="2"/>
  <c r="L2517" i="2"/>
  <c r="J2517" i="2"/>
  <c r="K2517" i="2"/>
  <c r="K2481" i="2"/>
  <c r="J2481" i="2"/>
  <c r="J2445" i="2"/>
  <c r="K2445" i="2"/>
  <c r="K2433" i="2"/>
  <c r="J2433" i="2"/>
  <c r="K2385" i="2"/>
  <c r="L2385" i="2"/>
  <c r="K2349" i="2"/>
  <c r="J2349" i="2"/>
  <c r="L2349" i="2" s="1"/>
  <c r="L2313" i="2"/>
  <c r="K2313" i="2"/>
  <c r="J2313" i="2"/>
  <c r="J2277" i="2"/>
  <c r="L2277" i="2"/>
  <c r="K2277" i="2"/>
  <c r="K2241" i="2"/>
  <c r="L2241" i="2" s="1"/>
  <c r="L2193" i="2"/>
  <c r="J2193" i="2"/>
  <c r="J2133" i="2"/>
  <c r="L2133" i="2"/>
  <c r="J1977" i="2"/>
  <c r="L1977" i="2" s="1"/>
  <c r="L1905" i="2"/>
  <c r="K1905" i="2"/>
  <c r="J1905" i="2"/>
  <c r="K1857" i="2"/>
  <c r="L1857" i="2" s="1"/>
  <c r="K1809" i="2"/>
  <c r="J1809" i="2"/>
  <c r="J1773" i="2"/>
  <c r="K1773" i="2"/>
  <c r="K1737" i="2"/>
  <c r="J1737" i="2"/>
  <c r="J1701" i="2"/>
  <c r="K1701" i="2"/>
  <c r="L1701" i="2"/>
  <c r="J1569" i="2"/>
  <c r="L1569" i="2" s="1"/>
  <c r="K1521" i="2"/>
  <c r="J1497" i="2"/>
  <c r="K1497" i="2"/>
  <c r="L1497" i="2" s="1"/>
  <c r="L1461" i="2"/>
  <c r="J1461" i="2"/>
  <c r="L1425" i="2"/>
  <c r="J1425" i="2"/>
  <c r="J1413" i="2"/>
  <c r="L1413" i="2"/>
  <c r="K1413" i="2"/>
  <c r="K1377" i="2"/>
  <c r="J1377" i="2"/>
  <c r="J1341" i="2"/>
  <c r="L1341" i="2"/>
  <c r="K1221" i="2"/>
  <c r="L1221" i="2"/>
  <c r="J1197" i="2"/>
  <c r="L1197" i="2"/>
  <c r="K1161" i="2"/>
  <c r="J1161" i="2"/>
  <c r="L1161" i="2" s="1"/>
  <c r="L1125" i="2"/>
  <c r="K1125" i="2"/>
  <c r="K1089" i="2"/>
  <c r="K945" i="2"/>
  <c r="J945" i="2"/>
  <c r="L897" i="2"/>
  <c r="J897" i="2"/>
  <c r="K861" i="2"/>
  <c r="L861" i="2"/>
  <c r="L825" i="2"/>
  <c r="J825" i="2"/>
  <c r="K825" i="2"/>
  <c r="L753" i="2"/>
  <c r="K753" i="2"/>
  <c r="K705" i="2"/>
  <c r="J681" i="2"/>
  <c r="L681" i="2" s="1"/>
  <c r="K657" i="2"/>
  <c r="L621" i="2"/>
  <c r="J621" i="2"/>
  <c r="K621" i="2"/>
  <c r="K585" i="2"/>
  <c r="J585" i="2"/>
  <c r="L585" i="2" s="1"/>
  <c r="K513" i="2"/>
  <c r="J513" i="2"/>
  <c r="L513" i="2" s="1"/>
  <c r="L417" i="2"/>
  <c r="J417" i="2"/>
  <c r="K369" i="2"/>
  <c r="L369" i="2"/>
  <c r="J345" i="2"/>
  <c r="K345" i="2"/>
  <c r="K237" i="2"/>
  <c r="J237" i="2"/>
  <c r="J105" i="2"/>
  <c r="L105" i="2"/>
  <c r="K45" i="2"/>
  <c r="J45" i="2"/>
  <c r="J21" i="2"/>
  <c r="L21" i="2" s="1"/>
  <c r="J2397" i="2"/>
  <c r="L2397" i="2" s="1"/>
  <c r="K3800" i="2"/>
  <c r="J3800" i="2"/>
  <c r="K3764" i="2"/>
  <c r="J3764" i="2"/>
  <c r="K3728" i="2"/>
  <c r="J3728" i="2"/>
  <c r="K3704" i="2"/>
  <c r="J3704" i="2"/>
  <c r="L3704" i="2" s="1"/>
  <c r="K3656" i="2"/>
  <c r="J3656" i="2"/>
  <c r="K3548" i="2"/>
  <c r="L3548" i="2"/>
  <c r="J3548" i="2"/>
  <c r="K3512" i="2"/>
  <c r="L3512" i="2"/>
  <c r="J3512" i="2"/>
  <c r="K3476" i="2"/>
  <c r="L3476" i="2"/>
  <c r="J3476" i="2"/>
  <c r="K3440" i="2"/>
  <c r="J3440" i="2"/>
  <c r="K3332" i="2"/>
  <c r="K3284" i="2"/>
  <c r="J3284" i="2"/>
  <c r="L3284" i="2" s="1"/>
  <c r="K3248" i="2"/>
  <c r="L3248" i="2"/>
  <c r="J3248" i="2"/>
  <c r="K3152" i="2"/>
  <c r="J3152" i="2"/>
  <c r="K3092" i="2"/>
  <c r="L3092" i="2"/>
  <c r="J3068" i="2"/>
  <c r="L3068" i="2"/>
  <c r="L3032" i="2"/>
  <c r="J3032" i="2"/>
  <c r="J2996" i="2"/>
  <c r="K2996" i="2"/>
  <c r="L2912" i="2"/>
  <c r="K2912" i="2"/>
  <c r="J2912" i="2"/>
  <c r="K2876" i="2"/>
  <c r="L2876" i="2" s="1"/>
  <c r="J2840" i="2"/>
  <c r="K2840" i="2"/>
  <c r="L2840" i="2" s="1"/>
  <c r="J2756" i="2"/>
  <c r="K2756" i="2"/>
  <c r="L2756" i="2" s="1"/>
  <c r="J2696" i="2"/>
  <c r="L2696" i="2"/>
  <c r="L2660" i="2"/>
  <c r="K2660" i="2"/>
  <c r="J2660" i="2"/>
  <c r="L2564" i="2"/>
  <c r="J3709" i="2"/>
  <c r="J3685" i="2"/>
  <c r="J3601" i="2"/>
  <c r="J3540" i="2"/>
  <c r="J3228" i="2"/>
  <c r="J3056" i="2"/>
  <c r="J2975" i="2"/>
  <c r="J2888" i="2"/>
  <c r="L3559" i="2"/>
  <c r="J3535" i="2"/>
  <c r="K3535" i="2"/>
  <c r="J3451" i="2"/>
  <c r="K3427" i="2"/>
  <c r="L3427" i="2"/>
  <c r="K3391" i="2"/>
  <c r="L3391" i="2" s="1"/>
  <c r="K3355" i="2"/>
  <c r="L3355" i="2"/>
  <c r="K3283" i="2"/>
  <c r="L3283" i="2"/>
  <c r="J3283" i="2"/>
  <c r="J3259" i="2"/>
  <c r="L3247" i="2"/>
  <c r="K3247" i="2"/>
  <c r="J3247" i="2"/>
  <c r="L3211" i="2"/>
  <c r="J3211" i="2"/>
  <c r="K3211" i="2"/>
  <c r="J3175" i="2"/>
  <c r="L3175" i="2" s="1"/>
  <c r="L3139" i="2"/>
  <c r="J3139" i="2"/>
  <c r="K3139" i="2"/>
  <c r="J3115" i="2"/>
  <c r="K3115" i="2"/>
  <c r="L3103" i="2"/>
  <c r="K3103" i="2"/>
  <c r="J3055" i="2"/>
  <c r="K3055" i="2"/>
  <c r="L3043" i="2"/>
  <c r="K3043" i="2"/>
  <c r="K3031" i="2"/>
  <c r="J3031" i="2"/>
  <c r="K2995" i="2"/>
  <c r="J2995" i="2"/>
  <c r="L2995" i="2" s="1"/>
  <c r="J2971" i="2"/>
  <c r="K2971" i="2"/>
  <c r="L2947" i="2"/>
  <c r="K2947" i="2"/>
  <c r="J2947" i="2"/>
  <c r="L2899" i="2"/>
  <c r="J2899" i="2"/>
  <c r="L2875" i="2"/>
  <c r="K2875" i="2"/>
  <c r="K2839" i="2"/>
  <c r="L2839" i="2"/>
  <c r="K2695" i="2"/>
  <c r="J2695" i="2"/>
  <c r="K2659" i="2"/>
  <c r="J2659" i="2"/>
  <c r="K2647" i="2"/>
  <c r="L2647" i="2" s="1"/>
  <c r="K2623" i="2"/>
  <c r="L2623" i="2"/>
  <c r="J2623" i="2"/>
  <c r="K2587" i="2"/>
  <c r="J2587" i="2"/>
  <c r="L2587" i="2" s="1"/>
  <c r="J2539" i="2"/>
  <c r="K2539" i="2"/>
  <c r="J2431" i="2"/>
  <c r="K2431" i="2"/>
  <c r="L2407" i="2"/>
  <c r="K2407" i="2"/>
  <c r="K2371" i="2"/>
  <c r="L2371" i="2" s="1"/>
  <c r="J2347" i="2"/>
  <c r="K2347" i="2"/>
  <c r="K2323" i="2"/>
  <c r="K2263" i="2"/>
  <c r="J2263" i="2"/>
  <c r="K2215" i="2"/>
  <c r="L2215" i="2"/>
  <c r="L2179" i="2"/>
  <c r="K2155" i="2"/>
  <c r="J2155" i="2"/>
  <c r="L2155" i="2"/>
  <c r="K2131" i="2"/>
  <c r="L2131" i="2" s="1"/>
  <c r="K2107" i="2"/>
  <c r="J2107" i="2"/>
  <c r="L2107" i="2"/>
  <c r="L2095" i="2"/>
  <c r="K2095" i="2"/>
  <c r="K2071" i="2"/>
  <c r="J2071" i="2"/>
  <c r="L2047" i="2"/>
  <c r="J2047" i="2"/>
  <c r="J2035" i="2"/>
  <c r="L2035" i="2" s="1"/>
  <c r="K2011" i="2"/>
  <c r="L2011" i="2" s="1"/>
  <c r="L1987" i="2"/>
  <c r="K1987" i="2"/>
  <c r="J1963" i="2"/>
  <c r="K1963" i="2"/>
  <c r="K1927" i="2"/>
  <c r="L1927" i="2"/>
  <c r="K1903" i="2"/>
  <c r="K1879" i="2"/>
  <c r="J1879" i="2"/>
  <c r="L1807" i="2"/>
  <c r="J1807" i="2"/>
  <c r="K1783" i="2"/>
  <c r="K1687" i="2"/>
  <c r="J1687" i="2"/>
  <c r="K1651" i="2"/>
  <c r="J1651" i="2"/>
  <c r="L1651" i="2" s="1"/>
  <c r="L1627" i="2"/>
  <c r="K1627" i="2"/>
  <c r="J1603" i="2"/>
  <c r="K1579" i="2"/>
  <c r="L1555" i="2"/>
  <c r="K1555" i="2"/>
  <c r="K1531" i="2"/>
  <c r="J1531" i="2"/>
  <c r="L1531" i="2" s="1"/>
  <c r="K1495" i="2"/>
  <c r="J1495" i="2"/>
  <c r="L1471" i="2"/>
  <c r="K1447" i="2"/>
  <c r="L1447" i="2"/>
  <c r="J1447" i="2"/>
  <c r="L1423" i="2"/>
  <c r="K1423" i="2"/>
  <c r="L1363" i="2"/>
  <c r="K1363" i="2"/>
  <c r="K1351" i="2"/>
  <c r="L1351" i="2"/>
  <c r="J1327" i="2"/>
  <c r="K1327" i="2"/>
  <c r="K1303" i="2"/>
  <c r="J1291" i="2"/>
  <c r="L1279" i="2"/>
  <c r="K1279" i="2"/>
  <c r="J1255" i="2"/>
  <c r="L1255" i="2" s="1"/>
  <c r="L1219" i="2"/>
  <c r="K1219" i="2"/>
  <c r="J1219" i="2"/>
  <c r="J1147" i="2"/>
  <c r="L1147" i="2"/>
  <c r="J1099" i="2"/>
  <c r="L1099" i="2" s="1"/>
  <c r="K1075" i="2"/>
  <c r="L1075" i="2" s="1"/>
  <c r="L1051" i="2"/>
  <c r="K1051" i="2"/>
  <c r="L1015" i="2"/>
  <c r="K1015" i="2"/>
  <c r="J991" i="2"/>
  <c r="K991" i="2"/>
  <c r="L991" i="2" s="1"/>
  <c r="K967" i="2"/>
  <c r="J967" i="2"/>
  <c r="J943" i="2"/>
  <c r="K943" i="2"/>
  <c r="K919" i="2"/>
  <c r="K907" i="2"/>
  <c r="L907" i="2" s="1"/>
  <c r="J883" i="2"/>
  <c r="K883" i="2"/>
  <c r="J823" i="2"/>
  <c r="L823" i="2"/>
  <c r="J799" i="2"/>
  <c r="K799" i="2"/>
  <c r="L799" i="2"/>
  <c r="K775" i="2"/>
  <c r="J775" i="2"/>
  <c r="L727" i="2"/>
  <c r="J727" i="2"/>
  <c r="K727" i="2"/>
  <c r="J703" i="2"/>
  <c r="L703" i="2" s="1"/>
  <c r="L667" i="2"/>
  <c r="J667" i="2"/>
  <c r="J655" i="2"/>
  <c r="L655" i="2" s="1"/>
  <c r="L631" i="2"/>
  <c r="K631" i="2"/>
  <c r="J607" i="2"/>
  <c r="L607" i="2" s="1"/>
  <c r="L583" i="2"/>
  <c r="K583" i="2"/>
  <c r="J583" i="2"/>
  <c r="L547" i="2"/>
  <c r="K547" i="2"/>
  <c r="J547" i="2"/>
  <c r="J511" i="2"/>
  <c r="L511" i="2" s="1"/>
  <c r="K511" i="2"/>
  <c r="K487" i="2"/>
  <c r="L487" i="2"/>
  <c r="K463" i="2"/>
  <c r="L463" i="2" s="1"/>
  <c r="K427" i="2"/>
  <c r="J427" i="2"/>
  <c r="L427" i="2"/>
  <c r="K403" i="2"/>
  <c r="L403" i="2" s="1"/>
  <c r="J367" i="2"/>
  <c r="K367" i="2"/>
  <c r="K259" i="2"/>
  <c r="K211" i="2"/>
  <c r="L211" i="2" s="1"/>
  <c r="J175" i="2"/>
  <c r="K175" i="2"/>
  <c r="K151" i="2"/>
  <c r="L151" i="2" s="1"/>
  <c r="L115" i="2"/>
  <c r="K115" i="2"/>
  <c r="K91" i="2"/>
  <c r="L91" i="2" s="1"/>
  <c r="J67" i="2"/>
  <c r="K19" i="2"/>
  <c r="J19" i="2"/>
  <c r="L19" i="2" s="1"/>
  <c r="J3684" i="2"/>
  <c r="L3684" i="2" s="1"/>
  <c r="J3577" i="2"/>
  <c r="L3577" i="2" s="1"/>
  <c r="J3539" i="2"/>
  <c r="J3332" i="2"/>
  <c r="J3227" i="2"/>
  <c r="J3117" i="2"/>
  <c r="J2951" i="2"/>
  <c r="J2887" i="2"/>
  <c r="J2831" i="2"/>
  <c r="J2805" i="2"/>
  <c r="L2805" i="2" s="1"/>
  <c r="J2745" i="2"/>
  <c r="L2745" i="2" s="1"/>
  <c r="J2721" i="2"/>
  <c r="J2613" i="2"/>
  <c r="J2495" i="2"/>
  <c r="L2495" i="2" s="1"/>
  <c r="J2455" i="2"/>
  <c r="L2455" i="2" s="1"/>
  <c r="J2335" i="2"/>
  <c r="J2253" i="2"/>
  <c r="J2111" i="2"/>
  <c r="J2027" i="2"/>
  <c r="J1903" i="2"/>
  <c r="J1210" i="2"/>
  <c r="J921" i="2"/>
  <c r="K319" i="2"/>
  <c r="K715" i="2"/>
  <c r="K1713" i="2"/>
  <c r="K2111" i="2"/>
  <c r="K2193" i="2"/>
  <c r="K2255" i="2"/>
  <c r="K3068" i="2"/>
  <c r="L3657" i="2"/>
  <c r="L3453" i="2"/>
  <c r="L3009" i="2"/>
  <c r="L2711" i="2"/>
  <c r="L1293" i="2"/>
  <c r="K3786" i="2"/>
  <c r="L3786" i="2"/>
  <c r="J3762" i="2"/>
  <c r="L3762" i="2" s="1"/>
  <c r="K3594" i="2"/>
  <c r="J3594" i="2"/>
  <c r="K3558" i="2"/>
  <c r="L3558" i="2"/>
  <c r="J3534" i="2"/>
  <c r="K3534" i="2"/>
  <c r="K3498" i="2"/>
  <c r="J3498" i="2"/>
  <c r="K3474" i="2"/>
  <c r="L3474" i="2" s="1"/>
  <c r="K3426" i="2"/>
  <c r="L3390" i="2"/>
  <c r="J3390" i="2"/>
  <c r="K3390" i="2"/>
  <c r="K3354" i="2"/>
  <c r="J3354" i="2"/>
  <c r="K3330" i="2"/>
  <c r="L3330" i="2" s="1"/>
  <c r="J3318" i="2"/>
  <c r="L3318" i="2" s="1"/>
  <c r="L3282" i="2"/>
  <c r="J3282" i="2"/>
  <c r="K3234" i="2"/>
  <c r="L3234" i="2"/>
  <c r="K3210" i="2"/>
  <c r="J3210" i="2"/>
  <c r="L3210" i="2" s="1"/>
  <c r="K3186" i="2"/>
  <c r="L3186" i="2"/>
  <c r="K3162" i="2"/>
  <c r="L3162" i="2" s="1"/>
  <c r="K3150" i="2"/>
  <c r="L3150" i="2"/>
  <c r="L3126" i="2"/>
  <c r="J3126" i="2"/>
  <c r="K3126" i="2"/>
  <c r="J3102" i="2"/>
  <c r="K3102" i="2"/>
  <c r="L3102" i="2" s="1"/>
  <c r="K3066" i="2"/>
  <c r="L3066" i="2"/>
  <c r="J3066" i="2"/>
  <c r="J3054" i="2"/>
  <c r="K3054" i="2"/>
  <c r="L3018" i="2"/>
  <c r="K3018" i="2"/>
  <c r="J3018" i="2"/>
  <c r="J2982" i="2"/>
  <c r="L2982" i="2" s="1"/>
  <c r="J2958" i="2"/>
  <c r="L2958" i="2"/>
  <c r="K2934" i="2"/>
  <c r="L2934" i="2"/>
  <c r="L2910" i="2"/>
  <c r="L2886" i="2"/>
  <c r="K2886" i="2"/>
  <c r="J2886" i="2"/>
  <c r="K2838" i="2"/>
  <c r="J2838" i="2"/>
  <c r="K2802" i="2"/>
  <c r="J2802" i="2"/>
  <c r="K2778" i="2"/>
  <c r="K2730" i="2"/>
  <c r="J2730" i="2"/>
  <c r="K2706" i="2"/>
  <c r="L2706" i="2" s="1"/>
  <c r="K2694" i="2"/>
  <c r="J2694" i="2"/>
  <c r="L2694" i="2" s="1"/>
  <c r="K2682" i="2"/>
  <c r="L2682" i="2" s="1"/>
  <c r="L2658" i="2"/>
  <c r="K2658" i="2"/>
  <c r="J2658" i="2"/>
  <c r="K2634" i="2"/>
  <c r="K2610" i="2"/>
  <c r="L2610" i="2"/>
  <c r="J2586" i="2"/>
  <c r="K2586" i="2"/>
  <c r="L2562" i="2"/>
  <c r="K2562" i="2"/>
  <c r="K2538" i="2"/>
  <c r="J2538" i="2"/>
  <c r="L2514" i="2"/>
  <c r="K2514" i="2"/>
  <c r="J2430" i="2"/>
  <c r="K2430" i="2"/>
  <c r="L2406" i="2"/>
  <c r="K2406" i="2"/>
  <c r="K2346" i="2"/>
  <c r="J2346" i="2"/>
  <c r="K2322" i="2"/>
  <c r="L2322" i="2" s="1"/>
  <c r="K2310" i="2"/>
  <c r="L2310" i="2" s="1"/>
  <c r="L2262" i="2"/>
  <c r="K2262" i="2"/>
  <c r="J2262" i="2"/>
  <c r="J2238" i="2"/>
  <c r="L2238" i="2" s="1"/>
  <c r="K2238" i="2"/>
  <c r="K2214" i="2"/>
  <c r="L2214" i="2" s="1"/>
  <c r="K2154" i="2"/>
  <c r="L2154" i="2"/>
  <c r="L2142" i="2"/>
  <c r="K2142" i="2"/>
  <c r="K2130" i="2"/>
  <c r="L2130" i="2"/>
  <c r="K2106" i="2"/>
  <c r="J2106" i="2"/>
  <c r="L2106" i="2"/>
  <c r="J2094" i="2"/>
  <c r="L2094" i="2" s="1"/>
  <c r="K2094" i="2"/>
  <c r="K2070" i="2"/>
  <c r="J2070" i="2"/>
  <c r="L2070" i="2"/>
  <c r="K2058" i="2"/>
  <c r="L2058" i="2"/>
  <c r="K2046" i="2"/>
  <c r="L2046" i="2" s="1"/>
  <c r="J2034" i="2"/>
  <c r="L2034" i="2"/>
  <c r="K2034" i="2"/>
  <c r="J2022" i="2"/>
  <c r="K2022" i="2"/>
  <c r="L2022" i="2" s="1"/>
  <c r="L2010" i="2"/>
  <c r="K2010" i="2"/>
  <c r="K1998" i="2"/>
  <c r="L1986" i="2"/>
  <c r="K1986" i="2"/>
  <c r="K1974" i="2"/>
  <c r="L1974" i="2" s="1"/>
  <c r="L1962" i="2"/>
  <c r="J1962" i="2"/>
  <c r="J1950" i="2"/>
  <c r="K1950" i="2"/>
  <c r="L1950" i="2"/>
  <c r="K1926" i="2"/>
  <c r="L1926" i="2"/>
  <c r="K1902" i="2"/>
  <c r="K1842" i="2"/>
  <c r="L1842" i="2" s="1"/>
  <c r="K1746" i="2"/>
  <c r="L1746" i="2"/>
  <c r="L1722" i="2"/>
  <c r="J1722" i="2"/>
  <c r="K1698" i="2"/>
  <c r="K1686" i="2"/>
  <c r="J1686" i="2"/>
  <c r="L1650" i="2"/>
  <c r="K1650" i="2"/>
  <c r="J1650" i="2"/>
  <c r="L1626" i="2"/>
  <c r="K1626" i="2"/>
  <c r="K1602" i="2"/>
  <c r="J1602" i="2"/>
  <c r="K1578" i="2"/>
  <c r="L1554" i="2"/>
  <c r="K1554" i="2"/>
  <c r="J1554" i="2"/>
  <c r="K1530" i="2"/>
  <c r="L1530" i="2" s="1"/>
  <c r="K1482" i="2"/>
  <c r="L1482" i="2"/>
  <c r="J1482" i="2"/>
  <c r="K1458" i="2"/>
  <c r="L1458" i="2" s="1"/>
  <c r="J1374" i="2"/>
  <c r="K1374" i="2"/>
  <c r="L1374" i="2"/>
  <c r="K1350" i="2"/>
  <c r="L1350" i="2"/>
  <c r="J1326" i="2"/>
  <c r="L1326" i="2" s="1"/>
  <c r="K1314" i="2"/>
  <c r="J1314" i="2"/>
  <c r="K1290" i="2"/>
  <c r="J1290" i="2"/>
  <c r="J1218" i="2"/>
  <c r="L1218" i="2"/>
  <c r="K1218" i="2"/>
  <c r="K1158" i="2"/>
  <c r="J1158" i="2"/>
  <c r="L1158" i="2" s="1"/>
  <c r="K1110" i="2"/>
  <c r="L1086" i="2"/>
  <c r="J1086" i="2"/>
  <c r="K1086" i="2"/>
  <c r="L1026" i="2"/>
  <c r="J1026" i="2"/>
  <c r="K1014" i="2"/>
  <c r="L1014" i="2" s="1"/>
  <c r="K1002" i="2"/>
  <c r="L1002" i="2" s="1"/>
  <c r="K978" i="2"/>
  <c r="J978" i="2"/>
  <c r="K954" i="2"/>
  <c r="L930" i="2"/>
  <c r="J930" i="2"/>
  <c r="K906" i="2"/>
  <c r="L906" i="2" s="1"/>
  <c r="J882" i="2"/>
  <c r="L882" i="2" s="1"/>
  <c r="J870" i="2"/>
  <c r="L870" i="2" s="1"/>
  <c r="L834" i="2"/>
  <c r="K834" i="2"/>
  <c r="J834" i="2"/>
  <c r="J822" i="2"/>
  <c r="L798" i="2"/>
  <c r="J798" i="2"/>
  <c r="K798" i="2"/>
  <c r="J786" i="2"/>
  <c r="L786" i="2" s="1"/>
  <c r="K738" i="2"/>
  <c r="J738" i="2"/>
  <c r="J714" i="2"/>
  <c r="K714" i="2"/>
  <c r="J702" i="2"/>
  <c r="L702" i="2" s="1"/>
  <c r="K690" i="2"/>
  <c r="L690" i="2" s="1"/>
  <c r="L666" i="2"/>
  <c r="J666" i="2"/>
  <c r="K666" i="2"/>
  <c r="L630" i="2"/>
  <c r="K630" i="2"/>
  <c r="K618" i="2"/>
  <c r="L618" i="2" s="1"/>
  <c r="K594" i="2"/>
  <c r="L594" i="2" s="1"/>
  <c r="J570" i="2"/>
  <c r="K570" i="2"/>
  <c r="K546" i="2"/>
  <c r="J546" i="2"/>
  <c r="K510" i="2"/>
  <c r="L510" i="2" s="1"/>
  <c r="K486" i="2"/>
  <c r="L486" i="2" s="1"/>
  <c r="L378" i="2"/>
  <c r="J378" i="2"/>
  <c r="K294" i="2"/>
  <c r="L294" i="2" s="1"/>
  <c r="J282" i="2"/>
  <c r="K282" i="2"/>
  <c r="L258" i="2"/>
  <c r="K258" i="2"/>
  <c r="J246" i="2"/>
  <c r="L3101" i="2"/>
  <c r="L1457" i="2"/>
  <c r="J3740" i="2"/>
  <c r="J3681" i="2"/>
  <c r="J3596" i="2"/>
  <c r="L3596" i="2" s="1"/>
  <c r="J3511" i="2"/>
  <c r="J3491" i="2"/>
  <c r="J3453" i="2"/>
  <c r="J3114" i="2"/>
  <c r="L3114" i="2" s="1"/>
  <c r="J2948" i="2"/>
  <c r="J2923" i="2"/>
  <c r="J2229" i="2"/>
  <c r="L2229" i="2" s="1"/>
  <c r="J2207" i="2"/>
  <c r="L2207" i="2" s="1"/>
  <c r="J2166" i="2"/>
  <c r="J1783" i="2"/>
  <c r="L1783" i="2" s="1"/>
  <c r="J1761" i="2"/>
  <c r="L1761" i="2" s="1"/>
  <c r="J1725" i="2"/>
  <c r="L1725" i="2" s="1"/>
  <c r="J1663" i="2"/>
  <c r="J1206" i="2"/>
  <c r="J1182" i="2"/>
  <c r="J919" i="2"/>
  <c r="J874" i="2"/>
  <c r="L874" i="2" s="1"/>
  <c r="J787" i="2"/>
  <c r="J654" i="2"/>
  <c r="J306" i="2"/>
  <c r="J58" i="2"/>
  <c r="K165" i="2"/>
  <c r="K247" i="2"/>
  <c r="K378" i="2"/>
  <c r="K717" i="2"/>
  <c r="K823" i="2"/>
  <c r="K1074" i="2"/>
  <c r="K1185" i="2"/>
  <c r="K1231" i="2"/>
  <c r="K1315" i="2"/>
  <c r="L1315" i="2" s="1"/>
  <c r="K1425" i="2"/>
  <c r="K1893" i="2"/>
  <c r="K2062" i="2"/>
  <c r="K2085" i="2"/>
  <c r="K2171" i="2"/>
  <c r="K2286" i="2"/>
  <c r="L2286" i="2" s="1"/>
  <c r="K2479" i="2"/>
  <c r="K2626" i="2"/>
  <c r="K2718" i="2"/>
  <c r="K2754" i="2"/>
  <c r="K2826" i="2"/>
  <c r="K2899" i="2"/>
  <c r="K2959" i="2"/>
  <c r="K3379" i="2"/>
  <c r="K3678" i="2"/>
  <c r="L3678" i="2" s="1"/>
  <c r="K3767" i="2"/>
  <c r="L3498" i="2"/>
  <c r="L2491" i="2"/>
  <c r="L2411" i="2"/>
  <c r="L1773" i="2"/>
  <c r="L1602" i="2"/>
  <c r="L1162" i="2"/>
  <c r="L1111" i="2"/>
  <c r="L895" i="2"/>
  <c r="L2656" i="2"/>
  <c r="L2536" i="2"/>
  <c r="J3716" i="2"/>
  <c r="L3716" i="2" s="1"/>
  <c r="J3654" i="2"/>
  <c r="J3632" i="2"/>
  <c r="J3612" i="2"/>
  <c r="J3571" i="2"/>
  <c r="J3488" i="2"/>
  <c r="J3426" i="2"/>
  <c r="J3344" i="2"/>
  <c r="L3344" i="2" s="1"/>
  <c r="J3091" i="2"/>
  <c r="J3047" i="2"/>
  <c r="J3006" i="2"/>
  <c r="J2987" i="2"/>
  <c r="J2904" i="2"/>
  <c r="J2879" i="2"/>
  <c r="J2862" i="2"/>
  <c r="J2779" i="2"/>
  <c r="L2779" i="2" s="1"/>
  <c r="J2675" i="2"/>
  <c r="L2675" i="2" s="1"/>
  <c r="J2651" i="2"/>
  <c r="L2609" i="2"/>
  <c r="J2490" i="2"/>
  <c r="J2409" i="2"/>
  <c r="L2324" i="2"/>
  <c r="J2202" i="2"/>
  <c r="J2143" i="2"/>
  <c r="J2082" i="2"/>
  <c r="J2059" i="2"/>
  <c r="J1998" i="2"/>
  <c r="L1998" i="2" s="1"/>
  <c r="J1919" i="2"/>
  <c r="J1818" i="2"/>
  <c r="L1818" i="2" s="1"/>
  <c r="J1759" i="2"/>
  <c r="J1699" i="2"/>
  <c r="J1641" i="2"/>
  <c r="J1579" i="2"/>
  <c r="J1521" i="2"/>
  <c r="J1422" i="2"/>
  <c r="J1303" i="2"/>
  <c r="L1265" i="2"/>
  <c r="J1246" i="2"/>
  <c r="L1246" i="2" s="1"/>
  <c r="J1135" i="2"/>
  <c r="J1111" i="2"/>
  <c r="J1090" i="2"/>
  <c r="J1066" i="2"/>
  <c r="J1042" i="2"/>
  <c r="J1017" i="2"/>
  <c r="J954" i="2"/>
  <c r="J846" i="2"/>
  <c r="L846" i="2" s="1"/>
  <c r="J630" i="2"/>
  <c r="L608" i="2"/>
  <c r="J535" i="2"/>
  <c r="J259" i="2"/>
  <c r="J55" i="2"/>
  <c r="J9" i="2"/>
  <c r="K22" i="2"/>
  <c r="K67" i="2"/>
  <c r="K249" i="2"/>
  <c r="K331" i="2"/>
  <c r="K406" i="2"/>
  <c r="K859" i="2"/>
  <c r="K885" i="2"/>
  <c r="K966" i="2"/>
  <c r="K1135" i="2"/>
  <c r="K1209" i="2"/>
  <c r="L1209" i="2" s="1"/>
  <c r="K1291" i="2"/>
  <c r="K1317" i="2"/>
  <c r="L1317" i="2" s="1"/>
  <c r="K1509" i="2"/>
  <c r="K1558" i="2"/>
  <c r="L1558" i="2" s="1"/>
  <c r="K1723" i="2"/>
  <c r="K1869" i="2"/>
  <c r="K2087" i="2"/>
  <c r="L2087" i="2" s="1"/>
  <c r="K2483" i="2"/>
  <c r="K2720" i="2"/>
  <c r="K2903" i="2"/>
  <c r="K2972" i="2"/>
  <c r="K3007" i="2"/>
  <c r="K3036" i="2"/>
  <c r="K3082" i="2"/>
  <c r="K3259" i="2"/>
  <c r="K3359" i="2"/>
  <c r="K3383" i="2"/>
  <c r="K3681" i="2"/>
  <c r="K3706" i="2"/>
  <c r="L3706" i="2" s="1"/>
  <c r="L3539" i="2"/>
  <c r="L3440" i="2"/>
  <c r="L2071" i="2"/>
  <c r="L1822" i="2"/>
  <c r="L1770" i="2"/>
  <c r="L1210" i="2"/>
  <c r="L967" i="2"/>
  <c r="L835" i="2"/>
  <c r="L549" i="2"/>
  <c r="L139" i="2"/>
  <c r="K3793" i="2"/>
  <c r="J3757" i="2"/>
  <c r="K3757" i="2"/>
  <c r="K3721" i="2"/>
  <c r="J3721" i="2"/>
  <c r="K3625" i="2"/>
  <c r="J3625" i="2"/>
  <c r="L3589" i="2"/>
  <c r="K3589" i="2"/>
  <c r="K3792" i="2"/>
  <c r="J3792" i="2"/>
  <c r="K3732" i="2"/>
  <c r="J3778" i="2"/>
  <c r="K3778" i="2"/>
  <c r="J3754" i="2"/>
  <c r="K3754" i="2"/>
  <c r="J3718" i="2"/>
  <c r="K3718" i="2"/>
  <c r="J3670" i="2"/>
  <c r="K3670" i="2"/>
  <c r="J3646" i="2"/>
  <c r="L3646" i="2" s="1"/>
  <c r="L3598" i="2"/>
  <c r="J3598" i="2"/>
  <c r="K3598" i="2"/>
  <c r="L3562" i="2"/>
  <c r="J3562" i="2"/>
  <c r="L3526" i="2"/>
  <c r="J3526" i="2"/>
  <c r="K3526" i="2"/>
  <c r="L3478" i="2"/>
  <c r="J3478" i="2"/>
  <c r="K3478" i="2"/>
  <c r="J3430" i="2"/>
  <c r="K3430" i="2"/>
  <c r="L3394" i="2"/>
  <c r="K3394" i="2"/>
  <c r="J3394" i="2"/>
  <c r="L3346" i="2"/>
  <c r="J3346" i="2"/>
  <c r="L3322" i="2"/>
  <c r="J3322" i="2"/>
  <c r="J3274" i="2"/>
  <c r="L3274" i="2" s="1"/>
  <c r="L3226" i="2"/>
  <c r="J3226" i="2"/>
  <c r="K3226" i="2"/>
  <c r="L3178" i="2"/>
  <c r="J3178" i="2"/>
  <c r="K3178" i="2"/>
  <c r="J3154" i="2"/>
  <c r="L3154" i="2" s="1"/>
  <c r="K3154" i="2"/>
  <c r="L3106" i="2"/>
  <c r="J3106" i="2"/>
  <c r="J3070" i="2"/>
  <c r="K3070" i="2"/>
  <c r="J3034" i="2"/>
  <c r="L3034" i="2" s="1"/>
  <c r="J2998" i="2"/>
  <c r="K2998" i="2"/>
  <c r="J2962" i="2"/>
  <c r="K2962" i="2"/>
  <c r="J2926" i="2"/>
  <c r="L2926" i="2" s="1"/>
  <c r="L2878" i="2"/>
  <c r="J2878" i="2"/>
  <c r="L2842" i="2"/>
  <c r="J2842" i="2"/>
  <c r="K2842" i="2"/>
  <c r="L2794" i="2"/>
  <c r="J2794" i="2"/>
  <c r="K2794" i="2"/>
  <c r="J2758" i="2"/>
  <c r="L2758" i="2" s="1"/>
  <c r="L2722" i="2"/>
  <c r="J2722" i="2"/>
  <c r="K2722" i="2"/>
  <c r="L2686" i="2"/>
  <c r="K2686" i="2"/>
  <c r="J2686" i="2"/>
  <c r="J2638" i="2"/>
  <c r="L2638" i="2" s="1"/>
  <c r="J2614" i="2"/>
  <c r="J2578" i="2"/>
  <c r="L2578" i="2" s="1"/>
  <c r="L2542" i="2"/>
  <c r="K2542" i="2"/>
  <c r="J2542" i="2"/>
  <c r="J2494" i="2"/>
  <c r="K2494" i="2"/>
  <c r="L2470" i="2"/>
  <c r="J2470" i="2"/>
  <c r="J2434" i="2"/>
  <c r="K2434" i="2"/>
  <c r="L2398" i="2"/>
  <c r="K2398" i="2"/>
  <c r="J2398" i="2"/>
  <c r="L2350" i="2"/>
  <c r="J2350" i="2"/>
  <c r="K2350" i="2"/>
  <c r="J2314" i="2"/>
  <c r="K2314" i="2"/>
  <c r="L2278" i="2"/>
  <c r="J2278" i="2"/>
  <c r="K2278" i="2"/>
  <c r="L2242" i="2"/>
  <c r="J2242" i="2"/>
  <c r="K2242" i="2"/>
  <c r="L2206" i="2"/>
  <c r="J2206" i="2"/>
  <c r="K2206" i="2"/>
  <c r="J2170" i="2"/>
  <c r="K2170" i="2"/>
  <c r="L2170" i="2"/>
  <c r="J2134" i="2"/>
  <c r="L2134" i="2" s="1"/>
  <c r="J2050" i="2"/>
  <c r="K2050" i="2"/>
  <c r="J2014" i="2"/>
  <c r="K2014" i="2"/>
  <c r="K1966" i="2"/>
  <c r="J1966" i="2"/>
  <c r="J1942" i="2"/>
  <c r="L1942" i="2" s="1"/>
  <c r="J1906" i="2"/>
  <c r="J1870" i="2"/>
  <c r="L1870" i="2"/>
  <c r="K1870" i="2"/>
  <c r="L1834" i="2"/>
  <c r="J1834" i="2"/>
  <c r="K1834" i="2"/>
  <c r="J1810" i="2"/>
  <c r="L1810" i="2"/>
  <c r="J1798" i="2"/>
  <c r="L1798" i="2" s="1"/>
  <c r="K1798" i="2"/>
  <c r="J1762" i="2"/>
  <c r="J1738" i="2"/>
  <c r="L1738" i="2"/>
  <c r="J1702" i="2"/>
  <c r="K1702" i="2"/>
  <c r="L1702" i="2" s="1"/>
  <c r="K1678" i="2"/>
  <c r="J1678" i="2"/>
  <c r="L1678" i="2"/>
  <c r="J1642" i="2"/>
  <c r="L1642" i="2" s="1"/>
  <c r="J1630" i="2"/>
  <c r="L1630" i="2" s="1"/>
  <c r="J1606" i="2"/>
  <c r="L1606" i="2" s="1"/>
  <c r="K1606" i="2"/>
  <c r="J1582" i="2"/>
  <c r="L1582" i="2"/>
  <c r="J1570" i="2"/>
  <c r="L1570" i="2"/>
  <c r="K1570" i="2"/>
  <c r="K1534" i="2"/>
  <c r="J1534" i="2"/>
  <c r="J1510" i="2"/>
  <c r="J1486" i="2"/>
  <c r="L1486" i="2" s="1"/>
  <c r="J1462" i="2"/>
  <c r="L1462" i="2" s="1"/>
  <c r="J1438" i="2"/>
  <c r="L1438" i="2" s="1"/>
  <c r="K1438" i="2"/>
  <c r="J1426" i="2"/>
  <c r="K1426" i="2"/>
  <c r="L1426" i="2" s="1"/>
  <c r="J1402" i="2"/>
  <c r="K1402" i="2"/>
  <c r="L1378" i="2"/>
  <c r="J1378" i="2"/>
  <c r="K1378" i="2"/>
  <c r="J1354" i="2"/>
  <c r="K1354" i="2"/>
  <c r="J1330" i="2"/>
  <c r="L1330" i="2"/>
  <c r="J1306" i="2"/>
  <c r="K1306" i="2"/>
  <c r="J1294" i="2"/>
  <c r="L1294" i="2"/>
  <c r="J1270" i="2"/>
  <c r="L1270" i="2"/>
  <c r="J1198" i="2"/>
  <c r="L1198" i="2" s="1"/>
  <c r="K1138" i="2"/>
  <c r="L1138" i="2"/>
  <c r="J1138" i="2"/>
  <c r="K1114" i="2"/>
  <c r="L1114" i="2" s="1"/>
  <c r="K1102" i="2"/>
  <c r="J1102" i="2"/>
  <c r="L1102" i="2" s="1"/>
  <c r="L1078" i="2"/>
  <c r="K1078" i="2"/>
  <c r="J1078" i="2"/>
  <c r="L1054" i="2"/>
  <c r="J1054" i="2"/>
  <c r="K1030" i="2"/>
  <c r="L1006" i="2"/>
  <c r="J1006" i="2"/>
  <c r="J982" i="2"/>
  <c r="L958" i="2"/>
  <c r="K958" i="2"/>
  <c r="L910" i="2"/>
  <c r="J910" i="2"/>
  <c r="K862" i="2"/>
  <c r="L862" i="2" s="1"/>
  <c r="J838" i="2"/>
  <c r="K838" i="2"/>
  <c r="K814" i="2"/>
  <c r="J814" i="2"/>
  <c r="L814" i="2" s="1"/>
  <c r="J790" i="2"/>
  <c r="K778" i="2"/>
  <c r="J778" i="2"/>
  <c r="L742" i="2"/>
  <c r="J718" i="2"/>
  <c r="L718" i="2" s="1"/>
  <c r="L694" i="2"/>
  <c r="J694" i="2"/>
  <c r="L658" i="2"/>
  <c r="J622" i="2"/>
  <c r="K622" i="2"/>
  <c r="J598" i="2"/>
  <c r="K598" i="2"/>
  <c r="J574" i="2"/>
  <c r="L574" i="2"/>
  <c r="K574" i="2"/>
  <c r="L538" i="2"/>
  <c r="K538" i="2"/>
  <c r="K502" i="2"/>
  <c r="L502" i="2" s="1"/>
  <c r="L454" i="2"/>
  <c r="K454" i="2"/>
  <c r="J454" i="2"/>
  <c r="J370" i="2"/>
  <c r="K370" i="2"/>
  <c r="J358" i="2"/>
  <c r="K358" i="2"/>
  <c r="J310" i="2"/>
  <c r="L310" i="2" s="1"/>
  <c r="K286" i="2"/>
  <c r="J286" i="2"/>
  <c r="L286" i="2" s="1"/>
  <c r="J262" i="2"/>
  <c r="L262" i="2"/>
  <c r="K250" i="2"/>
  <c r="J250" i="2"/>
  <c r="K226" i="2"/>
  <c r="J226" i="2"/>
  <c r="K214" i="2"/>
  <c r="L214" i="2" s="1"/>
  <c r="K190" i="2"/>
  <c r="J190" i="2"/>
  <c r="L190" i="2" s="1"/>
  <c r="J166" i="2"/>
  <c r="L166" i="2"/>
  <c r="J142" i="2"/>
  <c r="L142" i="2" s="1"/>
  <c r="J118" i="2"/>
  <c r="K118" i="2"/>
  <c r="L94" i="2"/>
  <c r="K94" i="2"/>
  <c r="K46" i="2"/>
  <c r="L46" i="2" s="1"/>
  <c r="J3732" i="2"/>
  <c r="J2423" i="2"/>
  <c r="J2339" i="2"/>
  <c r="J706" i="2"/>
  <c r="J442" i="2"/>
  <c r="J154" i="2"/>
  <c r="L154" i="2" s="1"/>
  <c r="J22" i="2"/>
  <c r="K130" i="2"/>
  <c r="K1762" i="2"/>
  <c r="K2303" i="2"/>
  <c r="K2362" i="2"/>
  <c r="K2614" i="2"/>
  <c r="K2988" i="2"/>
  <c r="K3204" i="2"/>
  <c r="K3777" i="2"/>
  <c r="J3777" i="2"/>
  <c r="J3729" i="2"/>
  <c r="L3633" i="2"/>
  <c r="J3633" i="2"/>
  <c r="K3633" i="2"/>
  <c r="K3609" i="2"/>
  <c r="L3609" i="2"/>
  <c r="J3573" i="2"/>
  <c r="K3573" i="2"/>
  <c r="K3525" i="2"/>
  <c r="L3525" i="2"/>
  <c r="K3417" i="2"/>
  <c r="K3381" i="2"/>
  <c r="J3381" i="2"/>
  <c r="L3297" i="2"/>
  <c r="K3297" i="2"/>
  <c r="K3225" i="2"/>
  <c r="J3225" i="2"/>
  <c r="L3225" i="2"/>
  <c r="L3189" i="2"/>
  <c r="K3189" i="2"/>
  <c r="K3105" i="2"/>
  <c r="J3105" i="2"/>
  <c r="L3105" i="2" s="1"/>
  <c r="L3069" i="2"/>
  <c r="J3069" i="2"/>
  <c r="K3069" i="2"/>
  <c r="J2925" i="2"/>
  <c r="L2925" i="2" s="1"/>
  <c r="K2877" i="2"/>
  <c r="L2877" i="2"/>
  <c r="K2829" i="2"/>
  <c r="J2829" i="2"/>
  <c r="L2829" i="2"/>
  <c r="J2757" i="2"/>
  <c r="K2757" i="2"/>
  <c r="L2757" i="2"/>
  <c r="L2733" i="2"/>
  <c r="K2733" i="2"/>
  <c r="K2697" i="2"/>
  <c r="J2697" i="2"/>
  <c r="L2697" i="2" s="1"/>
  <c r="K2673" i="2"/>
  <c r="J2673" i="2"/>
  <c r="K2637" i="2"/>
  <c r="J2601" i="2"/>
  <c r="L2601" i="2"/>
  <c r="L2577" i="2"/>
  <c r="K2577" i="2"/>
  <c r="K2541" i="2"/>
  <c r="L2541" i="2" s="1"/>
  <c r="K2493" i="2"/>
  <c r="L2493" i="2" s="1"/>
  <c r="K2457" i="2"/>
  <c r="L2457" i="2" s="1"/>
  <c r="K2373" i="2"/>
  <c r="J2373" i="2"/>
  <c r="L2373" i="2" s="1"/>
  <c r="L2217" i="2"/>
  <c r="K2217" i="2"/>
  <c r="J2217" i="2"/>
  <c r="K2169" i="2"/>
  <c r="L2169" i="2" s="1"/>
  <c r="K2145" i="2"/>
  <c r="L2145" i="2" s="1"/>
  <c r="K2097" i="2"/>
  <c r="L2097" i="2"/>
  <c r="K2061" i="2"/>
  <c r="J2061" i="2"/>
  <c r="L2061" i="2" s="1"/>
  <c r="J2037" i="2"/>
  <c r="L2037" i="2" s="1"/>
  <c r="L2001" i="2"/>
  <c r="J2001" i="2"/>
  <c r="K1881" i="2"/>
  <c r="J1881" i="2"/>
  <c r="L1833" i="2"/>
  <c r="K1833" i="2"/>
  <c r="L1749" i="2"/>
  <c r="K1749" i="2"/>
  <c r="K1677" i="2"/>
  <c r="L1629" i="2"/>
  <c r="K1629" i="2"/>
  <c r="L1449" i="2"/>
  <c r="K1449" i="2"/>
  <c r="K1329" i="2"/>
  <c r="L1269" i="2"/>
  <c r="J1269" i="2"/>
  <c r="K1233" i="2"/>
  <c r="L1233" i="2"/>
  <c r="L1149" i="2"/>
  <c r="K1149" i="2"/>
  <c r="J1113" i="2"/>
  <c r="L1113" i="2" s="1"/>
  <c r="L1065" i="2"/>
  <c r="K1065" i="2"/>
  <c r="J1065" i="2"/>
  <c r="J1041" i="2"/>
  <c r="K1041" i="2"/>
  <c r="L1005" i="2"/>
  <c r="J1005" i="2"/>
  <c r="L993" i="2"/>
  <c r="J993" i="2"/>
  <c r="K993" i="2"/>
  <c r="K957" i="2"/>
  <c r="L957" i="2"/>
  <c r="L909" i="2"/>
  <c r="K909" i="2"/>
  <c r="J909" i="2"/>
  <c r="L849" i="2"/>
  <c r="J849" i="2"/>
  <c r="K813" i="2"/>
  <c r="J813" i="2"/>
  <c r="L813" i="2"/>
  <c r="K669" i="2"/>
  <c r="J669" i="2"/>
  <c r="L669" i="2"/>
  <c r="K597" i="2"/>
  <c r="L597" i="2"/>
  <c r="K525" i="2"/>
  <c r="J525" i="2"/>
  <c r="K489" i="2"/>
  <c r="L489" i="2"/>
  <c r="J489" i="2"/>
  <c r="J453" i="2"/>
  <c r="K453" i="2"/>
  <c r="K429" i="2"/>
  <c r="L429" i="2" s="1"/>
  <c r="J393" i="2"/>
  <c r="K393" i="2"/>
  <c r="K333" i="2"/>
  <c r="L333" i="2"/>
  <c r="L297" i="2"/>
  <c r="J297" i="2"/>
  <c r="L213" i="2"/>
  <c r="J213" i="2"/>
  <c r="K177" i="2"/>
  <c r="L141" i="2"/>
  <c r="J141" i="2"/>
  <c r="K141" i="2"/>
  <c r="K117" i="2"/>
  <c r="L117" i="2" s="1"/>
  <c r="K81" i="2"/>
  <c r="J81" i="2"/>
  <c r="L57" i="2"/>
  <c r="K57" i="2"/>
  <c r="K33" i="2"/>
  <c r="J33" i="2"/>
  <c r="J3793" i="2"/>
  <c r="J3561" i="2"/>
  <c r="J3057" i="2"/>
  <c r="J2637" i="2"/>
  <c r="L2637" i="2" s="1"/>
  <c r="J1869" i="2"/>
  <c r="J705" i="2"/>
  <c r="J153" i="2"/>
  <c r="J69" i="2"/>
  <c r="K610" i="2"/>
  <c r="L610" i="2" s="1"/>
  <c r="K765" i="2"/>
  <c r="L765" i="2" s="1"/>
  <c r="K790" i="2"/>
  <c r="K898" i="2"/>
  <c r="K981" i="2"/>
  <c r="K1029" i="2"/>
  <c r="L1029" i="2" s="1"/>
  <c r="K1473" i="2"/>
  <c r="L1473" i="2" s="1"/>
  <c r="K1522" i="2"/>
  <c r="K2159" i="2"/>
  <c r="L2159" i="2" s="1"/>
  <c r="K3729" i="2"/>
  <c r="K3788" i="2"/>
  <c r="L3788" i="2" s="1"/>
  <c r="K3752" i="2"/>
  <c r="L3752" i="2"/>
  <c r="K3692" i="2"/>
  <c r="J3692" i="2"/>
  <c r="K3668" i="2"/>
  <c r="L3668" i="2"/>
  <c r="K3644" i="2"/>
  <c r="L3644" i="2" s="1"/>
  <c r="K3608" i="2"/>
  <c r="J3608" i="2"/>
  <c r="K3560" i="2"/>
  <c r="J3560" i="2"/>
  <c r="K3536" i="2"/>
  <c r="J3536" i="2"/>
  <c r="L3536" i="2" s="1"/>
  <c r="K3500" i="2"/>
  <c r="L3500" i="2" s="1"/>
  <c r="K3452" i="2"/>
  <c r="J3452" i="2"/>
  <c r="K3428" i="2"/>
  <c r="L3428" i="2"/>
  <c r="K3416" i="2"/>
  <c r="J3416" i="2"/>
  <c r="L3416" i="2" s="1"/>
  <c r="K3392" i="2"/>
  <c r="L3392" i="2" s="1"/>
  <c r="K3356" i="2"/>
  <c r="L3356" i="2"/>
  <c r="K3320" i="2"/>
  <c r="J3320" i="2"/>
  <c r="K3296" i="2"/>
  <c r="J3296" i="2"/>
  <c r="L3296" i="2" s="1"/>
  <c r="K3272" i="2"/>
  <c r="J3272" i="2"/>
  <c r="K3236" i="2"/>
  <c r="L3236" i="2"/>
  <c r="K3200" i="2"/>
  <c r="L3200" i="2"/>
  <c r="J3128" i="2"/>
  <c r="L3128" i="2" s="1"/>
  <c r="K3116" i="2"/>
  <c r="L3116" i="2" s="1"/>
  <c r="K3080" i="2"/>
  <c r="L3080" i="2"/>
  <c r="L3044" i="2"/>
  <c r="K3044" i="2"/>
  <c r="J2984" i="2"/>
  <c r="K2984" i="2"/>
  <c r="L2960" i="2"/>
  <c r="K2960" i="2"/>
  <c r="J2960" i="2"/>
  <c r="K2900" i="2"/>
  <c r="L2900" i="2"/>
  <c r="J2900" i="2"/>
  <c r="K2864" i="2"/>
  <c r="L2864" i="2"/>
  <c r="J2828" i="2"/>
  <c r="K2828" i="2"/>
  <c r="K2816" i="2"/>
  <c r="L2816" i="2"/>
  <c r="K2792" i="2"/>
  <c r="L2792" i="2" s="1"/>
  <c r="J2744" i="2"/>
  <c r="K2744" i="2"/>
  <c r="K2672" i="2"/>
  <c r="J2672" i="2"/>
  <c r="L2672" i="2"/>
  <c r="J3417" i="2"/>
  <c r="J3333" i="2"/>
  <c r="L3333" i="2" s="1"/>
  <c r="J3251" i="2"/>
  <c r="J3119" i="2"/>
  <c r="J3035" i="2"/>
  <c r="J2807" i="2"/>
  <c r="J2315" i="2"/>
  <c r="L2315" i="2" s="1"/>
  <c r="J2255" i="2"/>
  <c r="J1233" i="2"/>
  <c r="J1186" i="2"/>
  <c r="J1030" i="2"/>
  <c r="J922" i="2"/>
  <c r="L922" i="2" s="1"/>
  <c r="J333" i="2"/>
  <c r="J309" i="2"/>
  <c r="J202" i="2"/>
  <c r="K58" i="2"/>
  <c r="K213" i="2"/>
  <c r="K741" i="2"/>
  <c r="K766" i="2"/>
  <c r="K874" i="2"/>
  <c r="K982" i="2"/>
  <c r="K1474" i="2"/>
  <c r="K1941" i="2"/>
  <c r="K2530" i="2"/>
  <c r="K2591" i="2"/>
  <c r="K2709" i="2"/>
  <c r="L2709" i="2" s="1"/>
  <c r="K2781" i="2"/>
  <c r="L2781" i="2" s="1"/>
  <c r="K2819" i="2"/>
  <c r="K2924" i="2"/>
  <c r="K3345" i="2"/>
  <c r="K3405" i="2"/>
  <c r="K3562" i="2"/>
  <c r="K3588" i="2"/>
  <c r="K3636" i="2"/>
  <c r="L3636" i="2" s="1"/>
  <c r="K3730" i="2"/>
  <c r="L3730" i="2" s="1"/>
  <c r="L3660" i="2"/>
  <c r="L3455" i="2"/>
  <c r="L3252" i="2"/>
  <c r="L3152" i="2"/>
  <c r="L3011" i="2"/>
  <c r="L2868" i="2"/>
  <c r="L2339" i="2"/>
  <c r="L2015" i="2"/>
  <c r="L1402" i="2"/>
  <c r="K3799" i="2"/>
  <c r="J3799" i="2"/>
  <c r="L3799" i="2" s="1"/>
  <c r="K3787" i="2"/>
  <c r="L3787" i="2" s="1"/>
  <c r="K3775" i="2"/>
  <c r="L3775" i="2" s="1"/>
  <c r="J3775" i="2"/>
  <c r="J3763" i="2"/>
  <c r="L3763" i="2" s="1"/>
  <c r="K3751" i="2"/>
  <c r="L3751" i="2" s="1"/>
  <c r="K3727" i="2"/>
  <c r="J3727" i="2"/>
  <c r="L3727" i="2" s="1"/>
  <c r="L3691" i="2"/>
  <c r="J3691" i="2"/>
  <c r="K3691" i="2"/>
  <c r="L3667" i="2"/>
  <c r="K3667" i="2"/>
  <c r="K3655" i="2"/>
  <c r="L3655" i="2" s="1"/>
  <c r="K3631" i="2"/>
  <c r="K3106" i="2"/>
  <c r="K3731" i="2"/>
  <c r="L3625" i="2"/>
  <c r="L2903" i="2"/>
  <c r="L2086" i="2"/>
  <c r="L1953" i="2"/>
  <c r="K3798" i="2"/>
  <c r="L3798" i="2" s="1"/>
  <c r="K3666" i="2"/>
  <c r="L3666" i="2" s="1"/>
  <c r="K3642" i="2"/>
  <c r="L3642" i="2"/>
  <c r="J3642" i="2"/>
  <c r="K3546" i="2"/>
  <c r="J3438" i="2"/>
  <c r="K3438" i="2"/>
  <c r="L3438" i="2"/>
  <c r="K3402" i="2"/>
  <c r="L3402" i="2"/>
  <c r="K3366" i="2"/>
  <c r="J3366" i="2"/>
  <c r="K3198" i="2"/>
  <c r="L3198" i="2"/>
  <c r="L2742" i="2"/>
  <c r="J2742" i="2"/>
  <c r="J210" i="2"/>
  <c r="L210" i="2" s="1"/>
  <c r="K198" i="2"/>
  <c r="L198" i="2" s="1"/>
  <c r="K174" i="2"/>
  <c r="J174" i="2"/>
  <c r="L174" i="2" s="1"/>
  <c r="L150" i="2"/>
  <c r="J114" i="2"/>
  <c r="K114" i="2"/>
  <c r="K90" i="2"/>
  <c r="L90" i="2" s="1"/>
  <c r="L30" i="2"/>
  <c r="K30" i="2"/>
  <c r="L6" i="2"/>
  <c r="J6" i="2"/>
  <c r="J3683" i="2"/>
  <c r="J3516" i="2"/>
  <c r="J3455" i="2"/>
  <c r="J3331" i="2"/>
  <c r="L3331" i="2" s="1"/>
  <c r="J3201" i="2"/>
  <c r="L3201" i="2" s="1"/>
  <c r="J3095" i="2"/>
  <c r="L3095" i="2" s="1"/>
  <c r="J3009" i="2"/>
  <c r="J2865" i="2"/>
  <c r="J2804" i="2"/>
  <c r="J2634" i="2"/>
  <c r="L2634" i="2" s="1"/>
  <c r="J2231" i="2"/>
  <c r="J2167" i="2"/>
  <c r="J2130" i="2"/>
  <c r="J2109" i="2"/>
  <c r="J2025" i="2"/>
  <c r="J1902" i="2"/>
  <c r="L1902" i="2" s="1"/>
  <c r="J1545" i="2"/>
  <c r="L1545" i="2" s="1"/>
  <c r="J1507" i="2"/>
  <c r="J1329" i="2"/>
  <c r="J1230" i="2"/>
  <c r="J1183" i="2"/>
  <c r="L1183" i="2" s="1"/>
  <c r="J657" i="2"/>
  <c r="L657" i="2" s="1"/>
  <c r="J633" i="2"/>
  <c r="J331" i="2"/>
  <c r="J177" i="2"/>
  <c r="K246" i="2"/>
  <c r="K270" i="2"/>
  <c r="L270" i="2" s="1"/>
  <c r="K451" i="2"/>
  <c r="K561" i="2"/>
  <c r="L561" i="2" s="1"/>
  <c r="K693" i="2"/>
  <c r="K822" i="2"/>
  <c r="K1603" i="2"/>
  <c r="K1918" i="2"/>
  <c r="K2687" i="2"/>
  <c r="K2898" i="2"/>
  <c r="K2958" i="2"/>
  <c r="K3107" i="2"/>
  <c r="L3107" i="2" s="1"/>
  <c r="K3141" i="2"/>
  <c r="K3175" i="2"/>
  <c r="K3282" i="2"/>
  <c r="K3451" i="2"/>
  <c r="K3801" i="2"/>
  <c r="L3697" i="2"/>
  <c r="L3138" i="2"/>
  <c r="L2951" i="2"/>
  <c r="J2250" i="2"/>
  <c r="J3780" i="2"/>
  <c r="L3758" i="2"/>
  <c r="J3715" i="2"/>
  <c r="L3715" i="2" s="1"/>
  <c r="J3631" i="2"/>
  <c r="J3611" i="2"/>
  <c r="L3611" i="2" s="1"/>
  <c r="J3546" i="2"/>
  <c r="J3487" i="2"/>
  <c r="J3468" i="2"/>
  <c r="J3343" i="2"/>
  <c r="J3260" i="2"/>
  <c r="J3236" i="2"/>
  <c r="L3172" i="2"/>
  <c r="J3151" i="2"/>
  <c r="J3132" i="2"/>
  <c r="J3045" i="2"/>
  <c r="J3023" i="2"/>
  <c r="J2964" i="2"/>
  <c r="L2964" i="2" s="1"/>
  <c r="L2942" i="2"/>
  <c r="J2877" i="2"/>
  <c r="J2839" i="2"/>
  <c r="J2817" i="2"/>
  <c r="J2778" i="2"/>
  <c r="L2778" i="2" s="1"/>
  <c r="J2755" i="2"/>
  <c r="J2649" i="2"/>
  <c r="J2627" i="2"/>
  <c r="L2627" i="2" s="1"/>
  <c r="J2527" i="2"/>
  <c r="L2527" i="2" s="1"/>
  <c r="J2507" i="2"/>
  <c r="L2507" i="2" s="1"/>
  <c r="J2466" i="2"/>
  <c r="J2407" i="2"/>
  <c r="J2387" i="2"/>
  <c r="J2323" i="2"/>
  <c r="J2267" i="2"/>
  <c r="J2183" i="2"/>
  <c r="J2142" i="2"/>
  <c r="J2058" i="2"/>
  <c r="J2039" i="2"/>
  <c r="J1939" i="2"/>
  <c r="J1917" i="2"/>
  <c r="L1917" i="2" s="1"/>
  <c r="J1855" i="2"/>
  <c r="L1817" i="2"/>
  <c r="J1698" i="2"/>
  <c r="L1698" i="2" s="1"/>
  <c r="J1677" i="2"/>
  <c r="J1578" i="2"/>
  <c r="J1459" i="2"/>
  <c r="L1459" i="2" s="1"/>
  <c r="J1363" i="2"/>
  <c r="J1302" i="2"/>
  <c r="J1281" i="2"/>
  <c r="J1245" i="2"/>
  <c r="L1245" i="2" s="1"/>
  <c r="J1221" i="2"/>
  <c r="J1134" i="2"/>
  <c r="L1134" i="2" s="1"/>
  <c r="J1110" i="2"/>
  <c r="L1110" i="2" s="1"/>
  <c r="J1089" i="2"/>
  <c r="L1089" i="2" s="1"/>
  <c r="J994" i="2"/>
  <c r="L994" i="2" s="1"/>
  <c r="J933" i="2"/>
  <c r="L933" i="2" s="1"/>
  <c r="J826" i="2"/>
  <c r="J802" i="2"/>
  <c r="J691" i="2"/>
  <c r="J534" i="2"/>
  <c r="J426" i="2"/>
  <c r="J258" i="2"/>
  <c r="J238" i="2"/>
  <c r="L238" i="2" s="1"/>
  <c r="J165" i="2"/>
  <c r="J54" i="2"/>
  <c r="J31" i="2"/>
  <c r="K69" i="2"/>
  <c r="L69" i="2" s="1"/>
  <c r="K306" i="2"/>
  <c r="K354" i="2"/>
  <c r="K573" i="2"/>
  <c r="L573" i="2" s="1"/>
  <c r="K678" i="2"/>
  <c r="K777" i="2"/>
  <c r="L777" i="2" s="1"/>
  <c r="K886" i="2"/>
  <c r="L886" i="2" s="1"/>
  <c r="K1054" i="2"/>
  <c r="K1318" i="2"/>
  <c r="K1434" i="2"/>
  <c r="L1434" i="2" s="1"/>
  <c r="K1461" i="2"/>
  <c r="K1510" i="2"/>
  <c r="K1615" i="2"/>
  <c r="K1758" i="2"/>
  <c r="K1906" i="2"/>
  <c r="K2037" i="2"/>
  <c r="K2178" i="2"/>
  <c r="L2178" i="2" s="1"/>
  <c r="K2290" i="2"/>
  <c r="K2723" i="2"/>
  <c r="K2874" i="2"/>
  <c r="K2904" i="2"/>
  <c r="K2975" i="2"/>
  <c r="K3008" i="2"/>
  <c r="L3008" i="2" s="1"/>
  <c r="K3083" i="2"/>
  <c r="K3153" i="2"/>
  <c r="L3153" i="2" s="1"/>
  <c r="K3222" i="2"/>
  <c r="K3261" i="2"/>
  <c r="L3261" i="2" s="1"/>
  <c r="K3294" i="2"/>
  <c r="K3331" i="2"/>
  <c r="K3360" i="2"/>
  <c r="K3683" i="2"/>
  <c r="K3745" i="2"/>
  <c r="L3680" i="2"/>
  <c r="L3228" i="2"/>
  <c r="L3131" i="2"/>
  <c r="L2984" i="2"/>
  <c r="L2744" i="2"/>
  <c r="L2483" i="2"/>
  <c r="L2442" i="2"/>
  <c r="L2267" i="2"/>
  <c r="L2227" i="2"/>
  <c r="L2195" i="2"/>
  <c r="L1979" i="2"/>
  <c r="L1929" i="2"/>
  <c r="L1641" i="2"/>
  <c r="L1543" i="2"/>
  <c r="L1038" i="2"/>
  <c r="L442" i="2"/>
  <c r="J3565" i="2"/>
  <c r="K3553" i="2"/>
  <c r="K3541" i="2"/>
  <c r="L3541" i="2" s="1"/>
  <c r="K3505" i="2"/>
  <c r="L3505" i="2" s="1"/>
  <c r="K3493" i="2"/>
  <c r="J3493" i="2"/>
  <c r="K3469" i="2"/>
  <c r="J3469" i="2"/>
  <c r="L3469" i="2"/>
  <c r="K3445" i="2"/>
  <c r="L3445" i="2" s="1"/>
  <c r="K3433" i="2"/>
  <c r="L3433" i="2"/>
  <c r="K3409" i="2"/>
  <c r="J3409" i="2"/>
  <c r="L3409" i="2"/>
  <c r="K3385" i="2"/>
  <c r="L3385" i="2" s="1"/>
  <c r="J3325" i="2"/>
  <c r="L3325" i="2"/>
  <c r="K3325" i="2"/>
  <c r="K3289" i="2"/>
  <c r="L3289" i="2"/>
  <c r="K3265" i="2"/>
  <c r="L3265" i="2" s="1"/>
  <c r="J3253" i="2"/>
  <c r="L3253" i="2" s="1"/>
  <c r="K3241" i="2"/>
  <c r="L3241" i="2"/>
  <c r="K3229" i="2"/>
  <c r="K3217" i="2"/>
  <c r="L3217" i="2"/>
  <c r="J3181" i="2"/>
  <c r="K3181" i="2"/>
  <c r="K3169" i="2"/>
  <c r="J3169" i="2"/>
  <c r="L3133" i="2"/>
  <c r="K3133" i="2"/>
  <c r="J3037" i="2"/>
  <c r="K3037" i="2"/>
  <c r="L3037" i="2"/>
  <c r="K3025" i="2"/>
  <c r="L3025" i="2"/>
  <c r="K3013" i="2"/>
  <c r="J3013" i="2"/>
  <c r="L3013" i="2" s="1"/>
  <c r="L2965" i="2"/>
  <c r="K2965" i="2"/>
  <c r="L2941" i="2"/>
  <c r="J2941" i="2"/>
  <c r="K2905" i="2"/>
  <c r="L2905" i="2" s="1"/>
  <c r="J2893" i="2"/>
  <c r="K2893" i="2"/>
  <c r="L2893" i="2"/>
  <c r="K2881" i="2"/>
  <c r="L2881" i="2"/>
  <c r="L2821" i="2"/>
  <c r="K2821" i="2"/>
  <c r="K2785" i="2"/>
  <c r="J2785" i="2"/>
  <c r="L2785" i="2" s="1"/>
  <c r="J2749" i="2"/>
  <c r="K2749" i="2"/>
  <c r="K2737" i="2"/>
  <c r="L2737" i="2"/>
  <c r="L2701" i="2"/>
  <c r="J2701" i="2"/>
  <c r="L2677" i="2"/>
  <c r="K2677" i="2"/>
  <c r="L2665" i="2"/>
  <c r="K2641" i="2"/>
  <c r="L2641" i="2"/>
  <c r="J2617" i="2"/>
  <c r="K2605" i="2"/>
  <c r="J2605" i="2"/>
  <c r="L2605" i="2" s="1"/>
  <c r="K2581" i="2"/>
  <c r="L2581" i="2"/>
  <c r="J2545" i="2"/>
  <c r="K2533" i="2"/>
  <c r="L2533" i="2" s="1"/>
  <c r="L2521" i="2"/>
  <c r="K2521" i="2"/>
  <c r="L2497" i="2"/>
  <c r="K2497" i="2"/>
  <c r="J2473" i="2"/>
  <c r="K2473" i="2"/>
  <c r="J2461" i="2"/>
  <c r="K2449" i="2"/>
  <c r="L2449" i="2"/>
  <c r="K2437" i="2"/>
  <c r="K2425" i="2"/>
  <c r="L2425" i="2"/>
  <c r="K2401" i="2"/>
  <c r="L2401" i="2"/>
  <c r="L2389" i="2"/>
  <c r="J2389" i="2"/>
  <c r="K2377" i="2"/>
  <c r="L2377" i="2" s="1"/>
  <c r="L2353" i="2"/>
  <c r="K2353" i="2"/>
  <c r="L2341" i="2"/>
  <c r="L2305" i="2"/>
  <c r="K2305" i="2"/>
  <c r="J2305" i="2"/>
  <c r="K2293" i="2"/>
  <c r="L2293" i="2"/>
  <c r="K2269" i="2"/>
  <c r="L2269" i="2" s="1"/>
  <c r="K2257" i="2"/>
  <c r="L2257" i="2" s="1"/>
  <c r="J2233" i="2"/>
  <c r="L2233" i="2" s="1"/>
  <c r="K2221" i="2"/>
  <c r="L2221" i="2"/>
  <c r="L2185" i="2"/>
  <c r="K2185" i="2"/>
  <c r="L2173" i="2"/>
  <c r="J2173" i="2"/>
  <c r="K2161" i="2"/>
  <c r="L2161" i="2" s="1"/>
  <c r="K2149" i="2"/>
  <c r="J2149" i="2"/>
  <c r="K2113" i="2"/>
  <c r="L2113" i="2" s="1"/>
  <c r="K2077" i="2"/>
  <c r="J2077" i="2"/>
  <c r="L2077" i="2" s="1"/>
  <c r="K2053" i="2"/>
  <c r="K2041" i="2"/>
  <c r="L2041" i="2"/>
  <c r="K2029" i="2"/>
  <c r="J2029" i="2"/>
  <c r="L2029" i="2"/>
  <c r="L2017" i="2"/>
  <c r="K2017" i="2"/>
  <c r="L2005" i="2"/>
  <c r="K2005" i="2"/>
  <c r="L1969" i="2"/>
  <c r="K1969" i="2"/>
  <c r="L1921" i="2"/>
  <c r="J1921" i="2"/>
  <c r="K1921" i="2"/>
  <c r="L1909" i="2"/>
  <c r="K1873" i="2"/>
  <c r="L1873" i="2"/>
  <c r="K1861" i="2"/>
  <c r="L1861" i="2"/>
  <c r="J1837" i="2"/>
  <c r="L1837" i="2"/>
  <c r="L1813" i="2"/>
  <c r="K1813" i="2"/>
  <c r="L1789" i="2"/>
  <c r="K1789" i="2"/>
  <c r="J1765" i="2"/>
  <c r="L1765" i="2" s="1"/>
  <c r="L1753" i="2"/>
  <c r="J1753" i="2"/>
  <c r="J1741" i="2"/>
  <c r="L1741" i="2" s="1"/>
  <c r="K1717" i="2"/>
  <c r="L1717" i="2"/>
  <c r="K1705" i="2"/>
  <c r="K1681" i="2"/>
  <c r="J1681" i="2"/>
  <c r="L1681" i="2"/>
  <c r="K1645" i="2"/>
  <c r="L1645" i="2"/>
  <c r="J1609" i="2"/>
  <c r="K1609" i="2"/>
  <c r="J1597" i="2"/>
  <c r="L1597" i="2" s="1"/>
  <c r="K1573" i="2"/>
  <c r="L1573" i="2"/>
  <c r="L1537" i="2"/>
  <c r="K1537" i="2"/>
  <c r="L1525" i="2"/>
  <c r="J1525" i="2"/>
  <c r="K1501" i="2"/>
  <c r="L1501" i="2" s="1"/>
  <c r="K1477" i="2"/>
  <c r="K1465" i="2"/>
  <c r="L1465" i="2"/>
  <c r="K1453" i="2"/>
  <c r="L1453" i="2" s="1"/>
  <c r="J1453" i="2"/>
  <c r="L1441" i="2"/>
  <c r="K1441" i="2"/>
  <c r="J1441" i="2"/>
  <c r="K1393" i="2"/>
  <c r="J1369" i="2"/>
  <c r="K1369" i="2"/>
  <c r="L1345" i="2"/>
  <c r="K1297" i="2"/>
  <c r="L1297" i="2"/>
  <c r="K1285" i="2"/>
  <c r="L1285" i="2"/>
  <c r="J1285" i="2"/>
  <c r="K1261" i="2"/>
  <c r="L1261" i="2" s="1"/>
  <c r="K1249" i="2"/>
  <c r="L1249" i="2" s="1"/>
  <c r="J1225" i="2"/>
  <c r="L1225" i="2" s="1"/>
  <c r="J1213" i="2"/>
  <c r="L1213" i="2"/>
  <c r="J1177" i="2"/>
  <c r="L1177" i="2" s="1"/>
  <c r="J1153" i="2"/>
  <c r="K1153" i="2"/>
  <c r="L1153" i="2"/>
  <c r="K1105" i="2"/>
  <c r="L1081" i="2"/>
  <c r="K1081" i="2"/>
  <c r="K1069" i="2"/>
  <c r="J1069" i="2"/>
  <c r="J1057" i="2"/>
  <c r="K1057" i="2"/>
  <c r="L1057" i="2" s="1"/>
  <c r="L1045" i="2"/>
  <c r="K1033" i="2"/>
  <c r="L1033" i="2" s="1"/>
  <c r="J1009" i="2"/>
  <c r="K1009" i="2"/>
  <c r="L1009" i="2"/>
  <c r="J985" i="2"/>
  <c r="L985" i="2" s="1"/>
  <c r="K973" i="2"/>
  <c r="L973" i="2" s="1"/>
  <c r="J961" i="2"/>
  <c r="K961" i="2"/>
  <c r="L949" i="2"/>
  <c r="K949" i="2"/>
  <c r="K925" i="2"/>
  <c r="L925" i="2" s="1"/>
  <c r="J913" i="2"/>
  <c r="L913" i="2"/>
  <c r="L901" i="2"/>
  <c r="J901" i="2"/>
  <c r="K877" i="2"/>
  <c r="L877" i="2" s="1"/>
  <c r="L865" i="2"/>
  <c r="J865" i="2"/>
  <c r="K865" i="2"/>
  <c r="K853" i="2"/>
  <c r="L853" i="2"/>
  <c r="J853" i="2"/>
  <c r="L841" i="2"/>
  <c r="K841" i="2"/>
  <c r="L817" i="2"/>
  <c r="K817" i="2"/>
  <c r="J793" i="2"/>
  <c r="K793" i="2"/>
  <c r="K781" i="2"/>
  <c r="L781" i="2" s="1"/>
  <c r="L745" i="2"/>
  <c r="K745" i="2"/>
  <c r="J745" i="2"/>
  <c r="L721" i="2"/>
  <c r="J721" i="2"/>
  <c r="K721" i="2"/>
  <c r="K709" i="2"/>
  <c r="L709" i="2" s="1"/>
  <c r="J685" i="2"/>
  <c r="K685" i="2"/>
  <c r="J613" i="2"/>
  <c r="L613" i="2" s="1"/>
  <c r="L589" i="2"/>
  <c r="J589" i="2"/>
  <c r="J577" i="2"/>
  <c r="K577" i="2"/>
  <c r="K565" i="2"/>
  <c r="J529" i="2"/>
  <c r="K529" i="2"/>
  <c r="L493" i="2"/>
  <c r="K493" i="2"/>
  <c r="J433" i="2"/>
  <c r="K433" i="2"/>
  <c r="K421" i="2"/>
  <c r="J421" i="2"/>
  <c r="K409" i="2"/>
  <c r="L409" i="2" s="1"/>
  <c r="J385" i="2"/>
  <c r="L385" i="2"/>
  <c r="K385" i="2"/>
  <c r="L361" i="2"/>
  <c r="J361" i="2"/>
  <c r="K325" i="2"/>
  <c r="L325" i="2" s="1"/>
  <c r="J313" i="2"/>
  <c r="L313" i="2"/>
  <c r="K301" i="2"/>
  <c r="L301" i="2"/>
  <c r="J289" i="2"/>
  <c r="L289" i="2"/>
  <c r="K289" i="2"/>
  <c r="K277" i="2"/>
  <c r="L277" i="2"/>
  <c r="J265" i="2"/>
  <c r="L265" i="2" s="1"/>
  <c r="K241" i="2"/>
  <c r="L241" i="2" s="1"/>
  <c r="K205" i="2"/>
  <c r="J205" i="2"/>
  <c r="K193" i="2"/>
  <c r="L193" i="2" s="1"/>
  <c r="L169" i="2"/>
  <c r="K169" i="2"/>
  <c r="J157" i="2"/>
  <c r="L157" i="2" s="1"/>
  <c r="J145" i="2"/>
  <c r="L145" i="2"/>
  <c r="J121" i="2"/>
  <c r="L121" i="2" s="1"/>
  <c r="J97" i="2"/>
  <c r="L97" i="2"/>
  <c r="K97" i="2"/>
  <c r="J85" i="2"/>
  <c r="L85" i="2" s="1"/>
  <c r="K61" i="2"/>
  <c r="J61" i="2"/>
  <c r="J49" i="2"/>
  <c r="L49" i="2"/>
  <c r="J13" i="2"/>
  <c r="K13" i="2"/>
  <c r="J3193" i="2"/>
  <c r="L3193" i="2" s="1"/>
  <c r="J2821" i="2"/>
  <c r="J2641" i="2"/>
  <c r="J2521" i="2"/>
  <c r="J2437" i="2"/>
  <c r="J2401" i="2"/>
  <c r="J2329" i="2"/>
  <c r="J2281" i="2"/>
  <c r="J2245" i="2"/>
  <c r="L2245" i="2" s="1"/>
  <c r="J2125" i="2"/>
  <c r="J2053" i="2"/>
  <c r="J1932" i="2"/>
  <c r="L1932" i="2" s="1"/>
  <c r="J1705" i="2"/>
  <c r="J1535" i="2"/>
  <c r="J1379" i="2"/>
  <c r="J1201" i="2"/>
  <c r="J1105" i="2"/>
  <c r="J1081" i="2"/>
  <c r="J815" i="2"/>
  <c r="J625" i="2"/>
  <c r="L625" i="2" s="1"/>
  <c r="J491" i="2"/>
  <c r="J457" i="2"/>
  <c r="L457" i="2" s="1"/>
  <c r="J191" i="2"/>
  <c r="J169" i="2"/>
  <c r="K25" i="2"/>
  <c r="L25" i="2" s="1"/>
  <c r="K229" i="2"/>
  <c r="K733" i="2"/>
  <c r="L733" i="2" s="1"/>
  <c r="K757" i="2"/>
  <c r="L757" i="2" s="1"/>
  <c r="K805" i="2"/>
  <c r="K875" i="2"/>
  <c r="K1093" i="2"/>
  <c r="L1093" i="2" s="1"/>
  <c r="K1117" i="2"/>
  <c r="K1165" i="2"/>
  <c r="L1165" i="2" s="1"/>
  <c r="K1213" i="2"/>
  <c r="K1237" i="2"/>
  <c r="K1332" i="2"/>
  <c r="K1381" i="2"/>
  <c r="K1476" i="2"/>
  <c r="K2125" i="2"/>
  <c r="K2172" i="2"/>
  <c r="K2617" i="2"/>
  <c r="L2617" i="2" s="1"/>
  <c r="K2797" i="2"/>
  <c r="K3565" i="2"/>
  <c r="L3313" i="2"/>
  <c r="L3277" i="2"/>
  <c r="L2317" i="2"/>
  <c r="L2281" i="2"/>
  <c r="L815" i="2"/>
  <c r="L673" i="2"/>
  <c r="L505" i="2"/>
  <c r="L23" i="2"/>
  <c r="K2856" i="2"/>
  <c r="J2856" i="2"/>
  <c r="L2856" i="2"/>
  <c r="J2844" i="2"/>
  <c r="K2844" i="2"/>
  <c r="K2820" i="2"/>
  <c r="L2808" i="2"/>
  <c r="K2808" i="2"/>
  <c r="J2784" i="2"/>
  <c r="K2784" i="2"/>
  <c r="K2760" i="2"/>
  <c r="L2760" i="2"/>
  <c r="K2748" i="2"/>
  <c r="L2736" i="2"/>
  <c r="J2736" i="2"/>
  <c r="K2700" i="2"/>
  <c r="J2700" i="2"/>
  <c r="K2676" i="2"/>
  <c r="L2676" i="2" s="1"/>
  <c r="K2652" i="2"/>
  <c r="L2652" i="2" s="1"/>
  <c r="L2640" i="2"/>
  <c r="K2640" i="2"/>
  <c r="J2628" i="2"/>
  <c r="K2628" i="2"/>
  <c r="J2616" i="2"/>
  <c r="L2616" i="2" s="1"/>
  <c r="L2604" i="2"/>
  <c r="K2604" i="2"/>
  <c r="K2580" i="2"/>
  <c r="L2580" i="2"/>
  <c r="K2544" i="2"/>
  <c r="J2544" i="2"/>
  <c r="L2544" i="2"/>
  <c r="J2532" i="2"/>
  <c r="K2532" i="2"/>
  <c r="K2496" i="2"/>
  <c r="L2496" i="2"/>
  <c r="K2472" i="2"/>
  <c r="L2472" i="2" s="1"/>
  <c r="J2460" i="2"/>
  <c r="L2460" i="2"/>
  <c r="L2448" i="2"/>
  <c r="J2448" i="2"/>
  <c r="K2448" i="2"/>
  <c r="K2436" i="2"/>
  <c r="L2436" i="2"/>
  <c r="K2424" i="2"/>
  <c r="L2424" i="2"/>
  <c r="L2400" i="2"/>
  <c r="K2400" i="2"/>
  <c r="K2388" i="2"/>
  <c r="J2388" i="2"/>
  <c r="J2376" i="2"/>
  <c r="K2376" i="2"/>
  <c r="L2364" i="2"/>
  <c r="K2364" i="2"/>
  <c r="K2340" i="2"/>
  <c r="L2340" i="2"/>
  <c r="L2328" i="2"/>
  <c r="K2328" i="2"/>
  <c r="L2304" i="2"/>
  <c r="J2304" i="2"/>
  <c r="K2292" i="2"/>
  <c r="J2292" i="2"/>
  <c r="L2292" i="2" s="1"/>
  <c r="K2280" i="2"/>
  <c r="K2232" i="2"/>
  <c r="J2232" i="2"/>
  <c r="L2220" i="2"/>
  <c r="K2220" i="2"/>
  <c r="J2220" i="2"/>
  <c r="K2184" i="2"/>
  <c r="L2184" i="2"/>
  <c r="J2160" i="2"/>
  <c r="K2160" i="2"/>
  <c r="L2160" i="2" s="1"/>
  <c r="K2148" i="2"/>
  <c r="L2148" i="2" s="1"/>
  <c r="J2148" i="2"/>
  <c r="K2136" i="2"/>
  <c r="J2136" i="2"/>
  <c r="L2136" i="2"/>
  <c r="K2124" i="2"/>
  <c r="L2124" i="2"/>
  <c r="L2088" i="2"/>
  <c r="K2076" i="2"/>
  <c r="L2076" i="2"/>
  <c r="J2076" i="2"/>
  <c r="L2064" i="2"/>
  <c r="J2064" i="2"/>
  <c r="L2040" i="2"/>
  <c r="K2040" i="2"/>
  <c r="K2028" i="2"/>
  <c r="L2028" i="2"/>
  <c r="J2016" i="2"/>
  <c r="L2016" i="2" s="1"/>
  <c r="K2004" i="2"/>
  <c r="L2004" i="2" s="1"/>
  <c r="K1992" i="2"/>
  <c r="J1992" i="2"/>
  <c r="L1992" i="2"/>
  <c r="K1968" i="2"/>
  <c r="L1968" i="2" s="1"/>
  <c r="L1944" i="2"/>
  <c r="K1944" i="2"/>
  <c r="L1920" i="2"/>
  <c r="K1920" i="2"/>
  <c r="J1920" i="2"/>
  <c r="L1908" i="2"/>
  <c r="J1908" i="2"/>
  <c r="J1872" i="2"/>
  <c r="K1872" i="2"/>
  <c r="L1860" i="2"/>
  <c r="K1860" i="2"/>
  <c r="K1848" i="2"/>
  <c r="L1848" i="2" s="1"/>
  <c r="J1836" i="2"/>
  <c r="K1836" i="2"/>
  <c r="J1824" i="2"/>
  <c r="K1824" i="2"/>
  <c r="L1812" i="2"/>
  <c r="K1812" i="2"/>
  <c r="K1788" i="2"/>
  <c r="L1788" i="2" s="1"/>
  <c r="L1776" i="2"/>
  <c r="K1764" i="2"/>
  <c r="J1764" i="2"/>
  <c r="L1764" i="2" s="1"/>
  <c r="K1752" i="2"/>
  <c r="J1752" i="2"/>
  <c r="L1752" i="2" s="1"/>
  <c r="L1740" i="2"/>
  <c r="J1728" i="2"/>
  <c r="K1716" i="2"/>
  <c r="L1716" i="2"/>
  <c r="K1704" i="2"/>
  <c r="L1692" i="2"/>
  <c r="J1680" i="2"/>
  <c r="K1680" i="2"/>
  <c r="L1680" i="2" s="1"/>
  <c r="K1656" i="2"/>
  <c r="L1656" i="2" s="1"/>
  <c r="L1644" i="2"/>
  <c r="K1644" i="2"/>
  <c r="K1608" i="2"/>
  <c r="L1608" i="2" s="1"/>
  <c r="L1596" i="2"/>
  <c r="J1596" i="2"/>
  <c r="K1572" i="2"/>
  <c r="L1572" i="2" s="1"/>
  <c r="K1560" i="2"/>
  <c r="L1560" i="2"/>
  <c r="K1548" i="2"/>
  <c r="K1536" i="2"/>
  <c r="L1536" i="2"/>
  <c r="L1524" i="2"/>
  <c r="J1524" i="2"/>
  <c r="K1524" i="2"/>
  <c r="L1512" i="2"/>
  <c r="J1512" i="2"/>
  <c r="K1500" i="2"/>
  <c r="L1500" i="2" s="1"/>
  <c r="L1464" i="2"/>
  <c r="K1464" i="2"/>
  <c r="L1440" i="2"/>
  <c r="J1440" i="2"/>
  <c r="K1428" i="2"/>
  <c r="J1428" i="2"/>
  <c r="L1428" i="2" s="1"/>
  <c r="K1416" i="2"/>
  <c r="L1416" i="2" s="1"/>
  <c r="K1392" i="2"/>
  <c r="L1392" i="2"/>
  <c r="J1368" i="2"/>
  <c r="K1368" i="2"/>
  <c r="J1356" i="2"/>
  <c r="K1356" i="2"/>
  <c r="L1356" i="2"/>
  <c r="K1344" i="2"/>
  <c r="L1344" i="2" s="1"/>
  <c r="L1320" i="2"/>
  <c r="K1320" i="2"/>
  <c r="J1296" i="2"/>
  <c r="K1296" i="2"/>
  <c r="L1296" i="2"/>
  <c r="L1284" i="2"/>
  <c r="K1284" i="2"/>
  <c r="J1284" i="2"/>
  <c r="K1272" i="2"/>
  <c r="J1272" i="2"/>
  <c r="J1260" i="2"/>
  <c r="K1260" i="2"/>
  <c r="L1248" i="2"/>
  <c r="J1248" i="2"/>
  <c r="K1248" i="2"/>
  <c r="J1236" i="2"/>
  <c r="K1236" i="2"/>
  <c r="L1224" i="2"/>
  <c r="J1224" i="2"/>
  <c r="J1212" i="2"/>
  <c r="K1212" i="2"/>
  <c r="J1200" i="2"/>
  <c r="L1200" i="2"/>
  <c r="J1188" i="2"/>
  <c r="K1188" i="2"/>
  <c r="L1188" i="2"/>
  <c r="J1176" i="2"/>
  <c r="K1176" i="2"/>
  <c r="J1164" i="2"/>
  <c r="L1164" i="2"/>
  <c r="J1140" i="2"/>
  <c r="K1140" i="2"/>
  <c r="J1128" i="2"/>
  <c r="L1128" i="2"/>
  <c r="K1128" i="2"/>
  <c r="J1104" i="2"/>
  <c r="K1104" i="2"/>
  <c r="L1104" i="2"/>
  <c r="L1092" i="2"/>
  <c r="J1092" i="2"/>
  <c r="J1080" i="2"/>
  <c r="K1080" i="2"/>
  <c r="J1068" i="2"/>
  <c r="L1068" i="2"/>
  <c r="K1068" i="2"/>
  <c r="J1056" i="2"/>
  <c r="L1056" i="2"/>
  <c r="K1056" i="2"/>
  <c r="J1032" i="2"/>
  <c r="K1032" i="2"/>
  <c r="L1032" i="2"/>
  <c r="J1020" i="2"/>
  <c r="J1008" i="2"/>
  <c r="L1008" i="2"/>
  <c r="J996" i="2"/>
  <c r="K996" i="2"/>
  <c r="J984" i="2"/>
  <c r="K984" i="2"/>
  <c r="L984" i="2"/>
  <c r="J972" i="2"/>
  <c r="L972" i="2"/>
  <c r="K972" i="2"/>
  <c r="J960" i="2"/>
  <c r="K960" i="2"/>
  <c r="J948" i="2"/>
  <c r="K948" i="2"/>
  <c r="J936" i="2"/>
  <c r="L936" i="2" s="1"/>
  <c r="J924" i="2"/>
  <c r="K924" i="2"/>
  <c r="L924" i="2"/>
  <c r="L912" i="2"/>
  <c r="J912" i="2"/>
  <c r="J900" i="2"/>
  <c r="J888" i="2"/>
  <c r="K888" i="2"/>
  <c r="J876" i="2"/>
  <c r="K876" i="2"/>
  <c r="L864" i="2"/>
  <c r="J864" i="2"/>
  <c r="J852" i="2"/>
  <c r="K852" i="2"/>
  <c r="L852" i="2"/>
  <c r="J840" i="2"/>
  <c r="K840" i="2"/>
  <c r="J828" i="2"/>
  <c r="J816" i="2"/>
  <c r="K816" i="2"/>
  <c r="J792" i="2"/>
  <c r="L792" i="2" s="1"/>
  <c r="J780" i="2"/>
  <c r="K780" i="2"/>
  <c r="J768" i="2"/>
  <c r="K768" i="2"/>
  <c r="L768" i="2" s="1"/>
  <c r="L756" i="2"/>
  <c r="J756" i="2"/>
  <c r="J744" i="2"/>
  <c r="L744" i="2"/>
  <c r="K744" i="2"/>
  <c r="J732" i="2"/>
  <c r="L732" i="2" s="1"/>
  <c r="J720" i="2"/>
  <c r="L720" i="2"/>
  <c r="K720" i="2"/>
  <c r="J708" i="2"/>
  <c r="L708" i="2" s="1"/>
  <c r="K708" i="2"/>
  <c r="J696" i="2"/>
  <c r="K696" i="2"/>
  <c r="J672" i="2"/>
  <c r="K672" i="2"/>
  <c r="J660" i="2"/>
  <c r="K660" i="2"/>
  <c r="L660" i="2"/>
  <c r="J648" i="2"/>
  <c r="L648" i="2" s="1"/>
  <c r="J636" i="2"/>
  <c r="K636" i="2"/>
  <c r="J624" i="2"/>
  <c r="L624" i="2"/>
  <c r="J612" i="2"/>
  <c r="K612" i="2"/>
  <c r="L612" i="2"/>
  <c r="L600" i="2"/>
  <c r="J600" i="2"/>
  <c r="K600" i="2"/>
  <c r="J588" i="2"/>
  <c r="L588" i="2" s="1"/>
  <c r="J576" i="2"/>
  <c r="L576" i="2" s="1"/>
  <c r="L564" i="2"/>
  <c r="J564" i="2"/>
  <c r="K564" i="2"/>
  <c r="J552" i="2"/>
  <c r="K552" i="2"/>
  <c r="J540" i="2"/>
  <c r="L540" i="2"/>
  <c r="J528" i="2"/>
  <c r="K528" i="2"/>
  <c r="L528" i="2" s="1"/>
  <c r="L504" i="2"/>
  <c r="J504" i="2"/>
  <c r="K504" i="2"/>
  <c r="J492" i="2"/>
  <c r="L492" i="2"/>
  <c r="J480" i="2"/>
  <c r="L480" i="2"/>
  <c r="J468" i="2"/>
  <c r="L468" i="2" s="1"/>
  <c r="J456" i="2"/>
  <c r="L456" i="2"/>
  <c r="K456" i="2"/>
  <c r="J444" i="2"/>
  <c r="K444" i="2"/>
  <c r="J432" i="2"/>
  <c r="L432" i="2"/>
  <c r="J420" i="2"/>
  <c r="K420" i="2"/>
  <c r="J408" i="2"/>
  <c r="K408" i="2"/>
  <c r="L408" i="2"/>
  <c r="J396" i="2"/>
  <c r="K396" i="2"/>
  <c r="J384" i="2"/>
  <c r="L384" i="2"/>
  <c r="K384" i="2"/>
  <c r="J372" i="2"/>
  <c r="L372" i="2" s="1"/>
  <c r="L360" i="2"/>
  <c r="J360" i="2"/>
  <c r="K360" i="2"/>
  <c r="J348" i="2"/>
  <c r="K348" i="2"/>
  <c r="L336" i="2"/>
  <c r="J336" i="2"/>
  <c r="J324" i="2"/>
  <c r="K324" i="2"/>
  <c r="J312" i="2"/>
  <c r="L312" i="2"/>
  <c r="J300" i="2"/>
  <c r="L300" i="2"/>
  <c r="K300" i="2"/>
  <c r="J288" i="2"/>
  <c r="L288" i="2" s="1"/>
  <c r="J276" i="2"/>
  <c r="K276" i="2"/>
  <c r="J264" i="2"/>
  <c r="K264" i="2"/>
  <c r="J252" i="2"/>
  <c r="L252" i="2" s="1"/>
  <c r="J240" i="2"/>
  <c r="K240" i="2"/>
  <c r="L216" i="2"/>
  <c r="J216" i="2"/>
  <c r="J204" i="2"/>
  <c r="K204" i="2"/>
  <c r="J192" i="2"/>
  <c r="L192" i="2" s="1"/>
  <c r="K192" i="2"/>
  <c r="J180" i="2"/>
  <c r="L180" i="2" s="1"/>
  <c r="J168" i="2"/>
  <c r="L168" i="2"/>
  <c r="J156" i="2"/>
  <c r="K156" i="2"/>
  <c r="J144" i="2"/>
  <c r="L144" i="2" s="1"/>
  <c r="J132" i="2"/>
  <c r="K132" i="2"/>
  <c r="J120" i="2"/>
  <c r="L120" i="2"/>
  <c r="K120" i="2"/>
  <c r="J108" i="2"/>
  <c r="K108" i="2"/>
  <c r="J96" i="2"/>
  <c r="K96" i="2"/>
  <c r="J84" i="2"/>
  <c r="L84" i="2" s="1"/>
  <c r="J72" i="2"/>
  <c r="L72" i="2" s="1"/>
  <c r="J60" i="2"/>
  <c r="K60" i="2"/>
  <c r="J48" i="2"/>
  <c r="K48" i="2"/>
  <c r="J36" i="2"/>
  <c r="K36" i="2"/>
  <c r="L24" i="2"/>
  <c r="J24" i="2"/>
  <c r="J12" i="2"/>
  <c r="L12" i="2"/>
  <c r="J3553" i="2"/>
  <c r="J3265" i="2"/>
  <c r="J3121" i="2"/>
  <c r="J3001" i="2"/>
  <c r="L3001" i="2" s="1"/>
  <c r="J2929" i="2"/>
  <c r="J2820" i="2"/>
  <c r="L2820" i="2" s="1"/>
  <c r="J2713" i="2"/>
  <c r="L2713" i="2" s="1"/>
  <c r="J2640" i="2"/>
  <c r="J2520" i="2"/>
  <c r="J2436" i="2"/>
  <c r="J2400" i="2"/>
  <c r="J2365" i="2"/>
  <c r="L2365" i="2" s="1"/>
  <c r="J2328" i="2"/>
  <c r="J2280" i="2"/>
  <c r="J2244" i="2"/>
  <c r="L2244" i="2" s="1"/>
  <c r="J2209" i="2"/>
  <c r="J2172" i="2"/>
  <c r="J2124" i="2"/>
  <c r="L2102" i="2"/>
  <c r="J2052" i="2"/>
  <c r="L2052" i="2" s="1"/>
  <c r="J2017" i="2"/>
  <c r="J1897" i="2"/>
  <c r="J1861" i="2"/>
  <c r="J1740" i="2"/>
  <c r="J1704" i="2"/>
  <c r="L1704" i="2" s="1"/>
  <c r="J1633" i="2"/>
  <c r="J1549" i="2"/>
  <c r="L1549" i="2" s="1"/>
  <c r="J1393" i="2"/>
  <c r="J1237" i="2"/>
  <c r="J1141" i="2"/>
  <c r="L1141" i="2" s="1"/>
  <c r="J1045" i="2"/>
  <c r="J757" i="2"/>
  <c r="J623" i="2"/>
  <c r="J565" i="2"/>
  <c r="J229" i="2"/>
  <c r="J167" i="2"/>
  <c r="K181" i="2"/>
  <c r="K481" i="2"/>
  <c r="K503" i="2"/>
  <c r="K828" i="2"/>
  <c r="K900" i="2"/>
  <c r="K1309" i="2"/>
  <c r="K1333" i="2"/>
  <c r="L1333" i="2" s="1"/>
  <c r="K1404" i="2"/>
  <c r="K1727" i="2"/>
  <c r="K1753" i="2"/>
  <c r="K1849" i="2"/>
  <c r="K2100" i="2"/>
  <c r="K2173" i="2"/>
  <c r="K2460" i="2"/>
  <c r="K2736" i="2"/>
  <c r="K2857" i="2"/>
  <c r="K2917" i="2"/>
  <c r="K3085" i="2"/>
  <c r="L2929" i="2"/>
  <c r="L1993" i="2"/>
  <c r="L1273" i="2"/>
  <c r="L1140" i="2"/>
  <c r="L1044" i="2"/>
  <c r="L996" i="2"/>
  <c r="L205" i="2"/>
  <c r="L61" i="2"/>
  <c r="L1787" i="2"/>
  <c r="K1787" i="2"/>
  <c r="K1763" i="2"/>
  <c r="L1763" i="2" s="1"/>
  <c r="J1751" i="2"/>
  <c r="K1751" i="2"/>
  <c r="L1751" i="2" s="1"/>
  <c r="J1715" i="2"/>
  <c r="K1715" i="2"/>
  <c r="L1715" i="2"/>
  <c r="K1703" i="2"/>
  <c r="L1691" i="2"/>
  <c r="K1691" i="2"/>
  <c r="K1679" i="2"/>
  <c r="L1679" i="2" s="1"/>
  <c r="J1667" i="2"/>
  <c r="L1667" i="2" s="1"/>
  <c r="K1655" i="2"/>
  <c r="L1655" i="2"/>
  <c r="L1643" i="2"/>
  <c r="K1643" i="2"/>
  <c r="K1631" i="2"/>
  <c r="L1631" i="2" s="1"/>
  <c r="K1607" i="2"/>
  <c r="L1607" i="2" s="1"/>
  <c r="J1595" i="2"/>
  <c r="L1595" i="2" s="1"/>
  <c r="J1571" i="2"/>
  <c r="K1571" i="2"/>
  <c r="L1571" i="2" s="1"/>
  <c r="K1547" i="2"/>
  <c r="L1547" i="2"/>
  <c r="L1499" i="2"/>
  <c r="K1499" i="2"/>
  <c r="K1463" i="2"/>
  <c r="L1463" i="2" s="1"/>
  <c r="J1427" i="2"/>
  <c r="K1427" i="2"/>
  <c r="K1415" i="2"/>
  <c r="L1415" i="2" s="1"/>
  <c r="K1403" i="2"/>
  <c r="L1403" i="2"/>
  <c r="K1391" i="2"/>
  <c r="L1391" i="2" s="1"/>
  <c r="L1367" i="2"/>
  <c r="L1355" i="2"/>
  <c r="K1355" i="2"/>
  <c r="J1355" i="2"/>
  <c r="K1343" i="2"/>
  <c r="L1343" i="2" s="1"/>
  <c r="K1319" i="2"/>
  <c r="L1319" i="2"/>
  <c r="L1307" i="2"/>
  <c r="L1295" i="2"/>
  <c r="J1283" i="2"/>
  <c r="L1283" i="2" s="1"/>
  <c r="K1283" i="2"/>
  <c r="K1271" i="2"/>
  <c r="J1271" i="2"/>
  <c r="K1259" i="2"/>
  <c r="L1259" i="2"/>
  <c r="K1247" i="2"/>
  <c r="L1247" i="2" s="1"/>
  <c r="K1235" i="2"/>
  <c r="L1235" i="2"/>
  <c r="L1223" i="2"/>
  <c r="J1223" i="2"/>
  <c r="L1211" i="2"/>
  <c r="K1211" i="2"/>
  <c r="K1187" i="2"/>
  <c r="L1187" i="2"/>
  <c r="L1175" i="2"/>
  <c r="J1175" i="2"/>
  <c r="K1175" i="2"/>
  <c r="L1163" i="2"/>
  <c r="J1139" i="2"/>
  <c r="K1139" i="2"/>
  <c r="L1139" i="2"/>
  <c r="K1127" i="2"/>
  <c r="J1127" i="2"/>
  <c r="L1127" i="2"/>
  <c r="K1115" i="2"/>
  <c r="J1115" i="2"/>
  <c r="L1115" i="2" s="1"/>
  <c r="L1103" i="2"/>
  <c r="K1103" i="2"/>
  <c r="K1079" i="2"/>
  <c r="L1079" i="2" s="1"/>
  <c r="L1067" i="2"/>
  <c r="K1067" i="2"/>
  <c r="J1055" i="2"/>
  <c r="L1055" i="2" s="1"/>
  <c r="L1007" i="2"/>
  <c r="J1007" i="2"/>
  <c r="L995" i="2"/>
  <c r="J995" i="2"/>
  <c r="K995" i="2"/>
  <c r="K983" i="2"/>
  <c r="L983" i="2"/>
  <c r="K971" i="2"/>
  <c r="L971" i="2"/>
  <c r="L959" i="2"/>
  <c r="J947" i="2"/>
  <c r="L923" i="2"/>
  <c r="K923" i="2"/>
  <c r="L899" i="2"/>
  <c r="J899" i="2"/>
  <c r="L863" i="2"/>
  <c r="K863" i="2"/>
  <c r="J851" i="2"/>
  <c r="L851" i="2" s="1"/>
  <c r="K851" i="2"/>
  <c r="K839" i="2"/>
  <c r="L839" i="2" s="1"/>
  <c r="J839" i="2"/>
  <c r="K827" i="2"/>
  <c r="L827" i="2"/>
  <c r="J827" i="2"/>
  <c r="L779" i="2"/>
  <c r="K779" i="2"/>
  <c r="K767" i="2"/>
  <c r="L767" i="2" s="1"/>
  <c r="L743" i="2"/>
  <c r="K743" i="2"/>
  <c r="J731" i="2"/>
  <c r="L731" i="2"/>
  <c r="K731" i="2"/>
  <c r="L707" i="2"/>
  <c r="J707" i="2"/>
  <c r="K707" i="2"/>
  <c r="K695" i="2"/>
  <c r="L695" i="2"/>
  <c r="K683" i="2"/>
  <c r="J683" i="2"/>
  <c r="L671" i="2"/>
  <c r="K671" i="2"/>
  <c r="K659" i="2"/>
  <c r="L659" i="2" s="1"/>
  <c r="J635" i="2"/>
  <c r="K635" i="2"/>
  <c r="K611" i="2"/>
  <c r="L611" i="2" s="1"/>
  <c r="L587" i="2"/>
  <c r="J575" i="2"/>
  <c r="K575" i="2"/>
  <c r="J563" i="2"/>
  <c r="K563" i="2"/>
  <c r="L563" i="2" s="1"/>
  <c r="K539" i="2"/>
  <c r="L539" i="2"/>
  <c r="J527" i="2"/>
  <c r="L527" i="2"/>
  <c r="J515" i="2"/>
  <c r="L515" i="2" s="1"/>
  <c r="L479" i="2"/>
  <c r="K479" i="2"/>
  <c r="J467" i="2"/>
  <c r="K467" i="2"/>
  <c r="J455" i="2"/>
  <c r="L455" i="2" s="1"/>
  <c r="L431" i="2"/>
  <c r="J419" i="2"/>
  <c r="L419" i="2"/>
  <c r="L407" i="2"/>
  <c r="K407" i="2"/>
  <c r="J407" i="2"/>
  <c r="L371" i="2"/>
  <c r="K359" i="2"/>
  <c r="J359" i="2"/>
  <c r="L323" i="2"/>
  <c r="K323" i="2"/>
  <c r="J311" i="2"/>
  <c r="L311" i="2"/>
  <c r="K299" i="2"/>
  <c r="L299" i="2" s="1"/>
  <c r="J275" i="2"/>
  <c r="L275" i="2" s="1"/>
  <c r="K275" i="2"/>
  <c r="K263" i="2"/>
  <c r="L251" i="2"/>
  <c r="K251" i="2"/>
  <c r="J251" i="2"/>
  <c r="J227" i="2"/>
  <c r="L227" i="2"/>
  <c r="K215" i="2"/>
  <c r="L215" i="2" s="1"/>
  <c r="J203" i="2"/>
  <c r="L203" i="2" s="1"/>
  <c r="L179" i="2"/>
  <c r="J155" i="2"/>
  <c r="K155" i="2"/>
  <c r="L143" i="2"/>
  <c r="J143" i="2"/>
  <c r="J131" i="2"/>
  <c r="L131" i="2"/>
  <c r="K131" i="2"/>
  <c r="L107" i="2"/>
  <c r="K107" i="2"/>
  <c r="K95" i="2"/>
  <c r="J95" i="2"/>
  <c r="L95" i="2" s="1"/>
  <c r="L83" i="2"/>
  <c r="J83" i="2"/>
  <c r="L71" i="2"/>
  <c r="K47" i="2"/>
  <c r="L47" i="2" s="1"/>
  <c r="L35" i="2"/>
  <c r="J35" i="2"/>
  <c r="J3349" i="2"/>
  <c r="J3301" i="2"/>
  <c r="L3301" i="2" s="1"/>
  <c r="J3229" i="2"/>
  <c r="L3229" i="2" s="1"/>
  <c r="J2748" i="2"/>
  <c r="J2712" i="2"/>
  <c r="L2712" i="2" s="1"/>
  <c r="J2677" i="2"/>
  <c r="J2569" i="2"/>
  <c r="L2569" i="2" s="1"/>
  <c r="L2498" i="2"/>
  <c r="J2364" i="2"/>
  <c r="J2208" i="2"/>
  <c r="L2208" i="2" s="1"/>
  <c r="J2101" i="2"/>
  <c r="J1945" i="2"/>
  <c r="L1945" i="2" s="1"/>
  <c r="J1896" i="2"/>
  <c r="J1860" i="2"/>
  <c r="J1789" i="2"/>
  <c r="J1703" i="2"/>
  <c r="J1632" i="2"/>
  <c r="J1585" i="2"/>
  <c r="L1585" i="2" s="1"/>
  <c r="J1548" i="2"/>
  <c r="J1477" i="2"/>
  <c r="L1477" i="2" s="1"/>
  <c r="J1429" i="2"/>
  <c r="L1429" i="2" s="1"/>
  <c r="J1392" i="2"/>
  <c r="J1235" i="2"/>
  <c r="J1043" i="2"/>
  <c r="J1021" i="2"/>
  <c r="J949" i="2"/>
  <c r="L848" i="2"/>
  <c r="J661" i="2"/>
  <c r="J431" i="2"/>
  <c r="J397" i="2"/>
  <c r="J263" i="2"/>
  <c r="L263" i="2" s="1"/>
  <c r="J59" i="2"/>
  <c r="K72" i="2"/>
  <c r="K119" i="2"/>
  <c r="L119" i="2" s="1"/>
  <c r="K347" i="2"/>
  <c r="K455" i="2"/>
  <c r="K527" i="2"/>
  <c r="K553" i="2"/>
  <c r="L553" i="2" s="1"/>
  <c r="K829" i="2"/>
  <c r="K901" i="2"/>
  <c r="K947" i="2"/>
  <c r="K1020" i="2"/>
  <c r="K1043" i="2"/>
  <c r="K1405" i="2"/>
  <c r="K1728" i="2"/>
  <c r="K1775" i="2"/>
  <c r="L1775" i="2" s="1"/>
  <c r="K1800" i="2"/>
  <c r="L1800" i="2" s="1"/>
  <c r="K2101" i="2"/>
  <c r="L2101" i="2" s="1"/>
  <c r="K2352" i="2"/>
  <c r="K2461" i="2"/>
  <c r="K2545" i="2"/>
  <c r="K2772" i="2"/>
  <c r="L2772" i="2" s="1"/>
  <c r="K2941" i="2"/>
  <c r="K3061" i="2"/>
  <c r="L3061" i="2" s="1"/>
  <c r="K3121" i="2"/>
  <c r="K3253" i="2"/>
  <c r="L1559" i="2"/>
  <c r="L1272" i="2"/>
  <c r="K3773" i="2"/>
  <c r="L3773" i="2"/>
  <c r="L3461" i="2"/>
  <c r="J3233" i="2"/>
  <c r="K3233" i="2"/>
  <c r="L3089" i="2"/>
  <c r="J3089" i="2"/>
  <c r="K3041" i="2"/>
  <c r="L2801" i="2"/>
  <c r="J2801" i="2"/>
  <c r="L2033" i="2"/>
  <c r="K3761" i="2"/>
  <c r="L3761" i="2" s="1"/>
  <c r="L3689" i="2"/>
  <c r="L3605" i="2"/>
  <c r="K3485" i="2"/>
  <c r="L3485" i="2" s="1"/>
  <c r="L3017" i="2"/>
  <c r="L2789" i="2"/>
  <c r="L2717" i="2"/>
  <c r="J2513" i="2"/>
  <c r="K2489" i="2"/>
  <c r="K2333" i="2"/>
  <c r="L2333" i="2"/>
  <c r="J2225" i="2"/>
  <c r="L2225" i="2"/>
  <c r="K2189" i="2"/>
  <c r="L1829" i="2"/>
  <c r="K1757" i="2"/>
  <c r="L1757" i="2"/>
  <c r="J1649" i="2"/>
  <c r="L1649" i="2"/>
  <c r="K3724" i="2"/>
  <c r="L3724" i="2" s="1"/>
  <c r="K3712" i="2"/>
  <c r="L3712" i="2" s="1"/>
  <c r="K3676" i="2"/>
  <c r="K3484" i="2"/>
  <c r="L3484" i="2"/>
  <c r="L3436" i="2"/>
  <c r="K3436" i="2"/>
  <c r="L3376" i="2"/>
  <c r="K3304" i="2"/>
  <c r="L3304" i="2" s="1"/>
  <c r="L3292" i="2"/>
  <c r="L3148" i="2"/>
  <c r="J3076" i="2"/>
  <c r="L3076" i="2" s="1"/>
  <c r="K3040" i="2"/>
  <c r="L2992" i="2"/>
  <c r="K2932" i="2"/>
  <c r="J2932" i="2"/>
  <c r="L2776" i="2"/>
  <c r="K2776" i="2"/>
  <c r="K2752" i="2"/>
  <c r="L2752" i="2"/>
  <c r="K2716" i="2"/>
  <c r="L2716" i="2" s="1"/>
  <c r="L2704" i="2"/>
  <c r="K2668" i="2"/>
  <c r="L2668" i="2"/>
  <c r="L2572" i="2"/>
  <c r="K2476" i="2"/>
  <c r="L2476" i="2" s="1"/>
  <c r="K2464" i="2"/>
  <c r="L2464" i="2" s="1"/>
  <c r="L2428" i="2"/>
  <c r="K2404" i="2"/>
  <c r="L2404" i="2" s="1"/>
  <c r="K2356" i="2"/>
  <c r="J2356" i="2"/>
  <c r="L2344" i="2"/>
  <c r="L2332" i="2"/>
  <c r="K2332" i="2"/>
  <c r="L2248" i="2"/>
  <c r="K2248" i="2"/>
  <c r="L2224" i="2"/>
  <c r="L2188" i="2"/>
  <c r="K2188" i="2"/>
  <c r="K2176" i="2"/>
  <c r="L2140" i="2"/>
  <c r="K2140" i="2"/>
  <c r="K2032" i="2"/>
  <c r="L2032" i="2" s="1"/>
  <c r="L1924" i="2"/>
  <c r="J1924" i="2"/>
  <c r="K1888" i="2"/>
  <c r="L1888" i="2"/>
  <c r="K1876" i="2"/>
  <c r="L1876" i="2" s="1"/>
  <c r="L1852" i="2"/>
  <c r="L1816" i="2"/>
  <c r="K1780" i="2"/>
  <c r="J1780" i="2"/>
  <c r="K1720" i="2"/>
  <c r="L1720" i="2" s="1"/>
  <c r="L1612" i="2"/>
  <c r="K1612" i="2"/>
  <c r="L1564" i="2"/>
  <c r="K1564" i="2"/>
  <c r="K1516" i="2"/>
  <c r="L1516" i="2" s="1"/>
  <c r="K1456" i="2"/>
  <c r="L1456" i="2"/>
  <c r="L1348" i="2"/>
  <c r="J1348" i="2"/>
  <c r="K1312" i="2"/>
  <c r="L1312" i="2" s="1"/>
  <c r="L1300" i="2"/>
  <c r="K1300" i="2"/>
  <c r="J1192" i="2"/>
  <c r="L1192" i="2" s="1"/>
  <c r="L1144" i="2"/>
  <c r="K1144" i="2"/>
  <c r="L1096" i="2"/>
  <c r="K1096" i="2"/>
  <c r="L1060" i="2"/>
  <c r="J1048" i="2"/>
  <c r="K1048" i="2"/>
  <c r="L1048" i="2"/>
  <c r="L1012" i="2"/>
  <c r="K988" i="2"/>
  <c r="L988" i="2" s="1"/>
  <c r="L940" i="2"/>
  <c r="K940" i="2"/>
  <c r="L892" i="2"/>
  <c r="K892" i="2"/>
  <c r="K880" i="2"/>
  <c r="L880" i="2" s="1"/>
  <c r="K832" i="2"/>
  <c r="L832" i="2"/>
  <c r="K784" i="2"/>
  <c r="L784" i="2" s="1"/>
  <c r="J784" i="2"/>
  <c r="K724" i="2"/>
  <c r="L724" i="2" s="1"/>
  <c r="L688" i="2"/>
  <c r="L676" i="2"/>
  <c r="K676" i="2"/>
  <c r="L664" i="2"/>
  <c r="K604" i="2"/>
  <c r="L604" i="2" s="1"/>
  <c r="K592" i="2"/>
  <c r="L592" i="2" s="1"/>
  <c r="K568" i="2"/>
  <c r="L568" i="2" s="1"/>
  <c r="L556" i="2"/>
  <c r="J556" i="2"/>
  <c r="L520" i="2"/>
  <c r="K520" i="2"/>
  <c r="J484" i="2"/>
  <c r="L484" i="2" s="1"/>
  <c r="L472" i="2"/>
  <c r="J472" i="2"/>
  <c r="K472" i="2"/>
  <c r="K412" i="2"/>
  <c r="L412" i="2" s="1"/>
  <c r="L364" i="2"/>
  <c r="K364" i="2"/>
  <c r="L268" i="2"/>
  <c r="K256" i="2"/>
  <c r="J256" i="2"/>
  <c r="L256" i="2"/>
  <c r="L208" i="2"/>
  <c r="K208" i="2"/>
  <c r="K160" i="2"/>
  <c r="L100" i="2"/>
  <c r="L76" i="2"/>
  <c r="K76" i="2"/>
  <c r="J28" i="2"/>
  <c r="L28" i="2" s="1"/>
  <c r="J3749" i="2"/>
  <c r="L3749" i="2" s="1"/>
  <c r="J3735" i="2"/>
  <c r="L3735" i="2" s="1"/>
  <c r="J3593" i="2"/>
  <c r="L3593" i="2" s="1"/>
  <c r="J3507" i="2"/>
  <c r="J3437" i="2"/>
  <c r="L3437" i="2" s="1"/>
  <c r="J3423" i="2"/>
  <c r="J3352" i="2"/>
  <c r="L3352" i="2" s="1"/>
  <c r="J3281" i="2"/>
  <c r="J3267" i="2"/>
  <c r="L3267" i="2" s="1"/>
  <c r="J3196" i="2"/>
  <c r="L3196" i="2" s="1"/>
  <c r="J3183" i="2"/>
  <c r="J3041" i="2"/>
  <c r="J3027" i="2"/>
  <c r="J2969" i="2"/>
  <c r="J2955" i="2"/>
  <c r="L2955" i="2" s="1"/>
  <c r="J2799" i="2"/>
  <c r="J2729" i="2"/>
  <c r="L2729" i="2" s="1"/>
  <c r="J2715" i="2"/>
  <c r="J2643" i="2"/>
  <c r="L2643" i="2" s="1"/>
  <c r="J2417" i="2"/>
  <c r="J2403" i="2"/>
  <c r="L2403" i="2" s="1"/>
  <c r="J2332" i="2"/>
  <c r="J2261" i="2"/>
  <c r="J2163" i="2"/>
  <c r="J2021" i="2"/>
  <c r="J2007" i="2"/>
  <c r="J1949" i="2"/>
  <c r="L1949" i="2" s="1"/>
  <c r="J1935" i="2"/>
  <c r="L1935" i="2" s="1"/>
  <c r="J1865" i="2"/>
  <c r="J1779" i="2"/>
  <c r="L1779" i="2" s="1"/>
  <c r="J1624" i="2"/>
  <c r="L1624" i="2" s="1"/>
  <c r="J1468" i="2"/>
  <c r="L1468" i="2" s="1"/>
  <c r="J1383" i="2"/>
  <c r="J1313" i="2"/>
  <c r="L1313" i="2" s="1"/>
  <c r="J1193" i="2"/>
  <c r="L1193" i="2" s="1"/>
  <c r="J1132" i="2"/>
  <c r="L1132" i="2" s="1"/>
  <c r="J1085" i="2"/>
  <c r="J1024" i="2"/>
  <c r="J977" i="2"/>
  <c r="J915" i="2"/>
  <c r="L915" i="2" s="1"/>
  <c r="J700" i="2"/>
  <c r="L700" i="2" s="1"/>
  <c r="J591" i="2"/>
  <c r="L591" i="2" s="1"/>
  <c r="J544" i="2"/>
  <c r="J375" i="2"/>
  <c r="J329" i="2"/>
  <c r="L329" i="2" s="1"/>
  <c r="J281" i="2"/>
  <c r="J220" i="2"/>
  <c r="J160" i="2"/>
  <c r="J65" i="2"/>
  <c r="K125" i="2"/>
  <c r="K376" i="2"/>
  <c r="K689" i="2"/>
  <c r="K797" i="2"/>
  <c r="K1805" i="2"/>
  <c r="K2441" i="2"/>
  <c r="K2513" i="2"/>
  <c r="K2860" i="2"/>
  <c r="K2968" i="2"/>
  <c r="L2968" i="2" s="1"/>
  <c r="K3004" i="2"/>
  <c r="L3004" i="2" s="1"/>
  <c r="K3077" i="2"/>
  <c r="K3207" i="2"/>
  <c r="L3207" i="2" s="1"/>
  <c r="K3449" i="2"/>
  <c r="K3509" i="2"/>
  <c r="K3593" i="2"/>
  <c r="L3665" i="2"/>
  <c r="L3508" i="2"/>
  <c r="L3183" i="2"/>
  <c r="L3039" i="2"/>
  <c r="L2859" i="2"/>
  <c r="L2799" i="2"/>
  <c r="L2679" i="2"/>
  <c r="L2595" i="2"/>
  <c r="L2416" i="2"/>
  <c r="L2211" i="2"/>
  <c r="L1743" i="2"/>
  <c r="L1635" i="2"/>
  <c r="L1613" i="2"/>
  <c r="L1324" i="2"/>
  <c r="L1168" i="2"/>
  <c r="L461" i="2"/>
  <c r="L377" i="2"/>
  <c r="L328" i="2"/>
  <c r="L15" i="2"/>
  <c r="K3725" i="2"/>
  <c r="L3725" i="2" s="1"/>
  <c r="J3521" i="2"/>
  <c r="K3521" i="2"/>
  <c r="L3521" i="2" s="1"/>
  <c r="K2633" i="2"/>
  <c r="L2633" i="2" s="1"/>
  <c r="L2105" i="2"/>
  <c r="K2057" i="2"/>
  <c r="L2057" i="2" s="1"/>
  <c r="L1505" i="2"/>
  <c r="J1505" i="2"/>
  <c r="K1481" i="2"/>
  <c r="L1481" i="2"/>
  <c r="L1433" i="2"/>
  <c r="J1361" i="2"/>
  <c r="L1361" i="2" s="1"/>
  <c r="L1205" i="2"/>
  <c r="J1205" i="2"/>
  <c r="K1181" i="2"/>
  <c r="L1181" i="2" s="1"/>
  <c r="L1073" i="2"/>
  <c r="L1049" i="2"/>
  <c r="K1049" i="2"/>
  <c r="J941" i="2"/>
  <c r="L941" i="2"/>
  <c r="J917" i="2"/>
  <c r="L917" i="2" s="1"/>
  <c r="L809" i="2"/>
  <c r="J773" i="2"/>
  <c r="L773" i="2" s="1"/>
  <c r="L749" i="2"/>
  <c r="K749" i="2"/>
  <c r="L713" i="2"/>
  <c r="J713" i="2"/>
  <c r="L641" i="2"/>
  <c r="J641" i="2"/>
  <c r="K473" i="2"/>
  <c r="L473" i="2" s="1"/>
  <c r="L413" i="2"/>
  <c r="J413" i="2"/>
  <c r="J341" i="2"/>
  <c r="L341" i="2"/>
  <c r="L305" i="2"/>
  <c r="L233" i="2"/>
  <c r="J197" i="2"/>
  <c r="L197" i="2"/>
  <c r="K185" i="2"/>
  <c r="J185" i="2"/>
  <c r="L137" i="2"/>
  <c r="K29" i="2"/>
  <c r="L29" i="2"/>
  <c r="J3509" i="2"/>
  <c r="J3197" i="2"/>
  <c r="L3197" i="2" s="1"/>
  <c r="J2489" i="2"/>
  <c r="J2333" i="2"/>
  <c r="L2234" i="2"/>
  <c r="J1625" i="2"/>
  <c r="L1625" i="2" s="1"/>
  <c r="J1469" i="2"/>
  <c r="J1025" i="2"/>
  <c r="L1025" i="2" s="1"/>
  <c r="J701" i="2"/>
  <c r="L701" i="2" s="1"/>
  <c r="J653" i="2"/>
  <c r="L653" i="2" s="1"/>
  <c r="J545" i="2"/>
  <c r="J221" i="2"/>
  <c r="J5" i="2"/>
  <c r="L5" i="2" s="1"/>
  <c r="K77" i="2"/>
  <c r="K221" i="2"/>
  <c r="K257" i="2"/>
  <c r="K941" i="2"/>
  <c r="K1085" i="2"/>
  <c r="K1517" i="2"/>
  <c r="K1733" i="2"/>
  <c r="K2093" i="2"/>
  <c r="L2093" i="2" s="1"/>
  <c r="K2549" i="2"/>
  <c r="K2585" i="2"/>
  <c r="K2657" i="2"/>
  <c r="L2657" i="2" s="1"/>
  <c r="K2729" i="2"/>
  <c r="K2801" i="2"/>
  <c r="K2837" i="2"/>
  <c r="K2945" i="2"/>
  <c r="L2945" i="2" s="1"/>
  <c r="K3245" i="2"/>
  <c r="K3365" i="2"/>
  <c r="K3389" i="2"/>
  <c r="L3569" i="2"/>
  <c r="L2921" i="2"/>
  <c r="L2477" i="2"/>
  <c r="L2081" i="2"/>
  <c r="L1325" i="2"/>
  <c r="L905" i="2"/>
  <c r="K3783" i="2"/>
  <c r="J3783" i="2"/>
  <c r="L3783" i="2" s="1"/>
  <c r="K3747" i="2"/>
  <c r="L3747" i="2"/>
  <c r="L3723" i="2"/>
  <c r="L3699" i="2"/>
  <c r="K3699" i="2"/>
  <c r="L3675" i="2"/>
  <c r="K3675" i="2"/>
  <c r="J3639" i="2"/>
  <c r="L3639" i="2" s="1"/>
  <c r="K3639" i="2"/>
  <c r="K3603" i="2"/>
  <c r="L3603" i="2"/>
  <c r="K3555" i="2"/>
  <c r="L3555" i="2"/>
  <c r="K3399" i="2"/>
  <c r="L3399" i="2"/>
  <c r="J3351" i="2"/>
  <c r="L3351" i="2"/>
  <c r="K3351" i="2"/>
  <c r="K3315" i="2"/>
  <c r="L3315" i="2" s="1"/>
  <c r="K3303" i="2"/>
  <c r="L3303" i="2" s="1"/>
  <c r="K3159" i="2"/>
  <c r="L3159" i="2"/>
  <c r="K3147" i="2"/>
  <c r="L3147" i="2"/>
  <c r="L3135" i="2"/>
  <c r="K3135" i="2"/>
  <c r="K3111" i="2"/>
  <c r="L3111" i="2" s="1"/>
  <c r="K3075" i="2"/>
  <c r="L3075" i="2"/>
  <c r="K3063" i="2"/>
  <c r="L3063" i="2" s="1"/>
  <c r="J3063" i="2"/>
  <c r="K3003" i="2"/>
  <c r="L3003" i="2"/>
  <c r="L2991" i="2"/>
  <c r="K2991" i="2"/>
  <c r="K2919" i="2"/>
  <c r="J2919" i="2"/>
  <c r="L2919" i="2" s="1"/>
  <c r="K2907" i="2"/>
  <c r="L2907" i="2"/>
  <c r="K2871" i="2"/>
  <c r="L2871" i="2" s="1"/>
  <c r="K2847" i="2"/>
  <c r="L2847" i="2" s="1"/>
  <c r="K2775" i="2"/>
  <c r="J2775" i="2"/>
  <c r="L2703" i="2"/>
  <c r="K2703" i="2"/>
  <c r="K2691" i="2"/>
  <c r="L2691" i="2" s="1"/>
  <c r="K2667" i="2"/>
  <c r="L2667" i="2"/>
  <c r="K2631" i="2"/>
  <c r="J2631" i="2"/>
  <c r="L2631" i="2" s="1"/>
  <c r="K2619" i="2"/>
  <c r="L2619" i="2"/>
  <c r="L2559" i="2"/>
  <c r="K2559" i="2"/>
  <c r="K2547" i="2"/>
  <c r="L2547" i="2" s="1"/>
  <c r="K2487" i="2"/>
  <c r="J2487" i="2"/>
  <c r="K2475" i="2"/>
  <c r="L2475" i="2"/>
  <c r="K2463" i="2"/>
  <c r="L2463" i="2"/>
  <c r="L2415" i="2"/>
  <c r="K2415" i="2"/>
  <c r="K2391" i="2"/>
  <c r="L2391" i="2"/>
  <c r="K2379" i="2"/>
  <c r="L2379" i="2" s="1"/>
  <c r="K2343" i="2"/>
  <c r="J2343" i="2"/>
  <c r="L2343" i="2" s="1"/>
  <c r="K2319" i="2"/>
  <c r="L2319" i="2"/>
  <c r="K2271" i="2"/>
  <c r="L2271" i="2" s="1"/>
  <c r="K2259" i="2"/>
  <c r="L2259" i="2"/>
  <c r="K2247" i="2"/>
  <c r="L2247" i="2" s="1"/>
  <c r="K2199" i="2"/>
  <c r="J2199" i="2"/>
  <c r="K2187" i="2"/>
  <c r="L2187" i="2"/>
  <c r="K2151" i="2"/>
  <c r="L2151" i="2"/>
  <c r="K2127" i="2"/>
  <c r="L2127" i="2" s="1"/>
  <c r="K2115" i="2"/>
  <c r="L2115" i="2"/>
  <c r="L2091" i="2"/>
  <c r="K2091" i="2"/>
  <c r="K2079" i="2"/>
  <c r="L2079" i="2" s="1"/>
  <c r="K2055" i="2"/>
  <c r="J2055" i="2"/>
  <c r="K2031" i="2"/>
  <c r="L2031" i="2"/>
  <c r="L2019" i="2"/>
  <c r="K2019" i="2"/>
  <c r="L1983" i="2"/>
  <c r="K1983" i="2"/>
  <c r="K1971" i="2"/>
  <c r="L1971" i="2"/>
  <c r="K1923" i="2"/>
  <c r="L1923" i="2" s="1"/>
  <c r="K1911" i="2"/>
  <c r="J1911" i="2"/>
  <c r="K1887" i="2"/>
  <c r="L1887" i="2" s="1"/>
  <c r="K1875" i="2"/>
  <c r="L1875" i="2"/>
  <c r="K1851" i="2"/>
  <c r="L1851" i="2"/>
  <c r="K1839" i="2"/>
  <c r="L1839" i="2" s="1"/>
  <c r="K1815" i="2"/>
  <c r="L1815" i="2"/>
  <c r="L1791" i="2"/>
  <c r="K1791" i="2"/>
  <c r="K1767" i="2"/>
  <c r="J1767" i="2"/>
  <c r="L1719" i="2"/>
  <c r="K1719" i="2"/>
  <c r="L1695" i="2"/>
  <c r="K1695" i="2"/>
  <c r="K1659" i="2"/>
  <c r="L1659" i="2"/>
  <c r="K1647" i="2"/>
  <c r="L1647" i="2"/>
  <c r="K1623" i="2"/>
  <c r="J1623" i="2"/>
  <c r="L1623" i="2" s="1"/>
  <c r="K1611" i="2"/>
  <c r="L1611" i="2"/>
  <c r="L1551" i="2"/>
  <c r="K1551" i="2"/>
  <c r="K1539" i="2"/>
  <c r="L1539" i="2" s="1"/>
  <c r="K1503" i="2"/>
  <c r="L1503" i="2"/>
  <c r="L1491" i="2"/>
  <c r="K1491" i="2"/>
  <c r="K1479" i="2"/>
  <c r="J1479" i="2"/>
  <c r="L1479" i="2" s="1"/>
  <c r="K1455" i="2"/>
  <c r="L1455" i="2" s="1"/>
  <c r="K1443" i="2"/>
  <c r="L1443" i="2"/>
  <c r="K1419" i="2"/>
  <c r="L1419" i="2" s="1"/>
  <c r="K1407" i="2"/>
  <c r="L1407" i="2" s="1"/>
  <c r="K1395" i="2"/>
  <c r="L1395" i="2" s="1"/>
  <c r="K1347" i="2"/>
  <c r="L1347" i="2"/>
  <c r="K1335" i="2"/>
  <c r="J1335" i="2"/>
  <c r="K1311" i="2"/>
  <c r="L1311" i="2"/>
  <c r="K1299" i="2"/>
  <c r="L1299" i="2"/>
  <c r="K1275" i="2"/>
  <c r="L1275" i="2" s="1"/>
  <c r="L1263" i="2"/>
  <c r="K1263" i="2"/>
  <c r="K1239" i="2"/>
  <c r="L1239" i="2"/>
  <c r="K1227" i="2"/>
  <c r="J1227" i="2"/>
  <c r="L1191" i="2"/>
  <c r="K1191" i="2"/>
  <c r="K1179" i="2"/>
  <c r="J1179" i="2"/>
  <c r="K1143" i="2"/>
  <c r="L1143" i="2"/>
  <c r="K1119" i="2"/>
  <c r="L1119" i="2" s="1"/>
  <c r="K1107" i="2"/>
  <c r="L1107" i="2"/>
  <c r="K1047" i="2"/>
  <c r="L1047" i="2" s="1"/>
  <c r="L1035" i="2"/>
  <c r="K1035" i="2"/>
  <c r="J1035" i="2"/>
  <c r="K1011" i="2"/>
  <c r="L1011" i="2" s="1"/>
  <c r="K999" i="2"/>
  <c r="J999" i="2"/>
  <c r="K975" i="2"/>
  <c r="L975" i="2" s="1"/>
  <c r="K963" i="2"/>
  <c r="L963" i="2"/>
  <c r="K927" i="2"/>
  <c r="J927" i="2"/>
  <c r="L927" i="2" s="1"/>
  <c r="K891" i="2"/>
  <c r="J891" i="2"/>
  <c r="K843" i="2"/>
  <c r="L843" i="2"/>
  <c r="L831" i="2"/>
  <c r="K831" i="2"/>
  <c r="L807" i="2"/>
  <c r="K807" i="2"/>
  <c r="L771" i="2"/>
  <c r="K771" i="2"/>
  <c r="K747" i="2"/>
  <c r="J747" i="2"/>
  <c r="L735" i="2"/>
  <c r="K735" i="2"/>
  <c r="K723" i="2"/>
  <c r="L723" i="2" s="1"/>
  <c r="K699" i="2"/>
  <c r="J699" i="2"/>
  <c r="L687" i="2"/>
  <c r="K687" i="2"/>
  <c r="K675" i="2"/>
  <c r="L675" i="2" s="1"/>
  <c r="K627" i="2"/>
  <c r="J627" i="2"/>
  <c r="K615" i="2"/>
  <c r="L615" i="2" s="1"/>
  <c r="K603" i="2"/>
  <c r="J603" i="2"/>
  <c r="L603" i="2" s="1"/>
  <c r="K567" i="2"/>
  <c r="L567" i="2" s="1"/>
  <c r="K543" i="2"/>
  <c r="K507" i="2"/>
  <c r="L507" i="2" s="1"/>
  <c r="K459" i="2"/>
  <c r="J459" i="2"/>
  <c r="L459" i="2" s="1"/>
  <c r="K435" i="2"/>
  <c r="L435" i="2" s="1"/>
  <c r="L399" i="2"/>
  <c r="K399" i="2"/>
  <c r="J399" i="2"/>
  <c r="L351" i="2"/>
  <c r="K351" i="2"/>
  <c r="K327" i="2"/>
  <c r="J327" i="2"/>
  <c r="K315" i="2"/>
  <c r="J315" i="2"/>
  <c r="K303" i="2"/>
  <c r="L303" i="2" s="1"/>
  <c r="K255" i="2"/>
  <c r="L255" i="2" s="1"/>
  <c r="K231" i="2"/>
  <c r="L231" i="2" s="1"/>
  <c r="K207" i="2"/>
  <c r="L207" i="2" s="1"/>
  <c r="K195" i="2"/>
  <c r="L195" i="2" s="1"/>
  <c r="K171" i="2"/>
  <c r="J171" i="2"/>
  <c r="L147" i="2"/>
  <c r="K147" i="2"/>
  <c r="K135" i="2"/>
  <c r="L135" i="2" s="1"/>
  <c r="K123" i="2"/>
  <c r="L123" i="2"/>
  <c r="K111" i="2"/>
  <c r="K99" i="2"/>
  <c r="J99" i="2"/>
  <c r="L39" i="2"/>
  <c r="K39" i="2"/>
  <c r="K27" i="2"/>
  <c r="J27" i="2"/>
  <c r="J3748" i="2"/>
  <c r="L3748" i="2" s="1"/>
  <c r="J3676" i="2"/>
  <c r="J3592" i="2"/>
  <c r="L3592" i="2" s="1"/>
  <c r="J3520" i="2"/>
  <c r="L3520" i="2" s="1"/>
  <c r="J3436" i="2"/>
  <c r="J3365" i="2"/>
  <c r="J3195" i="2"/>
  <c r="L3110" i="2"/>
  <c r="J3053" i="2"/>
  <c r="L3053" i="2" s="1"/>
  <c r="J3040" i="2"/>
  <c r="J2656" i="2"/>
  <c r="J2572" i="2"/>
  <c r="J2345" i="2"/>
  <c r="L2345" i="2" s="1"/>
  <c r="J2331" i="2"/>
  <c r="J2189" i="2"/>
  <c r="L2189" i="2" s="1"/>
  <c r="J2176" i="2"/>
  <c r="L2176" i="2" s="1"/>
  <c r="J2020" i="2"/>
  <c r="J1948" i="2"/>
  <c r="J1864" i="2"/>
  <c r="J1708" i="2"/>
  <c r="L1708" i="2" s="1"/>
  <c r="J1481" i="2"/>
  <c r="J1467" i="2"/>
  <c r="L1467" i="2" s="1"/>
  <c r="J1396" i="2"/>
  <c r="L1396" i="2" s="1"/>
  <c r="J1325" i="2"/>
  <c r="J1312" i="2"/>
  <c r="J1253" i="2"/>
  <c r="J1191" i="2"/>
  <c r="J1145" i="2"/>
  <c r="J1131" i="2"/>
  <c r="L1131" i="2" s="1"/>
  <c r="J1083" i="2"/>
  <c r="J1023" i="2"/>
  <c r="L1023" i="2" s="1"/>
  <c r="J929" i="2"/>
  <c r="L929" i="2" s="1"/>
  <c r="J867" i="2"/>
  <c r="L867" i="2" s="1"/>
  <c r="J821" i="2"/>
  <c r="L821" i="2" s="1"/>
  <c r="J761" i="2"/>
  <c r="J651" i="2"/>
  <c r="L651" i="2" s="1"/>
  <c r="J605" i="2"/>
  <c r="L605" i="2" s="1"/>
  <c r="J543" i="2"/>
  <c r="J496" i="2"/>
  <c r="L496" i="2" s="1"/>
  <c r="J436" i="2"/>
  <c r="L436" i="2" s="1"/>
  <c r="J389" i="2"/>
  <c r="L389" i="2" s="1"/>
  <c r="L326" i="2"/>
  <c r="J280" i="2"/>
  <c r="L280" i="2" s="1"/>
  <c r="J219" i="2"/>
  <c r="L219" i="2" s="1"/>
  <c r="J173" i="2"/>
  <c r="L173" i="2" s="1"/>
  <c r="J159" i="2"/>
  <c r="J111" i="2"/>
  <c r="J64" i="2"/>
  <c r="J3" i="2"/>
  <c r="K64" i="2"/>
  <c r="L64" i="2" s="1"/>
  <c r="K413" i="2"/>
  <c r="K820" i="2"/>
  <c r="L820" i="2" s="1"/>
  <c r="K856" i="2"/>
  <c r="L856" i="2" s="1"/>
  <c r="K1432" i="2"/>
  <c r="L1432" i="2" s="1"/>
  <c r="K2008" i="2"/>
  <c r="L2008" i="2" s="1"/>
  <c r="K2297" i="2"/>
  <c r="K2405" i="2"/>
  <c r="L2405" i="2" s="1"/>
  <c r="K2861" i="2"/>
  <c r="K3005" i="2"/>
  <c r="K3532" i="2"/>
  <c r="K3652" i="2"/>
  <c r="L3652" i="2" s="1"/>
  <c r="L3483" i="2"/>
  <c r="L3099" i="2"/>
  <c r="L2739" i="2"/>
  <c r="L2715" i="2"/>
  <c r="L2331" i="2"/>
  <c r="L2163" i="2"/>
  <c r="L1828" i="2"/>
  <c r="L1587" i="2"/>
  <c r="L1323" i="2"/>
  <c r="L1167" i="2"/>
  <c r="L903" i="2"/>
  <c r="L639" i="2"/>
  <c r="L485" i="2"/>
  <c r="L460" i="2"/>
  <c r="K2480" i="2"/>
  <c r="L1088" i="2"/>
  <c r="L2624" i="2"/>
  <c r="L2576" i="2"/>
  <c r="L2504" i="2"/>
  <c r="L2432" i="2"/>
  <c r="L2204" i="2"/>
  <c r="L2192" i="2"/>
  <c r="L2156" i="2"/>
  <c r="L2120" i="2"/>
  <c r="L2108" i="2"/>
  <c r="L2096" i="2"/>
  <c r="K2096" i="2"/>
  <c r="L2084" i="2"/>
  <c r="K2084" i="2"/>
  <c r="L2048" i="2"/>
  <c r="L2024" i="2"/>
  <c r="K1952" i="2"/>
  <c r="L1952" i="2" s="1"/>
  <c r="K1940" i="2"/>
  <c r="L1940" i="2" s="1"/>
  <c r="L1916" i="2"/>
  <c r="L1868" i="2"/>
  <c r="L1856" i="2"/>
  <c r="K1808" i="2"/>
  <c r="L1808" i="2" s="1"/>
  <c r="K1796" i="2"/>
  <c r="L1796" i="2" s="1"/>
  <c r="L1772" i="2"/>
  <c r="L1748" i="2"/>
  <c r="K1664" i="2"/>
  <c r="L1664" i="2" s="1"/>
  <c r="K1652" i="2"/>
  <c r="L1652" i="2" s="1"/>
  <c r="L1604" i="2"/>
  <c r="L1592" i="2"/>
  <c r="L1556" i="2"/>
  <c r="L1544" i="2"/>
  <c r="L1532" i="2"/>
  <c r="L1520" i="2"/>
  <c r="K1520" i="2"/>
  <c r="L1508" i="2"/>
  <c r="K1508" i="2"/>
  <c r="L1496" i="2"/>
  <c r="L1460" i="2"/>
  <c r="L1448" i="2"/>
  <c r="L1436" i="2"/>
  <c r="K1376" i="2"/>
  <c r="L1376" i="2" s="1"/>
  <c r="K1364" i="2"/>
  <c r="L1364" i="2" s="1"/>
  <c r="L1340" i="2"/>
  <c r="L1304" i="2"/>
  <c r="L1292" i="2"/>
  <c r="L1268" i="2"/>
  <c r="L1256" i="2"/>
  <c r="J1244" i="2"/>
  <c r="L1244" i="2" s="1"/>
  <c r="K1232" i="2"/>
  <c r="L1232" i="2" s="1"/>
  <c r="K1220" i="2"/>
  <c r="L1220" i="2" s="1"/>
  <c r="L1100" i="2"/>
  <c r="J1100" i="2"/>
  <c r="J956" i="2"/>
  <c r="L956" i="2"/>
  <c r="K944" i="2"/>
  <c r="L944" i="2" s="1"/>
  <c r="L788" i="2"/>
  <c r="K788" i="2"/>
  <c r="L764" i="2"/>
  <c r="L680" i="2"/>
  <c r="L620" i="2"/>
  <c r="K512" i="2"/>
  <c r="L512" i="2" s="1"/>
  <c r="L452" i="2"/>
  <c r="J380" i="2"/>
  <c r="L380" i="2" s="1"/>
  <c r="J236" i="2"/>
  <c r="L236" i="2" s="1"/>
  <c r="L176" i="2"/>
  <c r="L164" i="2"/>
  <c r="L140" i="2"/>
  <c r="J2120" i="2"/>
  <c r="J1976" i="2"/>
  <c r="L1976" i="2" s="1"/>
  <c r="J1832" i="2"/>
  <c r="L1832" i="2" s="1"/>
  <c r="J1688" i="2"/>
  <c r="L1688" i="2" s="1"/>
  <c r="J1544" i="2"/>
  <c r="J1400" i="2"/>
  <c r="L1400" i="2" s="1"/>
  <c r="J1184" i="2"/>
  <c r="J1112" i="2"/>
  <c r="L1112" i="2" s="1"/>
  <c r="J884" i="2"/>
  <c r="L884" i="2" s="1"/>
  <c r="J656" i="2"/>
  <c r="J584" i="2"/>
  <c r="J356" i="2"/>
  <c r="L356" i="2" s="1"/>
  <c r="J56" i="2"/>
  <c r="K104" i="2"/>
  <c r="L2546" i="2"/>
  <c r="L1970" i="2"/>
  <c r="L1682" i="2"/>
  <c r="L1634" i="2"/>
  <c r="L278" i="2"/>
  <c r="L86" i="2"/>
  <c r="J878" i="2"/>
  <c r="K578" i="2"/>
  <c r="K722" i="2"/>
  <c r="L722" i="2" s="1"/>
  <c r="K1010" i="2"/>
  <c r="K2162" i="2"/>
  <c r="L3446" i="2"/>
  <c r="L358" i="2" l="1"/>
  <c r="L1094" i="2"/>
  <c r="L2800" i="2"/>
  <c r="L3417" i="2"/>
  <c r="L282" i="2"/>
  <c r="L2669" i="2"/>
  <c r="L182" i="2"/>
  <c r="L2661" i="2"/>
  <c r="L1577" i="2"/>
  <c r="L1250" i="2"/>
  <c r="L1120" i="2"/>
  <c r="L204" i="2"/>
  <c r="L838" i="2"/>
  <c r="L652" i="2"/>
  <c r="L2705" i="2"/>
  <c r="L900" i="2"/>
  <c r="L3565" i="2"/>
  <c r="L185" i="2"/>
  <c r="L156" i="2"/>
  <c r="L2614" i="2"/>
  <c r="L3718" i="2"/>
  <c r="L3721" i="2"/>
  <c r="L1135" i="2"/>
  <c r="L3654" i="2"/>
  <c r="L1603" i="2"/>
  <c r="L1474" i="2"/>
  <c r="L3610" i="2"/>
  <c r="L2219" i="2"/>
  <c r="L2359" i="2"/>
  <c r="L2325" i="2"/>
  <c r="L2518" i="2"/>
  <c r="L3622" i="2"/>
  <c r="L3023" i="2"/>
  <c r="L439" i="2"/>
  <c r="L2276" i="2"/>
  <c r="L2532" i="2"/>
  <c r="L2761" i="2"/>
  <c r="L1133" i="2"/>
  <c r="L420" i="2"/>
  <c r="L1609" i="2"/>
  <c r="L2826" i="2"/>
  <c r="L1540" i="2"/>
  <c r="L888" i="2"/>
  <c r="L60" i="2"/>
  <c r="L3801" i="2"/>
  <c r="L2904" i="2"/>
  <c r="L3719" i="2"/>
  <c r="L3482" i="2"/>
  <c r="L1080" i="2"/>
  <c r="L2853" i="2"/>
  <c r="L1538" i="2"/>
  <c r="L998" i="2"/>
  <c r="L1961" i="2"/>
  <c r="L960" i="2"/>
  <c r="L622" i="2"/>
  <c r="L1022" i="2"/>
  <c r="L2944" i="2"/>
  <c r="L2888" i="2"/>
  <c r="L828" i="2"/>
  <c r="L2975" i="2"/>
  <c r="L529" i="2"/>
  <c r="L826" i="2"/>
  <c r="L3757" i="2"/>
  <c r="L2987" i="2"/>
  <c r="L3354" i="2"/>
  <c r="L3262" i="2"/>
  <c r="L716" i="2"/>
  <c r="L1510" i="2"/>
  <c r="L1314" i="2"/>
  <c r="L1291" i="2"/>
  <c r="L1690" i="2"/>
  <c r="L3239" i="2"/>
  <c r="L3575" i="2"/>
  <c r="L235" i="2"/>
  <c r="L1855" i="2"/>
  <c r="L3760" i="2"/>
  <c r="L889" i="2"/>
  <c r="L1703" i="2"/>
  <c r="L2255" i="2"/>
  <c r="L367" i="2"/>
  <c r="L3384" i="2"/>
  <c r="L146" i="2"/>
  <c r="L1393" i="2"/>
  <c r="L2375" i="2"/>
  <c r="L1957" i="2"/>
  <c r="L3780" i="2"/>
  <c r="L822" i="2"/>
  <c r="L2433" i="2"/>
  <c r="L2922" i="2"/>
  <c r="L66" i="2"/>
  <c r="L43" i="2"/>
  <c r="L3419" i="2"/>
  <c r="L2374" i="2"/>
  <c r="L2590" i="2"/>
  <c r="L3790" i="2"/>
  <c r="L719" i="2"/>
  <c r="L1308" i="2"/>
  <c r="L302" i="2"/>
  <c r="L506" i="2"/>
  <c r="L2258" i="2"/>
  <c r="L2525" i="2"/>
  <c r="L1522" i="2"/>
  <c r="L70" i="2"/>
  <c r="L2976" i="2"/>
  <c r="L1202" i="2"/>
  <c r="L2930" i="2"/>
  <c r="L3279" i="2"/>
  <c r="L453" i="2"/>
  <c r="L3036" i="2"/>
  <c r="L3141" i="2"/>
  <c r="L2700" i="2"/>
  <c r="L421" i="2"/>
  <c r="L2149" i="2"/>
  <c r="L3035" i="2"/>
  <c r="L3272" i="2"/>
  <c r="L3793" i="2"/>
  <c r="L1329" i="2"/>
  <c r="L118" i="2"/>
  <c r="L3359" i="2"/>
  <c r="L2490" i="2"/>
  <c r="L306" i="2"/>
  <c r="L775" i="2"/>
  <c r="L3764" i="2"/>
  <c r="L1809" i="2"/>
  <c r="L3742" i="2"/>
  <c r="L390" i="2"/>
  <c r="L774" i="2"/>
  <c r="L55" i="2"/>
  <c r="L9" i="2"/>
  <c r="L2626" i="2"/>
  <c r="L234" i="2"/>
  <c r="L222" i="2"/>
  <c r="L1820" i="2"/>
  <c r="L1683" i="2"/>
  <c r="L3397" i="2"/>
  <c r="L218" i="2"/>
  <c r="L3698" i="2"/>
  <c r="L2089" i="2"/>
  <c r="L2282" i="2"/>
  <c r="L424" i="2"/>
  <c r="L2461" i="2"/>
  <c r="L1939" i="2"/>
  <c r="L3083" i="2"/>
  <c r="L1823" i="2"/>
  <c r="L2552" i="2"/>
  <c r="L3057" i="2"/>
  <c r="L1869" i="2"/>
  <c r="L1579" i="2"/>
  <c r="L2863" i="2"/>
  <c r="L2884" i="2"/>
  <c r="L672" i="2"/>
  <c r="L246" i="2"/>
  <c r="L2962" i="2"/>
  <c r="L1042" i="2"/>
  <c r="L1087" i="2"/>
  <c r="L2280" i="2"/>
  <c r="L2167" i="2"/>
  <c r="L3631" i="2"/>
  <c r="L1762" i="2"/>
  <c r="L2386" i="2"/>
  <c r="L3202" i="2"/>
  <c r="L3637" i="2"/>
  <c r="L1819" i="2"/>
  <c r="L3477" i="2"/>
  <c r="L2591" i="2"/>
  <c r="L2767" i="2"/>
  <c r="L3049" i="2"/>
  <c r="L1346" i="2"/>
  <c r="L2427" i="2"/>
  <c r="L3447" i="2"/>
  <c r="L1384" i="2"/>
  <c r="L1781" i="2"/>
  <c r="L2748" i="2"/>
  <c r="L1369" i="2"/>
  <c r="L1568" i="2"/>
  <c r="L1620" i="2"/>
  <c r="L3676" i="2"/>
  <c r="L3058" i="2"/>
  <c r="L1850" i="2"/>
  <c r="L2109" i="2"/>
  <c r="L2494" i="2"/>
  <c r="L3040" i="2"/>
  <c r="L2775" i="2"/>
  <c r="L2489" i="2"/>
  <c r="L1728" i="2"/>
  <c r="L802" i="2"/>
  <c r="L3260" i="2"/>
  <c r="L3251" i="2"/>
  <c r="L3452" i="2"/>
  <c r="L525" i="2"/>
  <c r="L3381" i="2"/>
  <c r="L778" i="2"/>
  <c r="L1966" i="2"/>
  <c r="L3670" i="2"/>
  <c r="L2651" i="2"/>
  <c r="L3488" i="2"/>
  <c r="L2430" i="2"/>
  <c r="L3535" i="2"/>
  <c r="L945" i="2"/>
  <c r="L2481" i="2"/>
  <c r="L3549" i="2"/>
  <c r="L2422" i="2"/>
  <c r="L3695" i="2"/>
  <c r="L3570" i="2"/>
  <c r="L2039" i="2"/>
  <c r="L3620" i="2"/>
  <c r="L3060" i="2"/>
  <c r="L261" i="2"/>
  <c r="L1742" i="2"/>
  <c r="L2714" i="2"/>
  <c r="L3710" i="2"/>
  <c r="L2653" i="2"/>
  <c r="L482" i="2"/>
  <c r="L1334" i="2"/>
  <c r="L3734" i="2"/>
  <c r="L3123" i="2"/>
  <c r="L2725" i="2"/>
  <c r="L3073" i="2"/>
  <c r="L2570" i="2"/>
  <c r="L363" i="2"/>
  <c r="L2835" i="2"/>
  <c r="L2228" i="2"/>
  <c r="L2186" i="2"/>
  <c r="L532" i="2"/>
  <c r="L3219" i="2"/>
  <c r="L109" i="2"/>
  <c r="L890" i="2"/>
  <c r="L1203" i="2"/>
  <c r="L1778" i="2"/>
  <c r="L518" i="2"/>
  <c r="L3543" i="2"/>
  <c r="L2524" i="2"/>
  <c r="L4" i="2"/>
  <c r="L1636" i="2"/>
  <c r="L3328" i="2"/>
  <c r="L1493" i="2"/>
  <c r="L2445" i="2"/>
  <c r="L1548" i="2"/>
  <c r="L3740" i="2"/>
  <c r="L1782" i="2"/>
  <c r="L36" i="2"/>
  <c r="L793" i="2"/>
  <c r="L99" i="2"/>
  <c r="L627" i="2"/>
  <c r="L2487" i="2"/>
  <c r="L48" i="2"/>
  <c r="L1105" i="2"/>
  <c r="L2473" i="2"/>
  <c r="L354" i="2"/>
  <c r="L2817" i="2"/>
  <c r="L331" i="2"/>
  <c r="L3777" i="2"/>
  <c r="L535" i="2"/>
  <c r="L1365" i="2"/>
  <c r="L2985" i="2"/>
  <c r="L514" i="2"/>
  <c r="L3401" i="2"/>
  <c r="L3295" i="2"/>
  <c r="L644" i="2"/>
  <c r="L746" i="2"/>
  <c r="L1406" i="2"/>
  <c r="L2139" i="2"/>
  <c r="L2996" i="2"/>
  <c r="L715" i="2"/>
  <c r="L642" i="2"/>
  <c r="L2894" i="2"/>
  <c r="L854" i="2"/>
  <c r="L2014" i="2"/>
  <c r="L586" i="2"/>
  <c r="L1039" i="2"/>
  <c r="L1989" i="2"/>
  <c r="L3745" i="2"/>
  <c r="L3690" i="2"/>
  <c r="L2728" i="2"/>
  <c r="L276" i="2"/>
  <c r="L2119" i="2"/>
  <c r="L552" i="2"/>
  <c r="L2183" i="2"/>
  <c r="L3238" i="2"/>
  <c r="L3007" i="2"/>
  <c r="L1578" i="2"/>
  <c r="L3365" i="2"/>
  <c r="L111" i="2"/>
  <c r="L1427" i="2"/>
  <c r="L132" i="2"/>
  <c r="L636" i="2"/>
  <c r="L1236" i="2"/>
  <c r="L2232" i="2"/>
  <c r="L2250" i="2"/>
  <c r="L3608" i="2"/>
  <c r="L393" i="2"/>
  <c r="L1306" i="2"/>
  <c r="L1906" i="2"/>
  <c r="L1303" i="2"/>
  <c r="L2838" i="2"/>
  <c r="L3332" i="2"/>
  <c r="L298" i="2"/>
  <c r="L2074" i="2"/>
  <c r="L1991" i="2"/>
  <c r="L2611" i="2"/>
  <c r="L1878" i="2"/>
  <c r="L3249" i="2"/>
  <c r="L2950" i="2"/>
  <c r="L3094" i="2"/>
  <c r="L794" i="2"/>
  <c r="L1129" i="2"/>
  <c r="L914" i="2"/>
  <c r="L2376" i="2"/>
  <c r="L3792" i="2"/>
  <c r="L1914" i="2"/>
  <c r="L1894" i="2"/>
  <c r="L3430" i="2"/>
  <c r="L264" i="2"/>
  <c r="L978" i="2"/>
  <c r="L38" i="2"/>
  <c r="L1675" i="2"/>
  <c r="L2488" i="2"/>
  <c r="L3434" i="2"/>
  <c r="L891" i="2"/>
  <c r="L575" i="2"/>
  <c r="L348" i="2"/>
  <c r="L696" i="2"/>
  <c r="L3553" i="2"/>
  <c r="L691" i="2"/>
  <c r="L1534" i="2"/>
  <c r="L2434" i="2"/>
  <c r="L1963" i="2"/>
  <c r="L3300" i="2"/>
  <c r="L410" i="2"/>
  <c r="L3794" i="2"/>
  <c r="L2437" i="2"/>
  <c r="L177" i="2"/>
  <c r="L1687" i="2"/>
  <c r="L2650" i="2"/>
  <c r="L2260" i="2"/>
  <c r="L2323" i="2"/>
  <c r="L3729" i="2"/>
  <c r="L451" i="2"/>
  <c r="L3227" i="2"/>
  <c r="L160" i="2"/>
  <c r="L3041" i="2"/>
  <c r="L3121" i="2"/>
  <c r="L1020" i="2"/>
  <c r="L1176" i="2"/>
  <c r="L1836" i="2"/>
  <c r="L1705" i="2"/>
  <c r="L3778" i="2"/>
  <c r="L2538" i="2"/>
  <c r="L3594" i="2"/>
  <c r="L175" i="2"/>
  <c r="L345" i="2"/>
  <c r="L3213" i="2"/>
  <c r="L322" i="2"/>
  <c r="L477" i="2"/>
  <c r="L1566" i="2"/>
  <c r="L1257" i="2"/>
  <c r="L2289" i="2"/>
  <c r="L550" i="2"/>
  <c r="L2410" i="2"/>
  <c r="L2662" i="2"/>
  <c r="L2830" i="2"/>
  <c r="L3130" i="2"/>
  <c r="L2003" i="2"/>
  <c r="L2555" i="2"/>
  <c r="L3176" i="2"/>
  <c r="L3125" i="2"/>
  <c r="L114" i="2"/>
  <c r="L18" i="2"/>
  <c r="L2854" i="2"/>
  <c r="L2998" i="2"/>
  <c r="L883" i="2"/>
  <c r="L2927" i="2"/>
  <c r="L2503" i="2"/>
  <c r="L1260" i="2"/>
  <c r="L2482" i="2"/>
  <c r="L2513" i="2"/>
  <c r="L433" i="2"/>
  <c r="L2050" i="2"/>
  <c r="L3324" i="2"/>
  <c r="L3648" i="2"/>
  <c r="L911" i="2"/>
  <c r="L2600" i="2"/>
  <c r="L842" i="2"/>
  <c r="L259" i="2"/>
  <c r="L943" i="2"/>
  <c r="L3750" i="2"/>
  <c r="L706" i="2"/>
  <c r="L2828" i="2"/>
  <c r="L226" i="2"/>
  <c r="L790" i="2"/>
  <c r="L954" i="2"/>
  <c r="L1521" i="2"/>
  <c r="L2111" i="2"/>
  <c r="L1879" i="2"/>
  <c r="L2695" i="2"/>
  <c r="L3800" i="2"/>
  <c r="L3179" i="2"/>
  <c r="L3768" i="2"/>
  <c r="L1758" i="2"/>
  <c r="L2565" i="2"/>
  <c r="L3418" i="2"/>
  <c r="L2891" i="2"/>
  <c r="L3364" i="2"/>
  <c r="L3506" i="2"/>
  <c r="L2306" i="2"/>
  <c r="L2678" i="2"/>
  <c r="L75" i="2"/>
  <c r="L601" i="2"/>
  <c r="L254" i="2"/>
  <c r="L2486" i="2"/>
  <c r="L359" i="2"/>
  <c r="L2388" i="2"/>
  <c r="L229" i="2"/>
  <c r="L2545" i="2"/>
  <c r="L1677" i="2"/>
  <c r="L2898" i="2"/>
  <c r="L33" i="2"/>
  <c r="L1881" i="2"/>
  <c r="L3732" i="2"/>
  <c r="L982" i="2"/>
  <c r="L3070" i="2"/>
  <c r="L919" i="2"/>
  <c r="L546" i="2"/>
  <c r="L2346" i="2"/>
  <c r="L2721" i="2"/>
  <c r="L2347" i="2"/>
  <c r="L3540" i="2"/>
  <c r="L45" i="2"/>
  <c r="L705" i="2"/>
  <c r="L1377" i="2"/>
  <c r="L2530" i="2"/>
  <c r="L3682" i="2"/>
  <c r="L3167" i="2"/>
  <c r="L3371" i="2"/>
  <c r="L693" i="2"/>
  <c r="L2988" i="2"/>
  <c r="L654" i="2"/>
  <c r="L3246" i="2"/>
  <c r="L1915" i="2"/>
  <c r="L873" i="2"/>
  <c r="L1353" i="2"/>
  <c r="L1581" i="2"/>
  <c r="L1918" i="2"/>
  <c r="L3743" i="2"/>
  <c r="L3720" i="2"/>
  <c r="L352" i="2"/>
  <c r="L116" i="2"/>
  <c r="L872" i="2"/>
  <c r="L2484" i="2"/>
  <c r="L566" i="2"/>
  <c r="L734" i="2"/>
  <c r="L1154" i="2"/>
  <c r="L1754" i="2"/>
  <c r="L3050" i="2"/>
  <c r="L579" i="2"/>
  <c r="L3051" i="2"/>
  <c r="L2811" i="2"/>
  <c r="L1155" i="2"/>
  <c r="L3233" i="2"/>
  <c r="L1043" i="2"/>
  <c r="L1212" i="2"/>
  <c r="L565" i="2"/>
  <c r="L3546" i="2"/>
  <c r="L3259" i="2"/>
  <c r="L3426" i="2"/>
  <c r="L714" i="2"/>
  <c r="L1858" i="2"/>
  <c r="L2566" i="2"/>
  <c r="L2916" i="2"/>
  <c r="L3348" i="2"/>
  <c r="L966" i="2"/>
  <c r="L1662" i="2"/>
  <c r="L1806" i="2"/>
  <c r="L1567" i="2"/>
  <c r="L2395" i="2"/>
  <c r="L3307" i="2"/>
  <c r="L1954" i="2"/>
  <c r="L3767" i="2"/>
  <c r="L928" i="2"/>
  <c r="L2773" i="2"/>
  <c r="L327" i="2"/>
  <c r="L543" i="2"/>
  <c r="L699" i="2"/>
  <c r="L1767" i="2"/>
  <c r="L635" i="2"/>
  <c r="L947" i="2"/>
  <c r="L444" i="2"/>
  <c r="L1368" i="2"/>
  <c r="L2053" i="2"/>
  <c r="L13" i="2"/>
  <c r="L2865" i="2"/>
  <c r="L2673" i="2"/>
  <c r="L250" i="2"/>
  <c r="L1030" i="2"/>
  <c r="L1354" i="2"/>
  <c r="L2314" i="2"/>
  <c r="L3754" i="2"/>
  <c r="L570" i="2"/>
  <c r="L738" i="2"/>
  <c r="L67" i="2"/>
  <c r="L2659" i="2"/>
  <c r="L3728" i="2"/>
  <c r="L2889" i="2"/>
  <c r="L2362" i="2"/>
  <c r="L3707" i="2"/>
  <c r="L3432" i="2"/>
  <c r="L2419" i="2"/>
  <c r="L3319" i="2"/>
  <c r="L3405" i="2"/>
  <c r="L3537" i="2"/>
  <c r="L2746" i="2"/>
  <c r="L3046" i="2"/>
  <c r="L3502" i="2"/>
  <c r="L2892" i="2"/>
  <c r="L2523" i="2"/>
  <c r="L1417" i="2"/>
  <c r="L2055" i="2"/>
  <c r="L3509" i="2"/>
  <c r="L2932" i="2"/>
  <c r="L876" i="2"/>
  <c r="L948" i="2"/>
  <c r="L3366" i="2"/>
  <c r="L3560" i="2"/>
  <c r="L1663" i="2"/>
  <c r="L3511" i="2"/>
  <c r="L1686" i="2"/>
  <c r="L2802" i="2"/>
  <c r="L1903" i="2"/>
  <c r="L2431" i="2"/>
  <c r="L3115" i="2"/>
  <c r="L3451" i="2"/>
  <c r="L237" i="2"/>
  <c r="L1737" i="2"/>
  <c r="L3585" i="2"/>
  <c r="L490" i="2"/>
  <c r="L3406" i="2"/>
  <c r="L2887" i="2"/>
  <c r="L2146" i="2"/>
  <c r="L2338" i="2"/>
  <c r="L3444" i="2"/>
  <c r="L3624" i="2"/>
  <c r="L3104" i="2"/>
  <c r="L1713" i="2"/>
  <c r="L3607" i="2"/>
  <c r="L3120" i="2"/>
  <c r="L2126" i="2"/>
  <c r="L819" i="2"/>
  <c r="L3062" i="2"/>
  <c r="L3711" i="2"/>
  <c r="L3194" i="2"/>
  <c r="L240" i="2"/>
  <c r="L3573" i="2"/>
  <c r="L370" i="2"/>
  <c r="L3523" i="2"/>
  <c r="L2814" i="2"/>
  <c r="L999" i="2"/>
  <c r="L2199" i="2"/>
  <c r="L3031" i="2"/>
  <c r="L1639" i="2"/>
  <c r="L96" i="2"/>
  <c r="L2586" i="2"/>
  <c r="L1872" i="2"/>
  <c r="L2628" i="2"/>
  <c r="L3055" i="2"/>
  <c r="L1824" i="2"/>
  <c r="L1978" i="2"/>
  <c r="L324" i="2"/>
  <c r="L685" i="2"/>
  <c r="L816" i="2"/>
  <c r="L2784" i="2"/>
  <c r="L315" i="2"/>
  <c r="L3320" i="2"/>
</calcChain>
</file>

<file path=xl/sharedStrings.xml><?xml version="1.0" encoding="utf-8"?>
<sst xmlns="http://schemas.openxmlformats.org/spreadsheetml/2006/main" count="38264" uniqueCount="1427">
  <si>
    <t>Temporada</t>
  </si>
  <si>
    <t>Jornada</t>
  </si>
  <si>
    <t>Fecha</t>
  </si>
  <si>
    <t>Hora</t>
  </si>
  <si>
    <t>Equipo Local</t>
  </si>
  <si>
    <t>Equipo Visitante</t>
  </si>
  <si>
    <t>Resultado</t>
  </si>
  <si>
    <t>Arbitro</t>
  </si>
  <si>
    <t>2013-14</t>
  </si>
  <si>
    <t>SAB 17.08.2013</t>
  </si>
  <si>
    <t>Real Sociedad</t>
  </si>
  <si>
    <t>Getafe CF</t>
  </si>
  <si>
    <t>2-0</t>
  </si>
  <si>
    <t>-</t>
  </si>
  <si>
    <t>Real Valladolid CF</t>
  </si>
  <si>
    <t>Athletic Club</t>
  </si>
  <si>
    <t>Valencia CF</t>
  </si>
  <si>
    <t>MÃ¡laga CF</t>
  </si>
  <si>
    <t>1-0</t>
  </si>
  <si>
    <t>DOM 18.08.2013</t>
  </si>
  <si>
    <t>FC Barcelona</t>
  </si>
  <si>
    <t>Levante UD</t>
  </si>
  <si>
    <t>7-0</t>
  </si>
  <si>
    <t>CA Osasuna</t>
  </si>
  <si>
    <t>Granada CF</t>
  </si>
  <si>
    <t>Real Madrid</t>
  </si>
  <si>
    <t>Real Betis</t>
  </si>
  <si>
    <t>Sevilla FC</t>
  </si>
  <si>
    <t>AtlÃ©tico de Madrid</t>
  </si>
  <si>
    <t>LUN 19.08.2013</t>
  </si>
  <si>
    <t>Rayo Vallecano</t>
  </si>
  <si>
    <t>Elche CF</t>
  </si>
  <si>
    <t>3-0</t>
  </si>
  <si>
    <t>UD AlmerÃ­a</t>
  </si>
  <si>
    <t>Villarreal CF</t>
  </si>
  <si>
    <t>RC Celta</t>
  </si>
  <si>
    <t>RCD Espanyol de Barcelona</t>
  </si>
  <si>
    <t>VIE 23.08.2013</t>
  </si>
  <si>
    <t>SAB 24.08.2013</t>
  </si>
  <si>
    <t>DOM 25.08.2013</t>
  </si>
  <si>
    <t>5-0</t>
  </si>
  <si>
    <t>0-0</t>
  </si>
  <si>
    <t>0-1</t>
  </si>
  <si>
    <t>LUN 26.08.2013</t>
  </si>
  <si>
    <t>VIE 30.08.2013</t>
  </si>
  <si>
    <t>SAB 31.08.2013</t>
  </si>
  <si>
    <t>0-3</t>
  </si>
  <si>
    <t>DOM 01.09.2013</t>
  </si>
  <si>
    <t>SAB 14.09.2013</t>
  </si>
  <si>
    <t>DOM 15.09.2013</t>
  </si>
  <si>
    <t>LUN 16.09.2013</t>
  </si>
  <si>
    <t>VIE 20.09.2013</t>
  </si>
  <si>
    <t>SAB 21.09.2013</t>
  </si>
  <si>
    <t>0-4</t>
  </si>
  <si>
    <t>0-2</t>
  </si>
  <si>
    <t>DOM 22.09.2013</t>
  </si>
  <si>
    <t>LUN 23.09.2013</t>
  </si>
  <si>
    <t>MAR 24.09.2013</t>
  </si>
  <si>
    <t>MIE 25.09.2013</t>
  </si>
  <si>
    <t>JUE 26.09.2013</t>
  </si>
  <si>
    <t>VIE 27.09.2013</t>
  </si>
  <si>
    <t>SAB 28.09.2013</t>
  </si>
  <si>
    <t>DOM 29.09.2013</t>
  </si>
  <si>
    <t>LUN 30.09.2013</t>
  </si>
  <si>
    <t>VIE 04.10.2013</t>
  </si>
  <si>
    <t>SAB 05.10.2013</t>
  </si>
  <si>
    <t>DOM 06.10.2013</t>
  </si>
  <si>
    <t>SAB 19.10.2013</t>
  </si>
  <si>
    <t>DOM 20.10.2013</t>
  </si>
  <si>
    <t>LUN 21.10.2013</t>
  </si>
  <si>
    <t>VIE 25.10.2013</t>
  </si>
  <si>
    <t>SAB 26.10.2013</t>
  </si>
  <si>
    <t>0-5</t>
  </si>
  <si>
    <t>Alberto Undiano Mallenco</t>
  </si>
  <si>
    <t>DOM 27.10.2013</t>
  </si>
  <si>
    <t>LUN 28.10.2013</t>
  </si>
  <si>
    <t>MAR 29.10.2013</t>
  </si>
  <si>
    <t>MIE 30.10.2013</t>
  </si>
  <si>
    <t>JUE 31.10.2013</t>
  </si>
  <si>
    <t>VIE 01.11.2013</t>
  </si>
  <si>
    <t>SAB 02.11.2013</t>
  </si>
  <si>
    <t>DOM 03.11.2013</t>
  </si>
  <si>
    <t>LUN 04.11.2013</t>
  </si>
  <si>
    <t>VIE 08.11.2013</t>
  </si>
  <si>
    <t>SAB 09.11.2013</t>
  </si>
  <si>
    <t>DOM 10.11.2013</t>
  </si>
  <si>
    <t>VIE 22.11.2013</t>
  </si>
  <si>
    <t>SAB 23.11.2013</t>
  </si>
  <si>
    <t>4-0</t>
  </si>
  <si>
    <t>DOM 24.11.2013</t>
  </si>
  <si>
    <t>LUN 25.11.2013</t>
  </si>
  <si>
    <t>VIE 29.11.2013</t>
  </si>
  <si>
    <t>SAB 30.11.2013</t>
  </si>
  <si>
    <t>DOM 01.12.2013</t>
  </si>
  <si>
    <t>VIE 13.12.2013</t>
  </si>
  <si>
    <t>SAB 14.12.2013</t>
  </si>
  <si>
    <t>DOM 15.12.2013</t>
  </si>
  <si>
    <t>LUN 16.12.2013</t>
  </si>
  <si>
    <t>VIE 20.12.2013</t>
  </si>
  <si>
    <t>SAB 21.12.2013</t>
  </si>
  <si>
    <t>DOM 22.12.2013</t>
  </si>
  <si>
    <t>SAB 04.01.2014</t>
  </si>
  <si>
    <t>DOM 05.01.2014</t>
  </si>
  <si>
    <t>LUN 06.01.2014</t>
  </si>
  <si>
    <t>VIE 10.01.2014</t>
  </si>
  <si>
    <t>SAB 11.01.2014</t>
  </si>
  <si>
    <t>DOM 12.01.2014</t>
  </si>
  <si>
    <t>LUN 13.01.2014</t>
  </si>
  <si>
    <t>VIE 17.01.2014</t>
  </si>
  <si>
    <t>SAB 18.01.2014</t>
  </si>
  <si>
    <t>DOM 19.01.2014</t>
  </si>
  <si>
    <t>LUN 20.01.2014</t>
  </si>
  <si>
    <t>VIE 24.01.2014</t>
  </si>
  <si>
    <t>SAB 25.01.2014</t>
  </si>
  <si>
    <t>DOM 26.01.2014</t>
  </si>
  <si>
    <t>LUN 27.01.2014</t>
  </si>
  <si>
    <t>VIE 31.01.2014</t>
  </si>
  <si>
    <t>SAB 01.02.2014</t>
  </si>
  <si>
    <t>DOM 02.02.2014</t>
  </si>
  <si>
    <t>LUN 03.02.2014</t>
  </si>
  <si>
    <t>VIE 07.02.2014</t>
  </si>
  <si>
    <t>SAB 08.02.2014</t>
  </si>
  <si>
    <t>DOM 09.02.2014</t>
  </si>
  <si>
    <t>LUN 10.02.2014</t>
  </si>
  <si>
    <t>VIE 14.02.2014</t>
  </si>
  <si>
    <t>SAB 15.02.2014</t>
  </si>
  <si>
    <t>6-0</t>
  </si>
  <si>
    <t>DOM 16.02.2014</t>
  </si>
  <si>
    <t>LUN 17.02.2014</t>
  </si>
  <si>
    <t>VIE 21.02.2014</t>
  </si>
  <si>
    <t>SAB 22.02.2014</t>
  </si>
  <si>
    <t>DOM 23.02.2014</t>
  </si>
  <si>
    <t>LUN 24.02.2014</t>
  </si>
  <si>
    <t>VIE 28.02.2014</t>
  </si>
  <si>
    <t>SAB 01.03.2014</t>
  </si>
  <si>
    <t>DOM 02.03.2014</t>
  </si>
  <si>
    <t>SAB 08.03.2014</t>
  </si>
  <si>
    <t>DOM 09.03.2014</t>
  </si>
  <si>
    <t>LUN 10.03.2014</t>
  </si>
  <si>
    <t>VIE 14.03.2014</t>
  </si>
  <si>
    <t>SAB 15.03.2014</t>
  </si>
  <si>
    <t>DOM 16.03.2014</t>
  </si>
  <si>
    <t>LUN 17.03.2014</t>
  </si>
  <si>
    <t>VIE 21.03.2014</t>
  </si>
  <si>
    <t>SAB 22.03.2014</t>
  </si>
  <si>
    <t>DOM 23.03.2014</t>
  </si>
  <si>
    <t>LUN 24.03.2014</t>
  </si>
  <si>
    <t>MAR 25.03.2014</t>
  </si>
  <si>
    <t>MIE 26.03.2014</t>
  </si>
  <si>
    <t>JUE 27.03.2014</t>
  </si>
  <si>
    <t>SAB 29.03.2014</t>
  </si>
  <si>
    <t>DOM 30.03.2014</t>
  </si>
  <si>
    <t>LUN 31.03.2014</t>
  </si>
  <si>
    <t>VIE 04.04.2014</t>
  </si>
  <si>
    <t>SAB 05.04.2014</t>
  </si>
  <si>
    <t>DOM 06.04.2014</t>
  </si>
  <si>
    <t>LUN 07.04.2014</t>
  </si>
  <si>
    <t>VIE 11.04.2014</t>
  </si>
  <si>
    <t>SAB 12.04.2014</t>
  </si>
  <si>
    <t>DOM 13.04.2014</t>
  </si>
  <si>
    <t>LUN 14.04.2014</t>
  </si>
  <si>
    <t>VIE 18.04.2014</t>
  </si>
  <si>
    <t>SAB 19.04.2014</t>
  </si>
  <si>
    <t>DOM 20.04.2014</t>
  </si>
  <si>
    <t>LUN 21.04.2014</t>
  </si>
  <si>
    <t>MIE 07.05.2014</t>
  </si>
  <si>
    <t>VIE 25.04.2014</t>
  </si>
  <si>
    <t>SAB 26.04.2014</t>
  </si>
  <si>
    <t>DOM 27.04.2014</t>
  </si>
  <si>
    <t>LUN 28.04.2014</t>
  </si>
  <si>
    <t>VIE 02.05.2014</t>
  </si>
  <si>
    <t>SAB 03.05.2014</t>
  </si>
  <si>
    <t>DOM 04.05.2014</t>
  </si>
  <si>
    <t>LUN 05.05.2014</t>
  </si>
  <si>
    <t>SAB 10.05.2014</t>
  </si>
  <si>
    <t>DOM 11.05.2014</t>
  </si>
  <si>
    <t>VIE 16.05.2014</t>
  </si>
  <si>
    <t>SAB 17.05.2014</t>
  </si>
  <si>
    <t>DOM 18.05.2014</t>
  </si>
  <si>
    <t>2014-15</t>
  </si>
  <si>
    <t>SAB 23.08.2014</t>
  </si>
  <si>
    <t>Antonio Miguel Mateu Lahoz</t>
  </si>
  <si>
    <t>RC Deportivo</t>
  </si>
  <si>
    <t>IÃ±aki Vicandi Garrido</t>
  </si>
  <si>
    <t>Carlos Del Cerro Grande</t>
  </si>
  <si>
    <t>Alejandro JosÃ© HernÃ¡ndez HernÃ¡ndez</t>
  </si>
  <si>
    <t>DOM 24.08.2014</t>
  </si>
  <si>
    <t>SD Eibar</t>
  </si>
  <si>
    <t>Alfonso J. Ãlvarez Izquierdo</t>
  </si>
  <si>
    <t>Fernando Teixeira Vitienes</t>
  </si>
  <si>
    <t>Mario Melero LÃ³pez</t>
  </si>
  <si>
    <t>David FernÃ¡ndez BorbalÃ¡n</t>
  </si>
  <si>
    <t>LUN 25.08.2014</t>
  </si>
  <si>
    <t>CÃ³rdoba CF</t>
  </si>
  <si>
    <t>JesÃºs Gil Manzano</t>
  </si>
  <si>
    <t>Carlos Clos GÃ³mez</t>
  </si>
  <si>
    <t>VIE 29.08.2014</t>
  </si>
  <si>
    <t>Santiago Jaime Latre</t>
  </si>
  <si>
    <t>Xavier Estrada FernÃ¡ndez</t>
  </si>
  <si>
    <t>SAB 30.08.2014</t>
  </si>
  <si>
    <t>Pedro JesÃºs PÃ©rez Montero</t>
  </si>
  <si>
    <t>JosÃ© Antonio Teixeira Vitienes</t>
  </si>
  <si>
    <t>Eduardo Prieto Iglesias</t>
  </si>
  <si>
    <t>DOM 31.08.2014</t>
  </si>
  <si>
    <t>Carlos Velasco Carballo</t>
  </si>
  <si>
    <t>Juan MartÃ­nez Munuera</t>
  </si>
  <si>
    <t>JosÃ© Luis GonzÃ¡lez GonzÃ¡lez</t>
  </si>
  <si>
    <t>Ignacio Iglesias Villanueva</t>
  </si>
  <si>
    <t>VIE 12.09.2014</t>
  </si>
  <si>
    <t>SAB 13.09.2014</t>
  </si>
  <si>
    <t>DOM 14.09.2014</t>
  </si>
  <si>
    <t>LUN 15.09.2014</t>
  </si>
  <si>
    <t>VIE 19.09.2014</t>
  </si>
  <si>
    <t>SAB 20.09.2014</t>
  </si>
  <si>
    <t>DOM 21.09.2014</t>
  </si>
  <si>
    <t>LUN 22.09.2014</t>
  </si>
  <si>
    <t>MAR 23.09.2014</t>
  </si>
  <si>
    <t>MIE 24.09.2014</t>
  </si>
  <si>
    <t>JUE 25.09.2014</t>
  </si>
  <si>
    <t>VIE 26.09.2014</t>
  </si>
  <si>
    <t>SAB 27.09.2014</t>
  </si>
  <si>
    <t>DOM 28.09.2014</t>
  </si>
  <si>
    <t>VIE 03.10.2014</t>
  </si>
  <si>
    <t>SAB 04.10.2014</t>
  </si>
  <si>
    <t>DOM 05.10.2014</t>
  </si>
  <si>
    <t>VIE 17.10.2014</t>
  </si>
  <si>
    <t>SAB 18.10.2014</t>
  </si>
  <si>
    <t>DOM 19.10.2014</t>
  </si>
  <si>
    <t>LUN 20.10.2014</t>
  </si>
  <si>
    <t>VIE 24.10.2014</t>
  </si>
  <si>
    <t>SAB 25.10.2014</t>
  </si>
  <si>
    <t>DOM 26.10.2014</t>
  </si>
  <si>
    <t>VIE 31.10.2014</t>
  </si>
  <si>
    <t>SAB 01.11.2014</t>
  </si>
  <si>
    <t>DOM 02.11.2014</t>
  </si>
  <si>
    <t>LUN 03.11.2014</t>
  </si>
  <si>
    <t>VIE 07.11.2014</t>
  </si>
  <si>
    <t>SAB 08.11.2014</t>
  </si>
  <si>
    <t>DOM 09.11.2014</t>
  </si>
  <si>
    <t>VIE 21.11.2014</t>
  </si>
  <si>
    <t>SAB 22.11.2014</t>
  </si>
  <si>
    <t>DOM 23.11.2014</t>
  </si>
  <si>
    <t>LUN 24.11.2014</t>
  </si>
  <si>
    <t>VIE 28.11.2014</t>
  </si>
  <si>
    <t>SAB 29.11.2014</t>
  </si>
  <si>
    <t>DOM 30.11.2014</t>
  </si>
  <si>
    <t>LUN 01.12.2014</t>
  </si>
  <si>
    <t>SAB 06.12.2014</t>
  </si>
  <si>
    <t>DOM 07.12.2014</t>
  </si>
  <si>
    <t>LUN 08.12.2014</t>
  </si>
  <si>
    <t>VIE 12.12.2014</t>
  </si>
  <si>
    <t>SAB 13.12.2014</t>
  </si>
  <si>
    <t>DOM 14.12.2014</t>
  </si>
  <si>
    <t>LUN 15.12.2014</t>
  </si>
  <si>
    <t>VIE 19.12.2014</t>
  </si>
  <si>
    <t>SAB 20.12.2014</t>
  </si>
  <si>
    <t>DOM 21.12.2014</t>
  </si>
  <si>
    <t>MIE 04.02.2015</t>
  </si>
  <si>
    <t>SAB 03.01.2015</t>
  </si>
  <si>
    <t>DOM 04.01.2015</t>
  </si>
  <si>
    <t>LUN 05.01.2015</t>
  </si>
  <si>
    <t>VIE 09.01.2015</t>
  </si>
  <si>
    <t>SAB 10.01.2015</t>
  </si>
  <si>
    <t>DOM 11.01.2015</t>
  </si>
  <si>
    <t>LUN 12.01.2015</t>
  </si>
  <si>
    <t>VIE 16.01.2015</t>
  </si>
  <si>
    <t>SAB 17.01.2015</t>
  </si>
  <si>
    <t>DOM 18.01.2015</t>
  </si>
  <si>
    <t>SAB 24.01.2015</t>
  </si>
  <si>
    <t>0-6</t>
  </si>
  <si>
    <t>DOM 25.01.2015</t>
  </si>
  <si>
    <t>LUN 26.01.2015</t>
  </si>
  <si>
    <t>VIE 30.01.2015</t>
  </si>
  <si>
    <t>SAB 31.01.2015</t>
  </si>
  <si>
    <t>DOM 01.02.2015</t>
  </si>
  <si>
    <t>LUN 02.02.2015</t>
  </si>
  <si>
    <t>VIE 06.02.2015</t>
  </si>
  <si>
    <t>SAB 07.02.2015</t>
  </si>
  <si>
    <t>DOM 08.02.2015</t>
  </si>
  <si>
    <t>LUN 09.02.2015</t>
  </si>
  <si>
    <t>VIE 13.02.2015</t>
  </si>
  <si>
    <t>SAB 14.02.2015</t>
  </si>
  <si>
    <t>DOM 15.02.2015</t>
  </si>
  <si>
    <t>LUN 16.02.2015</t>
  </si>
  <si>
    <t>VIE 20.02.2015</t>
  </si>
  <si>
    <t>SAB 21.02.2015</t>
  </si>
  <si>
    <t>DOM 22.02.2015</t>
  </si>
  <si>
    <t>LUN 23.02.2015</t>
  </si>
  <si>
    <t>VIE 27.02.2015</t>
  </si>
  <si>
    <t>SAB 28.02.2015</t>
  </si>
  <si>
    <t>DOM 01.03.2015</t>
  </si>
  <si>
    <t>LUN 02.03.2015</t>
  </si>
  <si>
    <t>VIE 06.03.2015</t>
  </si>
  <si>
    <t>SAB 07.03.2015</t>
  </si>
  <si>
    <t>DOM 08.03.2015</t>
  </si>
  <si>
    <t>LUN 09.03.2015</t>
  </si>
  <si>
    <t>VIE 13.03.2015</t>
  </si>
  <si>
    <t>SAB 14.03.2015</t>
  </si>
  <si>
    <t>DOM 15.03.2015</t>
  </si>
  <si>
    <t>LUN 16.03.2015</t>
  </si>
  <si>
    <t>VIE 20.03.2015</t>
  </si>
  <si>
    <t>SAB 21.03.2015</t>
  </si>
  <si>
    <t>DOM 22.03.2015</t>
  </si>
  <si>
    <t>VIE 03.04.2015</t>
  </si>
  <si>
    <t>SAB 04.04.2015</t>
  </si>
  <si>
    <t>DOM 05.04.2015</t>
  </si>
  <si>
    <t>LUN 06.04.2015</t>
  </si>
  <si>
    <t>MAR 07.04.2015</t>
  </si>
  <si>
    <t>MIE 08.04.2015</t>
  </si>
  <si>
    <t>JUE 09.04.2015</t>
  </si>
  <si>
    <t>SAB 11.04.2015</t>
  </si>
  <si>
    <t>DOM 12.04.2015</t>
  </si>
  <si>
    <t>LUN 13.04.2015</t>
  </si>
  <si>
    <t>VIE 17.04.2015</t>
  </si>
  <si>
    <t>SAB 18.04.2015</t>
  </si>
  <si>
    <t>DOM 19.04.2015</t>
  </si>
  <si>
    <t>LUN 20.04.2015</t>
  </si>
  <si>
    <t>VIE 24.04.2015</t>
  </si>
  <si>
    <t>SAB 25.04.2015</t>
  </si>
  <si>
    <t>DOM 26.04.2015</t>
  </si>
  <si>
    <t>LUN 27.04.2015</t>
  </si>
  <si>
    <t>MAR 28.04.2015</t>
  </si>
  <si>
    <t>MIE 29.04.2015</t>
  </si>
  <si>
    <t>JUE 30.04.2015</t>
  </si>
  <si>
    <t>VIE 01.05.2015</t>
  </si>
  <si>
    <t>SAB 02.05.2015</t>
  </si>
  <si>
    <t>0-8</t>
  </si>
  <si>
    <t>DOM 03.05.2015</t>
  </si>
  <si>
    <t>LUN 04.05.2015</t>
  </si>
  <si>
    <t>VIE 08.05.2015</t>
  </si>
  <si>
    <t>SAB 09.05.2015</t>
  </si>
  <si>
    <t>DOM 10.05.2015</t>
  </si>
  <si>
    <t>LUN 11.05.2015</t>
  </si>
  <si>
    <t>DOM 17.05.2015</t>
  </si>
  <si>
    <t>SAB 23.05.2015</t>
  </si>
  <si>
    <t>2015-16</t>
  </si>
  <si>
    <t>VIE 21.08.2015</t>
  </si>
  <si>
    <t>SAB 22.08.2015</t>
  </si>
  <si>
    <t>UD Las Palmas</t>
  </si>
  <si>
    <t>DOM 23.08.2015</t>
  </si>
  <si>
    <t>Real Sporting</t>
  </si>
  <si>
    <t>Ricardo De Burgos Bengoetxea</t>
  </si>
  <si>
    <t>LUN 24.08.2015</t>
  </si>
  <si>
    <t>VIE 28.08.2015</t>
  </si>
  <si>
    <t>SAB 29.08.2015</t>
  </si>
  <si>
    <t>JosÃ© MarÃ­a SÃ¡nchez MartÃ­nez</t>
  </si>
  <si>
    <t>DOM 30.08.2015</t>
  </si>
  <si>
    <t>VIE 11.09.2015</t>
  </si>
  <si>
    <t>SAB 12.09.2015</t>
  </si>
  <si>
    <t>DOM 13.09.2015</t>
  </si>
  <si>
    <t>LUN 14.09.2015</t>
  </si>
  <si>
    <t>VIE 18.09.2015</t>
  </si>
  <si>
    <t>SAB 19.09.2015</t>
  </si>
  <si>
    <t>DOM 20.09.2015</t>
  </si>
  <si>
    <t>MAR 22.09.2015</t>
  </si>
  <si>
    <t>MIE 23.09.2015</t>
  </si>
  <si>
    <t>JUE 24.09.2015</t>
  </si>
  <si>
    <t>VIE 25.09.2015</t>
  </si>
  <si>
    <t>SAB 26.09.2015</t>
  </si>
  <si>
    <t>DOM 27.09.2015</t>
  </si>
  <si>
    <t>VIE 02.10.2015</t>
  </si>
  <si>
    <t>SAB 03.10.2015</t>
  </si>
  <si>
    <t>DOM 04.10.2015</t>
  </si>
  <si>
    <t>SAB 17.10.2015</t>
  </si>
  <si>
    <t>DOM 18.10.2015</t>
  </si>
  <si>
    <t>LUN 19.10.2015</t>
  </si>
  <si>
    <t>VIE 23.10.2015</t>
  </si>
  <si>
    <t>SAB 24.10.2015</t>
  </si>
  <si>
    <t>DOM 25.10.2015</t>
  </si>
  <si>
    <t>LUN 26.10.2015</t>
  </si>
  <si>
    <t>VIE 30.10.2015</t>
  </si>
  <si>
    <t>SAB 31.10.2015</t>
  </si>
  <si>
    <t>DOM 01.11.2015</t>
  </si>
  <si>
    <t>VIE 06.11.2015</t>
  </si>
  <si>
    <t>SAB 07.11.2015</t>
  </si>
  <si>
    <t>DOM 08.11.2015</t>
  </si>
  <si>
    <t>SAB 21.11.2015</t>
  </si>
  <si>
    <t>DOM 22.11.2015</t>
  </si>
  <si>
    <t>LUN 23.11.2015</t>
  </si>
  <si>
    <t>VIE 27.11.2015</t>
  </si>
  <si>
    <t>SAB 28.11.2015</t>
  </si>
  <si>
    <t>DOM 29.11.2015</t>
  </si>
  <si>
    <t>SAB 05.12.2015</t>
  </si>
  <si>
    <t>DOM 06.12.2015</t>
  </si>
  <si>
    <t>LUN 07.12.2015</t>
  </si>
  <si>
    <t>VIE 11.12.2015</t>
  </si>
  <si>
    <t>SAB 12.12.2015</t>
  </si>
  <si>
    <t>DOM 13.12.2015</t>
  </si>
  <si>
    <t>SAB 19.12.2015</t>
  </si>
  <si>
    <t>DOM 20.12.2015</t>
  </si>
  <si>
    <t>MIE 17.02.2016</t>
  </si>
  <si>
    <t>MIE 30.12.2015</t>
  </si>
  <si>
    <t>JUE 31.12.2015</t>
  </si>
  <si>
    <t>SAB 02.01.2016</t>
  </si>
  <si>
    <t>DOM 03.01.2016</t>
  </si>
  <si>
    <t>LUN 04.01.2016</t>
  </si>
  <si>
    <t>SAB 09.01.2016</t>
  </si>
  <si>
    <t>DOM 10.01.2016</t>
  </si>
  <si>
    <t>SAB 16.01.2016</t>
  </si>
  <si>
    <t>DOM 17.01.2016</t>
  </si>
  <si>
    <t>LUN 18.01.2016</t>
  </si>
  <si>
    <t>VIE 22.01.2016</t>
  </si>
  <si>
    <t>SAB 23.01.2016</t>
  </si>
  <si>
    <t>DOM 24.01.2016</t>
  </si>
  <si>
    <t>LUN 25.01.2016</t>
  </si>
  <si>
    <t>SAB 30.01.2016</t>
  </si>
  <si>
    <t>DOM 31.01.2016</t>
  </si>
  <si>
    <t>LUN 01.02.2016</t>
  </si>
  <si>
    <t>VIE 05.02.2016</t>
  </si>
  <si>
    <t>SAB 06.02.2016</t>
  </si>
  <si>
    <t>DOM 07.02.2016</t>
  </si>
  <si>
    <t>LUN 08.02.2016</t>
  </si>
  <si>
    <t>VIE 12.02.2016</t>
  </si>
  <si>
    <t>SAB 13.02.2016</t>
  </si>
  <si>
    <t>DOM 14.02.2016</t>
  </si>
  <si>
    <t>VIE 19.02.2016</t>
  </si>
  <si>
    <t>SAB 20.02.2016</t>
  </si>
  <si>
    <t>DOM 21.02.2016</t>
  </si>
  <si>
    <t>VIE 26.02.2016</t>
  </si>
  <si>
    <t>SAB 27.02.2016</t>
  </si>
  <si>
    <t>DOM 28.02.2016</t>
  </si>
  <si>
    <t>MAR 01.03.2016</t>
  </si>
  <si>
    <t>MIE 02.03.2016</t>
  </si>
  <si>
    <t>JUE 03.03.2016</t>
  </si>
  <si>
    <t>SAB 05.03.2016</t>
  </si>
  <si>
    <t>DOM 06.03.2016</t>
  </si>
  <si>
    <t>LUN 07.03.2016</t>
  </si>
  <si>
    <t>VIE 11.03.2016</t>
  </si>
  <si>
    <t>SAB 12.03.2016</t>
  </si>
  <si>
    <t>DOM 13.03.2016</t>
  </si>
  <si>
    <t>LUN 14.03.2016</t>
  </si>
  <si>
    <t>VIE 18.03.2016</t>
  </si>
  <si>
    <t>SAB 19.03.2016</t>
  </si>
  <si>
    <t>DOM 20.03.2016</t>
  </si>
  <si>
    <t>VIE 01.04.2016</t>
  </si>
  <si>
    <t>SAB 02.04.2016</t>
  </si>
  <si>
    <t>DOM 03.04.2016</t>
  </si>
  <si>
    <t>LUN 04.04.2016</t>
  </si>
  <si>
    <t>VIE 08.04.2016</t>
  </si>
  <si>
    <t>SAB 09.04.2016</t>
  </si>
  <si>
    <t>DOM 10.04.2016</t>
  </si>
  <si>
    <t>LUN 11.04.2016</t>
  </si>
  <si>
    <t>VIE 15.04.2016</t>
  </si>
  <si>
    <t>SAB 16.04.2016</t>
  </si>
  <si>
    <t>DOM 17.04.2016</t>
  </si>
  <si>
    <t>MAR 19.04.2016</t>
  </si>
  <si>
    <t>MIE 20.04.2016</t>
  </si>
  <si>
    <t>JUE 21.04.2016</t>
  </si>
  <si>
    <t>VIE 22.04.2016</t>
  </si>
  <si>
    <t>SAB 23.04.2016</t>
  </si>
  <si>
    <t>DOM 24.04.2016</t>
  </si>
  <si>
    <t>LUN 25.04.2016</t>
  </si>
  <si>
    <t>VIE 29.04.2016</t>
  </si>
  <si>
    <t>SAB 30.04.2016</t>
  </si>
  <si>
    <t>DOM 01.05.2016</t>
  </si>
  <si>
    <t>LUN 02.05.2016</t>
  </si>
  <si>
    <t>DOM 08.05.2016</t>
  </si>
  <si>
    <t>VIE 13.05.2016</t>
  </si>
  <si>
    <t>SAB 14.05.2016</t>
  </si>
  <si>
    <t>DOM 15.05.2016</t>
  </si>
  <si>
    <t>2016-17</t>
  </si>
  <si>
    <t>VIE 19.08.2016</t>
  </si>
  <si>
    <t>SAB 20.08.2016</t>
  </si>
  <si>
    <t>DOM 21.08.2016</t>
  </si>
  <si>
    <t>Deportivo AlavÃ©s</t>
  </si>
  <si>
    <t>LUN 22.08.2016</t>
  </si>
  <si>
    <t>CD LeganÃ©s</t>
  </si>
  <si>
    <t>JosÃ© Luis Munuera Montero</t>
  </si>
  <si>
    <t>VIE 26.08.2016</t>
  </si>
  <si>
    <t>SAB 27.08.2016</t>
  </si>
  <si>
    <t>DOM 28.08.2016</t>
  </si>
  <si>
    <t>Daniel OcÃ³n ArrÃ¡iz</t>
  </si>
  <si>
    <t>VIE 09.09.2016</t>
  </si>
  <si>
    <t>SAB 10.09.2016</t>
  </si>
  <si>
    <t>DOM 11.09.2016</t>
  </si>
  <si>
    <t>Daniel JesÃºs Trujillo SuÃ¡rez</t>
  </si>
  <si>
    <t>VIE 16.09.2016</t>
  </si>
  <si>
    <t>SAB 17.09.2016</t>
  </si>
  <si>
    <t>DOM 18.09.2016</t>
  </si>
  <si>
    <t>LUN 19.09.2016</t>
  </si>
  <si>
    <t>MAR 20.09.2016</t>
  </si>
  <si>
    <t>MIE 21.09.2016</t>
  </si>
  <si>
    <t>JUE 22.09.2016</t>
  </si>
  <si>
    <t>VIE 23.09.2016</t>
  </si>
  <si>
    <t>SAB 24.09.2016</t>
  </si>
  <si>
    <t>DOM 25.09.2016</t>
  </si>
  <si>
    <t>LUN 26.09.2016</t>
  </si>
  <si>
    <t>VIE 30.09.2016</t>
  </si>
  <si>
    <t>SAB 01.10.2016</t>
  </si>
  <si>
    <t>DOM 02.10.2016</t>
  </si>
  <si>
    <t>VIE 14.10.2016</t>
  </si>
  <si>
    <t>SAB 15.10.2016</t>
  </si>
  <si>
    <t>DOM 16.10.2016</t>
  </si>
  <si>
    <t>LUN 17.10.2016</t>
  </si>
  <si>
    <t>VIE 21.10.2016</t>
  </si>
  <si>
    <t>SAB 22.10.2016</t>
  </si>
  <si>
    <t>DOM 23.10.2016</t>
  </si>
  <si>
    <t>VIE 28.10.2016</t>
  </si>
  <si>
    <t>SAB 29.10.2016</t>
  </si>
  <si>
    <t>DOM 30.10.2016</t>
  </si>
  <si>
    <t>LUN 31.10.2016</t>
  </si>
  <si>
    <t>VIE 04.11.2016</t>
  </si>
  <si>
    <t>SAB 05.11.2016</t>
  </si>
  <si>
    <t>DOM 06.11.2016</t>
  </si>
  <si>
    <t>VIE 18.11.2016</t>
  </si>
  <si>
    <t>SAB 19.11.2016</t>
  </si>
  <si>
    <t>DOM 20.11.2016</t>
  </si>
  <si>
    <t>LUN 21.11.2016</t>
  </si>
  <si>
    <t>VIE 25.11.2016</t>
  </si>
  <si>
    <t>SAB 26.11.2016</t>
  </si>
  <si>
    <t>DOM 27.11.2016</t>
  </si>
  <si>
    <t>LUN 28.11.2016</t>
  </si>
  <si>
    <t>SAB 03.12.2016</t>
  </si>
  <si>
    <t>DOM 04.12.2016</t>
  </si>
  <si>
    <t>LUN 05.12.2016</t>
  </si>
  <si>
    <t>VIE 09.12.2016</t>
  </si>
  <si>
    <t>SAB 10.12.2016</t>
  </si>
  <si>
    <t>DOM 11.12.2016</t>
  </si>
  <si>
    <t>LUN 12.12.2016</t>
  </si>
  <si>
    <t>VIE 16.12.2016</t>
  </si>
  <si>
    <t>SAB 17.12.2016</t>
  </si>
  <si>
    <t>DOM 18.12.2016</t>
  </si>
  <si>
    <t>LUN 19.12.2016</t>
  </si>
  <si>
    <t>MIE 22.02.2017</t>
  </si>
  <si>
    <t>VIE 06.01.2017</t>
  </si>
  <si>
    <t>SAB 07.01.2017</t>
  </si>
  <si>
    <t>DOM 08.01.2017</t>
  </si>
  <si>
    <t>LUN 09.01.2017</t>
  </si>
  <si>
    <t>SAB 14.01.2017</t>
  </si>
  <si>
    <t>DOM 15.01.2017</t>
  </si>
  <si>
    <t>LUN 16.01.2017</t>
  </si>
  <si>
    <t>VIE 20.01.2017</t>
  </si>
  <si>
    <t>SAB 21.01.2017</t>
  </si>
  <si>
    <t>DOM 22.01.2017</t>
  </si>
  <si>
    <t>VIE 27.01.2017</t>
  </si>
  <si>
    <t>SAB 28.01.2017</t>
  </si>
  <si>
    <t>DOM 29.01.2017</t>
  </si>
  <si>
    <t>LUN 30.01.2017</t>
  </si>
  <si>
    <t>SAB 04.02.2017</t>
  </si>
  <si>
    <t>DOM 05.02.2017</t>
  </si>
  <si>
    <t>LUN 06.02.2017</t>
  </si>
  <si>
    <t>MIE 08.03.2017</t>
  </si>
  <si>
    <t>MIE 17.05.2017</t>
  </si>
  <si>
    <t>VIE 10.02.2017</t>
  </si>
  <si>
    <t>SAB 11.02.2017</t>
  </si>
  <si>
    <t>DOM 12.02.2017</t>
  </si>
  <si>
    <t>LUN 13.02.2017</t>
  </si>
  <si>
    <t>VIE 17.02.2017</t>
  </si>
  <si>
    <t>SAB 18.02.2017</t>
  </si>
  <si>
    <t>DOM 19.02.2017</t>
  </si>
  <si>
    <t>LUN 20.02.2017</t>
  </si>
  <si>
    <t>VIE 24.02.2017</t>
  </si>
  <si>
    <t>SAB 25.02.2017</t>
  </si>
  <si>
    <t>DOM 26.02.2017</t>
  </si>
  <si>
    <t>MAR 28.02.2017</t>
  </si>
  <si>
    <t>MIE 01.03.2017</t>
  </si>
  <si>
    <t>JUE 02.03.2017</t>
  </si>
  <si>
    <t>VIE 03.03.2017</t>
  </si>
  <si>
    <t>SAB 04.03.2017</t>
  </si>
  <si>
    <t>DOM 05.03.2017</t>
  </si>
  <si>
    <t>LUN 06.03.2017</t>
  </si>
  <si>
    <t>VIE 10.03.2017</t>
  </si>
  <si>
    <t>SAB 11.03.2017</t>
  </si>
  <si>
    <t>DOM 12.03.2017</t>
  </si>
  <si>
    <t>LUN 13.03.2017</t>
  </si>
  <si>
    <t>VIE 17.03.2017</t>
  </si>
  <si>
    <t>SAB 18.03.2017</t>
  </si>
  <si>
    <t>DOM 19.03.2017</t>
  </si>
  <si>
    <t>VIE 31.03.2017</t>
  </si>
  <si>
    <t>SAB 01.04.2017</t>
  </si>
  <si>
    <t>DOM 02.04.2017</t>
  </si>
  <si>
    <t>LUN 03.04.2017</t>
  </si>
  <si>
    <t>MAR 04.04.2017</t>
  </si>
  <si>
    <t>MIE 05.04.2017</t>
  </si>
  <si>
    <t>JUE 06.04.2017</t>
  </si>
  <si>
    <t>VIE 07.04.2017</t>
  </si>
  <si>
    <t>SAB 08.04.2017</t>
  </si>
  <si>
    <t>DOM 09.04.2017</t>
  </si>
  <si>
    <t>LUN 10.04.2017</t>
  </si>
  <si>
    <t>VIE 14.04.2017</t>
  </si>
  <si>
    <t>SAB 15.04.2017</t>
  </si>
  <si>
    <t>DOM 16.04.2017</t>
  </si>
  <si>
    <t>LUN 17.04.2017</t>
  </si>
  <si>
    <t>VIE 21.04.2017</t>
  </si>
  <si>
    <t>SAB 22.04.2017</t>
  </si>
  <si>
    <t>DOM 23.04.2017</t>
  </si>
  <si>
    <t>LUN 24.04.2017</t>
  </si>
  <si>
    <t>MAR 25.04.2017</t>
  </si>
  <si>
    <t>MIE 26.04.2017</t>
  </si>
  <si>
    <t>JUE 27.04.2017</t>
  </si>
  <si>
    <t>VIE 28.04.2017</t>
  </si>
  <si>
    <t>SAB 29.04.2017</t>
  </si>
  <si>
    <t>DOM 30.04.2017</t>
  </si>
  <si>
    <t>LUN 01.05.2017</t>
  </si>
  <si>
    <t>VIE 05.05.2017</t>
  </si>
  <si>
    <t>SAB 06.05.2017</t>
  </si>
  <si>
    <t>DOM 07.05.2017</t>
  </si>
  <si>
    <t>LUN 08.05.2017</t>
  </si>
  <si>
    <t>SAB 13.05.2017</t>
  </si>
  <si>
    <t>DOM 14.05.2017</t>
  </si>
  <si>
    <t>VIE 19.05.2017</t>
  </si>
  <si>
    <t>SAB 20.05.2017</t>
  </si>
  <si>
    <t>DOM 21.05.2017</t>
  </si>
  <si>
    <t>2017-18</t>
  </si>
  <si>
    <t>VIE 18.08.2017</t>
  </si>
  <si>
    <t>SAB 19.08.2017</t>
  </si>
  <si>
    <t>Girona FC</t>
  </si>
  <si>
    <t>DOM 20.08.2017</t>
  </si>
  <si>
    <t>LUN 21.08.2017</t>
  </si>
  <si>
    <t>David MediÃ© JimÃ©nez</t>
  </si>
  <si>
    <t>VIE 25.08.2017</t>
  </si>
  <si>
    <t>SAB 26.08.2017</t>
  </si>
  <si>
    <t>Javier Alberola Rojas</t>
  </si>
  <si>
    <t>DOM 27.08.2017</t>
  </si>
  <si>
    <t>Pablo GonzÃ¡lez Fuertes</t>
  </si>
  <si>
    <t>VIE 08.09.2017</t>
  </si>
  <si>
    <t>SAB 09.09.2017</t>
  </si>
  <si>
    <t>DOM 10.09.2017</t>
  </si>
  <si>
    <t>LUN 11.09.2017</t>
  </si>
  <si>
    <t>VIE 15.09.2017</t>
  </si>
  <si>
    <t>SAB 16.09.2017</t>
  </si>
  <si>
    <t>DOM 17.09.2017</t>
  </si>
  <si>
    <t>LUN 18.09.2017</t>
  </si>
  <si>
    <t>MAR 19.09.2017</t>
  </si>
  <si>
    <t>MIE 20.09.2017</t>
  </si>
  <si>
    <t>JUE 21.09.2017</t>
  </si>
  <si>
    <t>SAB 23.09.2017</t>
  </si>
  <si>
    <t>DOM 24.09.2017</t>
  </si>
  <si>
    <t>LUN 25.09.2017</t>
  </si>
  <si>
    <t>VIE 29.09.2017</t>
  </si>
  <si>
    <t>SAB 30.09.2017</t>
  </si>
  <si>
    <t>DOM 01.10.2017</t>
  </si>
  <si>
    <t>VIE 13.10.2017</t>
  </si>
  <si>
    <t>SAB 14.10.2017</t>
  </si>
  <si>
    <t>DOM 15.10.2017</t>
  </si>
  <si>
    <t>LUN 16.10.2017</t>
  </si>
  <si>
    <t>SAB 21.10.2017</t>
  </si>
  <si>
    <t>DOM 22.10.2017</t>
  </si>
  <si>
    <t>LUN 23.10.2017</t>
  </si>
  <si>
    <t>SAB 28.10.2017</t>
  </si>
  <si>
    <t>DOM 29.10.2017</t>
  </si>
  <si>
    <t>LUN 30.10.2017</t>
  </si>
  <si>
    <t>VIE 03.11.2017</t>
  </si>
  <si>
    <t>SAB 04.11.2017</t>
  </si>
  <si>
    <t>DOM 05.11.2017</t>
  </si>
  <si>
    <t>VIE 17.11.2017</t>
  </si>
  <si>
    <t>SAB 18.11.2017</t>
  </si>
  <si>
    <t>DOM 19.11.2017</t>
  </si>
  <si>
    <t>LUN 20.11.2017</t>
  </si>
  <si>
    <t>VIE 24.11.2017</t>
  </si>
  <si>
    <t>SAB 25.11.2017</t>
  </si>
  <si>
    <t>DOM 26.11.2017</t>
  </si>
  <si>
    <t>LUN 27.11.2017</t>
  </si>
  <si>
    <t>VIE 01.12.2017</t>
  </si>
  <si>
    <t>SAB 02.12.2017</t>
  </si>
  <si>
    <t>DOM 03.12.2017</t>
  </si>
  <si>
    <t>LUN 04.12.2017</t>
  </si>
  <si>
    <t>VIE 08.12.2017</t>
  </si>
  <si>
    <t>SAB 09.12.2017</t>
  </si>
  <si>
    <t>DOM 10.12.2017</t>
  </si>
  <si>
    <t>LUN 11.12.2017</t>
  </si>
  <si>
    <t>VIE 15.12.2017</t>
  </si>
  <si>
    <t>SAB 16.12.2017</t>
  </si>
  <si>
    <t>DOM 17.12.2017</t>
  </si>
  <si>
    <t>LUN 18.12.2017</t>
  </si>
  <si>
    <t>MIE 21.02.2018</t>
  </si>
  <si>
    <t>MAR 19.12.2017</t>
  </si>
  <si>
    <t>MIE 20.12.2017</t>
  </si>
  <si>
    <t>JUE 21.12.2017</t>
  </si>
  <si>
    <t>VIE 22.12.2017</t>
  </si>
  <si>
    <t>SAB 23.12.2017</t>
  </si>
  <si>
    <t>SAB 06.01.2018</t>
  </si>
  <si>
    <t>DOM 07.01.2018</t>
  </si>
  <si>
    <t>LUN 08.01.2018</t>
  </si>
  <si>
    <t>VIE 12.01.2018</t>
  </si>
  <si>
    <t>SAB 13.01.2018</t>
  </si>
  <si>
    <t>DOM 14.01.2018</t>
  </si>
  <si>
    <t>LUN 15.01.2018</t>
  </si>
  <si>
    <t>VIE 19.01.2018</t>
  </si>
  <si>
    <t>SAB 20.01.2018</t>
  </si>
  <si>
    <t>DOM 21.01.2018</t>
  </si>
  <si>
    <t>LUN 22.01.2018</t>
  </si>
  <si>
    <t>VIE 26.01.2018</t>
  </si>
  <si>
    <t>SAB 27.01.2018</t>
  </si>
  <si>
    <t>DOM 28.01.2018</t>
  </si>
  <si>
    <t>LUN 29.01.2018</t>
  </si>
  <si>
    <t>VIE 02.02.2018</t>
  </si>
  <si>
    <t>SAB 03.02.2018</t>
  </si>
  <si>
    <t>DOM 04.02.2018</t>
  </si>
  <si>
    <t>LUN 05.02.2018</t>
  </si>
  <si>
    <t>VIE 09.02.2018</t>
  </si>
  <si>
    <t>SAB 10.02.2018</t>
  </si>
  <si>
    <t>DOM 11.02.2018</t>
  </si>
  <si>
    <t>LUN 12.02.2018</t>
  </si>
  <si>
    <t>VIE 16.02.2018</t>
  </si>
  <si>
    <t>SAB 17.02.2018</t>
  </si>
  <si>
    <t>DOM 18.02.2018</t>
  </si>
  <si>
    <t>LUN 19.02.2018</t>
  </si>
  <si>
    <t>VIE 23.02.2018</t>
  </si>
  <si>
    <t>SAB 24.02.2018</t>
  </si>
  <si>
    <t>DOM 25.02.2018</t>
  </si>
  <si>
    <t>LUN 26.02.2018</t>
  </si>
  <si>
    <t>MAR 27.02.2018</t>
  </si>
  <si>
    <t>MIE 28.02.2018</t>
  </si>
  <si>
    <t>JUE 01.03.2018</t>
  </si>
  <si>
    <t>SAB 03.03.2018</t>
  </si>
  <si>
    <t>DOM 04.03.2018</t>
  </si>
  <si>
    <t>LUN 05.03.2018</t>
  </si>
  <si>
    <t>VIE 09.03.2018</t>
  </si>
  <si>
    <t>SAB 10.03.2018</t>
  </si>
  <si>
    <t>DOM 11.03.2018</t>
  </si>
  <si>
    <t>LUN 12.03.2018</t>
  </si>
  <si>
    <t>VIE 16.03.2018</t>
  </si>
  <si>
    <t>SAB 17.03.2018</t>
  </si>
  <si>
    <t>DOM 18.03.2018</t>
  </si>
  <si>
    <t>SAB 31.03.2018</t>
  </si>
  <si>
    <t>DOM 01.04.2018</t>
  </si>
  <si>
    <t>LUN 02.04.2018</t>
  </si>
  <si>
    <t>VIE 06.04.2018</t>
  </si>
  <si>
    <t>SAB 07.04.2018</t>
  </si>
  <si>
    <t>DOM 08.04.2018</t>
  </si>
  <si>
    <t>LUN 09.04.2018</t>
  </si>
  <si>
    <t>VIE 13.04.2018</t>
  </si>
  <si>
    <t>SAB 14.04.2018</t>
  </si>
  <si>
    <t>DOM 15.04.2018</t>
  </si>
  <si>
    <t>MAR 17.04.2018</t>
  </si>
  <si>
    <t>MIE 18.04.2018</t>
  </si>
  <si>
    <t>JUE 19.04.2018</t>
  </si>
  <si>
    <t>VIE 20.04.2018</t>
  </si>
  <si>
    <t>SAB 21.04.2018</t>
  </si>
  <si>
    <t>DOM 22.04.2018</t>
  </si>
  <si>
    <t>LUN 23.04.2018</t>
  </si>
  <si>
    <t>MIE 09.05.2018</t>
  </si>
  <si>
    <t>VIE 27.04.2018</t>
  </si>
  <si>
    <t>SAB 28.04.2018</t>
  </si>
  <si>
    <t>DOM 29.04.2018</t>
  </si>
  <si>
    <t>LUN 30.04.2018</t>
  </si>
  <si>
    <t>VIE 04.05.2018</t>
  </si>
  <si>
    <t>SAB 05.05.2018</t>
  </si>
  <si>
    <t>DOM 06.05.2018</t>
  </si>
  <si>
    <t>LUN 07.05.2018</t>
  </si>
  <si>
    <t>SAB 12.05.2018</t>
  </si>
  <si>
    <t>DOM 13.05.2018</t>
  </si>
  <si>
    <t>SAB 19.05.2018</t>
  </si>
  <si>
    <t>DOM 20.05.2018</t>
  </si>
  <si>
    <t>2018-19</t>
  </si>
  <si>
    <t>VIE 17.08.2018</t>
  </si>
  <si>
    <t>Guillermo Cuadra FernÃ¡ndez</t>
  </si>
  <si>
    <t>SAB 18.08.2018</t>
  </si>
  <si>
    <t>DOM 19.08.2018</t>
  </si>
  <si>
    <t>SD Huesca</t>
  </si>
  <si>
    <t>LUN 20.08.2018</t>
  </si>
  <si>
    <t>AdriÃ¡n Cordero Vega</t>
  </si>
  <si>
    <t>VIE 24.08.2018</t>
  </si>
  <si>
    <t>SAB 25.08.2018</t>
  </si>
  <si>
    <t>DOM 26.08.2018</t>
  </si>
  <si>
    <t>LUN 27.08.2018</t>
  </si>
  <si>
    <t>VIE 31.08.2018</t>
  </si>
  <si>
    <t>SAB 01.09.2018</t>
  </si>
  <si>
    <t>DOM 02.09.2018</t>
  </si>
  <si>
    <t>MIE 24.10.2018</t>
  </si>
  <si>
    <t>VIE 14.09.2018</t>
  </si>
  <si>
    <t>SAB 15.09.2018</t>
  </si>
  <si>
    <t>DOM 16.09.2018</t>
  </si>
  <si>
    <t>LUN 17.09.2018</t>
  </si>
  <si>
    <t>VIE 21.09.2018</t>
  </si>
  <si>
    <t>SAB 22.09.2018</t>
  </si>
  <si>
    <t>DOM 23.09.2018</t>
  </si>
  <si>
    <t>MAR 25.09.2018</t>
  </si>
  <si>
    <t>MIE 26.09.2018</t>
  </si>
  <si>
    <t>JUE 27.09.2018</t>
  </si>
  <si>
    <t>VIE 28.09.2018</t>
  </si>
  <si>
    <t>SAB 29.09.2018</t>
  </si>
  <si>
    <t>DOM 30.09.2018</t>
  </si>
  <si>
    <t>LUN 01.10.2018</t>
  </si>
  <si>
    <t>VIE 05.10.2018</t>
  </si>
  <si>
    <t>SAB 06.10.2018</t>
  </si>
  <si>
    <t>DOM 07.10.2018</t>
  </si>
  <si>
    <t>VIE 19.10.2018</t>
  </si>
  <si>
    <t>SAB 20.10.2018</t>
  </si>
  <si>
    <t>DOM 21.10.2018</t>
  </si>
  <si>
    <t>LUN 22.10.2018</t>
  </si>
  <si>
    <t>VIE 26.10.2018</t>
  </si>
  <si>
    <t>SAB 27.10.2018</t>
  </si>
  <si>
    <t>DOM 28.10.2018</t>
  </si>
  <si>
    <t>SAB 03.11.2018</t>
  </si>
  <si>
    <t>DOM 04.11.2018</t>
  </si>
  <si>
    <t>LUN 05.11.2018</t>
  </si>
  <si>
    <t>VIE 09.11.2018</t>
  </si>
  <si>
    <t>SAB 10.11.2018</t>
  </si>
  <si>
    <t>DOM 11.11.2018</t>
  </si>
  <si>
    <t>VIE 23.11.2018</t>
  </si>
  <si>
    <t>SAB 24.11.2018</t>
  </si>
  <si>
    <t>DOM 25.11.2018</t>
  </si>
  <si>
    <t>LUN 26.11.2018</t>
  </si>
  <si>
    <t>VIE 30.11.2018</t>
  </si>
  <si>
    <t>SAB 01.12.2018</t>
  </si>
  <si>
    <t>DOM 02.12.2018</t>
  </si>
  <si>
    <t>LUN 03.12.2018</t>
  </si>
  <si>
    <t>VIE 07.12.2018</t>
  </si>
  <si>
    <t>SAB 08.12.2018</t>
  </si>
  <si>
    <t>DOM 09.12.2018</t>
  </si>
  <si>
    <t>LUN 10.12.2018</t>
  </si>
  <si>
    <t>VIE 14.12.2018</t>
  </si>
  <si>
    <t>SAB 15.12.2018</t>
  </si>
  <si>
    <t>DOM 16.12.2018</t>
  </si>
  <si>
    <t>LUN 17.12.2018</t>
  </si>
  <si>
    <t>VIE 21.12.2018</t>
  </si>
  <si>
    <t>SAB 22.12.2018</t>
  </si>
  <si>
    <t>DOM 23.12.2018</t>
  </si>
  <si>
    <t>JUE 03.01.2019</t>
  </si>
  <si>
    <t>VIE 04.01.2019</t>
  </si>
  <si>
    <t>SAB 05.01.2019</t>
  </si>
  <si>
    <t>DOM 06.01.2019</t>
  </si>
  <si>
    <t>LUN 07.01.2019</t>
  </si>
  <si>
    <t>VIE 11.01.2019</t>
  </si>
  <si>
    <t>SAB 12.01.2019</t>
  </si>
  <si>
    <t>DOM 13.01.2019</t>
  </si>
  <si>
    <t>LUN 14.01.2019</t>
  </si>
  <si>
    <t>VIE 18.01.2019</t>
  </si>
  <si>
    <t>SAB 19.01.2019</t>
  </si>
  <si>
    <t>DOM 20.01.2019</t>
  </si>
  <si>
    <t>LUN 21.01.2019</t>
  </si>
  <si>
    <t>SAB 26.01.2019</t>
  </si>
  <si>
    <t>DOM 27.01.2019</t>
  </si>
  <si>
    <t>LUN 28.01.2019</t>
  </si>
  <si>
    <t>VIE 01.02.2019</t>
  </si>
  <si>
    <t>SAB 02.02.2019</t>
  </si>
  <si>
    <t>DOM 03.02.2019</t>
  </si>
  <si>
    <t>LUN 04.02.2019</t>
  </si>
  <si>
    <t>VIE 08.02.2019</t>
  </si>
  <si>
    <t>SAB 09.02.2019</t>
  </si>
  <si>
    <t>DOM 10.02.2019</t>
  </si>
  <si>
    <t>LUN 11.02.2019</t>
  </si>
  <si>
    <t>VIE 15.02.2019</t>
  </si>
  <si>
    <t>SAB 16.02.2019</t>
  </si>
  <si>
    <t>DOM 17.02.2019</t>
  </si>
  <si>
    <t>LUN 18.02.2019</t>
  </si>
  <si>
    <t>VIE 22.02.2019</t>
  </si>
  <si>
    <t>SAB 23.02.2019</t>
  </si>
  <si>
    <t>DOM 24.02.2019</t>
  </si>
  <si>
    <t>LUN 25.02.2019</t>
  </si>
  <si>
    <t>VIE 01.03.2019</t>
  </si>
  <si>
    <t>SAB 02.03.2019</t>
  </si>
  <si>
    <t>DOM 03.03.2019</t>
  </si>
  <si>
    <t>LUN 04.03.2019</t>
  </si>
  <si>
    <t>VIE 08.03.2019</t>
  </si>
  <si>
    <t>SAB 09.03.2019</t>
  </si>
  <si>
    <t>DOM 10.03.2019</t>
  </si>
  <si>
    <t>VIE 15.03.2019</t>
  </si>
  <si>
    <t>SAB 16.03.2019</t>
  </si>
  <si>
    <t>DOM 17.03.2019</t>
  </si>
  <si>
    <t>VIE 29.03.2019</t>
  </si>
  <si>
    <t>SAB 30.03.2019</t>
  </si>
  <si>
    <t>DOM 31.03.2019</t>
  </si>
  <si>
    <t>MAR 02.04.2019</t>
  </si>
  <si>
    <t>MIE 03.04.2019</t>
  </si>
  <si>
    <t>JUE 04.04.2019</t>
  </si>
  <si>
    <t>SAB 06.04.2019</t>
  </si>
  <si>
    <t>DOM 07.04.2019</t>
  </si>
  <si>
    <t>SAB 13.04.2019</t>
  </si>
  <si>
    <t>DOM 14.04.2019</t>
  </si>
  <si>
    <t>LUN 15.04.2019</t>
  </si>
  <si>
    <t>VIE 19.04.2019</t>
  </si>
  <si>
    <t>SAB 20.04.2019</t>
  </si>
  <si>
    <t>DOM 21.04.2019</t>
  </si>
  <si>
    <t>MAR 23.04.2019</t>
  </si>
  <si>
    <t>MIE 24.04.2019</t>
  </si>
  <si>
    <t>JUE 25.04.2019</t>
  </si>
  <si>
    <t>SAB 27.04.2019</t>
  </si>
  <si>
    <t>DOM 28.04.2019</t>
  </si>
  <si>
    <t>LUN 29.04.2019</t>
  </si>
  <si>
    <t>VIE 03.05.2019</t>
  </si>
  <si>
    <t>SAB 04.05.2019</t>
  </si>
  <si>
    <t>DOM 05.05.2019</t>
  </si>
  <si>
    <t>DOM 12.05.2019</t>
  </si>
  <si>
    <t>SAB 18.05.2019</t>
  </si>
  <si>
    <t>DOM 19.05.2019</t>
  </si>
  <si>
    <t>2019-20</t>
  </si>
  <si>
    <t>VIE 16.08.2019</t>
  </si>
  <si>
    <t>SAB 17.08.2019</t>
  </si>
  <si>
    <t>RCD Mallorca</t>
  </si>
  <si>
    <t>DOM 18.08.2019</t>
  </si>
  <si>
    <t>CÃ©sar Soto Grado</t>
  </si>
  <si>
    <t>VIE 23.08.2019</t>
  </si>
  <si>
    <t>SAB 24.08.2019</t>
  </si>
  <si>
    <t>DOM 25.08.2019</t>
  </si>
  <si>
    <t>ValentÃ­n Pizarro GÃ³mez</t>
  </si>
  <si>
    <t>VIE 30.08.2019</t>
  </si>
  <si>
    <t>SAB 31.08.2019</t>
  </si>
  <si>
    <t>DOM 01.09.2019</t>
  </si>
  <si>
    <t>VIE 13.09.2019</t>
  </si>
  <si>
    <t>SAB 14.09.2019</t>
  </si>
  <si>
    <t>DOM 15.09.2019</t>
  </si>
  <si>
    <t>VIE 20.09.2019</t>
  </si>
  <si>
    <t>SAB 21.09.2019</t>
  </si>
  <si>
    <t>DOM 22.09.2019</t>
  </si>
  <si>
    <t>MAR 24.09.2019</t>
  </si>
  <si>
    <t>MIE 25.09.2019</t>
  </si>
  <si>
    <t>JUE 26.09.2019</t>
  </si>
  <si>
    <t>VIE 27.09.2019</t>
  </si>
  <si>
    <t>SAB 28.09.2019</t>
  </si>
  <si>
    <t>DOM 29.09.2019</t>
  </si>
  <si>
    <t>VIE 04.10.2019</t>
  </si>
  <si>
    <t>SAB 05.10.2019</t>
  </si>
  <si>
    <t>DOM 06.10.2019</t>
  </si>
  <si>
    <t>VIE 18.10.2019</t>
  </si>
  <si>
    <t>SAB 19.10.2019</t>
  </si>
  <si>
    <t>DOM 20.10.2019</t>
  </si>
  <si>
    <t>VIE 25.10.2019</t>
  </si>
  <si>
    <t>SAB 26.10.2019</t>
  </si>
  <si>
    <t>DOM 27.10.2019</t>
  </si>
  <si>
    <t>MIE 18.12.2019</t>
  </si>
  <si>
    <t>MAR 29.10.2019</t>
  </si>
  <si>
    <t>MIE 30.10.2019</t>
  </si>
  <si>
    <t>JUE 31.10.2019</t>
  </si>
  <si>
    <t>SAB 02.11.2019</t>
  </si>
  <si>
    <t>DOM 03.11.2019</t>
  </si>
  <si>
    <t>VIE 08.11.2019</t>
  </si>
  <si>
    <t>SAB 09.11.2019</t>
  </si>
  <si>
    <t>DOM 10.11.2019</t>
  </si>
  <si>
    <t>VIE 22.11.2019</t>
  </si>
  <si>
    <t>SAB 23.11.2019</t>
  </si>
  <si>
    <t>DOM 24.11.2019</t>
  </si>
  <si>
    <t>VIE 29.11.2019</t>
  </si>
  <si>
    <t>SAB 30.11.2019</t>
  </si>
  <si>
    <t>DOM 01.12.2019</t>
  </si>
  <si>
    <t>VIE 06.12.2019</t>
  </si>
  <si>
    <t>SAB 07.12.2019</t>
  </si>
  <si>
    <t>DOM 08.12.2019</t>
  </si>
  <si>
    <t>VIE 13.12.2019</t>
  </si>
  <si>
    <t>SAB 14.12.2019</t>
  </si>
  <si>
    <t>DOM 15.12.2019</t>
  </si>
  <si>
    <t>VIE 20.12.2019</t>
  </si>
  <si>
    <t>SAB 21.12.2019</t>
  </si>
  <si>
    <t>DOM 22.12.2019</t>
  </si>
  <si>
    <t>VIE 03.01.2020</t>
  </si>
  <si>
    <t>SAB 04.01.2020</t>
  </si>
  <si>
    <t>DOM 05.01.2020</t>
  </si>
  <si>
    <t>VIE 17.01.2020</t>
  </si>
  <si>
    <t>SAB 18.01.2020</t>
  </si>
  <si>
    <t>DOM 19.01.2020</t>
  </si>
  <si>
    <t>VIE 24.01.2020</t>
  </si>
  <si>
    <t>SAB 25.01.2020</t>
  </si>
  <si>
    <t>DOM 26.01.2020</t>
  </si>
  <si>
    <t>SAB 01.02.2020</t>
  </si>
  <si>
    <t>DOM 02.02.2020</t>
  </si>
  <si>
    <t>VIE 07.02.2020</t>
  </si>
  <si>
    <t>SAB 08.02.2020</t>
  </si>
  <si>
    <t>DOM 09.02.2020</t>
  </si>
  <si>
    <t>VIE 14.02.2020</t>
  </si>
  <si>
    <t>SAB 15.02.2020</t>
  </si>
  <si>
    <t>DOM 16.02.2020</t>
  </si>
  <si>
    <t>MAR 10.03.2020</t>
  </si>
  <si>
    <t>VIE 21.02.2020</t>
  </si>
  <si>
    <t>SAB 22.02.2020</t>
  </si>
  <si>
    <t>DOM 23.02.2020</t>
  </si>
  <si>
    <t>VIE 28.02.2020</t>
  </si>
  <si>
    <t>SAB 29.02.2020</t>
  </si>
  <si>
    <t>DOM 01.03.2020</t>
  </si>
  <si>
    <t>VIE 06.03.2020</t>
  </si>
  <si>
    <t>SAB 07.03.2020</t>
  </si>
  <si>
    <t>DOM 08.03.2020</t>
  </si>
  <si>
    <t>JUE 11.06.2020</t>
  </si>
  <si>
    <t>VIE 12.06.2020</t>
  </si>
  <si>
    <t>SAB 13.06.2020</t>
  </si>
  <si>
    <t>DOM 14.06.2020</t>
  </si>
  <si>
    <t>LUN 15.06.2020</t>
  </si>
  <si>
    <t>MAR 16.06.2020</t>
  </si>
  <si>
    <t>MIE 17.06.2020</t>
  </si>
  <si>
    <t>JUE 18.06.2020</t>
  </si>
  <si>
    <t>VIE 19.06.2020</t>
  </si>
  <si>
    <t>SAB 20.06.2020</t>
  </si>
  <si>
    <t>DOM 21.06.2020</t>
  </si>
  <si>
    <t>LUN 22.06.2020</t>
  </si>
  <si>
    <t>MAR 23.06.2020</t>
  </si>
  <si>
    <t>MIE 24.06.2020</t>
  </si>
  <si>
    <t>JUE 25.06.2020</t>
  </si>
  <si>
    <t>VIE 26.06.2020</t>
  </si>
  <si>
    <t>SAB 27.06.2020</t>
  </si>
  <si>
    <t>DOM 28.06.2020</t>
  </si>
  <si>
    <t>LUN 29.06.2020</t>
  </si>
  <si>
    <t>MAR 30.06.2020</t>
  </si>
  <si>
    <t>MIE 01.07.2020</t>
  </si>
  <si>
    <t>JUE 02.07.2020</t>
  </si>
  <si>
    <t>VIE 03.07.2020</t>
  </si>
  <si>
    <t>SAB 04.07.2020</t>
  </si>
  <si>
    <t>DOM 05.07.2020</t>
  </si>
  <si>
    <t>LUN 06.07.2020</t>
  </si>
  <si>
    <t>MAR 07.07.2020</t>
  </si>
  <si>
    <t>MIE 08.07.2020</t>
  </si>
  <si>
    <t>JUE 09.07.2020</t>
  </si>
  <si>
    <t>VIE 10.07.2020</t>
  </si>
  <si>
    <t>SAB 11.07.2020</t>
  </si>
  <si>
    <t>DOM 12.07.2020</t>
  </si>
  <si>
    <t>LUN 13.07.2020</t>
  </si>
  <si>
    <t>JUE 16.07.2020</t>
  </si>
  <si>
    <t>DOM 19.07.2020</t>
  </si>
  <si>
    <t>2020-21</t>
  </si>
  <si>
    <t>SAB 12.09.2020</t>
  </si>
  <si>
    <t>CÃ¡diz CF</t>
  </si>
  <si>
    <t>Isidro DÃ­az de Mera Escuderos</t>
  </si>
  <si>
    <t>DOM 13.09.2020</t>
  </si>
  <si>
    <t>MAR 12.01.2021</t>
  </si>
  <si>
    <t>MAR 09.02.2021</t>
  </si>
  <si>
    <t>MIE 24.02.2021</t>
  </si>
  <si>
    <t>SAB 19.09.2020</t>
  </si>
  <si>
    <t>Jorge Figueroa VÃ¡zquez</t>
  </si>
  <si>
    <t>DOM 20.09.2020</t>
  </si>
  <si>
    <t>MIE 06.01.2021</t>
  </si>
  <si>
    <t>MIE 17.02.2021</t>
  </si>
  <si>
    <t>MIE 17.03.2021</t>
  </si>
  <si>
    <t>SAB 26.09.2020</t>
  </si>
  <si>
    <t>DOM 27.09.2020</t>
  </si>
  <si>
    <t>MAR 29.09.2020</t>
  </si>
  <si>
    <t>MIE 30.09.2020</t>
  </si>
  <si>
    <t>JUE 01.10.2020</t>
  </si>
  <si>
    <t>--/--/--</t>
  </si>
  <si>
    <t>-- : --</t>
  </si>
  <si>
    <t>SAB 03.10.2020</t>
  </si>
  <si>
    <t>DOM 04.10.2020</t>
  </si>
  <si>
    <t>SAB 17.10.2020</t>
  </si>
  <si>
    <t>DOM 18.10.2020</t>
  </si>
  <si>
    <t>VIE 23.10.2020</t>
  </si>
  <si>
    <t>SAB 24.10.2020</t>
  </si>
  <si>
    <t>DOM 25.10.2020</t>
  </si>
  <si>
    <t>LUN 26.10.2020</t>
  </si>
  <si>
    <t>VIE 30.10.2020</t>
  </si>
  <si>
    <t>SAB 31.10.2020</t>
  </si>
  <si>
    <t>DOM 01.11.2020</t>
  </si>
  <si>
    <t>LUN 02.11.2020</t>
  </si>
  <si>
    <t>VIE 06.11.2020</t>
  </si>
  <si>
    <t>SAB 07.11.2020</t>
  </si>
  <si>
    <t>DOM 08.11.2020</t>
  </si>
  <si>
    <t>VIE 20.11.2020</t>
  </si>
  <si>
    <t>SAB 21.11.2020</t>
  </si>
  <si>
    <t>DOM 22.11.2020</t>
  </si>
  <si>
    <t>LUN 23.11.2020</t>
  </si>
  <si>
    <t>VIE 27.11.2020</t>
  </si>
  <si>
    <t>SAB 28.11.2020</t>
  </si>
  <si>
    <t>DOM 29.11.2020</t>
  </si>
  <si>
    <t>LUN 30.11.2020</t>
  </si>
  <si>
    <t>VIE 04.12.2020</t>
  </si>
  <si>
    <t>SAB 05.12.2020</t>
  </si>
  <si>
    <t>DOM 06.12.2020</t>
  </si>
  <si>
    <t>LUN 07.12.2020</t>
  </si>
  <si>
    <t>VIE 11.12.2020</t>
  </si>
  <si>
    <t>SAB 12.12.2020</t>
  </si>
  <si>
    <t>DOM 13.12.2020</t>
  </si>
  <si>
    <t>LUN 14.12.2020</t>
  </si>
  <si>
    <t>VIE 18.12.2020</t>
  </si>
  <si>
    <t>SAB 19.12.2020</t>
  </si>
  <si>
    <t>DOM 20.12.2020</t>
  </si>
  <si>
    <t>MAR 22.12.2020</t>
  </si>
  <si>
    <t>MIE 23.12.2020</t>
  </si>
  <si>
    <t>MAR 29.12.2020</t>
  </si>
  <si>
    <t>MIE 30.12.2020</t>
  </si>
  <si>
    <t>JUE 31.12.2020</t>
  </si>
  <si>
    <t>SAB 02.01.2021</t>
  </si>
  <si>
    <t>DOM 03.01.2021</t>
  </si>
  <si>
    <t>LUN 04.01.2021</t>
  </si>
  <si>
    <t>VIE 08.01.2021</t>
  </si>
  <si>
    <t>SAB 09.01.2021</t>
  </si>
  <si>
    <t>DOM 10.01.2021</t>
  </si>
  <si>
    <t>LUN 11.01.2021</t>
  </si>
  <si>
    <t>MIE 10.03.2021</t>
  </si>
  <si>
    <t>MAR 15.12.2020</t>
  </si>
  <si>
    <t>MIE 16.12.2020</t>
  </si>
  <si>
    <t>MAR 19.01.2021</t>
  </si>
  <si>
    <t>MIE 20.01.2021</t>
  </si>
  <si>
    <t>JUE 21.01.2021</t>
  </si>
  <si>
    <t>VIE 22.01.2021</t>
  </si>
  <si>
    <t>SAB 23.01.2021</t>
  </si>
  <si>
    <t>DOM 24.01.2021</t>
  </si>
  <si>
    <t>LUN 25.01.2021</t>
  </si>
  <si>
    <t>VIE 29.01.2021</t>
  </si>
  <si>
    <t>SAB 30.01.2021</t>
  </si>
  <si>
    <t>DOM 31.01.2021</t>
  </si>
  <si>
    <t>LUN 01.02.2021</t>
  </si>
  <si>
    <t>VIE 05.02.2021</t>
  </si>
  <si>
    <t>SAB 06.02.2021</t>
  </si>
  <si>
    <t>DOM 07.02.2021</t>
  </si>
  <si>
    <t>LUN 08.02.2021</t>
  </si>
  <si>
    <t>VIE 12.02.2021</t>
  </si>
  <si>
    <t>SAB 13.02.2021</t>
  </si>
  <si>
    <t>DOM 14.02.2021</t>
  </si>
  <si>
    <t>LUN 15.02.2021</t>
  </si>
  <si>
    <t>VIE 19.02.2021</t>
  </si>
  <si>
    <t>SAB 20.02.2021</t>
  </si>
  <si>
    <t>DOM 21.02.2021</t>
  </si>
  <si>
    <t>LUN 22.02.2021</t>
  </si>
  <si>
    <t>VIE 26.02.2021</t>
  </si>
  <si>
    <t>SAB 27.02.2021</t>
  </si>
  <si>
    <t>DOM 28.02.2021</t>
  </si>
  <si>
    <t>LUN 01.03.2021</t>
  </si>
  <si>
    <t>VIE 05.03.2021</t>
  </si>
  <si>
    <t>SAB 06.03.2021</t>
  </si>
  <si>
    <t>DOM 07.03.2021</t>
  </si>
  <si>
    <t>LUN 08.03.2021</t>
  </si>
  <si>
    <t>VIE 12.03.2021</t>
  </si>
  <si>
    <t>SAB 13.03.2021</t>
  </si>
  <si>
    <t>DOM 14.03.2021</t>
  </si>
  <si>
    <t>LUN 15.03.2021</t>
  </si>
  <si>
    <t>VIE 19.03.2021</t>
  </si>
  <si>
    <t>SAB 20.03.2021</t>
  </si>
  <si>
    <t>DOM 21.03.2021</t>
  </si>
  <si>
    <t>VIE 02.04.2021</t>
  </si>
  <si>
    <t>SAB 03.04.2021</t>
  </si>
  <si>
    <t>DOM 04.04.2021</t>
  </si>
  <si>
    <t>LUN 05.04.2021</t>
  </si>
  <si>
    <t>MIE 07.04.2021</t>
  </si>
  <si>
    <t>VIE 09.04.2021</t>
  </si>
  <si>
    <t>SAB 10.04.2021</t>
  </si>
  <si>
    <t>DOM 11.04.2021</t>
  </si>
  <si>
    <t>LUN 12.04.2021</t>
  </si>
  <si>
    <t>MIE 21.04.2021</t>
  </si>
  <si>
    <t>JUE 22.04.2021</t>
  </si>
  <si>
    <t>SAB 24.04.2021</t>
  </si>
  <si>
    <t>DOM 25.04.2021</t>
  </si>
  <si>
    <t>LUN 26.04.2021</t>
  </si>
  <si>
    <t>DOM 18.04.2021</t>
  </si>
  <si>
    <t>MIE 28.04.2021</t>
  </si>
  <si>
    <t>JUE 29.04.2021</t>
  </si>
  <si>
    <t>VIE 30.04.2021</t>
  </si>
  <si>
    <t>SAB 01.05.2021</t>
  </si>
  <si>
    <t>DOM 02.05.2021</t>
  </si>
  <si>
    <t>LUN 03.05.2021</t>
  </si>
  <si>
    <t>VIE 07.05.2021</t>
  </si>
  <si>
    <t>SAB 08.05.2021</t>
  </si>
  <si>
    <t>DOM 09.05.2021</t>
  </si>
  <si>
    <t>LUN 10.05.2021</t>
  </si>
  <si>
    <t>MAR 11.05.2021</t>
  </si>
  <si>
    <t>MIE 12.05.2021</t>
  </si>
  <si>
    <t>JUE 13.05.2021</t>
  </si>
  <si>
    <t>DOM 16.05.2021</t>
  </si>
  <si>
    <t>VIE 21.05.2021</t>
  </si>
  <si>
    <t>SAB 22.05.2021</t>
  </si>
  <si>
    <t>DOM 23.05.2021</t>
  </si>
  <si>
    <t>2021-22</t>
  </si>
  <si>
    <t>VIE 13.08.2021</t>
  </si>
  <si>
    <t>SAB 14.08.2021</t>
  </si>
  <si>
    <t>Miguel Ãngel Ortiz Arias</t>
  </si>
  <si>
    <t>DOM 15.08.2021</t>
  </si>
  <si>
    <t>LUN 16.08.2021</t>
  </si>
  <si>
    <t>VIE 20.08.2021</t>
  </si>
  <si>
    <t>SAB 21.08.2021</t>
  </si>
  <si>
    <t>Alejandro MuÃ±iz Ruiz</t>
  </si>
  <si>
    <t>DOM 22.08.2021</t>
  </si>
  <si>
    <t>LUN 23.08.2021</t>
  </si>
  <si>
    <t>VIE 27.08.2021</t>
  </si>
  <si>
    <t>SAB 28.08.2021</t>
  </si>
  <si>
    <t>DOM 29.08.2021</t>
  </si>
  <si>
    <t>SAB 11.09.2021</t>
  </si>
  <si>
    <t>DOM 12.09.2021</t>
  </si>
  <si>
    <t>LUN 13.09.2021</t>
  </si>
  <si>
    <t>MAR 21.12.2021</t>
  </si>
  <si>
    <t>VIE 17.09.2021</t>
  </si>
  <si>
    <t>SAB 18.09.2021</t>
  </si>
  <si>
    <t>DOM 19.09.2021</t>
  </si>
  <si>
    <t>LUN 20.09.2021</t>
  </si>
  <si>
    <t>MAR 21.09.2021</t>
  </si>
  <si>
    <t>MIE 22.09.2021</t>
  </si>
  <si>
    <t>JUE 23.09.2021</t>
  </si>
  <si>
    <t>SAB 25.09.2021</t>
  </si>
  <si>
    <t>DOM 26.09.2021</t>
  </si>
  <si>
    <t>LUN 27.09.2021</t>
  </si>
  <si>
    <t>VIE 01.10.2021</t>
  </si>
  <si>
    <t>SAB 02.10.2021</t>
  </si>
  <si>
    <t>DOM 03.10.2021</t>
  </si>
  <si>
    <t>SAB 16.10.2021</t>
  </si>
  <si>
    <t>DOM 17.10.2021</t>
  </si>
  <si>
    <t>LUN 18.10.2021</t>
  </si>
  <si>
    <t>MIE 01.12.2021</t>
  </si>
  <si>
    <t>MIE 22.12.2021</t>
  </si>
  <si>
    <t>VIE 22.10.2021</t>
  </si>
  <si>
    <t>SAB 23.10.2021</t>
  </si>
  <si>
    <t>DOM 24.10.2021</t>
  </si>
  <si>
    <t>LUN 25.10.2021</t>
  </si>
  <si>
    <t>MAR 26.10.2021</t>
  </si>
  <si>
    <t>MIE 27.10.2021</t>
  </si>
  <si>
    <t>JUE 28.10.2021</t>
  </si>
  <si>
    <t>SAB 30.10.2021</t>
  </si>
  <si>
    <t>DOM 31.10.2021</t>
  </si>
  <si>
    <t>LUN 01.11.2021</t>
  </si>
  <si>
    <t>VIE 05.11.2021</t>
  </si>
  <si>
    <t>SAB 06.11.2021</t>
  </si>
  <si>
    <t>DOM 07.11.2021</t>
  </si>
  <si>
    <t>VIE 19.11.2021</t>
  </si>
  <si>
    <t>SAB 20.11.2021</t>
  </si>
  <si>
    <t>DOM 21.11.2021</t>
  </si>
  <si>
    <t>LUN 22.11.2021</t>
  </si>
  <si>
    <t>VIE 26.11.2021</t>
  </si>
  <si>
    <t>SAB 27.11.2021</t>
  </si>
  <si>
    <t>DOM 28.11.2021</t>
  </si>
  <si>
    <t>LUN 29.11.2021</t>
  </si>
  <si>
    <t>VIE 03.12.2021</t>
  </si>
  <si>
    <t>SAB 04.12.2021</t>
  </si>
  <si>
    <t>DOM 05.12.2021</t>
  </si>
  <si>
    <t>LUN 06.12.2021</t>
  </si>
  <si>
    <t>VIE 10.12.2021</t>
  </si>
  <si>
    <t>SAB 11.12.2021</t>
  </si>
  <si>
    <t>DOM 12.12.2021</t>
  </si>
  <si>
    <t>LUN 13.12.2021</t>
  </si>
  <si>
    <t>VIE 17.12.2021</t>
  </si>
  <si>
    <t>SAB 18.12.2021</t>
  </si>
  <si>
    <t>DOM 19.12.2021</t>
  </si>
  <si>
    <t>LUN 20.12.2021</t>
  </si>
  <si>
    <t>VIE 31.12.2021</t>
  </si>
  <si>
    <t>DOM 02.01.2022</t>
  </si>
  <si>
    <t>LUN 03.01.2022</t>
  </si>
  <si>
    <t>SAB 08.01.2022</t>
  </si>
  <si>
    <t>DOM 09.01.2022</t>
  </si>
  <si>
    <t>LUN 10.01.2022</t>
  </si>
  <si>
    <t>DOM 16.01.2022</t>
  </si>
  <si>
    <t>MAR 18.01.2022</t>
  </si>
  <si>
    <t>MIE 19.01.2022</t>
  </si>
  <si>
    <t>JUE 20.01.2022</t>
  </si>
  <si>
    <t>MIE 16.02.2022</t>
  </si>
  <si>
    <t>MIE 02.03.2022</t>
  </si>
  <si>
    <t>DOM 24.04.2022</t>
  </si>
  <si>
    <t>VIE 21.01.2022</t>
  </si>
  <si>
    <t>SAB 22.01.2022</t>
  </si>
  <si>
    <t>DOM 23.01.2022</t>
  </si>
  <si>
    <t>VIE 04.02.2022</t>
  </si>
  <si>
    <t>SAB 05.02.2022</t>
  </si>
  <si>
    <t>DOM 06.02.2022</t>
  </si>
  <si>
    <t>LUN 07.02.2022</t>
  </si>
  <si>
    <t>VIE 11.02.2022</t>
  </si>
  <si>
    <t>SAB 12.02.2022</t>
  </si>
  <si>
    <t>DOM 13.02.2022</t>
  </si>
  <si>
    <t>LUN 14.02.2022</t>
  </si>
  <si>
    <t>VIE 18.02.2022</t>
  </si>
  <si>
    <t>SAB 19.02.2022</t>
  </si>
  <si>
    <t>DOM 20.02.2022</t>
  </si>
  <si>
    <t>LUN 21.02.2022</t>
  </si>
  <si>
    <t>VIE 25.02.2022</t>
  </si>
  <si>
    <t>SAB 26.02.2022</t>
  </si>
  <si>
    <t>DOM 27.02.2022</t>
  </si>
  <si>
    <t>LUN 28.02.2022</t>
  </si>
  <si>
    <t>VIE 04.03.2022</t>
  </si>
  <si>
    <t>SAB 05.03.2022</t>
  </si>
  <si>
    <t>DOM 06.03.2022</t>
  </si>
  <si>
    <t>LUN 07.03.2022</t>
  </si>
  <si>
    <t>VIE 11.03.2022</t>
  </si>
  <si>
    <t>SAB 12.03.2022</t>
  </si>
  <si>
    <t>DOM 13.03.2022</t>
  </si>
  <si>
    <t>LUN 14.03.2022</t>
  </si>
  <si>
    <t>VIE 18.03.2022</t>
  </si>
  <si>
    <t>SAB 19.03.2022</t>
  </si>
  <si>
    <t>DOM 20.03.2022</t>
  </si>
  <si>
    <t>SAB 02.04.2022</t>
  </si>
  <si>
    <t>DOM 03.04.2022</t>
  </si>
  <si>
    <t>LUN 04.04.2022</t>
  </si>
  <si>
    <t>VIE 08.04.2022</t>
  </si>
  <si>
    <t>SAB 09.04.2022</t>
  </si>
  <si>
    <t>DOM 10.04.2022</t>
  </si>
  <si>
    <t>LUN 11.04.2022</t>
  </si>
  <si>
    <t>VIE 15.04.2022</t>
  </si>
  <si>
    <t>SAB 16.04.2022</t>
  </si>
  <si>
    <t>DOM 17.04.2022</t>
  </si>
  <si>
    <t>LUN 18.04.2022</t>
  </si>
  <si>
    <t>MAR 19.04.2022</t>
  </si>
  <si>
    <t>MIE 20.04.2022</t>
  </si>
  <si>
    <t>JUE 21.04.2022</t>
  </si>
  <si>
    <t>VIE 29.04.2022</t>
  </si>
  <si>
    <t>SAB 30.04.2022</t>
  </si>
  <si>
    <t>DOM 01.05.2022</t>
  </si>
  <si>
    <t>LUN 02.05.2022</t>
  </si>
  <si>
    <t>VIE 06.05.2022</t>
  </si>
  <si>
    <t>SAB 07.05.2022</t>
  </si>
  <si>
    <t>DOM 08.05.2022</t>
  </si>
  <si>
    <t>MAR 10.05.2022</t>
  </si>
  <si>
    <t>MIE 11.05.2022</t>
  </si>
  <si>
    <t>JUE 12.05.2022</t>
  </si>
  <si>
    <t>SAB 14.05.2022</t>
  </si>
  <si>
    <t>DOM 15.05.2022</t>
  </si>
  <si>
    <t>VIE 20.05.2022</t>
  </si>
  <si>
    <t>SAB 21.05.2022</t>
  </si>
  <si>
    <t>DOM 22.05.2022</t>
  </si>
  <si>
    <t>2022-23</t>
  </si>
  <si>
    <t>VIE 12.08.2022</t>
  </si>
  <si>
    <t>SAB 13.08.2022</t>
  </si>
  <si>
    <t>DOM 14.08.2022</t>
  </si>
  <si>
    <t>LUN 15.08.2022</t>
  </si>
  <si>
    <t>Javier Iglesias Villanueva</t>
  </si>
  <si>
    <t>VIE 19.08.2022</t>
  </si>
  <si>
    <t>Juan Luis Pulido Santana</t>
  </si>
  <si>
    <t>SAB 20.08.2022</t>
  </si>
  <si>
    <t>DOM 21.08.2022</t>
  </si>
  <si>
    <t>LUN 22.08.2022</t>
  </si>
  <si>
    <t>VIE 26.08.2022</t>
  </si>
  <si>
    <t>SAB 27.08.2022</t>
  </si>
  <si>
    <t>DOM 28.08.2022</t>
  </si>
  <si>
    <t>LUN 29.08.2022</t>
  </si>
  <si>
    <t>VIE 02.09.2022</t>
  </si>
  <si>
    <t>SAB 03.09.2022</t>
  </si>
  <si>
    <t>DOM 04.09.2022</t>
  </si>
  <si>
    <t>LUN 05.09.2022</t>
  </si>
  <si>
    <t>VIE 09.09.2022</t>
  </si>
  <si>
    <t>SAB 10.09.2022</t>
  </si>
  <si>
    <t>DOM 11.09.2022</t>
  </si>
  <si>
    <t>LUN 12.09.2022</t>
  </si>
  <si>
    <t>VIE 16.09.2022</t>
  </si>
  <si>
    <t>SAB 17.09.2022</t>
  </si>
  <si>
    <t>DOM 18.09.2022</t>
  </si>
  <si>
    <t>VIE 30.09.2022</t>
  </si>
  <si>
    <t>SAB 01.10.2022</t>
  </si>
  <si>
    <t>DOM 02.10.2022</t>
  </si>
  <si>
    <t>LUN 03.10.2022</t>
  </si>
  <si>
    <t>VIE 07.10.2022</t>
  </si>
  <si>
    <t>SAB 08.10.2022</t>
  </si>
  <si>
    <t>DOM 09.10.2022</t>
  </si>
  <si>
    <t>LUN 10.10.2022</t>
  </si>
  <si>
    <t>VIE 14.10.2022</t>
  </si>
  <si>
    <t>SAB 15.10.2022</t>
  </si>
  <si>
    <t>DOM 16.10.2022</t>
  </si>
  <si>
    <t>LUN 17.10.2022</t>
  </si>
  <si>
    <t>MAR 18.10.2022</t>
  </si>
  <si>
    <t>MIE 19.10.2022</t>
  </si>
  <si>
    <t>JUE 20.10.2022</t>
  </si>
  <si>
    <t>SAB 22.10.2022</t>
  </si>
  <si>
    <t>DOM 23.10.2022</t>
  </si>
  <si>
    <t>LUN 24.10.2022</t>
  </si>
  <si>
    <t>VIE 28.10.2022</t>
  </si>
  <si>
    <t>SAB 29.10.2022</t>
  </si>
  <si>
    <t>DOM 30.10.2022</t>
  </si>
  <si>
    <t>LUN 31.10.2022</t>
  </si>
  <si>
    <t>VIE 04.11.2022</t>
  </si>
  <si>
    <t>SAB 05.11.2022</t>
  </si>
  <si>
    <t>DOM 06.11.2022</t>
  </si>
  <si>
    <t>LUN 07.11.2022</t>
  </si>
  <si>
    <t>MAR 08.11.2022</t>
  </si>
  <si>
    <t>MIE 09.11.2022</t>
  </si>
  <si>
    <t>JUE 10.11.2022</t>
  </si>
  <si>
    <t>JUE 29.12.2022</t>
  </si>
  <si>
    <t>VIE 30.12.2022</t>
  </si>
  <si>
    <t>SAB 31.12.2022</t>
  </si>
  <si>
    <t>VIE 06.01.2023</t>
  </si>
  <si>
    <t>SAB 07.01.2023</t>
  </si>
  <si>
    <t>DOM 08.01.2023</t>
  </si>
  <si>
    <t>LUN 09.01.2023</t>
  </si>
  <si>
    <t>VIE 13.01.2023</t>
  </si>
  <si>
    <t>SAB 14.01.2023</t>
  </si>
  <si>
    <t>DOM 15.01.2023</t>
  </si>
  <si>
    <t>LUN 16.01.2023</t>
  </si>
  <si>
    <t>MIE 01.02.2023</t>
  </si>
  <si>
    <t>JUE 02.02.2023</t>
  </si>
  <si>
    <t>VIE 20.01.2023</t>
  </si>
  <si>
    <t>SAB 21.01.2023</t>
  </si>
  <si>
    <t>DOM 22.01.2023</t>
  </si>
  <si>
    <t>LUN 23.01.2023</t>
  </si>
  <si>
    <t>VIE 27.01.2023</t>
  </si>
  <si>
    <t>SAB 28.01.2023</t>
  </si>
  <si>
    <t>DOM 29.01.2023</t>
  </si>
  <si>
    <t>LUN 30.01.2023</t>
  </si>
  <si>
    <t>VIE 03.02.2023</t>
  </si>
  <si>
    <t>SAB 04.02.2023</t>
  </si>
  <si>
    <t>DOM 05.02.2023</t>
  </si>
  <si>
    <t>LUN 06.02.2023</t>
  </si>
  <si>
    <t>VIE 10.02.2023</t>
  </si>
  <si>
    <t>SAB 11.02.2023</t>
  </si>
  <si>
    <t>DOM 12.02.2023</t>
  </si>
  <si>
    <t>LUN 13.02.2023</t>
  </si>
  <si>
    <t>MIE 15.02.2023</t>
  </si>
  <si>
    <t>VIE 17.02.2023</t>
  </si>
  <si>
    <t>SAB 18.02.2023</t>
  </si>
  <si>
    <t>DOM 19.02.2023</t>
  </si>
  <si>
    <t>LUN 20.02.2023</t>
  </si>
  <si>
    <t>VIE 24.02.2023</t>
  </si>
  <si>
    <t>SAB 25.02.2023</t>
  </si>
  <si>
    <t>DOM 26.02.2023</t>
  </si>
  <si>
    <t>LUN 27.02.2023</t>
  </si>
  <si>
    <t>VIE 03.03.2023</t>
  </si>
  <si>
    <t>SAB 04.03.2023</t>
  </si>
  <si>
    <t>DOM 05.03.2023</t>
  </si>
  <si>
    <t>LUN 06.03.2023</t>
  </si>
  <si>
    <t>VIE 10.03.2023</t>
  </si>
  <si>
    <t>SAB 11.03.2023</t>
  </si>
  <si>
    <t>DOM 12.03.2023</t>
  </si>
  <si>
    <t>LUN 13.03.2023</t>
  </si>
  <si>
    <t>VIE 17.03.2023</t>
  </si>
  <si>
    <t>SAB 18.03.2023</t>
  </si>
  <si>
    <t>DOM 19.03.2023</t>
  </si>
  <si>
    <t>VIE 31.03.2023</t>
  </si>
  <si>
    <t>SAB 01.04.2023</t>
  </si>
  <si>
    <t>DOM 02.04.2023</t>
  </si>
  <si>
    <t>LUN 03.04.2023</t>
  </si>
  <si>
    <t>VIE 07.04.2023</t>
  </si>
  <si>
    <t>SAB 08.04.2023</t>
  </si>
  <si>
    <t>DOM 09.04.2023</t>
  </si>
  <si>
    <t>LUN 10.04.2023</t>
  </si>
  <si>
    <t>VIE 14.04.2023</t>
  </si>
  <si>
    <t>SAB 15.04.2023</t>
  </si>
  <si>
    <t>DOM 16.04.2023</t>
  </si>
  <si>
    <t>LUN 17.04.2023</t>
  </si>
  <si>
    <t>VIE 21.04.2023</t>
  </si>
  <si>
    <t>SAB 22.04.2023</t>
  </si>
  <si>
    <t>DOM 23.04.2023</t>
  </si>
  <si>
    <t>MAR 25.04.2023</t>
  </si>
  <si>
    <t>MIE 26.04.2023</t>
  </si>
  <si>
    <t>JUE 27.04.2023</t>
  </si>
  <si>
    <t>VIE 28.04.2023</t>
  </si>
  <si>
    <t>SAB 29.04.2023</t>
  </si>
  <si>
    <t>DOM 30.04.2023</t>
  </si>
  <si>
    <t>LUN 01.05.2023</t>
  </si>
  <si>
    <t>MAR 02.05.2023</t>
  </si>
  <si>
    <t>MIE 03.05.2023</t>
  </si>
  <si>
    <t>JUE 04.05.2023</t>
  </si>
  <si>
    <t>DOM 14.05.2023</t>
  </si>
  <si>
    <t>DOM 21.05.2023</t>
  </si>
  <si>
    <t>MIE 24.05.2023</t>
  </si>
  <si>
    <t>DOM 28.05.2023</t>
  </si>
  <si>
    <t>DOM 04.06.2023</t>
  </si>
  <si>
    <t>Home_Team</t>
  </si>
  <si>
    <t>Leauge Winner</t>
  </si>
  <si>
    <t>Season</t>
  </si>
  <si>
    <t>Match_Day</t>
  </si>
  <si>
    <t>Match_Date</t>
  </si>
  <si>
    <t>Match_Time</t>
  </si>
  <si>
    <t>Away_team</t>
  </si>
  <si>
    <t>Winner</t>
  </si>
  <si>
    <t>Home_Team_Goal</t>
  </si>
  <si>
    <t>Away_Team_Goal</t>
  </si>
  <si>
    <t>Match_Date_Clean</t>
  </si>
  <si>
    <t>Final_Score_Clean</t>
  </si>
  <si>
    <t>Atlético de Madrid</t>
  </si>
  <si>
    <t>League 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</si>
</sst>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0" fontId="0" fillId="0" borderId="0" xfId="0" applyNumberFormat="1"/>
    <xf numFmtId="16" fontId="0" fillId="0" borderId="0" xfId="0" applyNumberFormat="1"/>
    <xf numFmtId="0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D4839-071A-4E4F-BAB0-527622A5E96B}" name="Table1" displayName="Table1" ref="A1:M3801" totalsRowShown="0">
  <autoFilter ref="A1:M3801" xr:uid="{4E3D4839-071A-4E4F-BAB0-527622A5E96B}">
    <filterColumn colId="7">
      <filters>
        <filter val="0-0"/>
        <filter val="0-1"/>
        <filter val="0-2"/>
        <filter val="0-3"/>
        <filter val="0-4"/>
        <filter val="0-5"/>
        <filter val="0-6"/>
        <filter val="0-8"/>
        <filter val="1-0"/>
        <filter val="2-0"/>
        <filter val="3-0"/>
        <filter val="4-0"/>
        <filter val="5-0"/>
        <filter val="6-0"/>
        <filter val="7-0"/>
      </filters>
    </filterColumn>
    <filterColumn colId="8">
      <customFilters>
        <customFilter operator="notEqual" val=" "/>
      </customFilters>
    </filterColumn>
  </autoFilter>
  <tableColumns count="13">
    <tableColumn id="1" xr3:uid="{B2479F32-3C73-4799-8BDE-38E200AC39B8}" name="Season"/>
    <tableColumn id="2" xr3:uid="{A012C4E8-4558-40EC-9173-5874CE9AE180}" name="Match_Day"/>
    <tableColumn id="3" xr3:uid="{F2410375-CE05-4D25-808A-670CDFBA98A7}" name="Match_Date"/>
    <tableColumn id="13" xr3:uid="{510A48D9-2C28-4912-AF97-F3DC556D0C70}" name="Match_Date_Clean" dataDxfId="10">
      <calculatedColumnFormula>RIGHT(C2,10)</calculatedColumnFormula>
    </tableColumn>
    <tableColumn id="4" xr3:uid="{7F2C30E7-5C6F-4D34-BC59-1281A92DC6C9}" name="Match_Time"/>
    <tableColumn id="5" xr3:uid="{88B41A11-6ADC-4A52-A727-BAF14F3D2310}" name="Home_Team"/>
    <tableColumn id="6" xr3:uid="{0FED19B6-2DF2-4CD7-A5EA-977043692828}" name="Away_team"/>
    <tableColumn id="7" xr3:uid="{D62FFF9C-97DE-40A4-848E-DF879C7481A7}" name="Resultado"/>
    <tableColumn id="14" xr3:uid="{A99E79C6-23BA-4B68-ACCA-1F1968F4F262}" name="Final_Score_Clean" dataDxfId="9">
      <calculatedColumnFormula>IF(ISNUMBER(SEARCH("-",H2)),H2,"")</calculatedColumnFormula>
    </tableColumn>
    <tableColumn id="8" xr3:uid="{143A5539-5CDB-47D4-B011-6107BEEE4165}" name="Home_Team_Goal" dataDxfId="8">
      <calculatedColumnFormula>IF(I2="","",LEFT(I2,FIND("-",I2)-1))</calculatedColumnFormula>
    </tableColumn>
    <tableColumn id="9" xr3:uid="{2A889214-7E7F-475E-B7C7-8E91A73760DC}" name="Away_Team_Goal" dataDxfId="7">
      <calculatedColumnFormula>IF(I2="","",RIGHT(I2,LEN(I2)-FIND("-",I2)))</calculatedColumnFormula>
    </tableColumn>
    <tableColumn id="10" xr3:uid="{582260B6-6D79-4E47-9F39-F84C60B6D644}" name="Winner" dataDxfId="6">
      <calculatedColumnFormula>IF(I2="","",IF(J2&gt;K2,F2,IF(K2&gt;J2,G2,"Draw")))</calculatedColumnFormula>
    </tableColumn>
    <tableColumn id="11" xr3:uid="{13646E83-8B86-4A5E-AA67-12BC2D236DE9}" name="Leauge Winner" dataDxfId="5">
      <calculatedColumnFormula>IF(COUNTIF($A$2:A2,A2)=1,
     VLOOKUP(A2,Season_Winners!A:B,2,FALSE),
    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1A02-CFED-4B7B-A726-CBAD8D408EE4}">
  <dimension ref="A1:H3801"/>
  <sheetViews>
    <sheetView topLeftCell="A388" workbookViewId="0">
      <selection sqref="A1:H380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 t="s">
        <v>9</v>
      </c>
      <c r="D2" s="1">
        <v>0.79166666666666663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t="s">
        <v>8</v>
      </c>
      <c r="B3">
        <v>1</v>
      </c>
      <c r="C3" t="s">
        <v>9</v>
      </c>
      <c r="D3" s="1">
        <v>0.875</v>
      </c>
      <c r="E3" t="s">
        <v>14</v>
      </c>
      <c r="F3" t="s">
        <v>15</v>
      </c>
      <c r="G3" s="2">
        <v>46054</v>
      </c>
      <c r="H3" t="s">
        <v>13</v>
      </c>
    </row>
    <row r="4" spans="1:8" x14ac:dyDescent="0.3">
      <c r="A4" t="s">
        <v>8</v>
      </c>
      <c r="B4">
        <v>1</v>
      </c>
      <c r="C4" t="s">
        <v>9</v>
      </c>
      <c r="D4" s="1">
        <v>0.95833333333333337</v>
      </c>
      <c r="E4" t="s">
        <v>16</v>
      </c>
      <c r="F4" t="s">
        <v>17</v>
      </c>
      <c r="G4" t="s">
        <v>18</v>
      </c>
      <c r="H4" t="s">
        <v>13</v>
      </c>
    </row>
    <row r="5" spans="1:8" x14ac:dyDescent="0.3">
      <c r="A5" t="s">
        <v>8</v>
      </c>
      <c r="B5">
        <v>1</v>
      </c>
      <c r="C5" t="s">
        <v>19</v>
      </c>
      <c r="D5" s="1">
        <v>0.79166666666666663</v>
      </c>
      <c r="E5" t="s">
        <v>20</v>
      </c>
      <c r="F5" t="s">
        <v>21</v>
      </c>
      <c r="G5" t="s">
        <v>22</v>
      </c>
      <c r="H5" t="s">
        <v>13</v>
      </c>
    </row>
    <row r="6" spans="1:8" x14ac:dyDescent="0.3">
      <c r="A6" t="s">
        <v>8</v>
      </c>
      <c r="B6">
        <v>1</v>
      </c>
      <c r="C6" t="s">
        <v>19</v>
      </c>
      <c r="D6" s="1">
        <v>0.875</v>
      </c>
      <c r="E6" t="s">
        <v>23</v>
      </c>
      <c r="F6" t="s">
        <v>24</v>
      </c>
      <c r="G6" s="2">
        <v>46054</v>
      </c>
      <c r="H6" t="s">
        <v>13</v>
      </c>
    </row>
    <row r="7" spans="1:8" x14ac:dyDescent="0.3">
      <c r="A7" t="s">
        <v>8</v>
      </c>
      <c r="B7">
        <v>1</v>
      </c>
      <c r="C7" t="s">
        <v>19</v>
      </c>
      <c r="D7" s="1">
        <v>0.875</v>
      </c>
      <c r="E7" t="s">
        <v>25</v>
      </c>
      <c r="F7" t="s">
        <v>26</v>
      </c>
      <c r="G7" s="2">
        <v>46024</v>
      </c>
      <c r="H7" t="s">
        <v>13</v>
      </c>
    </row>
    <row r="8" spans="1:8" x14ac:dyDescent="0.3">
      <c r="A8" t="s">
        <v>8</v>
      </c>
      <c r="B8">
        <v>1</v>
      </c>
      <c r="C8" t="s">
        <v>19</v>
      </c>
      <c r="D8" s="1">
        <v>0.95833333333333337</v>
      </c>
      <c r="E8" t="s">
        <v>27</v>
      </c>
      <c r="F8" t="s">
        <v>28</v>
      </c>
      <c r="G8" s="2">
        <v>46082</v>
      </c>
      <c r="H8" t="s">
        <v>13</v>
      </c>
    </row>
    <row r="9" spans="1:8" x14ac:dyDescent="0.3">
      <c r="A9" t="s">
        <v>8</v>
      </c>
      <c r="B9">
        <v>1</v>
      </c>
      <c r="C9" t="s">
        <v>29</v>
      </c>
      <c r="D9" s="1">
        <v>0.83333333333333337</v>
      </c>
      <c r="E9" t="s">
        <v>30</v>
      </c>
      <c r="F9" t="s">
        <v>31</v>
      </c>
      <c r="G9" t="s">
        <v>32</v>
      </c>
      <c r="H9" t="s">
        <v>13</v>
      </c>
    </row>
    <row r="10" spans="1:8" x14ac:dyDescent="0.3">
      <c r="A10" t="s">
        <v>8</v>
      </c>
      <c r="B10">
        <v>1</v>
      </c>
      <c r="C10" t="s">
        <v>29</v>
      </c>
      <c r="D10" s="1">
        <v>0.91666666666666663</v>
      </c>
      <c r="E10" t="s">
        <v>33</v>
      </c>
      <c r="F10" t="s">
        <v>34</v>
      </c>
      <c r="G10" s="2">
        <v>46083</v>
      </c>
      <c r="H10" t="s">
        <v>13</v>
      </c>
    </row>
    <row r="11" spans="1:8" x14ac:dyDescent="0.3">
      <c r="A11" t="s">
        <v>8</v>
      </c>
      <c r="B11">
        <v>1</v>
      </c>
      <c r="C11" t="s">
        <v>29</v>
      </c>
      <c r="D11" s="1">
        <v>0.91666666666666663</v>
      </c>
      <c r="E11" t="s">
        <v>35</v>
      </c>
      <c r="F11" t="s">
        <v>36</v>
      </c>
      <c r="G11" s="2">
        <v>46055</v>
      </c>
      <c r="H11" t="s">
        <v>13</v>
      </c>
    </row>
    <row r="12" spans="1:8" x14ac:dyDescent="0.3">
      <c r="A12" t="s">
        <v>8</v>
      </c>
      <c r="B12">
        <v>2</v>
      </c>
      <c r="C12" t="s">
        <v>37</v>
      </c>
      <c r="D12" s="1">
        <v>0.83333333333333337</v>
      </c>
      <c r="E12" t="s">
        <v>11</v>
      </c>
      <c r="F12" t="s">
        <v>33</v>
      </c>
      <c r="G12" s="2">
        <v>46055</v>
      </c>
      <c r="H12" t="s">
        <v>13</v>
      </c>
    </row>
    <row r="13" spans="1:8" x14ac:dyDescent="0.3">
      <c r="A13" t="s">
        <v>8</v>
      </c>
      <c r="B13">
        <v>2</v>
      </c>
      <c r="C13" t="s">
        <v>37</v>
      </c>
      <c r="D13" s="1">
        <v>0.91666666666666663</v>
      </c>
      <c r="E13" t="s">
        <v>15</v>
      </c>
      <c r="F13" t="s">
        <v>23</v>
      </c>
      <c r="G13" t="s">
        <v>12</v>
      </c>
      <c r="H13" t="s">
        <v>13</v>
      </c>
    </row>
    <row r="14" spans="1:8" x14ac:dyDescent="0.3">
      <c r="A14" t="s">
        <v>8</v>
      </c>
      <c r="B14">
        <v>2</v>
      </c>
      <c r="C14" t="s">
        <v>38</v>
      </c>
      <c r="D14" s="1">
        <v>0.79166666666666663</v>
      </c>
      <c r="E14" t="s">
        <v>31</v>
      </c>
      <c r="F14" t="s">
        <v>10</v>
      </c>
      <c r="G14" s="2">
        <v>46023</v>
      </c>
      <c r="H14" t="s">
        <v>13</v>
      </c>
    </row>
    <row r="15" spans="1:8" x14ac:dyDescent="0.3">
      <c r="A15" t="s">
        <v>8</v>
      </c>
      <c r="B15">
        <v>2</v>
      </c>
      <c r="C15" t="s">
        <v>38</v>
      </c>
      <c r="D15" s="1">
        <v>0.875</v>
      </c>
      <c r="E15" t="s">
        <v>36</v>
      </c>
      <c r="F15" t="s">
        <v>16</v>
      </c>
      <c r="G15" s="2">
        <v>46025</v>
      </c>
      <c r="H15" t="s">
        <v>13</v>
      </c>
    </row>
    <row r="16" spans="1:8" x14ac:dyDescent="0.3">
      <c r="A16" t="s">
        <v>8</v>
      </c>
      <c r="B16">
        <v>2</v>
      </c>
      <c r="C16" t="s">
        <v>38</v>
      </c>
      <c r="D16" s="1">
        <v>0.95833333333333337</v>
      </c>
      <c r="E16" t="s">
        <v>34</v>
      </c>
      <c r="F16" t="s">
        <v>14</v>
      </c>
      <c r="G16" s="2">
        <v>46024</v>
      </c>
      <c r="H16" t="s">
        <v>13</v>
      </c>
    </row>
    <row r="17" spans="1:8" x14ac:dyDescent="0.3">
      <c r="A17" t="s">
        <v>8</v>
      </c>
      <c r="B17">
        <v>2</v>
      </c>
      <c r="C17" t="s">
        <v>39</v>
      </c>
      <c r="D17" s="1">
        <v>0.79166666666666663</v>
      </c>
      <c r="E17" t="s">
        <v>28</v>
      </c>
      <c r="F17" t="s">
        <v>30</v>
      </c>
      <c r="G17" t="s">
        <v>40</v>
      </c>
      <c r="H17" t="s">
        <v>13</v>
      </c>
    </row>
    <row r="18" spans="1:8" x14ac:dyDescent="0.3">
      <c r="A18" t="s">
        <v>8</v>
      </c>
      <c r="B18">
        <v>2</v>
      </c>
      <c r="C18" t="s">
        <v>39</v>
      </c>
      <c r="D18" s="1">
        <v>0.875</v>
      </c>
      <c r="E18" t="s">
        <v>21</v>
      </c>
      <c r="F18" t="s">
        <v>27</v>
      </c>
      <c r="G18" t="s">
        <v>41</v>
      </c>
      <c r="H18" t="s">
        <v>13</v>
      </c>
    </row>
    <row r="19" spans="1:8" x14ac:dyDescent="0.3">
      <c r="A19" t="s">
        <v>8</v>
      </c>
      <c r="B19">
        <v>2</v>
      </c>
      <c r="C19" t="s">
        <v>39</v>
      </c>
      <c r="D19" s="1">
        <v>0.875</v>
      </c>
      <c r="E19" t="s">
        <v>17</v>
      </c>
      <c r="F19" t="s">
        <v>20</v>
      </c>
      <c r="G19" t="s">
        <v>42</v>
      </c>
      <c r="H19" t="s">
        <v>13</v>
      </c>
    </row>
    <row r="20" spans="1:8" x14ac:dyDescent="0.3">
      <c r="A20" t="s">
        <v>8</v>
      </c>
      <c r="B20">
        <v>2</v>
      </c>
      <c r="C20" t="s">
        <v>39</v>
      </c>
      <c r="D20" s="1">
        <v>0.95833333333333337</v>
      </c>
      <c r="E20" t="s">
        <v>26</v>
      </c>
      <c r="F20" t="s">
        <v>35</v>
      </c>
      <c r="G20" s="2">
        <v>46054</v>
      </c>
      <c r="H20" t="s">
        <v>13</v>
      </c>
    </row>
    <row r="21" spans="1:8" x14ac:dyDescent="0.3">
      <c r="A21" t="s">
        <v>8</v>
      </c>
      <c r="B21">
        <v>2</v>
      </c>
      <c r="C21" t="s">
        <v>43</v>
      </c>
      <c r="D21" s="1">
        <v>0.875</v>
      </c>
      <c r="E21" t="s">
        <v>24</v>
      </c>
      <c r="F21" t="s">
        <v>25</v>
      </c>
      <c r="G21" t="s">
        <v>42</v>
      </c>
      <c r="H21" t="s">
        <v>13</v>
      </c>
    </row>
    <row r="22" spans="1:8" x14ac:dyDescent="0.3">
      <c r="A22" t="s">
        <v>8</v>
      </c>
      <c r="B22">
        <v>3</v>
      </c>
      <c r="C22" t="s">
        <v>44</v>
      </c>
      <c r="D22" s="1">
        <v>0.95833333333333337</v>
      </c>
      <c r="E22" t="s">
        <v>33</v>
      </c>
      <c r="F22" t="s">
        <v>31</v>
      </c>
      <c r="G22" s="2">
        <v>46055</v>
      </c>
      <c r="H22" t="s">
        <v>13</v>
      </c>
    </row>
    <row r="23" spans="1:8" x14ac:dyDescent="0.3">
      <c r="A23" t="s">
        <v>8</v>
      </c>
      <c r="B23">
        <v>3</v>
      </c>
      <c r="C23" t="s">
        <v>44</v>
      </c>
      <c r="D23" s="1">
        <v>0.95833333333333337</v>
      </c>
      <c r="E23" t="s">
        <v>30</v>
      </c>
      <c r="F23" t="s">
        <v>21</v>
      </c>
      <c r="G23" s="2">
        <v>46054</v>
      </c>
      <c r="H23" t="s">
        <v>13</v>
      </c>
    </row>
    <row r="24" spans="1:8" x14ac:dyDescent="0.3">
      <c r="A24" t="s">
        <v>8</v>
      </c>
      <c r="B24">
        <v>3</v>
      </c>
      <c r="C24" t="s">
        <v>45</v>
      </c>
      <c r="D24" s="1">
        <v>0.79166666666666663</v>
      </c>
      <c r="E24" t="s">
        <v>35</v>
      </c>
      <c r="F24" t="s">
        <v>24</v>
      </c>
      <c r="G24" s="2">
        <v>46023</v>
      </c>
      <c r="H24" t="s">
        <v>13</v>
      </c>
    </row>
    <row r="25" spans="1:8" x14ac:dyDescent="0.3">
      <c r="A25" t="s">
        <v>8</v>
      </c>
      <c r="B25">
        <v>3</v>
      </c>
      <c r="C25" t="s">
        <v>45</v>
      </c>
      <c r="D25" s="1">
        <v>0.875</v>
      </c>
      <c r="E25" t="s">
        <v>14</v>
      </c>
      <c r="F25" t="s">
        <v>11</v>
      </c>
      <c r="G25" t="s">
        <v>18</v>
      </c>
      <c r="H25" t="s">
        <v>13</v>
      </c>
    </row>
    <row r="26" spans="1:8" x14ac:dyDescent="0.3">
      <c r="A26" t="s">
        <v>8</v>
      </c>
      <c r="B26">
        <v>3</v>
      </c>
      <c r="C26" t="s">
        <v>45</v>
      </c>
      <c r="D26" s="1">
        <v>0.95833333333333337</v>
      </c>
      <c r="E26" t="s">
        <v>23</v>
      </c>
      <c r="F26" t="s">
        <v>34</v>
      </c>
      <c r="G26" t="s">
        <v>46</v>
      </c>
      <c r="H26" t="s">
        <v>13</v>
      </c>
    </row>
    <row r="27" spans="1:8" x14ac:dyDescent="0.3">
      <c r="A27" t="s">
        <v>8</v>
      </c>
      <c r="B27">
        <v>3</v>
      </c>
      <c r="C27" t="s">
        <v>47</v>
      </c>
      <c r="D27" s="1">
        <v>0.5</v>
      </c>
      <c r="E27" t="s">
        <v>25</v>
      </c>
      <c r="F27" t="s">
        <v>15</v>
      </c>
      <c r="G27" s="2">
        <v>46025</v>
      </c>
      <c r="H27" t="s">
        <v>13</v>
      </c>
    </row>
    <row r="28" spans="1:8" x14ac:dyDescent="0.3">
      <c r="A28" t="s">
        <v>8</v>
      </c>
      <c r="B28">
        <v>3</v>
      </c>
      <c r="C28" t="s">
        <v>47</v>
      </c>
      <c r="D28" s="1">
        <v>0.70833333333333337</v>
      </c>
      <c r="E28" t="s">
        <v>36</v>
      </c>
      <c r="F28" t="s">
        <v>26</v>
      </c>
      <c r="G28" t="s">
        <v>41</v>
      </c>
      <c r="H28" t="s">
        <v>13</v>
      </c>
    </row>
    <row r="29" spans="1:8" x14ac:dyDescent="0.3">
      <c r="A29" t="s">
        <v>8</v>
      </c>
      <c r="B29">
        <v>3</v>
      </c>
      <c r="C29" t="s">
        <v>47</v>
      </c>
      <c r="D29" s="1">
        <v>0.79166666666666663</v>
      </c>
      <c r="E29" t="s">
        <v>10</v>
      </c>
      <c r="F29" t="s">
        <v>28</v>
      </c>
      <c r="G29" s="2">
        <v>46054</v>
      </c>
      <c r="H29" t="s">
        <v>13</v>
      </c>
    </row>
    <row r="30" spans="1:8" x14ac:dyDescent="0.3">
      <c r="A30" t="s">
        <v>8</v>
      </c>
      <c r="B30">
        <v>3</v>
      </c>
      <c r="C30" t="s">
        <v>47</v>
      </c>
      <c r="D30" s="1">
        <v>0.875</v>
      </c>
      <c r="E30" t="s">
        <v>27</v>
      </c>
      <c r="F30" t="s">
        <v>17</v>
      </c>
      <c r="G30" s="2">
        <v>46055</v>
      </c>
      <c r="H30" t="s">
        <v>13</v>
      </c>
    </row>
    <row r="31" spans="1:8" x14ac:dyDescent="0.3">
      <c r="A31" t="s">
        <v>8</v>
      </c>
      <c r="B31">
        <v>3</v>
      </c>
      <c r="C31" t="s">
        <v>47</v>
      </c>
      <c r="D31" s="1">
        <v>0.875</v>
      </c>
      <c r="E31" t="s">
        <v>16</v>
      </c>
      <c r="F31" t="s">
        <v>20</v>
      </c>
      <c r="G31" s="2">
        <v>46083</v>
      </c>
      <c r="H31" t="s">
        <v>13</v>
      </c>
    </row>
    <row r="32" spans="1:8" x14ac:dyDescent="0.3">
      <c r="A32" t="s">
        <v>8</v>
      </c>
      <c r="B32">
        <v>4</v>
      </c>
      <c r="C32" t="s">
        <v>48</v>
      </c>
      <c r="D32" s="1">
        <v>0.66666666666666663</v>
      </c>
      <c r="E32" t="s">
        <v>28</v>
      </c>
      <c r="F32" t="s">
        <v>33</v>
      </c>
      <c r="G32" s="2">
        <v>46057</v>
      </c>
      <c r="H32" t="s">
        <v>13</v>
      </c>
    </row>
    <row r="33" spans="1:8" x14ac:dyDescent="0.3">
      <c r="A33" t="s">
        <v>8</v>
      </c>
      <c r="B33">
        <v>4</v>
      </c>
      <c r="C33" t="s">
        <v>48</v>
      </c>
      <c r="D33" s="1">
        <v>0.75</v>
      </c>
      <c r="E33" t="s">
        <v>21</v>
      </c>
      <c r="F33" t="s">
        <v>10</v>
      </c>
      <c r="G33" t="s">
        <v>41</v>
      </c>
      <c r="H33" t="s">
        <v>13</v>
      </c>
    </row>
    <row r="34" spans="1:8" x14ac:dyDescent="0.3">
      <c r="A34" t="s">
        <v>8</v>
      </c>
      <c r="B34">
        <v>4</v>
      </c>
      <c r="C34" t="s">
        <v>48</v>
      </c>
      <c r="D34" s="1">
        <v>0.83333333333333337</v>
      </c>
      <c r="E34" t="s">
        <v>20</v>
      </c>
      <c r="F34" t="s">
        <v>27</v>
      </c>
      <c r="G34" s="2">
        <v>46056</v>
      </c>
      <c r="H34" t="s">
        <v>13</v>
      </c>
    </row>
    <row r="35" spans="1:8" x14ac:dyDescent="0.3">
      <c r="A35" t="s">
        <v>8</v>
      </c>
      <c r="B35">
        <v>4</v>
      </c>
      <c r="C35" t="s">
        <v>48</v>
      </c>
      <c r="D35" s="1">
        <v>0.91666666666666663</v>
      </c>
      <c r="E35" t="s">
        <v>34</v>
      </c>
      <c r="F35" t="s">
        <v>25</v>
      </c>
      <c r="G35" s="2">
        <v>46055</v>
      </c>
      <c r="H35" t="s">
        <v>13</v>
      </c>
    </row>
    <row r="36" spans="1:8" x14ac:dyDescent="0.3">
      <c r="A36" t="s">
        <v>8</v>
      </c>
      <c r="B36">
        <v>4</v>
      </c>
      <c r="C36" t="s">
        <v>49</v>
      </c>
      <c r="D36" s="1">
        <v>0.5</v>
      </c>
      <c r="E36" t="s">
        <v>24</v>
      </c>
      <c r="F36" t="s">
        <v>36</v>
      </c>
      <c r="G36" t="s">
        <v>42</v>
      </c>
      <c r="H36" t="s">
        <v>13</v>
      </c>
    </row>
    <row r="37" spans="1:8" x14ac:dyDescent="0.3">
      <c r="A37" t="s">
        <v>8</v>
      </c>
      <c r="B37">
        <v>4</v>
      </c>
      <c r="C37" t="s">
        <v>49</v>
      </c>
      <c r="D37" s="1">
        <v>0.70833333333333337</v>
      </c>
      <c r="E37" t="s">
        <v>11</v>
      </c>
      <c r="F37" t="s">
        <v>23</v>
      </c>
      <c r="G37" s="2">
        <v>46024</v>
      </c>
      <c r="H37" t="s">
        <v>13</v>
      </c>
    </row>
    <row r="38" spans="1:8" x14ac:dyDescent="0.3">
      <c r="A38" t="s">
        <v>8</v>
      </c>
      <c r="B38">
        <v>4</v>
      </c>
      <c r="C38" t="s">
        <v>49</v>
      </c>
      <c r="D38" s="1">
        <v>0.79166666666666663</v>
      </c>
      <c r="E38" t="s">
        <v>17</v>
      </c>
      <c r="F38" t="s">
        <v>30</v>
      </c>
      <c r="G38" t="s">
        <v>40</v>
      </c>
      <c r="H38" t="s">
        <v>13</v>
      </c>
    </row>
    <row r="39" spans="1:8" x14ac:dyDescent="0.3">
      <c r="A39" t="s">
        <v>8</v>
      </c>
      <c r="B39">
        <v>4</v>
      </c>
      <c r="C39" t="s">
        <v>49</v>
      </c>
      <c r="D39" s="1">
        <v>0.875</v>
      </c>
      <c r="E39" t="s">
        <v>26</v>
      </c>
      <c r="F39" t="s">
        <v>16</v>
      </c>
      <c r="G39" s="2">
        <v>46025</v>
      </c>
      <c r="H39" t="s">
        <v>13</v>
      </c>
    </row>
    <row r="40" spans="1:8" x14ac:dyDescent="0.3">
      <c r="A40" t="s">
        <v>8</v>
      </c>
      <c r="B40">
        <v>4</v>
      </c>
      <c r="C40" t="s">
        <v>50</v>
      </c>
      <c r="D40" s="1">
        <v>0.83333333333333337</v>
      </c>
      <c r="E40" t="s">
        <v>31</v>
      </c>
      <c r="F40" t="s">
        <v>14</v>
      </c>
      <c r="G40" t="s">
        <v>41</v>
      </c>
      <c r="H40" t="s">
        <v>13</v>
      </c>
    </row>
    <row r="41" spans="1:8" x14ac:dyDescent="0.3">
      <c r="A41" t="s">
        <v>8</v>
      </c>
      <c r="B41">
        <v>4</v>
      </c>
      <c r="C41" t="s">
        <v>50</v>
      </c>
      <c r="D41" s="1">
        <v>0.91666666666666663</v>
      </c>
      <c r="E41" t="s">
        <v>15</v>
      </c>
      <c r="F41" t="s">
        <v>35</v>
      </c>
      <c r="G41" s="2">
        <v>46056</v>
      </c>
      <c r="H41" t="s">
        <v>13</v>
      </c>
    </row>
    <row r="42" spans="1:8" x14ac:dyDescent="0.3">
      <c r="A42" t="s">
        <v>8</v>
      </c>
      <c r="B42">
        <v>5</v>
      </c>
      <c r="C42" t="s">
        <v>51</v>
      </c>
      <c r="D42" s="1">
        <v>0.875</v>
      </c>
      <c r="E42" t="s">
        <v>23</v>
      </c>
      <c r="F42" t="s">
        <v>31</v>
      </c>
      <c r="G42" s="2">
        <v>46024</v>
      </c>
      <c r="H42" t="s">
        <v>13</v>
      </c>
    </row>
    <row r="43" spans="1:8" x14ac:dyDescent="0.3">
      <c r="A43" t="s">
        <v>8</v>
      </c>
      <c r="B43">
        <v>5</v>
      </c>
      <c r="C43" t="s">
        <v>52</v>
      </c>
      <c r="D43" s="1">
        <v>0.66666666666666663</v>
      </c>
      <c r="E43" t="s">
        <v>10</v>
      </c>
      <c r="F43" t="s">
        <v>17</v>
      </c>
      <c r="G43" t="s">
        <v>41</v>
      </c>
      <c r="H43" t="s">
        <v>13</v>
      </c>
    </row>
    <row r="44" spans="1:8" x14ac:dyDescent="0.3">
      <c r="A44" t="s">
        <v>8</v>
      </c>
      <c r="B44">
        <v>5</v>
      </c>
      <c r="C44" t="s">
        <v>52</v>
      </c>
      <c r="D44" s="1">
        <v>0.75</v>
      </c>
      <c r="E44" t="s">
        <v>33</v>
      </c>
      <c r="F44" t="s">
        <v>21</v>
      </c>
      <c r="G44" s="2">
        <v>46055</v>
      </c>
      <c r="H44" t="s">
        <v>13</v>
      </c>
    </row>
    <row r="45" spans="1:8" x14ac:dyDescent="0.3">
      <c r="A45" t="s">
        <v>8</v>
      </c>
      <c r="B45">
        <v>5</v>
      </c>
      <c r="C45" t="s">
        <v>52</v>
      </c>
      <c r="D45" s="1">
        <v>0.83333333333333337</v>
      </c>
      <c r="E45" t="s">
        <v>30</v>
      </c>
      <c r="F45" t="s">
        <v>20</v>
      </c>
      <c r="G45" t="s">
        <v>53</v>
      </c>
      <c r="H45" t="s">
        <v>13</v>
      </c>
    </row>
    <row r="46" spans="1:8" x14ac:dyDescent="0.3">
      <c r="A46" t="s">
        <v>8</v>
      </c>
      <c r="B46">
        <v>5</v>
      </c>
      <c r="C46" t="s">
        <v>52</v>
      </c>
      <c r="D46" s="1">
        <v>0.91666666666666663</v>
      </c>
      <c r="E46" t="s">
        <v>14</v>
      </c>
      <c r="F46" t="s">
        <v>28</v>
      </c>
      <c r="G46" t="s">
        <v>54</v>
      </c>
      <c r="H46" t="s">
        <v>13</v>
      </c>
    </row>
    <row r="47" spans="1:8" x14ac:dyDescent="0.3">
      <c r="A47" t="s">
        <v>8</v>
      </c>
      <c r="B47">
        <v>5</v>
      </c>
      <c r="C47" t="s">
        <v>55</v>
      </c>
      <c r="D47" s="1">
        <v>0.5</v>
      </c>
      <c r="E47" t="s">
        <v>26</v>
      </c>
      <c r="F47" t="s">
        <v>24</v>
      </c>
      <c r="G47" t="s">
        <v>41</v>
      </c>
      <c r="H47" t="s">
        <v>13</v>
      </c>
    </row>
    <row r="48" spans="1:8" x14ac:dyDescent="0.3">
      <c r="A48" t="s">
        <v>8</v>
      </c>
      <c r="B48">
        <v>5</v>
      </c>
      <c r="C48" t="s">
        <v>55</v>
      </c>
      <c r="D48" s="1">
        <v>0.70833333333333337</v>
      </c>
      <c r="E48" t="s">
        <v>35</v>
      </c>
      <c r="F48" t="s">
        <v>34</v>
      </c>
      <c r="G48" t="s">
        <v>41</v>
      </c>
      <c r="H48" t="s">
        <v>13</v>
      </c>
    </row>
    <row r="49" spans="1:8" x14ac:dyDescent="0.3">
      <c r="A49" t="s">
        <v>8</v>
      </c>
      <c r="B49">
        <v>5</v>
      </c>
      <c r="C49" t="s">
        <v>55</v>
      </c>
      <c r="D49" s="1">
        <v>0.79166666666666663</v>
      </c>
      <c r="E49" t="s">
        <v>25</v>
      </c>
      <c r="F49" t="s">
        <v>11</v>
      </c>
      <c r="G49" s="2">
        <v>46026</v>
      </c>
      <c r="H49" t="s">
        <v>13</v>
      </c>
    </row>
    <row r="50" spans="1:8" x14ac:dyDescent="0.3">
      <c r="A50" t="s">
        <v>8</v>
      </c>
      <c r="B50">
        <v>5</v>
      </c>
      <c r="C50" t="s">
        <v>55</v>
      </c>
      <c r="D50" s="1">
        <v>0.875</v>
      </c>
      <c r="E50" t="s">
        <v>16</v>
      </c>
      <c r="F50" t="s">
        <v>27</v>
      </c>
      <c r="G50" s="2">
        <v>46025</v>
      </c>
      <c r="H50" t="s">
        <v>13</v>
      </c>
    </row>
    <row r="51" spans="1:8" x14ac:dyDescent="0.3">
      <c r="A51" t="s">
        <v>8</v>
      </c>
      <c r="B51">
        <v>5</v>
      </c>
      <c r="C51" t="s">
        <v>56</v>
      </c>
      <c r="D51" s="1">
        <v>0.91666666666666663</v>
      </c>
      <c r="E51" t="s">
        <v>36</v>
      </c>
      <c r="F51" t="s">
        <v>15</v>
      </c>
      <c r="G51" s="2">
        <v>46056</v>
      </c>
      <c r="H51" t="s">
        <v>13</v>
      </c>
    </row>
    <row r="52" spans="1:8" x14ac:dyDescent="0.3">
      <c r="A52" t="s">
        <v>8</v>
      </c>
      <c r="B52">
        <v>6</v>
      </c>
      <c r="C52" t="s">
        <v>57</v>
      </c>
      <c r="D52" s="1">
        <v>0.83333333333333337</v>
      </c>
      <c r="E52" t="s">
        <v>20</v>
      </c>
      <c r="F52" t="s">
        <v>10</v>
      </c>
      <c r="G52" s="2">
        <v>46026</v>
      </c>
      <c r="H52" t="s">
        <v>13</v>
      </c>
    </row>
    <row r="53" spans="1:8" x14ac:dyDescent="0.3">
      <c r="A53" t="s">
        <v>8</v>
      </c>
      <c r="B53">
        <v>6</v>
      </c>
      <c r="C53" t="s">
        <v>57</v>
      </c>
      <c r="D53" s="1">
        <v>0.83333333333333337</v>
      </c>
      <c r="E53" t="s">
        <v>21</v>
      </c>
      <c r="F53" t="s">
        <v>14</v>
      </c>
      <c r="G53" s="2">
        <v>46023</v>
      </c>
      <c r="H53" t="s">
        <v>13</v>
      </c>
    </row>
    <row r="54" spans="1:8" x14ac:dyDescent="0.3">
      <c r="A54" t="s">
        <v>8</v>
      </c>
      <c r="B54">
        <v>6</v>
      </c>
      <c r="C54" t="s">
        <v>57</v>
      </c>
      <c r="D54" s="1">
        <v>0.91666666666666663</v>
      </c>
      <c r="E54" t="s">
        <v>28</v>
      </c>
      <c r="F54" t="s">
        <v>23</v>
      </c>
      <c r="G54" s="2">
        <v>46024</v>
      </c>
      <c r="H54" t="s">
        <v>13</v>
      </c>
    </row>
    <row r="55" spans="1:8" x14ac:dyDescent="0.3">
      <c r="A55" t="s">
        <v>8</v>
      </c>
      <c r="B55">
        <v>6</v>
      </c>
      <c r="C55" t="s">
        <v>57</v>
      </c>
      <c r="D55" s="1">
        <v>0.91666666666666663</v>
      </c>
      <c r="E55" t="s">
        <v>17</v>
      </c>
      <c r="F55" t="s">
        <v>33</v>
      </c>
      <c r="G55" t="s">
        <v>12</v>
      </c>
      <c r="H55" t="s">
        <v>13</v>
      </c>
    </row>
    <row r="56" spans="1:8" x14ac:dyDescent="0.3">
      <c r="A56" t="s">
        <v>8</v>
      </c>
      <c r="B56">
        <v>6</v>
      </c>
      <c r="C56" t="s">
        <v>58</v>
      </c>
      <c r="D56" s="1">
        <v>0.83333333333333337</v>
      </c>
      <c r="E56" t="s">
        <v>24</v>
      </c>
      <c r="F56" t="s">
        <v>16</v>
      </c>
      <c r="G56" t="s">
        <v>42</v>
      </c>
      <c r="H56" t="s">
        <v>13</v>
      </c>
    </row>
    <row r="57" spans="1:8" x14ac:dyDescent="0.3">
      <c r="A57" t="s">
        <v>8</v>
      </c>
      <c r="B57">
        <v>6</v>
      </c>
      <c r="C57" t="s">
        <v>58</v>
      </c>
      <c r="D57" s="1">
        <v>0.83333333333333337</v>
      </c>
      <c r="E57" t="s">
        <v>27</v>
      </c>
      <c r="F57" t="s">
        <v>30</v>
      </c>
      <c r="G57" s="2">
        <v>46026</v>
      </c>
      <c r="H57" t="s">
        <v>13</v>
      </c>
    </row>
    <row r="58" spans="1:8" x14ac:dyDescent="0.3">
      <c r="A58" t="s">
        <v>8</v>
      </c>
      <c r="B58">
        <v>6</v>
      </c>
      <c r="C58" t="s">
        <v>58</v>
      </c>
      <c r="D58" s="1">
        <v>0.91666666666666663</v>
      </c>
      <c r="E58" t="s">
        <v>31</v>
      </c>
      <c r="F58" t="s">
        <v>25</v>
      </c>
      <c r="G58" s="2">
        <v>46054</v>
      </c>
      <c r="H58" t="s">
        <v>13</v>
      </c>
    </row>
    <row r="59" spans="1:8" x14ac:dyDescent="0.3">
      <c r="A59" t="s">
        <v>8</v>
      </c>
      <c r="B59">
        <v>6</v>
      </c>
      <c r="C59" t="s">
        <v>59</v>
      </c>
      <c r="D59" s="1">
        <v>0.83333333333333337</v>
      </c>
      <c r="E59" t="s">
        <v>15</v>
      </c>
      <c r="F59" t="s">
        <v>26</v>
      </c>
      <c r="G59" s="2">
        <v>46024</v>
      </c>
      <c r="H59" t="s">
        <v>13</v>
      </c>
    </row>
    <row r="60" spans="1:8" x14ac:dyDescent="0.3">
      <c r="A60" t="s">
        <v>8</v>
      </c>
      <c r="B60">
        <v>6</v>
      </c>
      <c r="C60" t="s">
        <v>59</v>
      </c>
      <c r="D60" s="1">
        <v>0.91666666666666663</v>
      </c>
      <c r="E60" t="s">
        <v>11</v>
      </c>
      <c r="F60" t="s">
        <v>35</v>
      </c>
      <c r="G60" t="s">
        <v>12</v>
      </c>
      <c r="H60" t="s">
        <v>13</v>
      </c>
    </row>
    <row r="61" spans="1:8" x14ac:dyDescent="0.3">
      <c r="A61" t="s">
        <v>8</v>
      </c>
      <c r="B61">
        <v>6</v>
      </c>
      <c r="C61" t="s">
        <v>59</v>
      </c>
      <c r="D61" s="1">
        <v>0.91666666666666663</v>
      </c>
      <c r="E61" t="s">
        <v>34</v>
      </c>
      <c r="F61" t="s">
        <v>36</v>
      </c>
      <c r="G61" s="2">
        <v>46024</v>
      </c>
      <c r="H61" t="s">
        <v>13</v>
      </c>
    </row>
    <row r="62" spans="1:8" x14ac:dyDescent="0.3">
      <c r="A62" t="s">
        <v>8</v>
      </c>
      <c r="B62">
        <v>7</v>
      </c>
      <c r="C62" t="s">
        <v>60</v>
      </c>
      <c r="D62" s="1">
        <v>0.875</v>
      </c>
      <c r="E62" t="s">
        <v>14</v>
      </c>
      <c r="F62" t="s">
        <v>17</v>
      </c>
      <c r="G62" s="2">
        <v>46055</v>
      </c>
      <c r="H62" t="s">
        <v>13</v>
      </c>
    </row>
    <row r="63" spans="1:8" x14ac:dyDescent="0.3">
      <c r="A63" t="s">
        <v>8</v>
      </c>
      <c r="B63">
        <v>7</v>
      </c>
      <c r="C63" t="s">
        <v>61</v>
      </c>
      <c r="D63" s="1">
        <v>0.66666666666666663</v>
      </c>
      <c r="E63" t="s">
        <v>16</v>
      </c>
      <c r="F63" t="s">
        <v>30</v>
      </c>
      <c r="G63" t="s">
        <v>18</v>
      </c>
      <c r="H63" t="s">
        <v>13</v>
      </c>
    </row>
    <row r="64" spans="1:8" x14ac:dyDescent="0.3">
      <c r="A64" t="s">
        <v>8</v>
      </c>
      <c r="B64">
        <v>7</v>
      </c>
      <c r="C64" t="s">
        <v>61</v>
      </c>
      <c r="D64" s="1">
        <v>0.75</v>
      </c>
      <c r="E64" t="s">
        <v>33</v>
      </c>
      <c r="F64" t="s">
        <v>20</v>
      </c>
      <c r="G64" t="s">
        <v>54</v>
      </c>
      <c r="H64" t="s">
        <v>13</v>
      </c>
    </row>
    <row r="65" spans="1:8" x14ac:dyDescent="0.3">
      <c r="A65" t="s">
        <v>8</v>
      </c>
      <c r="B65">
        <v>7</v>
      </c>
      <c r="C65" t="s">
        <v>61</v>
      </c>
      <c r="D65" s="1">
        <v>0.83333333333333337</v>
      </c>
      <c r="E65" t="s">
        <v>10</v>
      </c>
      <c r="F65" t="s">
        <v>27</v>
      </c>
      <c r="G65" s="2">
        <v>46023</v>
      </c>
      <c r="H65" t="s">
        <v>13</v>
      </c>
    </row>
    <row r="66" spans="1:8" x14ac:dyDescent="0.3">
      <c r="A66" t="s">
        <v>8</v>
      </c>
      <c r="B66">
        <v>7</v>
      </c>
      <c r="C66" t="s">
        <v>61</v>
      </c>
      <c r="D66" s="1">
        <v>0.91666666666666663</v>
      </c>
      <c r="E66" t="s">
        <v>25</v>
      </c>
      <c r="F66" t="s">
        <v>28</v>
      </c>
      <c r="G66" t="s">
        <v>42</v>
      </c>
      <c r="H66" t="s">
        <v>13</v>
      </c>
    </row>
    <row r="67" spans="1:8" x14ac:dyDescent="0.3">
      <c r="A67" t="s">
        <v>8</v>
      </c>
      <c r="B67">
        <v>7</v>
      </c>
      <c r="C67" t="s">
        <v>62</v>
      </c>
      <c r="D67" s="1">
        <v>0.5</v>
      </c>
      <c r="E67" t="s">
        <v>23</v>
      </c>
      <c r="F67" t="s">
        <v>21</v>
      </c>
      <c r="G67" t="s">
        <v>42</v>
      </c>
      <c r="H67" t="s">
        <v>13</v>
      </c>
    </row>
    <row r="68" spans="1:8" x14ac:dyDescent="0.3">
      <c r="A68" t="s">
        <v>8</v>
      </c>
      <c r="B68">
        <v>7</v>
      </c>
      <c r="C68" t="s">
        <v>62</v>
      </c>
      <c r="D68" s="1">
        <v>0.70833333333333337</v>
      </c>
      <c r="E68" t="s">
        <v>35</v>
      </c>
      <c r="F68" t="s">
        <v>31</v>
      </c>
      <c r="G68" t="s">
        <v>42</v>
      </c>
      <c r="H68" t="s">
        <v>13</v>
      </c>
    </row>
    <row r="69" spans="1:8" x14ac:dyDescent="0.3">
      <c r="A69" t="s">
        <v>8</v>
      </c>
      <c r="B69">
        <v>7</v>
      </c>
      <c r="C69" t="s">
        <v>62</v>
      </c>
      <c r="D69" s="1">
        <v>0.79166666666666663</v>
      </c>
      <c r="E69" t="s">
        <v>36</v>
      </c>
      <c r="F69" t="s">
        <v>11</v>
      </c>
      <c r="G69" t="s">
        <v>54</v>
      </c>
      <c r="H69" t="s">
        <v>13</v>
      </c>
    </row>
    <row r="70" spans="1:8" x14ac:dyDescent="0.3">
      <c r="A70" t="s">
        <v>8</v>
      </c>
      <c r="B70">
        <v>7</v>
      </c>
      <c r="C70" t="s">
        <v>62</v>
      </c>
      <c r="D70" s="1">
        <v>0.875</v>
      </c>
      <c r="E70" t="s">
        <v>26</v>
      </c>
      <c r="F70" t="s">
        <v>34</v>
      </c>
      <c r="G70" t="s">
        <v>18</v>
      </c>
      <c r="H70" t="s">
        <v>13</v>
      </c>
    </row>
    <row r="71" spans="1:8" x14ac:dyDescent="0.3">
      <c r="A71" t="s">
        <v>8</v>
      </c>
      <c r="B71">
        <v>7</v>
      </c>
      <c r="C71" t="s">
        <v>63</v>
      </c>
      <c r="D71" s="1">
        <v>0.91666666666666663</v>
      </c>
      <c r="E71" t="s">
        <v>24</v>
      </c>
      <c r="F71" t="s">
        <v>15</v>
      </c>
      <c r="G71" t="s">
        <v>12</v>
      </c>
      <c r="H71" t="s">
        <v>13</v>
      </c>
    </row>
    <row r="72" spans="1:8" x14ac:dyDescent="0.3">
      <c r="A72" t="s">
        <v>8</v>
      </c>
      <c r="B72">
        <v>8</v>
      </c>
      <c r="C72" t="s">
        <v>64</v>
      </c>
      <c r="D72" s="1">
        <v>0.83333333333333337</v>
      </c>
      <c r="E72" t="s">
        <v>34</v>
      </c>
      <c r="F72" t="s">
        <v>24</v>
      </c>
      <c r="G72" t="s">
        <v>32</v>
      </c>
      <c r="H72" t="s">
        <v>13</v>
      </c>
    </row>
    <row r="73" spans="1:8" x14ac:dyDescent="0.3">
      <c r="A73" t="s">
        <v>8</v>
      </c>
      <c r="B73">
        <v>8</v>
      </c>
      <c r="C73" t="s">
        <v>64</v>
      </c>
      <c r="D73" s="1">
        <v>0.91666666666666663</v>
      </c>
      <c r="E73" t="s">
        <v>17</v>
      </c>
      <c r="F73" t="s">
        <v>23</v>
      </c>
      <c r="G73" t="s">
        <v>42</v>
      </c>
      <c r="H73" t="s">
        <v>13</v>
      </c>
    </row>
    <row r="74" spans="1:8" x14ac:dyDescent="0.3">
      <c r="A74" t="s">
        <v>8</v>
      </c>
      <c r="B74">
        <v>8</v>
      </c>
      <c r="C74" t="s">
        <v>65</v>
      </c>
      <c r="D74" s="1">
        <v>0.66666666666666663</v>
      </c>
      <c r="E74" t="s">
        <v>31</v>
      </c>
      <c r="F74" t="s">
        <v>36</v>
      </c>
      <c r="G74" s="2">
        <v>46024</v>
      </c>
      <c r="H74" t="s">
        <v>13</v>
      </c>
    </row>
    <row r="75" spans="1:8" x14ac:dyDescent="0.3">
      <c r="A75" t="s">
        <v>8</v>
      </c>
      <c r="B75">
        <v>8</v>
      </c>
      <c r="C75" t="s">
        <v>65</v>
      </c>
      <c r="D75" s="1">
        <v>0.75</v>
      </c>
      <c r="E75" t="s">
        <v>30</v>
      </c>
      <c r="F75" t="s">
        <v>10</v>
      </c>
      <c r="G75" t="s">
        <v>18</v>
      </c>
      <c r="H75" t="s">
        <v>13</v>
      </c>
    </row>
    <row r="76" spans="1:8" x14ac:dyDescent="0.3">
      <c r="A76" t="s">
        <v>8</v>
      </c>
      <c r="B76">
        <v>8</v>
      </c>
      <c r="C76" t="s">
        <v>65</v>
      </c>
      <c r="D76" s="1">
        <v>0.83333333333333337</v>
      </c>
      <c r="E76" t="s">
        <v>21</v>
      </c>
      <c r="F76" t="s">
        <v>25</v>
      </c>
      <c r="G76" s="2">
        <v>46083</v>
      </c>
      <c r="H76" t="s">
        <v>13</v>
      </c>
    </row>
    <row r="77" spans="1:8" x14ac:dyDescent="0.3">
      <c r="A77" t="s">
        <v>8</v>
      </c>
      <c r="B77">
        <v>8</v>
      </c>
      <c r="C77" t="s">
        <v>65</v>
      </c>
      <c r="D77" s="1">
        <v>0.91666666666666663</v>
      </c>
      <c r="E77" t="s">
        <v>20</v>
      </c>
      <c r="F77" t="s">
        <v>14</v>
      </c>
      <c r="G77" s="2">
        <v>46026</v>
      </c>
      <c r="H77" t="s">
        <v>13</v>
      </c>
    </row>
    <row r="78" spans="1:8" x14ac:dyDescent="0.3">
      <c r="A78" t="s">
        <v>8</v>
      </c>
      <c r="B78">
        <v>8</v>
      </c>
      <c r="C78" t="s">
        <v>66</v>
      </c>
      <c r="D78" s="1">
        <v>0.5</v>
      </c>
      <c r="E78" t="s">
        <v>28</v>
      </c>
      <c r="F78" t="s">
        <v>35</v>
      </c>
      <c r="G78" s="2">
        <v>46024</v>
      </c>
      <c r="H78" t="s">
        <v>13</v>
      </c>
    </row>
    <row r="79" spans="1:8" x14ac:dyDescent="0.3">
      <c r="A79" t="s">
        <v>8</v>
      </c>
      <c r="B79">
        <v>8</v>
      </c>
      <c r="C79" t="s">
        <v>66</v>
      </c>
      <c r="D79" s="1">
        <v>0.70833333333333337</v>
      </c>
      <c r="E79" t="s">
        <v>27</v>
      </c>
      <c r="F79" t="s">
        <v>33</v>
      </c>
      <c r="G79" s="2">
        <v>46024</v>
      </c>
      <c r="H79" t="s">
        <v>13</v>
      </c>
    </row>
    <row r="80" spans="1:8" x14ac:dyDescent="0.3">
      <c r="A80" t="s">
        <v>8</v>
      </c>
      <c r="B80">
        <v>8</v>
      </c>
      <c r="C80" t="s">
        <v>66</v>
      </c>
      <c r="D80" s="1">
        <v>0.79166666666666663</v>
      </c>
      <c r="E80" t="s">
        <v>11</v>
      </c>
      <c r="F80" t="s">
        <v>26</v>
      </c>
      <c r="G80" s="2">
        <v>46025</v>
      </c>
      <c r="H80" t="s">
        <v>13</v>
      </c>
    </row>
    <row r="81" spans="1:8" x14ac:dyDescent="0.3">
      <c r="A81" t="s">
        <v>8</v>
      </c>
      <c r="B81">
        <v>8</v>
      </c>
      <c r="C81" t="s">
        <v>66</v>
      </c>
      <c r="D81" s="1">
        <v>0.875</v>
      </c>
      <c r="E81" t="s">
        <v>15</v>
      </c>
      <c r="F81" t="s">
        <v>16</v>
      </c>
      <c r="G81" s="2">
        <v>46023</v>
      </c>
      <c r="H81" t="s">
        <v>13</v>
      </c>
    </row>
    <row r="82" spans="1:8" x14ac:dyDescent="0.3">
      <c r="A82" t="s">
        <v>8</v>
      </c>
      <c r="B82">
        <v>9</v>
      </c>
      <c r="C82" t="s">
        <v>67</v>
      </c>
      <c r="D82" s="1">
        <v>0.66666666666666663</v>
      </c>
      <c r="E82" t="s">
        <v>25</v>
      </c>
      <c r="F82" t="s">
        <v>17</v>
      </c>
      <c r="G82" t="s">
        <v>12</v>
      </c>
      <c r="H82" t="s">
        <v>13</v>
      </c>
    </row>
    <row r="83" spans="1:8" x14ac:dyDescent="0.3">
      <c r="A83" t="s">
        <v>8</v>
      </c>
      <c r="B83">
        <v>9</v>
      </c>
      <c r="C83" t="s">
        <v>67</v>
      </c>
      <c r="D83" s="1">
        <v>0.75</v>
      </c>
      <c r="E83" t="s">
        <v>16</v>
      </c>
      <c r="F83" t="s">
        <v>10</v>
      </c>
      <c r="G83" s="2">
        <v>46054</v>
      </c>
      <c r="H83" t="s">
        <v>13</v>
      </c>
    </row>
    <row r="84" spans="1:8" x14ac:dyDescent="0.3">
      <c r="A84" t="s">
        <v>8</v>
      </c>
      <c r="B84">
        <v>9</v>
      </c>
      <c r="C84" t="s">
        <v>67</v>
      </c>
      <c r="D84" s="1">
        <v>0.83333333333333337</v>
      </c>
      <c r="E84" t="s">
        <v>23</v>
      </c>
      <c r="F84" t="s">
        <v>20</v>
      </c>
      <c r="G84" t="s">
        <v>41</v>
      </c>
      <c r="H84" t="s">
        <v>13</v>
      </c>
    </row>
    <row r="85" spans="1:8" x14ac:dyDescent="0.3">
      <c r="A85" t="s">
        <v>8</v>
      </c>
      <c r="B85">
        <v>9</v>
      </c>
      <c r="C85" t="s">
        <v>67</v>
      </c>
      <c r="D85" s="1">
        <v>0.91666666666666663</v>
      </c>
      <c r="E85" t="s">
        <v>36</v>
      </c>
      <c r="F85" t="s">
        <v>28</v>
      </c>
      <c r="G85" t="s">
        <v>18</v>
      </c>
      <c r="H85" t="s">
        <v>13</v>
      </c>
    </row>
    <row r="86" spans="1:8" x14ac:dyDescent="0.3">
      <c r="A86" t="s">
        <v>8</v>
      </c>
      <c r="B86">
        <v>9</v>
      </c>
      <c r="C86" t="s">
        <v>68</v>
      </c>
      <c r="D86" s="1">
        <v>0.5</v>
      </c>
      <c r="E86" t="s">
        <v>24</v>
      </c>
      <c r="F86" t="s">
        <v>11</v>
      </c>
      <c r="G86" t="s">
        <v>54</v>
      </c>
      <c r="H86" t="s">
        <v>13</v>
      </c>
    </row>
    <row r="87" spans="1:8" x14ac:dyDescent="0.3">
      <c r="A87" t="s">
        <v>8</v>
      </c>
      <c r="B87">
        <v>9</v>
      </c>
      <c r="C87" t="s">
        <v>68</v>
      </c>
      <c r="D87" s="1">
        <v>0.70833333333333337</v>
      </c>
      <c r="E87" t="s">
        <v>33</v>
      </c>
      <c r="F87" t="s">
        <v>30</v>
      </c>
      <c r="G87" t="s">
        <v>42</v>
      </c>
      <c r="H87" t="s">
        <v>13</v>
      </c>
    </row>
    <row r="88" spans="1:8" x14ac:dyDescent="0.3">
      <c r="A88" t="s">
        <v>8</v>
      </c>
      <c r="B88">
        <v>9</v>
      </c>
      <c r="C88" t="s">
        <v>68</v>
      </c>
      <c r="D88" s="1">
        <v>0.79166666666666663</v>
      </c>
      <c r="E88" t="s">
        <v>26</v>
      </c>
      <c r="F88" t="s">
        <v>31</v>
      </c>
      <c r="G88" s="2">
        <v>46054</v>
      </c>
      <c r="H88" t="s">
        <v>13</v>
      </c>
    </row>
    <row r="89" spans="1:8" x14ac:dyDescent="0.3">
      <c r="A89" t="s">
        <v>8</v>
      </c>
      <c r="B89">
        <v>9</v>
      </c>
      <c r="C89" t="s">
        <v>68</v>
      </c>
      <c r="D89" s="1">
        <v>0.875</v>
      </c>
      <c r="E89" t="s">
        <v>14</v>
      </c>
      <c r="F89" t="s">
        <v>27</v>
      </c>
      <c r="G89" s="2">
        <v>46055</v>
      </c>
      <c r="H89" t="s">
        <v>13</v>
      </c>
    </row>
    <row r="90" spans="1:8" x14ac:dyDescent="0.3">
      <c r="A90" t="s">
        <v>8</v>
      </c>
      <c r="B90">
        <v>9</v>
      </c>
      <c r="C90" t="s">
        <v>69</v>
      </c>
      <c r="D90" s="1">
        <v>0.83333333333333337</v>
      </c>
      <c r="E90" t="s">
        <v>35</v>
      </c>
      <c r="F90" t="s">
        <v>21</v>
      </c>
      <c r="G90" t="s">
        <v>42</v>
      </c>
      <c r="H90" t="s">
        <v>13</v>
      </c>
    </row>
    <row r="91" spans="1:8" x14ac:dyDescent="0.3">
      <c r="A91" t="s">
        <v>8</v>
      </c>
      <c r="B91">
        <v>9</v>
      </c>
      <c r="C91" t="s">
        <v>69</v>
      </c>
      <c r="D91" s="1">
        <v>0.91666666666666663</v>
      </c>
      <c r="E91" t="s">
        <v>15</v>
      </c>
      <c r="F91" t="s">
        <v>34</v>
      </c>
      <c r="G91" t="s">
        <v>12</v>
      </c>
      <c r="H91" t="s">
        <v>13</v>
      </c>
    </row>
    <row r="92" spans="1:8" x14ac:dyDescent="0.3">
      <c r="A92" t="s">
        <v>8</v>
      </c>
      <c r="B92">
        <v>10</v>
      </c>
      <c r="C92" t="s">
        <v>70</v>
      </c>
      <c r="D92" s="1">
        <v>0.875</v>
      </c>
      <c r="E92" t="s">
        <v>30</v>
      </c>
      <c r="F92" t="s">
        <v>14</v>
      </c>
      <c r="G92" t="s">
        <v>46</v>
      </c>
      <c r="H92" t="s">
        <v>13</v>
      </c>
    </row>
    <row r="93" spans="1:8" x14ac:dyDescent="0.3">
      <c r="A93" t="s">
        <v>8</v>
      </c>
      <c r="B93">
        <v>10</v>
      </c>
      <c r="C93" t="s">
        <v>71</v>
      </c>
      <c r="D93" s="1">
        <v>0.66666666666666663</v>
      </c>
      <c r="E93" t="s">
        <v>17</v>
      </c>
      <c r="F93" t="s">
        <v>35</v>
      </c>
      <c r="G93" t="s">
        <v>72</v>
      </c>
      <c r="H93" t="s">
        <v>13</v>
      </c>
    </row>
    <row r="94" spans="1:8" x14ac:dyDescent="0.3">
      <c r="A94" t="s">
        <v>8</v>
      </c>
      <c r="B94">
        <v>10</v>
      </c>
      <c r="C94" t="s">
        <v>71</v>
      </c>
      <c r="D94" s="1">
        <v>0.75</v>
      </c>
      <c r="E94" t="s">
        <v>20</v>
      </c>
      <c r="F94" t="s">
        <v>25</v>
      </c>
      <c r="G94" s="2">
        <v>46024</v>
      </c>
      <c r="H94" t="s">
        <v>73</v>
      </c>
    </row>
    <row r="95" spans="1:8" x14ac:dyDescent="0.3">
      <c r="A95" t="s">
        <v>8</v>
      </c>
      <c r="B95">
        <v>10</v>
      </c>
      <c r="C95" t="s">
        <v>71</v>
      </c>
      <c r="D95" s="1">
        <v>0.83333333333333337</v>
      </c>
      <c r="E95" t="s">
        <v>31</v>
      </c>
      <c r="F95" t="s">
        <v>24</v>
      </c>
      <c r="G95" t="s">
        <v>42</v>
      </c>
      <c r="H95" t="s">
        <v>13</v>
      </c>
    </row>
    <row r="96" spans="1:8" x14ac:dyDescent="0.3">
      <c r="A96" t="s">
        <v>8</v>
      </c>
      <c r="B96">
        <v>10</v>
      </c>
      <c r="C96" t="s">
        <v>71</v>
      </c>
      <c r="D96" s="1">
        <v>0.91666666666666663</v>
      </c>
      <c r="E96" t="s">
        <v>21</v>
      </c>
      <c r="F96" t="s">
        <v>36</v>
      </c>
      <c r="G96" t="s">
        <v>32</v>
      </c>
      <c r="H96" t="s">
        <v>13</v>
      </c>
    </row>
    <row r="97" spans="1:8" x14ac:dyDescent="0.3">
      <c r="A97" t="s">
        <v>8</v>
      </c>
      <c r="B97">
        <v>10</v>
      </c>
      <c r="C97" t="s">
        <v>74</v>
      </c>
      <c r="D97" s="1">
        <v>0.5</v>
      </c>
      <c r="E97" t="s">
        <v>27</v>
      </c>
      <c r="F97" t="s">
        <v>23</v>
      </c>
      <c r="G97" s="2">
        <v>46024</v>
      </c>
      <c r="H97" t="s">
        <v>13</v>
      </c>
    </row>
    <row r="98" spans="1:8" x14ac:dyDescent="0.3">
      <c r="A98" t="s">
        <v>8</v>
      </c>
      <c r="B98">
        <v>10</v>
      </c>
      <c r="C98" t="s">
        <v>74</v>
      </c>
      <c r="D98" s="1">
        <v>0.70833333333333337</v>
      </c>
      <c r="E98" t="s">
        <v>34</v>
      </c>
      <c r="F98" t="s">
        <v>16</v>
      </c>
      <c r="G98" s="2">
        <v>46026</v>
      </c>
      <c r="H98" t="s">
        <v>13</v>
      </c>
    </row>
    <row r="99" spans="1:8" x14ac:dyDescent="0.3">
      <c r="A99" t="s">
        <v>8</v>
      </c>
      <c r="B99">
        <v>10</v>
      </c>
      <c r="C99" t="s">
        <v>74</v>
      </c>
      <c r="D99" s="1">
        <v>0.79166666666666663</v>
      </c>
      <c r="E99" t="s">
        <v>10</v>
      </c>
      <c r="F99" t="s">
        <v>33</v>
      </c>
      <c r="G99" t="s">
        <v>32</v>
      </c>
      <c r="H99" t="s">
        <v>13</v>
      </c>
    </row>
    <row r="100" spans="1:8" x14ac:dyDescent="0.3">
      <c r="A100" t="s">
        <v>8</v>
      </c>
      <c r="B100">
        <v>10</v>
      </c>
      <c r="C100" t="s">
        <v>74</v>
      </c>
      <c r="D100" s="1">
        <v>0.875</v>
      </c>
      <c r="E100" t="s">
        <v>28</v>
      </c>
      <c r="F100" t="s">
        <v>26</v>
      </c>
      <c r="G100" t="s">
        <v>40</v>
      </c>
      <c r="H100" t="s">
        <v>13</v>
      </c>
    </row>
    <row r="101" spans="1:8" x14ac:dyDescent="0.3">
      <c r="A101" t="s">
        <v>8</v>
      </c>
      <c r="B101">
        <v>10</v>
      </c>
      <c r="C101" t="s">
        <v>75</v>
      </c>
      <c r="D101" s="1">
        <v>0.91666666666666663</v>
      </c>
      <c r="E101" t="s">
        <v>11</v>
      </c>
      <c r="F101" t="s">
        <v>15</v>
      </c>
      <c r="G101" t="s">
        <v>42</v>
      </c>
      <c r="H101" t="s">
        <v>13</v>
      </c>
    </row>
    <row r="102" spans="1:8" x14ac:dyDescent="0.3">
      <c r="A102" t="s">
        <v>8</v>
      </c>
      <c r="B102">
        <v>11</v>
      </c>
      <c r="C102" t="s">
        <v>76</v>
      </c>
      <c r="D102" s="1">
        <v>0.83333333333333337</v>
      </c>
      <c r="E102" t="s">
        <v>36</v>
      </c>
      <c r="F102" t="s">
        <v>17</v>
      </c>
      <c r="G102" t="s">
        <v>41</v>
      </c>
      <c r="H102" t="s">
        <v>13</v>
      </c>
    </row>
    <row r="103" spans="1:8" x14ac:dyDescent="0.3">
      <c r="A103" t="s">
        <v>8</v>
      </c>
      <c r="B103">
        <v>11</v>
      </c>
      <c r="C103" t="s">
        <v>76</v>
      </c>
      <c r="D103" s="1">
        <v>0.91666666666666663</v>
      </c>
      <c r="E103" t="s">
        <v>35</v>
      </c>
      <c r="F103" t="s">
        <v>20</v>
      </c>
      <c r="G103" t="s">
        <v>46</v>
      </c>
      <c r="H103" t="s">
        <v>13</v>
      </c>
    </row>
    <row r="104" spans="1:8" x14ac:dyDescent="0.3">
      <c r="A104" t="s">
        <v>8</v>
      </c>
      <c r="B104">
        <v>11</v>
      </c>
      <c r="C104" t="s">
        <v>77</v>
      </c>
      <c r="D104" s="1">
        <v>0.83333333333333337</v>
      </c>
      <c r="E104" t="s">
        <v>16</v>
      </c>
      <c r="F104" t="s">
        <v>33</v>
      </c>
      <c r="G104" s="2">
        <v>46054</v>
      </c>
      <c r="H104" t="s">
        <v>13</v>
      </c>
    </row>
    <row r="105" spans="1:8" x14ac:dyDescent="0.3">
      <c r="A105" t="s">
        <v>8</v>
      </c>
      <c r="B105">
        <v>11</v>
      </c>
      <c r="C105" t="s">
        <v>77</v>
      </c>
      <c r="D105" s="1">
        <v>0.83333333333333337</v>
      </c>
      <c r="E105" t="s">
        <v>14</v>
      </c>
      <c r="F105" t="s">
        <v>10</v>
      </c>
      <c r="G105" s="2">
        <v>46055</v>
      </c>
      <c r="H105" t="s">
        <v>13</v>
      </c>
    </row>
    <row r="106" spans="1:8" x14ac:dyDescent="0.3">
      <c r="A106" t="s">
        <v>8</v>
      </c>
      <c r="B106">
        <v>11</v>
      </c>
      <c r="C106" t="s">
        <v>77</v>
      </c>
      <c r="D106" s="1">
        <v>0.91666666666666663</v>
      </c>
      <c r="E106" t="s">
        <v>23</v>
      </c>
      <c r="F106" t="s">
        <v>30</v>
      </c>
      <c r="G106" s="2">
        <v>46025</v>
      </c>
      <c r="H106" t="s">
        <v>13</v>
      </c>
    </row>
    <row r="107" spans="1:8" x14ac:dyDescent="0.3">
      <c r="A107" t="s">
        <v>8</v>
      </c>
      <c r="B107">
        <v>11</v>
      </c>
      <c r="C107" t="s">
        <v>77</v>
      </c>
      <c r="D107" s="1">
        <v>0.91666666666666663</v>
      </c>
      <c r="E107" t="s">
        <v>25</v>
      </c>
      <c r="F107" t="s">
        <v>27</v>
      </c>
      <c r="G107" s="2">
        <v>46088</v>
      </c>
      <c r="H107" t="s">
        <v>13</v>
      </c>
    </row>
    <row r="108" spans="1:8" x14ac:dyDescent="0.3">
      <c r="A108" t="s">
        <v>8</v>
      </c>
      <c r="B108">
        <v>11</v>
      </c>
      <c r="C108" t="s">
        <v>78</v>
      </c>
      <c r="D108" s="1">
        <v>0.83333333333333337</v>
      </c>
      <c r="E108" t="s">
        <v>24</v>
      </c>
      <c r="F108" t="s">
        <v>28</v>
      </c>
      <c r="G108" s="2">
        <v>46054</v>
      </c>
      <c r="H108" t="s">
        <v>13</v>
      </c>
    </row>
    <row r="109" spans="1:8" x14ac:dyDescent="0.3">
      <c r="A109" t="s">
        <v>8</v>
      </c>
      <c r="B109">
        <v>11</v>
      </c>
      <c r="C109" t="s">
        <v>78</v>
      </c>
      <c r="D109" s="1">
        <v>0.83333333333333337</v>
      </c>
      <c r="E109" t="s">
        <v>34</v>
      </c>
      <c r="F109" t="s">
        <v>11</v>
      </c>
      <c r="G109" t="s">
        <v>54</v>
      </c>
      <c r="H109" t="s">
        <v>13</v>
      </c>
    </row>
    <row r="110" spans="1:8" x14ac:dyDescent="0.3">
      <c r="A110" t="s">
        <v>8</v>
      </c>
      <c r="B110">
        <v>11</v>
      </c>
      <c r="C110" t="s">
        <v>78</v>
      </c>
      <c r="D110" s="1">
        <v>0.91666666666666663</v>
      </c>
      <c r="E110" t="s">
        <v>15</v>
      </c>
      <c r="F110" t="s">
        <v>31</v>
      </c>
      <c r="G110" s="2">
        <v>46055</v>
      </c>
      <c r="H110" t="s">
        <v>13</v>
      </c>
    </row>
    <row r="111" spans="1:8" x14ac:dyDescent="0.3">
      <c r="A111" t="s">
        <v>8</v>
      </c>
      <c r="B111">
        <v>11</v>
      </c>
      <c r="C111" t="s">
        <v>78</v>
      </c>
      <c r="D111" s="1">
        <v>0.91666666666666663</v>
      </c>
      <c r="E111" t="s">
        <v>26</v>
      </c>
      <c r="F111" t="s">
        <v>21</v>
      </c>
      <c r="G111" t="s">
        <v>41</v>
      </c>
      <c r="H111" t="s">
        <v>13</v>
      </c>
    </row>
    <row r="112" spans="1:8" x14ac:dyDescent="0.3">
      <c r="A112" t="s">
        <v>8</v>
      </c>
      <c r="B112">
        <v>12</v>
      </c>
      <c r="C112" t="s">
        <v>79</v>
      </c>
      <c r="D112" s="1">
        <v>0.875</v>
      </c>
      <c r="E112" t="s">
        <v>20</v>
      </c>
      <c r="F112" t="s">
        <v>36</v>
      </c>
      <c r="G112" t="s">
        <v>18</v>
      </c>
      <c r="H112" t="s">
        <v>13</v>
      </c>
    </row>
    <row r="113" spans="1:8" x14ac:dyDescent="0.3">
      <c r="A113" t="s">
        <v>8</v>
      </c>
      <c r="B113">
        <v>12</v>
      </c>
      <c r="C113" t="s">
        <v>80</v>
      </c>
      <c r="D113" s="1">
        <v>0.66666666666666663</v>
      </c>
      <c r="E113" t="s">
        <v>10</v>
      </c>
      <c r="F113" t="s">
        <v>23</v>
      </c>
      <c r="G113" t="s">
        <v>40</v>
      </c>
      <c r="H113" t="s">
        <v>13</v>
      </c>
    </row>
    <row r="114" spans="1:8" x14ac:dyDescent="0.3">
      <c r="A114" t="s">
        <v>8</v>
      </c>
      <c r="B114">
        <v>12</v>
      </c>
      <c r="C114" t="s">
        <v>80</v>
      </c>
      <c r="D114" s="1">
        <v>0.75</v>
      </c>
      <c r="E114" t="s">
        <v>33</v>
      </c>
      <c r="F114" t="s">
        <v>14</v>
      </c>
      <c r="G114" t="s">
        <v>18</v>
      </c>
      <c r="H114" t="s">
        <v>13</v>
      </c>
    </row>
    <row r="115" spans="1:8" x14ac:dyDescent="0.3">
      <c r="A115" t="s">
        <v>8</v>
      </c>
      <c r="B115">
        <v>12</v>
      </c>
      <c r="C115" t="s">
        <v>80</v>
      </c>
      <c r="D115" s="1">
        <v>0.83333333333333337</v>
      </c>
      <c r="E115" t="s">
        <v>30</v>
      </c>
      <c r="F115" t="s">
        <v>25</v>
      </c>
      <c r="G115" s="2">
        <v>46083</v>
      </c>
      <c r="H115" t="s">
        <v>13</v>
      </c>
    </row>
    <row r="116" spans="1:8" x14ac:dyDescent="0.3">
      <c r="A116" t="s">
        <v>8</v>
      </c>
      <c r="B116">
        <v>12</v>
      </c>
      <c r="C116" t="s">
        <v>80</v>
      </c>
      <c r="D116" s="1">
        <v>0.91666666666666663</v>
      </c>
      <c r="E116" t="s">
        <v>27</v>
      </c>
      <c r="F116" t="s">
        <v>35</v>
      </c>
      <c r="G116" t="s">
        <v>42</v>
      </c>
      <c r="H116" t="s">
        <v>13</v>
      </c>
    </row>
    <row r="117" spans="1:8" x14ac:dyDescent="0.3">
      <c r="A117" t="s">
        <v>8</v>
      </c>
      <c r="B117">
        <v>12</v>
      </c>
      <c r="C117" t="s">
        <v>81</v>
      </c>
      <c r="D117" s="1">
        <v>0.5</v>
      </c>
      <c r="E117" t="s">
        <v>11</v>
      </c>
      <c r="F117" t="s">
        <v>16</v>
      </c>
      <c r="G117" t="s">
        <v>42</v>
      </c>
      <c r="H117" t="s">
        <v>13</v>
      </c>
    </row>
    <row r="118" spans="1:8" x14ac:dyDescent="0.3">
      <c r="A118" t="s">
        <v>8</v>
      </c>
      <c r="B118">
        <v>12</v>
      </c>
      <c r="C118" t="s">
        <v>81</v>
      </c>
      <c r="D118" s="1">
        <v>0.70833333333333337</v>
      </c>
      <c r="E118" t="s">
        <v>28</v>
      </c>
      <c r="F118" t="s">
        <v>15</v>
      </c>
      <c r="G118" t="s">
        <v>12</v>
      </c>
      <c r="H118" t="s">
        <v>13</v>
      </c>
    </row>
    <row r="119" spans="1:8" x14ac:dyDescent="0.3">
      <c r="A119" t="s">
        <v>8</v>
      </c>
      <c r="B119">
        <v>12</v>
      </c>
      <c r="C119" t="s">
        <v>81</v>
      </c>
      <c r="D119" s="1">
        <v>0.79166666666666663</v>
      </c>
      <c r="E119" t="s">
        <v>21</v>
      </c>
      <c r="F119" t="s">
        <v>24</v>
      </c>
      <c r="G119" t="s">
        <v>42</v>
      </c>
      <c r="H119" t="s">
        <v>13</v>
      </c>
    </row>
    <row r="120" spans="1:8" x14ac:dyDescent="0.3">
      <c r="A120" t="s">
        <v>8</v>
      </c>
      <c r="B120">
        <v>12</v>
      </c>
      <c r="C120" t="s">
        <v>81</v>
      </c>
      <c r="D120" s="1">
        <v>0.875</v>
      </c>
      <c r="E120" t="s">
        <v>17</v>
      </c>
      <c r="F120" t="s">
        <v>26</v>
      </c>
      <c r="G120" s="2">
        <v>46056</v>
      </c>
      <c r="H120" t="s">
        <v>13</v>
      </c>
    </row>
    <row r="121" spans="1:8" x14ac:dyDescent="0.3">
      <c r="A121" t="s">
        <v>8</v>
      </c>
      <c r="B121">
        <v>12</v>
      </c>
      <c r="C121" t="s">
        <v>82</v>
      </c>
      <c r="D121" s="1">
        <v>0.91666666666666663</v>
      </c>
      <c r="E121" t="s">
        <v>31</v>
      </c>
      <c r="F121" t="s">
        <v>34</v>
      </c>
      <c r="G121" t="s">
        <v>42</v>
      </c>
      <c r="H121" t="s">
        <v>13</v>
      </c>
    </row>
    <row r="122" spans="1:8" x14ac:dyDescent="0.3">
      <c r="A122" t="s">
        <v>8</v>
      </c>
      <c r="B122">
        <v>13</v>
      </c>
      <c r="C122" t="s">
        <v>83</v>
      </c>
      <c r="D122" s="1">
        <v>0.83333333333333337</v>
      </c>
      <c r="E122" t="s">
        <v>23</v>
      </c>
      <c r="F122" t="s">
        <v>33</v>
      </c>
      <c r="G122" t="s">
        <v>42</v>
      </c>
      <c r="H122" t="s">
        <v>13</v>
      </c>
    </row>
    <row r="123" spans="1:8" x14ac:dyDescent="0.3">
      <c r="A123" t="s">
        <v>8</v>
      </c>
      <c r="B123">
        <v>13</v>
      </c>
      <c r="C123" t="s">
        <v>83</v>
      </c>
      <c r="D123" s="1">
        <v>0.91666666666666663</v>
      </c>
      <c r="E123" t="s">
        <v>24</v>
      </c>
      <c r="F123" t="s">
        <v>17</v>
      </c>
      <c r="G123" s="2">
        <v>46025</v>
      </c>
      <c r="H123" t="s">
        <v>13</v>
      </c>
    </row>
    <row r="124" spans="1:8" x14ac:dyDescent="0.3">
      <c r="A124" t="s">
        <v>8</v>
      </c>
      <c r="B124">
        <v>13</v>
      </c>
      <c r="C124" t="s">
        <v>84</v>
      </c>
      <c r="D124" s="1">
        <v>0.66666666666666663</v>
      </c>
      <c r="E124" t="s">
        <v>25</v>
      </c>
      <c r="F124" t="s">
        <v>10</v>
      </c>
      <c r="G124" s="2">
        <v>46027</v>
      </c>
      <c r="H124" t="s">
        <v>13</v>
      </c>
    </row>
    <row r="125" spans="1:8" x14ac:dyDescent="0.3">
      <c r="A125" t="s">
        <v>8</v>
      </c>
      <c r="B125">
        <v>13</v>
      </c>
      <c r="C125" t="s">
        <v>84</v>
      </c>
      <c r="D125" s="1">
        <v>0.75</v>
      </c>
      <c r="E125" t="s">
        <v>11</v>
      </c>
      <c r="F125" t="s">
        <v>31</v>
      </c>
      <c r="G125" s="2">
        <v>46023</v>
      </c>
      <c r="H125" t="s">
        <v>13</v>
      </c>
    </row>
    <row r="126" spans="1:8" x14ac:dyDescent="0.3">
      <c r="A126" t="s">
        <v>8</v>
      </c>
      <c r="B126">
        <v>13</v>
      </c>
      <c r="C126" t="s">
        <v>84</v>
      </c>
      <c r="D126" s="1">
        <v>0.83333333333333337</v>
      </c>
      <c r="E126" t="s">
        <v>15</v>
      </c>
      <c r="F126" t="s">
        <v>21</v>
      </c>
      <c r="G126" s="2">
        <v>46024</v>
      </c>
      <c r="H126" t="s">
        <v>13</v>
      </c>
    </row>
    <row r="127" spans="1:8" x14ac:dyDescent="0.3">
      <c r="A127" t="s">
        <v>8</v>
      </c>
      <c r="B127">
        <v>13</v>
      </c>
      <c r="C127" t="s">
        <v>84</v>
      </c>
      <c r="D127" s="1">
        <v>0.91666666666666663</v>
      </c>
      <c r="E127" t="s">
        <v>35</v>
      </c>
      <c r="F127" t="s">
        <v>30</v>
      </c>
      <c r="G127" t="s">
        <v>54</v>
      </c>
      <c r="H127" t="s">
        <v>13</v>
      </c>
    </row>
    <row r="128" spans="1:8" x14ac:dyDescent="0.3">
      <c r="A128" t="s">
        <v>8</v>
      </c>
      <c r="B128">
        <v>13</v>
      </c>
      <c r="C128" t="s">
        <v>85</v>
      </c>
      <c r="D128" s="1">
        <v>0.5</v>
      </c>
      <c r="E128" t="s">
        <v>36</v>
      </c>
      <c r="F128" t="s">
        <v>27</v>
      </c>
      <c r="G128" s="2">
        <v>46082</v>
      </c>
      <c r="H128" t="s">
        <v>13</v>
      </c>
    </row>
    <row r="129" spans="1:8" x14ac:dyDescent="0.3">
      <c r="A129" t="s">
        <v>8</v>
      </c>
      <c r="B129">
        <v>13</v>
      </c>
      <c r="C129" t="s">
        <v>85</v>
      </c>
      <c r="D129" s="1">
        <v>0.70833333333333337</v>
      </c>
      <c r="E129" t="s">
        <v>16</v>
      </c>
      <c r="F129" t="s">
        <v>14</v>
      </c>
      <c r="G129" s="2">
        <v>46055</v>
      </c>
      <c r="H129" t="s">
        <v>13</v>
      </c>
    </row>
    <row r="130" spans="1:8" x14ac:dyDescent="0.3">
      <c r="A130" t="s">
        <v>8</v>
      </c>
      <c r="B130">
        <v>13</v>
      </c>
      <c r="C130" t="s">
        <v>85</v>
      </c>
      <c r="D130" s="1">
        <v>0.79166666666666663</v>
      </c>
      <c r="E130" t="s">
        <v>34</v>
      </c>
      <c r="F130" t="s">
        <v>28</v>
      </c>
      <c r="G130" s="2">
        <v>46023</v>
      </c>
      <c r="H130" t="s">
        <v>13</v>
      </c>
    </row>
    <row r="131" spans="1:8" x14ac:dyDescent="0.3">
      <c r="A131" t="s">
        <v>8</v>
      </c>
      <c r="B131">
        <v>13</v>
      </c>
      <c r="C131" t="s">
        <v>85</v>
      </c>
      <c r="D131" s="1">
        <v>0.875</v>
      </c>
      <c r="E131" t="s">
        <v>26</v>
      </c>
      <c r="F131" t="s">
        <v>20</v>
      </c>
      <c r="G131" s="2">
        <v>46113</v>
      </c>
      <c r="H131" t="s">
        <v>13</v>
      </c>
    </row>
    <row r="132" spans="1:8" x14ac:dyDescent="0.3">
      <c r="A132" t="s">
        <v>8</v>
      </c>
      <c r="B132">
        <v>14</v>
      </c>
      <c r="C132" t="s">
        <v>86</v>
      </c>
      <c r="D132" s="1">
        <v>0.875</v>
      </c>
      <c r="E132" t="s">
        <v>14</v>
      </c>
      <c r="F132" t="s">
        <v>23</v>
      </c>
      <c r="G132" t="s">
        <v>42</v>
      </c>
      <c r="H132" t="s">
        <v>13</v>
      </c>
    </row>
    <row r="133" spans="1:8" x14ac:dyDescent="0.3">
      <c r="A133" t="s">
        <v>8</v>
      </c>
      <c r="B133">
        <v>14</v>
      </c>
      <c r="C133" t="s">
        <v>87</v>
      </c>
      <c r="D133" s="1">
        <v>0.66666666666666663</v>
      </c>
      <c r="E133" t="s">
        <v>20</v>
      </c>
      <c r="F133" t="s">
        <v>24</v>
      </c>
      <c r="G133" t="s">
        <v>88</v>
      </c>
      <c r="H133" t="s">
        <v>13</v>
      </c>
    </row>
    <row r="134" spans="1:8" x14ac:dyDescent="0.3">
      <c r="A134" t="s">
        <v>8</v>
      </c>
      <c r="B134">
        <v>14</v>
      </c>
      <c r="C134" t="s">
        <v>87</v>
      </c>
      <c r="D134" s="1">
        <v>0.75</v>
      </c>
      <c r="E134" t="s">
        <v>10</v>
      </c>
      <c r="F134" t="s">
        <v>35</v>
      </c>
      <c r="G134" s="2">
        <v>46085</v>
      </c>
      <c r="H134" t="s">
        <v>13</v>
      </c>
    </row>
    <row r="135" spans="1:8" x14ac:dyDescent="0.3">
      <c r="A135" t="s">
        <v>8</v>
      </c>
      <c r="B135">
        <v>14</v>
      </c>
      <c r="C135" t="s">
        <v>87</v>
      </c>
      <c r="D135" s="1">
        <v>0.83333333333333337</v>
      </c>
      <c r="E135" t="s">
        <v>33</v>
      </c>
      <c r="F135" t="s">
        <v>25</v>
      </c>
      <c r="G135" t="s">
        <v>72</v>
      </c>
      <c r="H135" t="s">
        <v>13</v>
      </c>
    </row>
    <row r="136" spans="1:8" x14ac:dyDescent="0.3">
      <c r="A136" t="s">
        <v>8</v>
      </c>
      <c r="B136">
        <v>14</v>
      </c>
      <c r="C136" t="s">
        <v>87</v>
      </c>
      <c r="D136" s="1">
        <v>0.91666666666666663</v>
      </c>
      <c r="E136" t="s">
        <v>28</v>
      </c>
      <c r="F136" t="s">
        <v>11</v>
      </c>
      <c r="G136" t="s">
        <v>22</v>
      </c>
      <c r="H136" t="s">
        <v>13</v>
      </c>
    </row>
    <row r="137" spans="1:8" x14ac:dyDescent="0.3">
      <c r="A137" t="s">
        <v>8</v>
      </c>
      <c r="B137">
        <v>14</v>
      </c>
      <c r="C137" t="s">
        <v>89</v>
      </c>
      <c r="D137" s="1">
        <v>0.5</v>
      </c>
      <c r="E137" t="s">
        <v>21</v>
      </c>
      <c r="F137" t="s">
        <v>34</v>
      </c>
      <c r="G137" t="s">
        <v>46</v>
      </c>
      <c r="H137" t="s">
        <v>13</v>
      </c>
    </row>
    <row r="138" spans="1:8" x14ac:dyDescent="0.3">
      <c r="A138" t="s">
        <v>8</v>
      </c>
      <c r="B138">
        <v>14</v>
      </c>
      <c r="C138" t="s">
        <v>89</v>
      </c>
      <c r="D138" s="1">
        <v>0.70833333333333337</v>
      </c>
      <c r="E138" t="s">
        <v>30</v>
      </c>
      <c r="F138" t="s">
        <v>36</v>
      </c>
      <c r="G138" s="2">
        <v>46113</v>
      </c>
      <c r="H138" t="s">
        <v>13</v>
      </c>
    </row>
    <row r="139" spans="1:8" x14ac:dyDescent="0.3">
      <c r="A139" t="s">
        <v>8</v>
      </c>
      <c r="B139">
        <v>14</v>
      </c>
      <c r="C139" t="s">
        <v>89</v>
      </c>
      <c r="D139" s="1">
        <v>0.79166666666666663</v>
      </c>
      <c r="E139" t="s">
        <v>31</v>
      </c>
      <c r="F139" t="s">
        <v>16</v>
      </c>
      <c r="G139" s="2">
        <v>46024</v>
      </c>
      <c r="H139" t="s">
        <v>13</v>
      </c>
    </row>
    <row r="140" spans="1:8" x14ac:dyDescent="0.3">
      <c r="A140" t="s">
        <v>8</v>
      </c>
      <c r="B140">
        <v>14</v>
      </c>
      <c r="C140" t="s">
        <v>89</v>
      </c>
      <c r="D140" s="1">
        <v>0.875</v>
      </c>
      <c r="E140" t="s">
        <v>27</v>
      </c>
      <c r="F140" t="s">
        <v>26</v>
      </c>
      <c r="G140" t="s">
        <v>88</v>
      </c>
      <c r="H140" t="s">
        <v>13</v>
      </c>
    </row>
    <row r="141" spans="1:8" x14ac:dyDescent="0.3">
      <c r="A141" t="s">
        <v>8</v>
      </c>
      <c r="B141">
        <v>14</v>
      </c>
      <c r="C141" t="s">
        <v>90</v>
      </c>
      <c r="D141" s="1">
        <v>0.91666666666666663</v>
      </c>
      <c r="E141" t="s">
        <v>17</v>
      </c>
      <c r="F141" t="s">
        <v>15</v>
      </c>
      <c r="G141" s="2">
        <v>46054</v>
      </c>
      <c r="H141" t="s">
        <v>13</v>
      </c>
    </row>
    <row r="142" spans="1:8" x14ac:dyDescent="0.3">
      <c r="A142" t="s">
        <v>8</v>
      </c>
      <c r="B142">
        <v>15</v>
      </c>
      <c r="C142" t="s">
        <v>91</v>
      </c>
      <c r="D142" s="1">
        <v>0.83333333333333337</v>
      </c>
      <c r="E142" t="s">
        <v>11</v>
      </c>
      <c r="F142" t="s">
        <v>21</v>
      </c>
      <c r="G142" t="s">
        <v>18</v>
      </c>
      <c r="H142" t="s">
        <v>13</v>
      </c>
    </row>
    <row r="143" spans="1:8" x14ac:dyDescent="0.3">
      <c r="A143" t="s">
        <v>8</v>
      </c>
      <c r="B143">
        <v>15</v>
      </c>
      <c r="C143" t="s">
        <v>91</v>
      </c>
      <c r="D143" s="1">
        <v>0.85416666666666663</v>
      </c>
      <c r="E143" t="s">
        <v>34</v>
      </c>
      <c r="F143" t="s">
        <v>17</v>
      </c>
      <c r="G143" s="2">
        <v>46023</v>
      </c>
      <c r="H143" t="s">
        <v>13</v>
      </c>
    </row>
    <row r="144" spans="1:8" x14ac:dyDescent="0.3">
      <c r="A144" t="s">
        <v>8</v>
      </c>
      <c r="B144">
        <v>15</v>
      </c>
      <c r="C144" t="s">
        <v>92</v>
      </c>
      <c r="D144" s="1">
        <v>0.66666666666666663</v>
      </c>
      <c r="E144" t="s">
        <v>31</v>
      </c>
      <c r="F144" t="s">
        <v>28</v>
      </c>
      <c r="G144" t="s">
        <v>54</v>
      </c>
      <c r="H144" t="s">
        <v>13</v>
      </c>
    </row>
    <row r="145" spans="1:8" x14ac:dyDescent="0.3">
      <c r="A145" t="s">
        <v>8</v>
      </c>
      <c r="B145">
        <v>15</v>
      </c>
      <c r="C145" t="s">
        <v>92</v>
      </c>
      <c r="D145" s="1">
        <v>0.75</v>
      </c>
      <c r="E145" t="s">
        <v>35</v>
      </c>
      <c r="F145" t="s">
        <v>33</v>
      </c>
      <c r="G145" s="2">
        <v>46025</v>
      </c>
      <c r="H145" t="s">
        <v>13</v>
      </c>
    </row>
    <row r="146" spans="1:8" x14ac:dyDescent="0.3">
      <c r="A146" t="s">
        <v>8</v>
      </c>
      <c r="B146">
        <v>15</v>
      </c>
      <c r="C146" t="s">
        <v>92</v>
      </c>
      <c r="D146" s="1">
        <v>0.83333333333333337</v>
      </c>
      <c r="E146" t="s">
        <v>25</v>
      </c>
      <c r="F146" t="s">
        <v>14</v>
      </c>
      <c r="G146" t="s">
        <v>88</v>
      </c>
      <c r="H146" t="s">
        <v>13</v>
      </c>
    </row>
    <row r="147" spans="1:8" x14ac:dyDescent="0.3">
      <c r="A147" t="s">
        <v>8</v>
      </c>
      <c r="B147">
        <v>15</v>
      </c>
      <c r="C147" t="s">
        <v>92</v>
      </c>
      <c r="D147" s="1">
        <v>0.91666666666666663</v>
      </c>
      <c r="E147" t="s">
        <v>36</v>
      </c>
      <c r="F147" t="s">
        <v>10</v>
      </c>
      <c r="G147" s="2">
        <v>46054</v>
      </c>
      <c r="H147" t="s">
        <v>13</v>
      </c>
    </row>
    <row r="148" spans="1:8" x14ac:dyDescent="0.3">
      <c r="A148" t="s">
        <v>8</v>
      </c>
      <c r="B148">
        <v>15</v>
      </c>
      <c r="C148" t="s">
        <v>93</v>
      </c>
      <c r="D148" s="1">
        <v>0.5</v>
      </c>
      <c r="E148" t="s">
        <v>26</v>
      </c>
      <c r="F148" t="s">
        <v>30</v>
      </c>
      <c r="G148" s="2">
        <v>46055</v>
      </c>
      <c r="H148" t="s">
        <v>13</v>
      </c>
    </row>
    <row r="149" spans="1:8" x14ac:dyDescent="0.3">
      <c r="A149" t="s">
        <v>8</v>
      </c>
      <c r="B149">
        <v>15</v>
      </c>
      <c r="C149" t="s">
        <v>93</v>
      </c>
      <c r="D149" s="1">
        <v>0.70833333333333337</v>
      </c>
      <c r="E149" t="s">
        <v>24</v>
      </c>
      <c r="F149" t="s">
        <v>27</v>
      </c>
      <c r="G149" s="2">
        <v>46054</v>
      </c>
      <c r="H149" t="s">
        <v>13</v>
      </c>
    </row>
    <row r="150" spans="1:8" x14ac:dyDescent="0.3">
      <c r="A150" t="s">
        <v>8</v>
      </c>
      <c r="B150">
        <v>15</v>
      </c>
      <c r="C150" t="s">
        <v>93</v>
      </c>
      <c r="D150" s="1">
        <v>0.79166666666666663</v>
      </c>
      <c r="E150" t="s">
        <v>16</v>
      </c>
      <c r="F150" t="s">
        <v>23</v>
      </c>
      <c r="G150" t="s">
        <v>32</v>
      </c>
      <c r="H150" t="s">
        <v>13</v>
      </c>
    </row>
    <row r="151" spans="1:8" x14ac:dyDescent="0.3">
      <c r="A151" t="s">
        <v>8</v>
      </c>
      <c r="B151">
        <v>15</v>
      </c>
      <c r="C151" t="s">
        <v>93</v>
      </c>
      <c r="D151" s="1">
        <v>0.875</v>
      </c>
      <c r="E151" t="s">
        <v>15</v>
      </c>
      <c r="F151" t="s">
        <v>20</v>
      </c>
      <c r="G151" t="s">
        <v>18</v>
      </c>
      <c r="H151" t="s">
        <v>13</v>
      </c>
    </row>
    <row r="152" spans="1:8" x14ac:dyDescent="0.3">
      <c r="A152" t="s">
        <v>8</v>
      </c>
      <c r="B152">
        <v>16</v>
      </c>
      <c r="C152" t="s">
        <v>94</v>
      </c>
      <c r="D152" s="1">
        <v>0.875</v>
      </c>
      <c r="E152" t="s">
        <v>21</v>
      </c>
      <c r="F152" t="s">
        <v>31</v>
      </c>
      <c r="G152" s="2">
        <v>46024</v>
      </c>
      <c r="H152" t="s">
        <v>13</v>
      </c>
    </row>
    <row r="153" spans="1:8" x14ac:dyDescent="0.3">
      <c r="A153" t="s">
        <v>8</v>
      </c>
      <c r="B153">
        <v>16</v>
      </c>
      <c r="C153" t="s">
        <v>95</v>
      </c>
      <c r="D153" s="1">
        <v>0.66666666666666663</v>
      </c>
      <c r="E153" t="s">
        <v>23</v>
      </c>
      <c r="F153" t="s">
        <v>25</v>
      </c>
      <c r="G153" s="2">
        <v>46055</v>
      </c>
      <c r="H153" t="s">
        <v>13</v>
      </c>
    </row>
    <row r="154" spans="1:8" x14ac:dyDescent="0.3">
      <c r="A154" t="s">
        <v>8</v>
      </c>
      <c r="B154">
        <v>16</v>
      </c>
      <c r="C154" t="s">
        <v>95</v>
      </c>
      <c r="D154" s="1">
        <v>0.75</v>
      </c>
      <c r="E154" t="s">
        <v>30</v>
      </c>
      <c r="F154" t="s">
        <v>24</v>
      </c>
      <c r="G154" t="s">
        <v>54</v>
      </c>
      <c r="H154" t="s">
        <v>13</v>
      </c>
    </row>
    <row r="155" spans="1:8" x14ac:dyDescent="0.3">
      <c r="A155" t="s">
        <v>8</v>
      </c>
      <c r="B155">
        <v>16</v>
      </c>
      <c r="C155" t="s">
        <v>95</v>
      </c>
      <c r="D155" s="1">
        <v>0.83333333333333337</v>
      </c>
      <c r="E155" t="s">
        <v>20</v>
      </c>
      <c r="F155" t="s">
        <v>34</v>
      </c>
      <c r="G155" s="2">
        <v>46024</v>
      </c>
      <c r="H155" t="s">
        <v>13</v>
      </c>
    </row>
    <row r="156" spans="1:8" x14ac:dyDescent="0.3">
      <c r="A156" t="s">
        <v>8</v>
      </c>
      <c r="B156">
        <v>16</v>
      </c>
      <c r="C156" t="s">
        <v>95</v>
      </c>
      <c r="D156" s="1">
        <v>0.91666666666666663</v>
      </c>
      <c r="E156" t="s">
        <v>17</v>
      </c>
      <c r="F156" t="s">
        <v>11</v>
      </c>
      <c r="G156" t="s">
        <v>18</v>
      </c>
      <c r="H156" t="s">
        <v>13</v>
      </c>
    </row>
    <row r="157" spans="1:8" x14ac:dyDescent="0.3">
      <c r="A157" t="s">
        <v>8</v>
      </c>
      <c r="B157">
        <v>16</v>
      </c>
      <c r="C157" t="s">
        <v>96</v>
      </c>
      <c r="D157" s="1">
        <v>0.5</v>
      </c>
      <c r="E157" t="s">
        <v>33</v>
      </c>
      <c r="F157" t="s">
        <v>36</v>
      </c>
      <c r="G157" t="s">
        <v>41</v>
      </c>
      <c r="H157" t="s">
        <v>13</v>
      </c>
    </row>
    <row r="158" spans="1:8" x14ac:dyDescent="0.3">
      <c r="A158" t="s">
        <v>8</v>
      </c>
      <c r="B158">
        <v>16</v>
      </c>
      <c r="C158" t="s">
        <v>96</v>
      </c>
      <c r="D158" s="1">
        <v>0.70833333333333337</v>
      </c>
      <c r="E158" t="s">
        <v>10</v>
      </c>
      <c r="F158" t="s">
        <v>26</v>
      </c>
      <c r="G158" s="2">
        <v>46027</v>
      </c>
      <c r="H158" t="s">
        <v>13</v>
      </c>
    </row>
    <row r="159" spans="1:8" x14ac:dyDescent="0.3">
      <c r="A159" t="s">
        <v>8</v>
      </c>
      <c r="B159">
        <v>16</v>
      </c>
      <c r="C159" t="s">
        <v>96</v>
      </c>
      <c r="D159" s="1">
        <v>0.79166666666666663</v>
      </c>
      <c r="E159" t="s">
        <v>27</v>
      </c>
      <c r="F159" t="s">
        <v>15</v>
      </c>
      <c r="G159" s="2">
        <v>46023</v>
      </c>
      <c r="H159" t="s">
        <v>13</v>
      </c>
    </row>
    <row r="160" spans="1:8" x14ac:dyDescent="0.3">
      <c r="A160" t="s">
        <v>8</v>
      </c>
      <c r="B160">
        <v>16</v>
      </c>
      <c r="C160" t="s">
        <v>96</v>
      </c>
      <c r="D160" s="1">
        <v>0.875</v>
      </c>
      <c r="E160" t="s">
        <v>28</v>
      </c>
      <c r="F160" t="s">
        <v>16</v>
      </c>
      <c r="G160" t="s">
        <v>32</v>
      </c>
      <c r="H160" t="s">
        <v>13</v>
      </c>
    </row>
    <row r="161" spans="1:8" x14ac:dyDescent="0.3">
      <c r="A161" t="s">
        <v>8</v>
      </c>
      <c r="B161">
        <v>16</v>
      </c>
      <c r="C161" t="s">
        <v>97</v>
      </c>
      <c r="D161" s="1">
        <v>0.91666666666666663</v>
      </c>
      <c r="E161" t="s">
        <v>14</v>
      </c>
      <c r="F161" t="s">
        <v>35</v>
      </c>
      <c r="G161" t="s">
        <v>32</v>
      </c>
      <c r="H161" t="s">
        <v>13</v>
      </c>
    </row>
    <row r="162" spans="1:8" x14ac:dyDescent="0.3">
      <c r="A162" t="s">
        <v>8</v>
      </c>
      <c r="B162">
        <v>17</v>
      </c>
      <c r="C162" t="s">
        <v>98</v>
      </c>
      <c r="D162" s="1">
        <v>0.85416666666666663</v>
      </c>
      <c r="E162" t="s">
        <v>31</v>
      </c>
      <c r="F162" t="s">
        <v>17</v>
      </c>
      <c r="G162" t="s">
        <v>42</v>
      </c>
      <c r="H162" t="s">
        <v>13</v>
      </c>
    </row>
    <row r="163" spans="1:8" x14ac:dyDescent="0.3">
      <c r="A163" t="s">
        <v>8</v>
      </c>
      <c r="B163">
        <v>17</v>
      </c>
      <c r="C163" t="s">
        <v>99</v>
      </c>
      <c r="D163" s="1">
        <v>0.66666666666666663</v>
      </c>
      <c r="E163" t="s">
        <v>34</v>
      </c>
      <c r="F163" t="s">
        <v>27</v>
      </c>
      <c r="G163" s="2">
        <v>46054</v>
      </c>
      <c r="H163" t="s">
        <v>13</v>
      </c>
    </row>
    <row r="164" spans="1:8" x14ac:dyDescent="0.3">
      <c r="A164" t="s">
        <v>8</v>
      </c>
      <c r="B164">
        <v>17</v>
      </c>
      <c r="C164" t="s">
        <v>99</v>
      </c>
      <c r="D164" s="1">
        <v>0.75</v>
      </c>
      <c r="E164" t="s">
        <v>26</v>
      </c>
      <c r="F164" t="s">
        <v>33</v>
      </c>
      <c r="G164" t="s">
        <v>42</v>
      </c>
      <c r="H164" t="s">
        <v>13</v>
      </c>
    </row>
    <row r="165" spans="1:8" x14ac:dyDescent="0.3">
      <c r="A165" t="s">
        <v>8</v>
      </c>
      <c r="B165">
        <v>17</v>
      </c>
      <c r="C165" t="s">
        <v>99</v>
      </c>
      <c r="D165" s="1">
        <v>0.83333333333333337</v>
      </c>
      <c r="E165" t="s">
        <v>28</v>
      </c>
      <c r="F165" t="s">
        <v>21</v>
      </c>
      <c r="G165" s="2">
        <v>46056</v>
      </c>
      <c r="H165" t="s">
        <v>13</v>
      </c>
    </row>
    <row r="166" spans="1:8" x14ac:dyDescent="0.3">
      <c r="A166" t="s">
        <v>8</v>
      </c>
      <c r="B166">
        <v>17</v>
      </c>
      <c r="C166" t="s">
        <v>99</v>
      </c>
      <c r="D166" s="1">
        <v>0.91666666666666663</v>
      </c>
      <c r="E166" t="s">
        <v>24</v>
      </c>
      <c r="F166" t="s">
        <v>10</v>
      </c>
      <c r="G166" s="2">
        <v>46082</v>
      </c>
      <c r="H166" t="s">
        <v>13</v>
      </c>
    </row>
    <row r="167" spans="1:8" x14ac:dyDescent="0.3">
      <c r="A167" t="s">
        <v>8</v>
      </c>
      <c r="B167">
        <v>17</v>
      </c>
      <c r="C167" t="s">
        <v>100</v>
      </c>
      <c r="D167" s="1">
        <v>0.5</v>
      </c>
      <c r="E167" t="s">
        <v>36</v>
      </c>
      <c r="F167" t="s">
        <v>14</v>
      </c>
      <c r="G167" s="2">
        <v>46057</v>
      </c>
      <c r="H167" t="s">
        <v>13</v>
      </c>
    </row>
    <row r="168" spans="1:8" x14ac:dyDescent="0.3">
      <c r="A168" t="s">
        <v>8</v>
      </c>
      <c r="B168">
        <v>17</v>
      </c>
      <c r="C168" t="s">
        <v>100</v>
      </c>
      <c r="D168" s="1">
        <v>0.70833333333333337</v>
      </c>
      <c r="E168" t="s">
        <v>11</v>
      </c>
      <c r="F168" t="s">
        <v>20</v>
      </c>
      <c r="G168" s="2">
        <v>46144</v>
      </c>
      <c r="H168" t="s">
        <v>13</v>
      </c>
    </row>
    <row r="169" spans="1:8" x14ac:dyDescent="0.3">
      <c r="A169" t="s">
        <v>8</v>
      </c>
      <c r="B169">
        <v>17</v>
      </c>
      <c r="C169" t="s">
        <v>100</v>
      </c>
      <c r="D169" s="1">
        <v>0.79166666666666663</v>
      </c>
      <c r="E169" t="s">
        <v>15</v>
      </c>
      <c r="F169" t="s">
        <v>30</v>
      </c>
      <c r="G169" s="2">
        <v>46024</v>
      </c>
      <c r="H169" t="s">
        <v>13</v>
      </c>
    </row>
    <row r="170" spans="1:8" x14ac:dyDescent="0.3">
      <c r="A170" t="s">
        <v>8</v>
      </c>
      <c r="B170">
        <v>17</v>
      </c>
      <c r="C170" t="s">
        <v>100</v>
      </c>
      <c r="D170" s="1">
        <v>0.875</v>
      </c>
      <c r="E170" t="s">
        <v>35</v>
      </c>
      <c r="F170" t="s">
        <v>23</v>
      </c>
      <c r="G170" s="2">
        <v>46023</v>
      </c>
      <c r="H170" t="s">
        <v>13</v>
      </c>
    </row>
    <row r="171" spans="1:8" x14ac:dyDescent="0.3">
      <c r="A171" t="s">
        <v>8</v>
      </c>
      <c r="B171">
        <v>17</v>
      </c>
      <c r="C171" t="s">
        <v>100</v>
      </c>
      <c r="D171" s="1">
        <v>0.875</v>
      </c>
      <c r="E171" t="s">
        <v>16</v>
      </c>
      <c r="F171" t="s">
        <v>25</v>
      </c>
      <c r="G171" s="2">
        <v>46083</v>
      </c>
      <c r="H171" t="s">
        <v>13</v>
      </c>
    </row>
    <row r="172" spans="1:8" x14ac:dyDescent="0.3">
      <c r="A172" t="s">
        <v>8</v>
      </c>
      <c r="B172">
        <v>18</v>
      </c>
      <c r="C172" t="s">
        <v>101</v>
      </c>
      <c r="D172" s="1">
        <v>0.66666666666666663</v>
      </c>
      <c r="E172" t="s">
        <v>17</v>
      </c>
      <c r="F172" t="s">
        <v>28</v>
      </c>
      <c r="G172" t="s">
        <v>42</v>
      </c>
      <c r="H172" t="s">
        <v>13</v>
      </c>
    </row>
    <row r="173" spans="1:8" x14ac:dyDescent="0.3">
      <c r="A173" t="s">
        <v>8</v>
      </c>
      <c r="B173">
        <v>18</v>
      </c>
      <c r="C173" t="s">
        <v>101</v>
      </c>
      <c r="D173" s="1">
        <v>0.75</v>
      </c>
      <c r="E173" t="s">
        <v>14</v>
      </c>
      <c r="F173" t="s">
        <v>26</v>
      </c>
      <c r="G173" t="s">
        <v>41</v>
      </c>
      <c r="H173" t="s">
        <v>13</v>
      </c>
    </row>
    <row r="174" spans="1:8" x14ac:dyDescent="0.3">
      <c r="A174" t="s">
        <v>8</v>
      </c>
      <c r="B174">
        <v>18</v>
      </c>
      <c r="C174" t="s">
        <v>101</v>
      </c>
      <c r="D174" s="1">
        <v>0.83333333333333337</v>
      </c>
      <c r="E174" t="s">
        <v>16</v>
      </c>
      <c r="F174" t="s">
        <v>21</v>
      </c>
      <c r="G174" t="s">
        <v>12</v>
      </c>
      <c r="H174" t="s">
        <v>13</v>
      </c>
    </row>
    <row r="175" spans="1:8" x14ac:dyDescent="0.3">
      <c r="A175" t="s">
        <v>8</v>
      </c>
      <c r="B175">
        <v>18</v>
      </c>
      <c r="C175" t="s">
        <v>101</v>
      </c>
      <c r="D175" s="1">
        <v>0.91666666666666663</v>
      </c>
      <c r="E175" t="s">
        <v>33</v>
      </c>
      <c r="F175" t="s">
        <v>24</v>
      </c>
      <c r="G175" t="s">
        <v>32</v>
      </c>
      <c r="H175" t="s">
        <v>13</v>
      </c>
    </row>
    <row r="176" spans="1:8" x14ac:dyDescent="0.3">
      <c r="A176" t="s">
        <v>8</v>
      </c>
      <c r="B176">
        <v>18</v>
      </c>
      <c r="C176" t="s">
        <v>102</v>
      </c>
      <c r="D176" s="1">
        <v>0.5</v>
      </c>
      <c r="E176" t="s">
        <v>27</v>
      </c>
      <c r="F176" t="s">
        <v>11</v>
      </c>
      <c r="G176" t="s">
        <v>32</v>
      </c>
      <c r="H176" t="s">
        <v>13</v>
      </c>
    </row>
    <row r="177" spans="1:8" x14ac:dyDescent="0.3">
      <c r="A177" t="s">
        <v>8</v>
      </c>
      <c r="B177">
        <v>18</v>
      </c>
      <c r="C177" t="s">
        <v>102</v>
      </c>
      <c r="D177" s="1">
        <v>0.66666666666666663</v>
      </c>
      <c r="E177" t="s">
        <v>20</v>
      </c>
      <c r="F177" t="s">
        <v>31</v>
      </c>
      <c r="G177" t="s">
        <v>88</v>
      </c>
      <c r="H177" t="s">
        <v>13</v>
      </c>
    </row>
    <row r="178" spans="1:8" x14ac:dyDescent="0.3">
      <c r="A178" t="s">
        <v>8</v>
      </c>
      <c r="B178">
        <v>18</v>
      </c>
      <c r="C178" t="s">
        <v>102</v>
      </c>
      <c r="D178" s="1">
        <v>0.75</v>
      </c>
      <c r="E178" t="s">
        <v>23</v>
      </c>
      <c r="F178" t="s">
        <v>36</v>
      </c>
      <c r="G178" t="s">
        <v>18</v>
      </c>
      <c r="H178" t="s">
        <v>13</v>
      </c>
    </row>
    <row r="179" spans="1:8" x14ac:dyDescent="0.3">
      <c r="A179" t="s">
        <v>8</v>
      </c>
      <c r="B179">
        <v>18</v>
      </c>
      <c r="C179" t="s">
        <v>102</v>
      </c>
      <c r="D179" s="1">
        <v>0.83333333333333337</v>
      </c>
      <c r="E179" t="s">
        <v>10</v>
      </c>
      <c r="F179" t="s">
        <v>15</v>
      </c>
      <c r="G179" t="s">
        <v>12</v>
      </c>
      <c r="H179" t="s">
        <v>13</v>
      </c>
    </row>
    <row r="180" spans="1:8" x14ac:dyDescent="0.3">
      <c r="A180" t="s">
        <v>8</v>
      </c>
      <c r="B180">
        <v>18</v>
      </c>
      <c r="C180" t="s">
        <v>103</v>
      </c>
      <c r="D180" s="1">
        <v>0.79166666666666663</v>
      </c>
      <c r="E180" t="s">
        <v>25</v>
      </c>
      <c r="F180" t="s">
        <v>35</v>
      </c>
      <c r="G180" t="s">
        <v>32</v>
      </c>
      <c r="H180" t="s">
        <v>13</v>
      </c>
    </row>
    <row r="181" spans="1:8" x14ac:dyDescent="0.3">
      <c r="A181" t="s">
        <v>8</v>
      </c>
      <c r="B181">
        <v>18</v>
      </c>
      <c r="C181" t="s">
        <v>103</v>
      </c>
      <c r="D181" s="1">
        <v>0.91666666666666663</v>
      </c>
      <c r="E181" t="s">
        <v>30</v>
      </c>
      <c r="F181" t="s">
        <v>34</v>
      </c>
      <c r="G181" s="2">
        <v>46144</v>
      </c>
      <c r="H181" t="s">
        <v>13</v>
      </c>
    </row>
    <row r="182" spans="1:8" x14ac:dyDescent="0.3">
      <c r="A182" t="s">
        <v>8</v>
      </c>
      <c r="B182">
        <v>19</v>
      </c>
      <c r="C182" t="s">
        <v>104</v>
      </c>
      <c r="D182" s="1">
        <v>0.875</v>
      </c>
      <c r="E182" t="s">
        <v>24</v>
      </c>
      <c r="F182" t="s">
        <v>14</v>
      </c>
      <c r="G182" t="s">
        <v>88</v>
      </c>
      <c r="H182" t="s">
        <v>13</v>
      </c>
    </row>
    <row r="183" spans="1:8" x14ac:dyDescent="0.3">
      <c r="A183" t="s">
        <v>8</v>
      </c>
      <c r="B183">
        <v>19</v>
      </c>
      <c r="C183" t="s">
        <v>105</v>
      </c>
      <c r="D183" s="1">
        <v>0.66666666666666663</v>
      </c>
      <c r="E183" t="s">
        <v>15</v>
      </c>
      <c r="F183" t="s">
        <v>33</v>
      </c>
      <c r="G183" s="2">
        <v>46028</v>
      </c>
      <c r="H183" t="s">
        <v>13</v>
      </c>
    </row>
    <row r="184" spans="1:8" x14ac:dyDescent="0.3">
      <c r="A184" t="s">
        <v>8</v>
      </c>
      <c r="B184">
        <v>19</v>
      </c>
      <c r="C184" t="s">
        <v>105</v>
      </c>
      <c r="D184" s="1">
        <v>0.75</v>
      </c>
      <c r="E184" t="s">
        <v>35</v>
      </c>
      <c r="F184" t="s">
        <v>16</v>
      </c>
      <c r="G184" s="2">
        <v>46024</v>
      </c>
      <c r="H184" t="s">
        <v>13</v>
      </c>
    </row>
    <row r="185" spans="1:8" x14ac:dyDescent="0.3">
      <c r="A185" t="s">
        <v>8</v>
      </c>
      <c r="B185">
        <v>19</v>
      </c>
      <c r="C185" t="s">
        <v>105</v>
      </c>
      <c r="D185" s="1">
        <v>0.83333333333333337</v>
      </c>
      <c r="E185" t="s">
        <v>28</v>
      </c>
      <c r="F185" t="s">
        <v>20</v>
      </c>
      <c r="G185" t="s">
        <v>41</v>
      </c>
      <c r="H185" t="s">
        <v>13</v>
      </c>
    </row>
    <row r="186" spans="1:8" x14ac:dyDescent="0.3">
      <c r="A186" t="s">
        <v>8</v>
      </c>
      <c r="B186">
        <v>19</v>
      </c>
      <c r="C186" t="s">
        <v>105</v>
      </c>
      <c r="D186" s="1">
        <v>0.91666666666666663</v>
      </c>
      <c r="E186" t="s">
        <v>31</v>
      </c>
      <c r="F186" t="s">
        <v>27</v>
      </c>
      <c r="G186" s="2">
        <v>46023</v>
      </c>
      <c r="H186" t="s">
        <v>13</v>
      </c>
    </row>
    <row r="187" spans="1:8" x14ac:dyDescent="0.3">
      <c r="A187" t="s">
        <v>8</v>
      </c>
      <c r="B187">
        <v>19</v>
      </c>
      <c r="C187" t="s">
        <v>106</v>
      </c>
      <c r="D187" s="1">
        <v>0.5</v>
      </c>
      <c r="E187" t="s">
        <v>11</v>
      </c>
      <c r="F187" t="s">
        <v>30</v>
      </c>
      <c r="G187" t="s">
        <v>42</v>
      </c>
      <c r="H187" t="s">
        <v>13</v>
      </c>
    </row>
    <row r="188" spans="1:8" x14ac:dyDescent="0.3">
      <c r="A188" t="s">
        <v>8</v>
      </c>
      <c r="B188">
        <v>19</v>
      </c>
      <c r="C188" t="s">
        <v>106</v>
      </c>
      <c r="D188" s="1">
        <v>0.70833333333333337</v>
      </c>
      <c r="E188" t="s">
        <v>26</v>
      </c>
      <c r="F188" t="s">
        <v>23</v>
      </c>
      <c r="G188" s="2">
        <v>46054</v>
      </c>
      <c r="H188" t="s">
        <v>13</v>
      </c>
    </row>
    <row r="189" spans="1:8" x14ac:dyDescent="0.3">
      <c r="A189" t="s">
        <v>8</v>
      </c>
      <c r="B189">
        <v>19</v>
      </c>
      <c r="C189" t="s">
        <v>106</v>
      </c>
      <c r="D189" s="1">
        <v>0.79166666666666663</v>
      </c>
      <c r="E189" t="s">
        <v>36</v>
      </c>
      <c r="F189" t="s">
        <v>25</v>
      </c>
      <c r="G189" t="s">
        <v>42</v>
      </c>
      <c r="H189" t="s">
        <v>13</v>
      </c>
    </row>
    <row r="190" spans="1:8" x14ac:dyDescent="0.3">
      <c r="A190" t="s">
        <v>8</v>
      </c>
      <c r="B190">
        <v>19</v>
      </c>
      <c r="C190" t="s">
        <v>106</v>
      </c>
      <c r="D190" s="1">
        <v>0.875</v>
      </c>
      <c r="E190" t="s">
        <v>21</v>
      </c>
      <c r="F190" t="s">
        <v>17</v>
      </c>
      <c r="G190" t="s">
        <v>18</v>
      </c>
      <c r="H190" t="s">
        <v>13</v>
      </c>
    </row>
    <row r="191" spans="1:8" x14ac:dyDescent="0.3">
      <c r="A191" t="s">
        <v>8</v>
      </c>
      <c r="B191">
        <v>19</v>
      </c>
      <c r="C191" t="s">
        <v>107</v>
      </c>
      <c r="D191" s="1">
        <v>0.91666666666666663</v>
      </c>
      <c r="E191" t="s">
        <v>34</v>
      </c>
      <c r="F191" t="s">
        <v>10</v>
      </c>
      <c r="G191" s="2">
        <v>46027</v>
      </c>
      <c r="H191" t="s">
        <v>13</v>
      </c>
    </row>
    <row r="192" spans="1:8" x14ac:dyDescent="0.3">
      <c r="A192" t="s">
        <v>8</v>
      </c>
      <c r="B192">
        <v>20</v>
      </c>
      <c r="C192" t="s">
        <v>108</v>
      </c>
      <c r="D192" s="1">
        <v>0.875</v>
      </c>
      <c r="E192" t="s">
        <v>17</v>
      </c>
      <c r="F192" t="s">
        <v>16</v>
      </c>
      <c r="G192" t="s">
        <v>41</v>
      </c>
      <c r="H192" t="s">
        <v>13</v>
      </c>
    </row>
    <row r="193" spans="1:8" x14ac:dyDescent="0.3">
      <c r="A193" t="s">
        <v>8</v>
      </c>
      <c r="B193">
        <v>20</v>
      </c>
      <c r="C193" t="s">
        <v>109</v>
      </c>
      <c r="D193" s="1">
        <v>0.66666666666666663</v>
      </c>
      <c r="E193" t="s">
        <v>26</v>
      </c>
      <c r="F193" t="s">
        <v>25</v>
      </c>
      <c r="G193" t="s">
        <v>72</v>
      </c>
      <c r="H193" t="s">
        <v>13</v>
      </c>
    </row>
    <row r="194" spans="1:8" x14ac:dyDescent="0.3">
      <c r="A194" t="s">
        <v>8</v>
      </c>
      <c r="B194">
        <v>20</v>
      </c>
      <c r="C194" t="s">
        <v>109</v>
      </c>
      <c r="D194" s="1">
        <v>0.75</v>
      </c>
      <c r="E194" t="s">
        <v>31</v>
      </c>
      <c r="F194" t="s">
        <v>30</v>
      </c>
      <c r="G194" t="s">
        <v>12</v>
      </c>
      <c r="H194" t="s">
        <v>13</v>
      </c>
    </row>
    <row r="195" spans="1:8" x14ac:dyDescent="0.3">
      <c r="A195" t="s">
        <v>8</v>
      </c>
      <c r="B195">
        <v>20</v>
      </c>
      <c r="C195" t="s">
        <v>109</v>
      </c>
      <c r="D195" s="1">
        <v>0.83333333333333337</v>
      </c>
      <c r="E195" t="s">
        <v>24</v>
      </c>
      <c r="F195" t="s">
        <v>23</v>
      </c>
      <c r="G195" t="s">
        <v>41</v>
      </c>
      <c r="H195" t="s">
        <v>13</v>
      </c>
    </row>
    <row r="196" spans="1:8" x14ac:dyDescent="0.3">
      <c r="A196" t="s">
        <v>8</v>
      </c>
      <c r="B196">
        <v>20</v>
      </c>
      <c r="C196" t="s">
        <v>109</v>
      </c>
      <c r="D196" s="1">
        <v>0.91666666666666663</v>
      </c>
      <c r="E196" t="s">
        <v>36</v>
      </c>
      <c r="F196" t="s">
        <v>35</v>
      </c>
      <c r="G196" t="s">
        <v>18</v>
      </c>
      <c r="H196" t="s">
        <v>13</v>
      </c>
    </row>
    <row r="197" spans="1:8" x14ac:dyDescent="0.3">
      <c r="A197" t="s">
        <v>8</v>
      </c>
      <c r="B197">
        <v>20</v>
      </c>
      <c r="C197" t="s">
        <v>110</v>
      </c>
      <c r="D197" s="1">
        <v>0.5</v>
      </c>
      <c r="E197" t="s">
        <v>11</v>
      </c>
      <c r="F197" t="s">
        <v>10</v>
      </c>
      <c r="G197" s="2">
        <v>46055</v>
      </c>
      <c r="H197" t="s">
        <v>13</v>
      </c>
    </row>
    <row r="198" spans="1:8" x14ac:dyDescent="0.3">
      <c r="A198" t="s">
        <v>8</v>
      </c>
      <c r="B198">
        <v>20</v>
      </c>
      <c r="C198" t="s">
        <v>110</v>
      </c>
      <c r="D198" s="1">
        <v>0.70833333333333337</v>
      </c>
      <c r="E198" t="s">
        <v>34</v>
      </c>
      <c r="F198" t="s">
        <v>33</v>
      </c>
      <c r="G198" t="s">
        <v>12</v>
      </c>
      <c r="H198" t="s">
        <v>13</v>
      </c>
    </row>
    <row r="199" spans="1:8" x14ac:dyDescent="0.3">
      <c r="A199" t="s">
        <v>8</v>
      </c>
      <c r="B199">
        <v>20</v>
      </c>
      <c r="C199" t="s">
        <v>110</v>
      </c>
      <c r="D199" s="1">
        <v>0.79166666666666663</v>
      </c>
      <c r="E199" t="s">
        <v>21</v>
      </c>
      <c r="F199" t="s">
        <v>20</v>
      </c>
      <c r="G199" s="2">
        <v>46023</v>
      </c>
      <c r="H199" t="s">
        <v>13</v>
      </c>
    </row>
    <row r="200" spans="1:8" x14ac:dyDescent="0.3">
      <c r="A200" t="s">
        <v>8</v>
      </c>
      <c r="B200">
        <v>20</v>
      </c>
      <c r="C200" t="s">
        <v>110</v>
      </c>
      <c r="D200" s="1">
        <v>0.875</v>
      </c>
      <c r="E200" t="s">
        <v>28</v>
      </c>
      <c r="F200" t="s">
        <v>27</v>
      </c>
      <c r="G200" s="2">
        <v>46023</v>
      </c>
      <c r="H200" t="s">
        <v>13</v>
      </c>
    </row>
    <row r="201" spans="1:8" x14ac:dyDescent="0.3">
      <c r="A201" t="s">
        <v>8</v>
      </c>
      <c r="B201">
        <v>20</v>
      </c>
      <c r="C201" t="s">
        <v>111</v>
      </c>
      <c r="D201" s="1">
        <v>0.91666666666666663</v>
      </c>
      <c r="E201" t="s">
        <v>15</v>
      </c>
      <c r="F201" t="s">
        <v>14</v>
      </c>
      <c r="G201" s="2">
        <v>46057</v>
      </c>
      <c r="H201" t="s">
        <v>13</v>
      </c>
    </row>
    <row r="202" spans="1:8" x14ac:dyDescent="0.3">
      <c r="A202" t="s">
        <v>8</v>
      </c>
      <c r="B202">
        <v>21</v>
      </c>
      <c r="C202" t="s">
        <v>112</v>
      </c>
      <c r="D202" s="1">
        <v>0.875</v>
      </c>
      <c r="E202" t="s">
        <v>35</v>
      </c>
      <c r="F202" t="s">
        <v>26</v>
      </c>
      <c r="G202" s="2">
        <v>46057</v>
      </c>
      <c r="H202" t="s">
        <v>13</v>
      </c>
    </row>
    <row r="203" spans="1:8" x14ac:dyDescent="0.3">
      <c r="A203" t="s">
        <v>8</v>
      </c>
      <c r="B203">
        <v>21</v>
      </c>
      <c r="C203" t="s">
        <v>113</v>
      </c>
      <c r="D203" s="1">
        <v>0.66666666666666663</v>
      </c>
      <c r="E203" t="s">
        <v>25</v>
      </c>
      <c r="F203" t="s">
        <v>24</v>
      </c>
      <c r="G203" t="s">
        <v>12</v>
      </c>
      <c r="H203" t="s">
        <v>13</v>
      </c>
    </row>
    <row r="204" spans="1:8" x14ac:dyDescent="0.3">
      <c r="A204" t="s">
        <v>8</v>
      </c>
      <c r="B204">
        <v>21</v>
      </c>
      <c r="C204" t="s">
        <v>113</v>
      </c>
      <c r="D204" s="1">
        <v>0.75</v>
      </c>
      <c r="E204" t="s">
        <v>14</v>
      </c>
      <c r="F204" t="s">
        <v>34</v>
      </c>
      <c r="G204" t="s">
        <v>18</v>
      </c>
      <c r="H204" t="s">
        <v>13</v>
      </c>
    </row>
    <row r="205" spans="1:8" x14ac:dyDescent="0.3">
      <c r="A205" t="s">
        <v>8</v>
      </c>
      <c r="B205">
        <v>21</v>
      </c>
      <c r="C205" t="s">
        <v>113</v>
      </c>
      <c r="D205" s="1">
        <v>0.83333333333333337</v>
      </c>
      <c r="E205" t="s">
        <v>16</v>
      </c>
      <c r="F205" t="s">
        <v>36</v>
      </c>
      <c r="G205" s="2">
        <v>46055</v>
      </c>
      <c r="H205" t="s">
        <v>13</v>
      </c>
    </row>
    <row r="206" spans="1:8" x14ac:dyDescent="0.3">
      <c r="A206" t="s">
        <v>8</v>
      </c>
      <c r="B206">
        <v>21</v>
      </c>
      <c r="C206" t="s">
        <v>113</v>
      </c>
      <c r="D206" s="1">
        <v>0.91666666666666663</v>
      </c>
      <c r="E206" t="s">
        <v>27</v>
      </c>
      <c r="F206" t="s">
        <v>21</v>
      </c>
      <c r="G206" s="2">
        <v>46083</v>
      </c>
      <c r="H206" t="s">
        <v>13</v>
      </c>
    </row>
    <row r="207" spans="1:8" x14ac:dyDescent="0.3">
      <c r="A207" t="s">
        <v>8</v>
      </c>
      <c r="B207">
        <v>21</v>
      </c>
      <c r="C207" t="s">
        <v>114</v>
      </c>
      <c r="D207" s="1">
        <v>0.5</v>
      </c>
      <c r="E207" t="s">
        <v>33</v>
      </c>
      <c r="F207" t="s">
        <v>11</v>
      </c>
      <c r="G207" t="s">
        <v>18</v>
      </c>
      <c r="H207" t="s">
        <v>13</v>
      </c>
    </row>
    <row r="208" spans="1:8" x14ac:dyDescent="0.3">
      <c r="A208" t="s">
        <v>8</v>
      </c>
      <c r="B208">
        <v>21</v>
      </c>
      <c r="C208" t="s">
        <v>114</v>
      </c>
      <c r="D208" s="1">
        <v>0.70833333333333337</v>
      </c>
      <c r="E208" t="s">
        <v>23</v>
      </c>
      <c r="F208" t="s">
        <v>15</v>
      </c>
      <c r="G208" s="2">
        <v>46143</v>
      </c>
      <c r="H208" t="s">
        <v>13</v>
      </c>
    </row>
    <row r="209" spans="1:8" x14ac:dyDescent="0.3">
      <c r="A209" t="s">
        <v>8</v>
      </c>
      <c r="B209">
        <v>21</v>
      </c>
      <c r="C209" t="s">
        <v>114</v>
      </c>
      <c r="D209" s="1">
        <v>0.79166666666666663</v>
      </c>
      <c r="E209" t="s">
        <v>30</v>
      </c>
      <c r="F209" t="s">
        <v>28</v>
      </c>
      <c r="G209" s="2">
        <v>46114</v>
      </c>
      <c r="H209" t="s">
        <v>13</v>
      </c>
    </row>
    <row r="210" spans="1:8" x14ac:dyDescent="0.3">
      <c r="A210" t="s">
        <v>8</v>
      </c>
      <c r="B210">
        <v>21</v>
      </c>
      <c r="C210" t="s">
        <v>114</v>
      </c>
      <c r="D210" s="1">
        <v>0.875</v>
      </c>
      <c r="E210" t="s">
        <v>20</v>
      </c>
      <c r="F210" t="s">
        <v>17</v>
      </c>
      <c r="G210" t="s">
        <v>32</v>
      </c>
      <c r="H210" t="s">
        <v>13</v>
      </c>
    </row>
    <row r="211" spans="1:8" x14ac:dyDescent="0.3">
      <c r="A211" t="s">
        <v>8</v>
      </c>
      <c r="B211">
        <v>21</v>
      </c>
      <c r="C211" t="s">
        <v>115</v>
      </c>
      <c r="D211" s="1">
        <v>0.91666666666666663</v>
      </c>
      <c r="E211" t="s">
        <v>10</v>
      </c>
      <c r="F211" t="s">
        <v>31</v>
      </c>
      <c r="G211" t="s">
        <v>88</v>
      </c>
      <c r="H211" t="s">
        <v>13</v>
      </c>
    </row>
    <row r="212" spans="1:8" x14ac:dyDescent="0.3">
      <c r="A212" t="s">
        <v>8</v>
      </c>
      <c r="B212">
        <v>22</v>
      </c>
      <c r="C212" t="s">
        <v>116</v>
      </c>
      <c r="D212" s="1">
        <v>0.875</v>
      </c>
      <c r="E212" t="s">
        <v>24</v>
      </c>
      <c r="F212" t="s">
        <v>35</v>
      </c>
      <c r="G212" s="2">
        <v>46054</v>
      </c>
      <c r="H212" t="s">
        <v>13</v>
      </c>
    </row>
    <row r="213" spans="1:8" x14ac:dyDescent="0.3">
      <c r="A213" t="s">
        <v>8</v>
      </c>
      <c r="B213">
        <v>22</v>
      </c>
      <c r="C213" t="s">
        <v>117</v>
      </c>
      <c r="D213" s="1">
        <v>0.66666666666666663</v>
      </c>
      <c r="E213" t="s">
        <v>20</v>
      </c>
      <c r="F213" t="s">
        <v>16</v>
      </c>
      <c r="G213" s="2">
        <v>46083</v>
      </c>
      <c r="H213" t="s">
        <v>13</v>
      </c>
    </row>
    <row r="214" spans="1:8" x14ac:dyDescent="0.3">
      <c r="A214" t="s">
        <v>8</v>
      </c>
      <c r="B214">
        <v>22</v>
      </c>
      <c r="C214" t="s">
        <v>117</v>
      </c>
      <c r="D214" s="1">
        <v>0.75</v>
      </c>
      <c r="E214" t="s">
        <v>21</v>
      </c>
      <c r="F214" t="s">
        <v>30</v>
      </c>
      <c r="G214" t="s">
        <v>41</v>
      </c>
      <c r="H214" t="s">
        <v>13</v>
      </c>
    </row>
    <row r="215" spans="1:8" x14ac:dyDescent="0.3">
      <c r="A215" t="s">
        <v>8</v>
      </c>
      <c r="B215">
        <v>22</v>
      </c>
      <c r="C215" t="s">
        <v>117</v>
      </c>
      <c r="D215" s="1">
        <v>0.83333333333333337</v>
      </c>
      <c r="E215" t="s">
        <v>11</v>
      </c>
      <c r="F215" t="s">
        <v>14</v>
      </c>
      <c r="G215" t="s">
        <v>41</v>
      </c>
      <c r="H215" t="s">
        <v>13</v>
      </c>
    </row>
    <row r="216" spans="1:8" x14ac:dyDescent="0.3">
      <c r="A216" t="s">
        <v>8</v>
      </c>
      <c r="B216">
        <v>22</v>
      </c>
      <c r="C216" t="s">
        <v>117</v>
      </c>
      <c r="D216" s="1">
        <v>0.91666666666666663</v>
      </c>
      <c r="E216" t="s">
        <v>17</v>
      </c>
      <c r="F216" t="s">
        <v>27</v>
      </c>
      <c r="G216" s="2">
        <v>46056</v>
      </c>
      <c r="H216" t="s">
        <v>13</v>
      </c>
    </row>
    <row r="217" spans="1:8" x14ac:dyDescent="0.3">
      <c r="A217" t="s">
        <v>8</v>
      </c>
      <c r="B217">
        <v>22</v>
      </c>
      <c r="C217" t="s">
        <v>118</v>
      </c>
      <c r="D217" s="1">
        <v>0.5</v>
      </c>
      <c r="E217" t="s">
        <v>31</v>
      </c>
      <c r="F217" t="s">
        <v>33</v>
      </c>
      <c r="G217" t="s">
        <v>18</v>
      </c>
      <c r="H217" t="s">
        <v>13</v>
      </c>
    </row>
    <row r="218" spans="1:8" x14ac:dyDescent="0.3">
      <c r="A218" t="s">
        <v>8</v>
      </c>
      <c r="B218">
        <v>22</v>
      </c>
      <c r="C218" t="s">
        <v>118</v>
      </c>
      <c r="D218" s="1">
        <v>0.70833333333333337</v>
      </c>
      <c r="E218" t="s">
        <v>26</v>
      </c>
      <c r="F218" t="s">
        <v>36</v>
      </c>
      <c r="G218" t="s">
        <v>12</v>
      </c>
      <c r="H218" t="s">
        <v>13</v>
      </c>
    </row>
    <row r="219" spans="1:8" x14ac:dyDescent="0.3">
      <c r="A219" t="s">
        <v>8</v>
      </c>
      <c r="B219">
        <v>22</v>
      </c>
      <c r="C219" t="s">
        <v>118</v>
      </c>
      <c r="D219" s="1">
        <v>0.79166666666666663</v>
      </c>
      <c r="E219" t="s">
        <v>28</v>
      </c>
      <c r="F219" t="s">
        <v>10</v>
      </c>
      <c r="G219" t="s">
        <v>88</v>
      </c>
      <c r="H219" t="s">
        <v>13</v>
      </c>
    </row>
    <row r="220" spans="1:8" x14ac:dyDescent="0.3">
      <c r="A220" t="s">
        <v>8</v>
      </c>
      <c r="B220">
        <v>22</v>
      </c>
      <c r="C220" t="s">
        <v>118</v>
      </c>
      <c r="D220" s="1">
        <v>0.875</v>
      </c>
      <c r="E220" t="s">
        <v>15</v>
      </c>
      <c r="F220" t="s">
        <v>25</v>
      </c>
      <c r="G220" s="2">
        <v>46023</v>
      </c>
      <c r="H220" t="s">
        <v>13</v>
      </c>
    </row>
    <row r="221" spans="1:8" x14ac:dyDescent="0.3">
      <c r="A221" t="s">
        <v>8</v>
      </c>
      <c r="B221">
        <v>22</v>
      </c>
      <c r="C221" t="s">
        <v>119</v>
      </c>
      <c r="D221" s="1">
        <v>0.91666666666666663</v>
      </c>
      <c r="E221" t="s">
        <v>34</v>
      </c>
      <c r="F221" t="s">
        <v>23</v>
      </c>
      <c r="G221" s="2">
        <v>46025</v>
      </c>
      <c r="H221" t="s">
        <v>13</v>
      </c>
    </row>
    <row r="222" spans="1:8" x14ac:dyDescent="0.3">
      <c r="A222" t="s">
        <v>8</v>
      </c>
      <c r="B222">
        <v>23</v>
      </c>
      <c r="C222" t="s">
        <v>120</v>
      </c>
      <c r="D222" s="1">
        <v>0.875</v>
      </c>
      <c r="E222" t="s">
        <v>36</v>
      </c>
      <c r="F222" t="s">
        <v>24</v>
      </c>
      <c r="G222" t="s">
        <v>18</v>
      </c>
      <c r="H222" t="s">
        <v>13</v>
      </c>
    </row>
    <row r="223" spans="1:8" x14ac:dyDescent="0.3">
      <c r="A223" t="s">
        <v>8</v>
      </c>
      <c r="B223">
        <v>23</v>
      </c>
      <c r="C223" t="s">
        <v>121</v>
      </c>
      <c r="D223" s="1">
        <v>0.66666666666666663</v>
      </c>
      <c r="E223" t="s">
        <v>16</v>
      </c>
      <c r="F223" t="s">
        <v>26</v>
      </c>
      <c r="G223" t="s">
        <v>40</v>
      </c>
      <c r="H223" t="s">
        <v>13</v>
      </c>
    </row>
    <row r="224" spans="1:8" x14ac:dyDescent="0.3">
      <c r="A224" t="s">
        <v>8</v>
      </c>
      <c r="B224">
        <v>23</v>
      </c>
      <c r="C224" t="s">
        <v>121</v>
      </c>
      <c r="D224" s="1">
        <v>0.75</v>
      </c>
      <c r="E224" t="s">
        <v>30</v>
      </c>
      <c r="F224" t="s">
        <v>17</v>
      </c>
      <c r="G224" s="2">
        <v>46026</v>
      </c>
      <c r="H224" t="s">
        <v>13</v>
      </c>
    </row>
    <row r="225" spans="1:8" x14ac:dyDescent="0.3">
      <c r="A225" t="s">
        <v>8</v>
      </c>
      <c r="B225">
        <v>23</v>
      </c>
      <c r="C225" t="s">
        <v>121</v>
      </c>
      <c r="D225" s="1">
        <v>0.83333333333333337</v>
      </c>
      <c r="E225" t="s">
        <v>25</v>
      </c>
      <c r="F225" t="s">
        <v>34</v>
      </c>
      <c r="G225" s="2">
        <v>46057</v>
      </c>
      <c r="H225" t="s">
        <v>13</v>
      </c>
    </row>
    <row r="226" spans="1:8" x14ac:dyDescent="0.3">
      <c r="A226" t="s">
        <v>8</v>
      </c>
      <c r="B226">
        <v>23</v>
      </c>
      <c r="C226" t="s">
        <v>121</v>
      </c>
      <c r="D226" s="1">
        <v>0.91666666666666663</v>
      </c>
      <c r="E226" t="s">
        <v>33</v>
      </c>
      <c r="F226" t="s">
        <v>28</v>
      </c>
      <c r="G226" t="s">
        <v>12</v>
      </c>
      <c r="H226" t="s">
        <v>13</v>
      </c>
    </row>
    <row r="227" spans="1:8" x14ac:dyDescent="0.3">
      <c r="A227" t="s">
        <v>8</v>
      </c>
      <c r="B227">
        <v>23</v>
      </c>
      <c r="C227" t="s">
        <v>122</v>
      </c>
      <c r="D227" s="1">
        <v>0.5</v>
      </c>
      <c r="E227" t="s">
        <v>23</v>
      </c>
      <c r="F227" t="s">
        <v>11</v>
      </c>
      <c r="G227" t="s">
        <v>12</v>
      </c>
      <c r="H227" t="s">
        <v>13</v>
      </c>
    </row>
    <row r="228" spans="1:8" x14ac:dyDescent="0.3">
      <c r="A228" t="s">
        <v>8</v>
      </c>
      <c r="B228">
        <v>23</v>
      </c>
      <c r="C228" t="s">
        <v>122</v>
      </c>
      <c r="D228" s="1">
        <v>0.70833333333333337</v>
      </c>
      <c r="E228" t="s">
        <v>14</v>
      </c>
      <c r="F228" t="s">
        <v>31</v>
      </c>
      <c r="G228" s="2">
        <v>46055</v>
      </c>
      <c r="H228" t="s">
        <v>13</v>
      </c>
    </row>
    <row r="229" spans="1:8" x14ac:dyDescent="0.3">
      <c r="A229" t="s">
        <v>8</v>
      </c>
      <c r="B229">
        <v>23</v>
      </c>
      <c r="C229" t="s">
        <v>122</v>
      </c>
      <c r="D229" s="1">
        <v>0.79166666666666663</v>
      </c>
      <c r="E229" t="s">
        <v>10</v>
      </c>
      <c r="F229" t="s">
        <v>21</v>
      </c>
      <c r="G229" t="s">
        <v>41</v>
      </c>
      <c r="H229" t="s">
        <v>13</v>
      </c>
    </row>
    <row r="230" spans="1:8" x14ac:dyDescent="0.3">
      <c r="A230" t="s">
        <v>8</v>
      </c>
      <c r="B230">
        <v>23</v>
      </c>
      <c r="C230" t="s">
        <v>122</v>
      </c>
      <c r="D230" s="1">
        <v>0.875</v>
      </c>
      <c r="E230" t="s">
        <v>27</v>
      </c>
      <c r="F230" t="s">
        <v>20</v>
      </c>
      <c r="G230" s="2">
        <v>46113</v>
      </c>
      <c r="H230" t="s">
        <v>13</v>
      </c>
    </row>
    <row r="231" spans="1:8" x14ac:dyDescent="0.3">
      <c r="A231" t="s">
        <v>8</v>
      </c>
      <c r="B231">
        <v>23</v>
      </c>
      <c r="C231" t="s">
        <v>123</v>
      </c>
      <c r="D231" s="1">
        <v>0.91666666666666663</v>
      </c>
      <c r="E231" t="s">
        <v>35</v>
      </c>
      <c r="F231" t="s">
        <v>15</v>
      </c>
      <c r="G231" t="s">
        <v>41</v>
      </c>
      <c r="H231" t="s">
        <v>13</v>
      </c>
    </row>
    <row r="232" spans="1:8" x14ac:dyDescent="0.3">
      <c r="A232" t="s">
        <v>8</v>
      </c>
      <c r="B232">
        <v>24</v>
      </c>
      <c r="C232" t="s">
        <v>124</v>
      </c>
      <c r="D232" s="1">
        <v>0.875</v>
      </c>
      <c r="E232" t="s">
        <v>31</v>
      </c>
      <c r="F232" t="s">
        <v>23</v>
      </c>
      <c r="G232" t="s">
        <v>41</v>
      </c>
      <c r="H232" t="s">
        <v>13</v>
      </c>
    </row>
    <row r="233" spans="1:8" x14ac:dyDescent="0.3">
      <c r="A233" t="s">
        <v>8</v>
      </c>
      <c r="B233">
        <v>24</v>
      </c>
      <c r="C233" t="s">
        <v>125</v>
      </c>
      <c r="D233" s="1">
        <v>0.66666666666666663</v>
      </c>
      <c r="E233" t="s">
        <v>28</v>
      </c>
      <c r="F233" t="s">
        <v>14</v>
      </c>
      <c r="G233" t="s">
        <v>32</v>
      </c>
      <c r="H233" t="s">
        <v>13</v>
      </c>
    </row>
    <row r="234" spans="1:8" x14ac:dyDescent="0.3">
      <c r="A234" t="s">
        <v>8</v>
      </c>
      <c r="B234">
        <v>24</v>
      </c>
      <c r="C234" t="s">
        <v>125</v>
      </c>
      <c r="D234" s="1">
        <v>0.75</v>
      </c>
      <c r="E234" t="s">
        <v>21</v>
      </c>
      <c r="F234" t="s">
        <v>33</v>
      </c>
      <c r="G234" t="s">
        <v>18</v>
      </c>
      <c r="H234" t="s">
        <v>13</v>
      </c>
    </row>
    <row r="235" spans="1:8" x14ac:dyDescent="0.3">
      <c r="A235" t="s">
        <v>8</v>
      </c>
      <c r="B235">
        <v>24</v>
      </c>
      <c r="C235" t="s">
        <v>125</v>
      </c>
      <c r="D235" s="1">
        <v>0.83333333333333337</v>
      </c>
      <c r="E235" t="s">
        <v>20</v>
      </c>
      <c r="F235" t="s">
        <v>30</v>
      </c>
      <c r="G235" t="s">
        <v>126</v>
      </c>
      <c r="H235" t="s">
        <v>13</v>
      </c>
    </row>
    <row r="236" spans="1:8" x14ac:dyDescent="0.3">
      <c r="A236" t="s">
        <v>8</v>
      </c>
      <c r="B236">
        <v>24</v>
      </c>
      <c r="C236" t="s">
        <v>125</v>
      </c>
      <c r="D236" s="1">
        <v>0.91666666666666663</v>
      </c>
      <c r="E236" t="s">
        <v>34</v>
      </c>
      <c r="F236" t="s">
        <v>35</v>
      </c>
      <c r="G236" t="s">
        <v>54</v>
      </c>
      <c r="H236" t="s">
        <v>13</v>
      </c>
    </row>
    <row r="237" spans="1:8" x14ac:dyDescent="0.3">
      <c r="A237" t="s">
        <v>8</v>
      </c>
      <c r="B237">
        <v>24</v>
      </c>
      <c r="C237" t="s">
        <v>127</v>
      </c>
      <c r="D237" s="1">
        <v>0.5</v>
      </c>
      <c r="E237" t="s">
        <v>24</v>
      </c>
      <c r="F237" t="s">
        <v>26</v>
      </c>
      <c r="G237" t="s">
        <v>18</v>
      </c>
      <c r="H237" t="s">
        <v>13</v>
      </c>
    </row>
    <row r="238" spans="1:8" x14ac:dyDescent="0.3">
      <c r="A238" t="s">
        <v>8</v>
      </c>
      <c r="B238">
        <v>24</v>
      </c>
      <c r="C238" t="s">
        <v>127</v>
      </c>
      <c r="D238" s="1">
        <v>0.70833333333333337</v>
      </c>
      <c r="E238" t="s">
        <v>11</v>
      </c>
      <c r="F238" t="s">
        <v>25</v>
      </c>
      <c r="G238" t="s">
        <v>46</v>
      </c>
      <c r="H238" t="s">
        <v>13</v>
      </c>
    </row>
    <row r="239" spans="1:8" x14ac:dyDescent="0.3">
      <c r="A239" t="s">
        <v>8</v>
      </c>
      <c r="B239">
        <v>24</v>
      </c>
      <c r="C239" t="s">
        <v>127</v>
      </c>
      <c r="D239" s="1">
        <v>0.79166666666666663</v>
      </c>
      <c r="E239" t="s">
        <v>15</v>
      </c>
      <c r="F239" t="s">
        <v>36</v>
      </c>
      <c r="G239" s="2">
        <v>46054</v>
      </c>
      <c r="H239" t="s">
        <v>13</v>
      </c>
    </row>
    <row r="240" spans="1:8" x14ac:dyDescent="0.3">
      <c r="A240" t="s">
        <v>8</v>
      </c>
      <c r="B240">
        <v>24</v>
      </c>
      <c r="C240" t="s">
        <v>127</v>
      </c>
      <c r="D240" s="1">
        <v>0.875</v>
      </c>
      <c r="E240" t="s">
        <v>27</v>
      </c>
      <c r="F240" t="s">
        <v>16</v>
      </c>
      <c r="G240" t="s">
        <v>41</v>
      </c>
      <c r="H240" t="s">
        <v>13</v>
      </c>
    </row>
    <row r="241" spans="1:8" x14ac:dyDescent="0.3">
      <c r="A241" t="s">
        <v>8</v>
      </c>
      <c r="B241">
        <v>24</v>
      </c>
      <c r="C241" t="s">
        <v>128</v>
      </c>
      <c r="D241" s="1">
        <v>0.91666666666666663</v>
      </c>
      <c r="E241" t="s">
        <v>17</v>
      </c>
      <c r="F241" t="s">
        <v>10</v>
      </c>
      <c r="G241" t="s">
        <v>42</v>
      </c>
      <c r="H241" t="s">
        <v>13</v>
      </c>
    </row>
    <row r="242" spans="1:8" x14ac:dyDescent="0.3">
      <c r="A242" t="s">
        <v>8</v>
      </c>
      <c r="B242">
        <v>25</v>
      </c>
      <c r="C242" t="s">
        <v>129</v>
      </c>
      <c r="D242" s="1">
        <v>0.875</v>
      </c>
      <c r="E242" t="s">
        <v>14</v>
      </c>
      <c r="F242" t="s">
        <v>21</v>
      </c>
      <c r="G242" s="2">
        <v>46023</v>
      </c>
      <c r="H242" t="s">
        <v>13</v>
      </c>
    </row>
    <row r="243" spans="1:8" x14ac:dyDescent="0.3">
      <c r="A243" t="s">
        <v>8</v>
      </c>
      <c r="B243">
        <v>25</v>
      </c>
      <c r="C243" t="s">
        <v>130</v>
      </c>
      <c r="D243" s="1">
        <v>0.66666666666666663</v>
      </c>
      <c r="E243" t="s">
        <v>25</v>
      </c>
      <c r="F243" t="s">
        <v>31</v>
      </c>
      <c r="G243" t="s">
        <v>32</v>
      </c>
      <c r="H243" t="s">
        <v>13</v>
      </c>
    </row>
    <row r="244" spans="1:8" x14ac:dyDescent="0.3">
      <c r="A244" t="s">
        <v>8</v>
      </c>
      <c r="B244">
        <v>25</v>
      </c>
      <c r="C244" t="s">
        <v>130</v>
      </c>
      <c r="D244" s="1">
        <v>0.75</v>
      </c>
      <c r="E244" t="s">
        <v>35</v>
      </c>
      <c r="F244" t="s">
        <v>11</v>
      </c>
      <c r="G244" s="2">
        <v>46023</v>
      </c>
      <c r="H244" t="s">
        <v>13</v>
      </c>
    </row>
    <row r="245" spans="1:8" x14ac:dyDescent="0.3">
      <c r="A245" t="s">
        <v>8</v>
      </c>
      <c r="B245">
        <v>25</v>
      </c>
      <c r="C245" t="s">
        <v>130</v>
      </c>
      <c r="D245" s="1">
        <v>0.83333333333333337</v>
      </c>
      <c r="E245" t="s">
        <v>10</v>
      </c>
      <c r="F245" t="s">
        <v>20</v>
      </c>
      <c r="G245" s="2">
        <v>46025</v>
      </c>
      <c r="H245" t="s">
        <v>13</v>
      </c>
    </row>
    <row r="246" spans="1:8" x14ac:dyDescent="0.3">
      <c r="A246" t="s">
        <v>8</v>
      </c>
      <c r="B246">
        <v>25</v>
      </c>
      <c r="C246" t="s">
        <v>130</v>
      </c>
      <c r="D246" s="1">
        <v>0.91666666666666663</v>
      </c>
      <c r="E246" t="s">
        <v>33</v>
      </c>
      <c r="F246" t="s">
        <v>17</v>
      </c>
      <c r="G246" t="s">
        <v>41</v>
      </c>
      <c r="H246" t="s">
        <v>13</v>
      </c>
    </row>
    <row r="247" spans="1:8" x14ac:dyDescent="0.3">
      <c r="A247" t="s">
        <v>8</v>
      </c>
      <c r="B247">
        <v>25</v>
      </c>
      <c r="C247" t="s">
        <v>131</v>
      </c>
      <c r="D247" s="1">
        <v>0.5</v>
      </c>
      <c r="E247" t="s">
        <v>30</v>
      </c>
      <c r="F247" t="s">
        <v>27</v>
      </c>
      <c r="G247" t="s">
        <v>42</v>
      </c>
      <c r="H247" t="s">
        <v>13</v>
      </c>
    </row>
    <row r="248" spans="1:8" x14ac:dyDescent="0.3">
      <c r="A248" t="s">
        <v>8</v>
      </c>
      <c r="B248">
        <v>25</v>
      </c>
      <c r="C248" t="s">
        <v>131</v>
      </c>
      <c r="D248" s="1">
        <v>0.70833333333333337</v>
      </c>
      <c r="E248" t="s">
        <v>26</v>
      </c>
      <c r="F248" t="s">
        <v>15</v>
      </c>
      <c r="G248" t="s">
        <v>54</v>
      </c>
      <c r="H248" t="s">
        <v>13</v>
      </c>
    </row>
    <row r="249" spans="1:8" x14ac:dyDescent="0.3">
      <c r="A249" t="s">
        <v>8</v>
      </c>
      <c r="B249">
        <v>25</v>
      </c>
      <c r="C249" t="s">
        <v>131</v>
      </c>
      <c r="D249" s="1">
        <v>0.79166666666666663</v>
      </c>
      <c r="E249" t="s">
        <v>16</v>
      </c>
      <c r="F249" t="s">
        <v>24</v>
      </c>
      <c r="G249" s="2">
        <v>46024</v>
      </c>
      <c r="H249" t="s">
        <v>13</v>
      </c>
    </row>
    <row r="250" spans="1:8" x14ac:dyDescent="0.3">
      <c r="A250" t="s">
        <v>8</v>
      </c>
      <c r="B250">
        <v>25</v>
      </c>
      <c r="C250" t="s">
        <v>131</v>
      </c>
      <c r="D250" s="1">
        <v>0.875</v>
      </c>
      <c r="E250" t="s">
        <v>23</v>
      </c>
      <c r="F250" t="s">
        <v>28</v>
      </c>
      <c r="G250" t="s">
        <v>32</v>
      </c>
      <c r="H250" t="s">
        <v>13</v>
      </c>
    </row>
    <row r="251" spans="1:8" x14ac:dyDescent="0.3">
      <c r="A251" t="s">
        <v>8</v>
      </c>
      <c r="B251">
        <v>25</v>
      </c>
      <c r="C251" t="s">
        <v>132</v>
      </c>
      <c r="D251" s="1">
        <v>0.91666666666666663</v>
      </c>
      <c r="E251" t="s">
        <v>36</v>
      </c>
      <c r="F251" t="s">
        <v>34</v>
      </c>
      <c r="G251" s="2">
        <v>46054</v>
      </c>
      <c r="H251" t="s">
        <v>13</v>
      </c>
    </row>
    <row r="252" spans="1:8" x14ac:dyDescent="0.3">
      <c r="A252" t="s">
        <v>8</v>
      </c>
      <c r="B252">
        <v>26</v>
      </c>
      <c r="C252" t="s">
        <v>133</v>
      </c>
      <c r="D252" s="1">
        <v>0.85416666666666663</v>
      </c>
      <c r="E252" t="s">
        <v>15</v>
      </c>
      <c r="F252" t="s">
        <v>24</v>
      </c>
      <c r="G252" t="s">
        <v>88</v>
      </c>
      <c r="H252" t="s">
        <v>13</v>
      </c>
    </row>
    <row r="253" spans="1:8" x14ac:dyDescent="0.3">
      <c r="A253" t="s">
        <v>8</v>
      </c>
      <c r="B253">
        <v>26</v>
      </c>
      <c r="C253" t="s">
        <v>134</v>
      </c>
      <c r="D253" s="1">
        <v>0.66666666666666663</v>
      </c>
      <c r="E253" t="s">
        <v>17</v>
      </c>
      <c r="F253" t="s">
        <v>14</v>
      </c>
      <c r="G253" s="2">
        <v>46023</v>
      </c>
      <c r="H253" t="s">
        <v>13</v>
      </c>
    </row>
    <row r="254" spans="1:8" x14ac:dyDescent="0.3">
      <c r="A254" t="s">
        <v>8</v>
      </c>
      <c r="B254">
        <v>26</v>
      </c>
      <c r="C254" t="s">
        <v>134</v>
      </c>
      <c r="D254" s="1">
        <v>0.75</v>
      </c>
      <c r="E254" t="s">
        <v>21</v>
      </c>
      <c r="F254" t="s">
        <v>23</v>
      </c>
      <c r="G254" t="s">
        <v>12</v>
      </c>
      <c r="H254" t="s">
        <v>13</v>
      </c>
    </row>
    <row r="255" spans="1:8" x14ac:dyDescent="0.3">
      <c r="A255" t="s">
        <v>8</v>
      </c>
      <c r="B255">
        <v>26</v>
      </c>
      <c r="C255" t="s">
        <v>134</v>
      </c>
      <c r="D255" s="1">
        <v>0.83333333333333337</v>
      </c>
      <c r="E255" t="s">
        <v>11</v>
      </c>
      <c r="F255" t="s">
        <v>36</v>
      </c>
      <c r="G255" t="s">
        <v>41</v>
      </c>
      <c r="H255" t="s">
        <v>13</v>
      </c>
    </row>
    <row r="256" spans="1:8" x14ac:dyDescent="0.3">
      <c r="A256" t="s">
        <v>8</v>
      </c>
      <c r="B256">
        <v>26</v>
      </c>
      <c r="C256" t="s">
        <v>134</v>
      </c>
      <c r="D256" s="1">
        <v>0.91666666666666663</v>
      </c>
      <c r="E256" t="s">
        <v>31</v>
      </c>
      <c r="F256" t="s">
        <v>35</v>
      </c>
      <c r="G256" t="s">
        <v>18</v>
      </c>
      <c r="H256" t="s">
        <v>13</v>
      </c>
    </row>
    <row r="257" spans="1:8" x14ac:dyDescent="0.3">
      <c r="A257" t="s">
        <v>8</v>
      </c>
      <c r="B257">
        <v>26</v>
      </c>
      <c r="C257" t="s">
        <v>135</v>
      </c>
      <c r="D257" s="1">
        <v>0.5</v>
      </c>
      <c r="E257" t="s">
        <v>34</v>
      </c>
      <c r="F257" t="s">
        <v>26</v>
      </c>
      <c r="G257" s="2">
        <v>46023</v>
      </c>
      <c r="H257" t="s">
        <v>13</v>
      </c>
    </row>
    <row r="258" spans="1:8" x14ac:dyDescent="0.3">
      <c r="A258" t="s">
        <v>8</v>
      </c>
      <c r="B258">
        <v>26</v>
      </c>
      <c r="C258" t="s">
        <v>135</v>
      </c>
      <c r="D258" s="1">
        <v>0.70833333333333337</v>
      </c>
      <c r="E258" t="s">
        <v>28</v>
      </c>
      <c r="F258" t="s">
        <v>25</v>
      </c>
      <c r="G258" s="2">
        <v>46055</v>
      </c>
      <c r="H258" t="s">
        <v>13</v>
      </c>
    </row>
    <row r="259" spans="1:8" x14ac:dyDescent="0.3">
      <c r="A259" t="s">
        <v>8</v>
      </c>
      <c r="B259">
        <v>26</v>
      </c>
      <c r="C259" t="s">
        <v>135</v>
      </c>
      <c r="D259" s="1">
        <v>0.79166666666666663</v>
      </c>
      <c r="E259" t="s">
        <v>27</v>
      </c>
      <c r="F259" t="s">
        <v>10</v>
      </c>
      <c r="G259" t="s">
        <v>18</v>
      </c>
      <c r="H259" t="s">
        <v>13</v>
      </c>
    </row>
    <row r="260" spans="1:8" x14ac:dyDescent="0.3">
      <c r="A260" t="s">
        <v>8</v>
      </c>
      <c r="B260">
        <v>26</v>
      </c>
      <c r="C260" t="s">
        <v>135</v>
      </c>
      <c r="D260" s="1">
        <v>0.875</v>
      </c>
      <c r="E260" t="s">
        <v>20</v>
      </c>
      <c r="F260" t="s">
        <v>33</v>
      </c>
      <c r="G260" s="2">
        <v>46026</v>
      </c>
      <c r="H260" t="s">
        <v>13</v>
      </c>
    </row>
    <row r="261" spans="1:8" x14ac:dyDescent="0.3">
      <c r="A261" t="s">
        <v>8</v>
      </c>
      <c r="B261">
        <v>26</v>
      </c>
      <c r="C261" t="s">
        <v>135</v>
      </c>
      <c r="D261" s="1">
        <v>0.875</v>
      </c>
      <c r="E261" t="s">
        <v>30</v>
      </c>
      <c r="F261" t="s">
        <v>16</v>
      </c>
      <c r="G261" t="s">
        <v>18</v>
      </c>
      <c r="H261" t="s">
        <v>13</v>
      </c>
    </row>
    <row r="262" spans="1:8" x14ac:dyDescent="0.3">
      <c r="A262" t="s">
        <v>8</v>
      </c>
      <c r="B262">
        <v>27</v>
      </c>
      <c r="C262" t="s">
        <v>136</v>
      </c>
      <c r="D262" s="1">
        <v>0.66666666666666663</v>
      </c>
      <c r="E262" t="s">
        <v>14</v>
      </c>
      <c r="F262" t="s">
        <v>20</v>
      </c>
      <c r="G262" t="s">
        <v>18</v>
      </c>
      <c r="H262" t="s">
        <v>13</v>
      </c>
    </row>
    <row r="263" spans="1:8" x14ac:dyDescent="0.3">
      <c r="A263" t="s">
        <v>8</v>
      </c>
      <c r="B263">
        <v>27</v>
      </c>
      <c r="C263" t="s">
        <v>136</v>
      </c>
      <c r="D263" s="1">
        <v>0.75</v>
      </c>
      <c r="E263" t="s">
        <v>26</v>
      </c>
      <c r="F263" t="s">
        <v>11</v>
      </c>
      <c r="G263" t="s">
        <v>12</v>
      </c>
      <c r="H263" t="s">
        <v>13</v>
      </c>
    </row>
    <row r="264" spans="1:8" x14ac:dyDescent="0.3">
      <c r="A264" t="s">
        <v>8</v>
      </c>
      <c r="B264">
        <v>27</v>
      </c>
      <c r="C264" t="s">
        <v>136</v>
      </c>
      <c r="D264" s="1">
        <v>0.83333333333333337</v>
      </c>
      <c r="E264" t="s">
        <v>35</v>
      </c>
      <c r="F264" t="s">
        <v>28</v>
      </c>
      <c r="G264" t="s">
        <v>54</v>
      </c>
      <c r="H264" t="s">
        <v>13</v>
      </c>
    </row>
    <row r="265" spans="1:8" x14ac:dyDescent="0.3">
      <c r="A265" t="s">
        <v>8</v>
      </c>
      <c r="B265">
        <v>27</v>
      </c>
      <c r="C265" t="s">
        <v>136</v>
      </c>
      <c r="D265" s="1">
        <v>0.91666666666666663</v>
      </c>
      <c r="E265" t="s">
        <v>24</v>
      </c>
      <c r="F265" t="s">
        <v>34</v>
      </c>
      <c r="G265" t="s">
        <v>12</v>
      </c>
      <c r="H265" t="s">
        <v>13</v>
      </c>
    </row>
    <row r="266" spans="1:8" x14ac:dyDescent="0.3">
      <c r="A266" t="s">
        <v>8</v>
      </c>
      <c r="B266">
        <v>27</v>
      </c>
      <c r="C266" t="s">
        <v>137</v>
      </c>
      <c r="D266" s="1">
        <v>0.5</v>
      </c>
      <c r="E266" t="s">
        <v>36</v>
      </c>
      <c r="F266" t="s">
        <v>31</v>
      </c>
      <c r="G266" s="2">
        <v>46025</v>
      </c>
      <c r="H266" t="s">
        <v>13</v>
      </c>
    </row>
    <row r="267" spans="1:8" x14ac:dyDescent="0.3">
      <c r="A267" t="s">
        <v>8</v>
      </c>
      <c r="B267">
        <v>27</v>
      </c>
      <c r="C267" t="s">
        <v>137</v>
      </c>
      <c r="D267" s="1">
        <v>0.70833333333333337</v>
      </c>
      <c r="E267" t="s">
        <v>33</v>
      </c>
      <c r="F267" t="s">
        <v>27</v>
      </c>
      <c r="G267" s="2">
        <v>46082</v>
      </c>
      <c r="H267" t="s">
        <v>13</v>
      </c>
    </row>
    <row r="268" spans="1:8" x14ac:dyDescent="0.3">
      <c r="A268" t="s">
        <v>8</v>
      </c>
      <c r="B268">
        <v>27</v>
      </c>
      <c r="C268" t="s">
        <v>137</v>
      </c>
      <c r="D268" s="1">
        <v>0.79166666666666663</v>
      </c>
      <c r="E268" t="s">
        <v>25</v>
      </c>
      <c r="F268" t="s">
        <v>21</v>
      </c>
      <c r="G268" t="s">
        <v>32</v>
      </c>
      <c r="H268" t="s">
        <v>13</v>
      </c>
    </row>
    <row r="269" spans="1:8" x14ac:dyDescent="0.3">
      <c r="A269" t="s">
        <v>8</v>
      </c>
      <c r="B269">
        <v>27</v>
      </c>
      <c r="C269" t="s">
        <v>137</v>
      </c>
      <c r="D269" s="1">
        <v>0.875</v>
      </c>
      <c r="E269" t="s">
        <v>16</v>
      </c>
      <c r="F269" t="s">
        <v>15</v>
      </c>
      <c r="G269" s="2">
        <v>46023</v>
      </c>
      <c r="H269" t="s">
        <v>13</v>
      </c>
    </row>
    <row r="270" spans="1:8" x14ac:dyDescent="0.3">
      <c r="A270" t="s">
        <v>8</v>
      </c>
      <c r="B270">
        <v>27</v>
      </c>
      <c r="C270" t="s">
        <v>138</v>
      </c>
      <c r="D270" s="1">
        <v>0.83333333333333337</v>
      </c>
      <c r="E270" t="s">
        <v>23</v>
      </c>
      <c r="F270" t="s">
        <v>17</v>
      </c>
      <c r="G270" t="s">
        <v>54</v>
      </c>
      <c r="H270" t="s">
        <v>13</v>
      </c>
    </row>
    <row r="271" spans="1:8" x14ac:dyDescent="0.3">
      <c r="A271" t="s">
        <v>8</v>
      </c>
      <c r="B271">
        <v>27</v>
      </c>
      <c r="C271" t="s">
        <v>138</v>
      </c>
      <c r="D271" s="1">
        <v>0.91666666666666663</v>
      </c>
      <c r="E271" t="s">
        <v>10</v>
      </c>
      <c r="F271" t="s">
        <v>30</v>
      </c>
      <c r="G271" s="2">
        <v>46083</v>
      </c>
      <c r="H271" t="s">
        <v>13</v>
      </c>
    </row>
    <row r="272" spans="1:8" x14ac:dyDescent="0.3">
      <c r="A272" t="s">
        <v>8</v>
      </c>
      <c r="B272">
        <v>28</v>
      </c>
      <c r="C272" t="s">
        <v>139</v>
      </c>
      <c r="D272" s="1">
        <v>0.875</v>
      </c>
      <c r="E272" t="s">
        <v>11</v>
      </c>
      <c r="F272" t="s">
        <v>24</v>
      </c>
      <c r="G272" s="2">
        <v>46084</v>
      </c>
      <c r="H272" t="s">
        <v>13</v>
      </c>
    </row>
    <row r="273" spans="1:8" x14ac:dyDescent="0.3">
      <c r="A273" t="s">
        <v>8</v>
      </c>
      <c r="B273">
        <v>28</v>
      </c>
      <c r="C273" t="s">
        <v>140</v>
      </c>
      <c r="D273" s="1">
        <v>0.66666666666666663</v>
      </c>
      <c r="E273" t="s">
        <v>21</v>
      </c>
      <c r="F273" t="s">
        <v>35</v>
      </c>
      <c r="G273" t="s">
        <v>42</v>
      </c>
      <c r="H273" t="s">
        <v>13</v>
      </c>
    </row>
    <row r="274" spans="1:8" x14ac:dyDescent="0.3">
      <c r="A274" t="s">
        <v>8</v>
      </c>
      <c r="B274">
        <v>28</v>
      </c>
      <c r="C274" t="s">
        <v>140</v>
      </c>
      <c r="D274" s="1">
        <v>0.75</v>
      </c>
      <c r="E274" t="s">
        <v>30</v>
      </c>
      <c r="F274" t="s">
        <v>33</v>
      </c>
      <c r="G274" s="2">
        <v>46025</v>
      </c>
      <c r="H274" t="s">
        <v>13</v>
      </c>
    </row>
    <row r="275" spans="1:8" x14ac:dyDescent="0.3">
      <c r="A275" t="s">
        <v>8</v>
      </c>
      <c r="B275">
        <v>28</v>
      </c>
      <c r="C275" t="s">
        <v>140</v>
      </c>
      <c r="D275" s="1">
        <v>0.83333333333333337</v>
      </c>
      <c r="E275" t="s">
        <v>17</v>
      </c>
      <c r="F275" t="s">
        <v>25</v>
      </c>
      <c r="G275" t="s">
        <v>42</v>
      </c>
      <c r="H275" t="s">
        <v>13</v>
      </c>
    </row>
    <row r="276" spans="1:8" x14ac:dyDescent="0.3">
      <c r="A276" t="s">
        <v>8</v>
      </c>
      <c r="B276">
        <v>28</v>
      </c>
      <c r="C276" t="s">
        <v>140</v>
      </c>
      <c r="D276" s="1">
        <v>0.91666666666666663</v>
      </c>
      <c r="E276" t="s">
        <v>28</v>
      </c>
      <c r="F276" t="s">
        <v>36</v>
      </c>
      <c r="G276" t="s">
        <v>18</v>
      </c>
      <c r="H276" t="s">
        <v>13</v>
      </c>
    </row>
    <row r="277" spans="1:8" x14ac:dyDescent="0.3">
      <c r="A277" t="s">
        <v>8</v>
      </c>
      <c r="B277">
        <v>28</v>
      </c>
      <c r="C277" t="s">
        <v>141</v>
      </c>
      <c r="D277" s="1">
        <v>0.5</v>
      </c>
      <c r="E277" t="s">
        <v>31</v>
      </c>
      <c r="F277" t="s">
        <v>26</v>
      </c>
      <c r="G277" t="s">
        <v>41</v>
      </c>
      <c r="H277" t="s">
        <v>13</v>
      </c>
    </row>
    <row r="278" spans="1:8" x14ac:dyDescent="0.3">
      <c r="A278" t="s">
        <v>8</v>
      </c>
      <c r="B278">
        <v>28</v>
      </c>
      <c r="C278" t="s">
        <v>141</v>
      </c>
      <c r="D278" s="1">
        <v>0.70833333333333337</v>
      </c>
      <c r="E278" t="s">
        <v>20</v>
      </c>
      <c r="F278" t="s">
        <v>23</v>
      </c>
      <c r="G278" t="s">
        <v>22</v>
      </c>
      <c r="H278" t="s">
        <v>13</v>
      </c>
    </row>
    <row r="279" spans="1:8" x14ac:dyDescent="0.3">
      <c r="A279" t="s">
        <v>8</v>
      </c>
      <c r="B279">
        <v>28</v>
      </c>
      <c r="C279" t="s">
        <v>141</v>
      </c>
      <c r="D279" s="1">
        <v>0.79166666666666663</v>
      </c>
      <c r="E279" t="s">
        <v>27</v>
      </c>
      <c r="F279" t="s">
        <v>14</v>
      </c>
      <c r="G279" s="2">
        <v>46026</v>
      </c>
      <c r="H279" t="s">
        <v>13</v>
      </c>
    </row>
    <row r="280" spans="1:8" x14ac:dyDescent="0.3">
      <c r="A280" t="s">
        <v>8</v>
      </c>
      <c r="B280">
        <v>28</v>
      </c>
      <c r="C280" t="s">
        <v>141</v>
      </c>
      <c r="D280" s="1">
        <v>0.875</v>
      </c>
      <c r="E280" t="s">
        <v>10</v>
      </c>
      <c r="F280" t="s">
        <v>16</v>
      </c>
      <c r="G280" t="s">
        <v>18</v>
      </c>
      <c r="H280" t="s">
        <v>13</v>
      </c>
    </row>
    <row r="281" spans="1:8" x14ac:dyDescent="0.3">
      <c r="A281" t="s">
        <v>8</v>
      </c>
      <c r="B281">
        <v>28</v>
      </c>
      <c r="C281" t="s">
        <v>142</v>
      </c>
      <c r="D281" s="1">
        <v>0.91666666666666663</v>
      </c>
      <c r="E281" t="s">
        <v>34</v>
      </c>
      <c r="F281" t="s">
        <v>15</v>
      </c>
      <c r="G281" s="2">
        <v>46023</v>
      </c>
      <c r="H281" t="s">
        <v>13</v>
      </c>
    </row>
    <row r="282" spans="1:8" x14ac:dyDescent="0.3">
      <c r="A282" t="s">
        <v>8</v>
      </c>
      <c r="B282">
        <v>29</v>
      </c>
      <c r="C282" t="s">
        <v>143</v>
      </c>
      <c r="D282" s="1">
        <v>0.875</v>
      </c>
      <c r="E282" t="s">
        <v>35</v>
      </c>
      <c r="F282" t="s">
        <v>17</v>
      </c>
      <c r="G282" t="s">
        <v>54</v>
      </c>
      <c r="H282" t="s">
        <v>13</v>
      </c>
    </row>
    <row r="283" spans="1:8" x14ac:dyDescent="0.3">
      <c r="A283" t="s">
        <v>8</v>
      </c>
      <c r="B283">
        <v>29</v>
      </c>
      <c r="C283" t="s">
        <v>144</v>
      </c>
      <c r="D283" s="1">
        <v>0.66666666666666663</v>
      </c>
      <c r="E283" t="s">
        <v>24</v>
      </c>
      <c r="F283" t="s">
        <v>31</v>
      </c>
      <c r="G283" t="s">
        <v>18</v>
      </c>
      <c r="H283" t="s">
        <v>13</v>
      </c>
    </row>
    <row r="284" spans="1:8" x14ac:dyDescent="0.3">
      <c r="A284" t="s">
        <v>8</v>
      </c>
      <c r="B284">
        <v>29</v>
      </c>
      <c r="C284" t="s">
        <v>144</v>
      </c>
      <c r="D284" s="1">
        <v>0.75</v>
      </c>
      <c r="E284" t="s">
        <v>36</v>
      </c>
      <c r="F284" t="s">
        <v>21</v>
      </c>
      <c r="G284" t="s">
        <v>41</v>
      </c>
      <c r="H284" t="s">
        <v>13</v>
      </c>
    </row>
    <row r="285" spans="1:8" x14ac:dyDescent="0.3">
      <c r="A285" t="s">
        <v>8</v>
      </c>
      <c r="B285">
        <v>29</v>
      </c>
      <c r="C285" t="s">
        <v>144</v>
      </c>
      <c r="D285" s="1">
        <v>0.83333333333333337</v>
      </c>
      <c r="E285" t="s">
        <v>14</v>
      </c>
      <c r="F285" t="s">
        <v>30</v>
      </c>
      <c r="G285" s="2">
        <v>46023</v>
      </c>
      <c r="H285" t="s">
        <v>13</v>
      </c>
    </row>
    <row r="286" spans="1:8" x14ac:dyDescent="0.3">
      <c r="A286" t="s">
        <v>8</v>
      </c>
      <c r="B286">
        <v>29</v>
      </c>
      <c r="C286" t="s">
        <v>144</v>
      </c>
      <c r="D286" s="1">
        <v>0.91666666666666663</v>
      </c>
      <c r="E286" t="s">
        <v>15</v>
      </c>
      <c r="F286" t="s">
        <v>11</v>
      </c>
      <c r="G286" t="s">
        <v>18</v>
      </c>
      <c r="H286" t="s">
        <v>13</v>
      </c>
    </row>
    <row r="287" spans="1:8" x14ac:dyDescent="0.3">
      <c r="A287" t="s">
        <v>8</v>
      </c>
      <c r="B287">
        <v>29</v>
      </c>
      <c r="C287" t="s">
        <v>145</v>
      </c>
      <c r="D287" s="1">
        <v>0.5</v>
      </c>
      <c r="E287" t="s">
        <v>23</v>
      </c>
      <c r="F287" t="s">
        <v>27</v>
      </c>
      <c r="G287" s="2">
        <v>46054</v>
      </c>
      <c r="H287" t="s">
        <v>13</v>
      </c>
    </row>
    <row r="288" spans="1:8" x14ac:dyDescent="0.3">
      <c r="A288" t="s">
        <v>8</v>
      </c>
      <c r="B288">
        <v>29</v>
      </c>
      <c r="C288" t="s">
        <v>145</v>
      </c>
      <c r="D288" s="1">
        <v>0.70833333333333337</v>
      </c>
      <c r="E288" t="s">
        <v>26</v>
      </c>
      <c r="F288" t="s">
        <v>28</v>
      </c>
      <c r="G288" t="s">
        <v>54</v>
      </c>
      <c r="H288" t="s">
        <v>13</v>
      </c>
    </row>
    <row r="289" spans="1:8" x14ac:dyDescent="0.3">
      <c r="A289" t="s">
        <v>8</v>
      </c>
      <c r="B289">
        <v>29</v>
      </c>
      <c r="C289" t="s">
        <v>145</v>
      </c>
      <c r="D289" s="1">
        <v>0.79166666666666663</v>
      </c>
      <c r="E289" t="s">
        <v>16</v>
      </c>
      <c r="F289" t="s">
        <v>34</v>
      </c>
      <c r="G289" s="2">
        <v>46024</v>
      </c>
      <c r="H289" t="s">
        <v>13</v>
      </c>
    </row>
    <row r="290" spans="1:8" x14ac:dyDescent="0.3">
      <c r="A290" t="s">
        <v>8</v>
      </c>
      <c r="B290">
        <v>29</v>
      </c>
      <c r="C290" t="s">
        <v>145</v>
      </c>
      <c r="D290" s="1">
        <v>0.875</v>
      </c>
      <c r="E290" t="s">
        <v>25</v>
      </c>
      <c r="F290" t="s">
        <v>20</v>
      </c>
      <c r="G290" s="2">
        <v>46115</v>
      </c>
      <c r="H290" t="s">
        <v>13</v>
      </c>
    </row>
    <row r="291" spans="1:8" x14ac:dyDescent="0.3">
      <c r="A291" t="s">
        <v>8</v>
      </c>
      <c r="B291">
        <v>29</v>
      </c>
      <c r="C291" t="s">
        <v>146</v>
      </c>
      <c r="D291" s="1">
        <v>0.91666666666666663</v>
      </c>
      <c r="E291" t="s">
        <v>33</v>
      </c>
      <c r="F291" t="s">
        <v>10</v>
      </c>
      <c r="G291" s="2">
        <v>46085</v>
      </c>
      <c r="H291" t="s">
        <v>13</v>
      </c>
    </row>
    <row r="292" spans="1:8" x14ac:dyDescent="0.3">
      <c r="A292" t="s">
        <v>8</v>
      </c>
      <c r="B292">
        <v>30</v>
      </c>
      <c r="C292" t="s">
        <v>147</v>
      </c>
      <c r="D292" s="1">
        <v>0.83333333333333337</v>
      </c>
      <c r="E292" t="s">
        <v>17</v>
      </c>
      <c r="F292" t="s">
        <v>36</v>
      </c>
      <c r="G292" s="2">
        <v>46054</v>
      </c>
      <c r="H292" t="s">
        <v>13</v>
      </c>
    </row>
    <row r="293" spans="1:8" x14ac:dyDescent="0.3">
      <c r="A293" t="s">
        <v>8</v>
      </c>
      <c r="B293">
        <v>30</v>
      </c>
      <c r="C293" t="s">
        <v>147</v>
      </c>
      <c r="D293" s="1">
        <v>0.91666666666666663</v>
      </c>
      <c r="E293" t="s">
        <v>31</v>
      </c>
      <c r="F293" t="s">
        <v>15</v>
      </c>
      <c r="G293" t="s">
        <v>41</v>
      </c>
      <c r="H293" t="s">
        <v>13</v>
      </c>
    </row>
    <row r="294" spans="1:8" x14ac:dyDescent="0.3">
      <c r="A294" t="s">
        <v>8</v>
      </c>
      <c r="B294">
        <v>30</v>
      </c>
      <c r="C294" t="s">
        <v>148</v>
      </c>
      <c r="D294" s="1">
        <v>0.83333333333333337</v>
      </c>
      <c r="E294" t="s">
        <v>20</v>
      </c>
      <c r="F294" t="s">
        <v>35</v>
      </c>
      <c r="G294" t="s">
        <v>32</v>
      </c>
      <c r="H294" t="s">
        <v>13</v>
      </c>
    </row>
    <row r="295" spans="1:8" x14ac:dyDescent="0.3">
      <c r="A295" t="s">
        <v>8</v>
      </c>
      <c r="B295">
        <v>30</v>
      </c>
      <c r="C295" t="s">
        <v>148</v>
      </c>
      <c r="D295" s="1">
        <v>0.83333333333333337</v>
      </c>
      <c r="E295" t="s">
        <v>30</v>
      </c>
      <c r="F295" t="s">
        <v>23</v>
      </c>
      <c r="G295" t="s">
        <v>18</v>
      </c>
      <c r="H295" t="s">
        <v>13</v>
      </c>
    </row>
    <row r="296" spans="1:8" x14ac:dyDescent="0.3">
      <c r="A296" t="s">
        <v>8</v>
      </c>
      <c r="B296">
        <v>30</v>
      </c>
      <c r="C296" t="s">
        <v>148</v>
      </c>
      <c r="D296" s="1">
        <v>0.91666666666666663</v>
      </c>
      <c r="E296" t="s">
        <v>28</v>
      </c>
      <c r="F296" t="s">
        <v>24</v>
      </c>
      <c r="G296" t="s">
        <v>18</v>
      </c>
      <c r="H296" t="s">
        <v>13</v>
      </c>
    </row>
    <row r="297" spans="1:8" x14ac:dyDescent="0.3">
      <c r="A297" t="s">
        <v>8</v>
      </c>
      <c r="B297">
        <v>30</v>
      </c>
      <c r="C297" t="s">
        <v>148</v>
      </c>
      <c r="D297" s="1">
        <v>0.91666666666666663</v>
      </c>
      <c r="E297" t="s">
        <v>27</v>
      </c>
      <c r="F297" t="s">
        <v>25</v>
      </c>
      <c r="G297" s="2">
        <v>46024</v>
      </c>
      <c r="H297" t="s">
        <v>13</v>
      </c>
    </row>
    <row r="298" spans="1:8" x14ac:dyDescent="0.3">
      <c r="A298" t="s">
        <v>8</v>
      </c>
      <c r="B298">
        <v>30</v>
      </c>
      <c r="C298" t="s">
        <v>149</v>
      </c>
      <c r="D298" s="1">
        <v>0.83333333333333337</v>
      </c>
      <c r="E298" t="s">
        <v>11</v>
      </c>
      <c r="F298" t="s">
        <v>34</v>
      </c>
      <c r="G298" t="s">
        <v>42</v>
      </c>
      <c r="H298" t="s">
        <v>13</v>
      </c>
    </row>
    <row r="299" spans="1:8" x14ac:dyDescent="0.3">
      <c r="A299" t="s">
        <v>8</v>
      </c>
      <c r="B299">
        <v>30</v>
      </c>
      <c r="C299" t="s">
        <v>149</v>
      </c>
      <c r="D299" s="1">
        <v>0.83333333333333337</v>
      </c>
      <c r="E299" t="s">
        <v>10</v>
      </c>
      <c r="F299" t="s">
        <v>14</v>
      </c>
      <c r="G299" t="s">
        <v>18</v>
      </c>
      <c r="H299" t="s">
        <v>13</v>
      </c>
    </row>
    <row r="300" spans="1:8" x14ac:dyDescent="0.3">
      <c r="A300" t="s">
        <v>8</v>
      </c>
      <c r="B300">
        <v>30</v>
      </c>
      <c r="C300" t="s">
        <v>149</v>
      </c>
      <c r="D300" s="1">
        <v>0.91666666666666663</v>
      </c>
      <c r="E300" t="s">
        <v>33</v>
      </c>
      <c r="F300" t="s">
        <v>16</v>
      </c>
      <c r="G300" s="2">
        <v>46055</v>
      </c>
      <c r="H300" t="s">
        <v>13</v>
      </c>
    </row>
    <row r="301" spans="1:8" x14ac:dyDescent="0.3">
      <c r="A301" t="s">
        <v>8</v>
      </c>
      <c r="B301">
        <v>30</v>
      </c>
      <c r="C301" t="s">
        <v>149</v>
      </c>
      <c r="D301" s="1">
        <v>0.91666666666666663</v>
      </c>
      <c r="E301" t="s">
        <v>21</v>
      </c>
      <c r="F301" t="s">
        <v>26</v>
      </c>
      <c r="G301" s="2">
        <v>46082</v>
      </c>
      <c r="H301" t="s">
        <v>13</v>
      </c>
    </row>
    <row r="302" spans="1:8" x14ac:dyDescent="0.3">
      <c r="A302" t="s">
        <v>8</v>
      </c>
      <c r="B302">
        <v>31</v>
      </c>
      <c r="C302" t="s">
        <v>150</v>
      </c>
      <c r="D302" s="1">
        <v>0.66666666666666663</v>
      </c>
      <c r="E302" t="s">
        <v>36</v>
      </c>
      <c r="F302" t="s">
        <v>20</v>
      </c>
      <c r="G302" t="s">
        <v>42</v>
      </c>
      <c r="H302" t="s">
        <v>13</v>
      </c>
    </row>
    <row r="303" spans="1:8" x14ac:dyDescent="0.3">
      <c r="A303" t="s">
        <v>8</v>
      </c>
      <c r="B303">
        <v>31</v>
      </c>
      <c r="C303" t="s">
        <v>150</v>
      </c>
      <c r="D303" s="1">
        <v>0.75</v>
      </c>
      <c r="E303" t="s">
        <v>35</v>
      </c>
      <c r="F303" t="s">
        <v>27</v>
      </c>
      <c r="G303" t="s">
        <v>18</v>
      </c>
      <c r="H303" t="s">
        <v>13</v>
      </c>
    </row>
    <row r="304" spans="1:8" x14ac:dyDescent="0.3">
      <c r="A304" t="s">
        <v>8</v>
      </c>
      <c r="B304">
        <v>31</v>
      </c>
      <c r="C304" t="s">
        <v>150</v>
      </c>
      <c r="D304" s="1">
        <v>0.83333333333333337</v>
      </c>
      <c r="E304" t="s">
        <v>15</v>
      </c>
      <c r="F304" t="s">
        <v>28</v>
      </c>
      <c r="G304" s="2">
        <v>46054</v>
      </c>
      <c r="H304" t="s">
        <v>13</v>
      </c>
    </row>
    <row r="305" spans="1:8" x14ac:dyDescent="0.3">
      <c r="A305" t="s">
        <v>8</v>
      </c>
      <c r="B305">
        <v>31</v>
      </c>
      <c r="C305" t="s">
        <v>150</v>
      </c>
      <c r="D305" s="1">
        <v>0.91666666666666663</v>
      </c>
      <c r="E305" t="s">
        <v>25</v>
      </c>
      <c r="F305" t="s">
        <v>30</v>
      </c>
      <c r="G305" t="s">
        <v>40</v>
      </c>
      <c r="H305" t="s">
        <v>13</v>
      </c>
    </row>
    <row r="306" spans="1:8" x14ac:dyDescent="0.3">
      <c r="A306" t="s">
        <v>8</v>
      </c>
      <c r="B306">
        <v>31</v>
      </c>
      <c r="C306" t="s">
        <v>151</v>
      </c>
      <c r="D306" s="1">
        <v>0.5</v>
      </c>
      <c r="E306" t="s">
        <v>14</v>
      </c>
      <c r="F306" t="s">
        <v>33</v>
      </c>
      <c r="G306" t="s">
        <v>18</v>
      </c>
      <c r="H306" t="s">
        <v>13</v>
      </c>
    </row>
    <row r="307" spans="1:8" x14ac:dyDescent="0.3">
      <c r="A307" t="s">
        <v>8</v>
      </c>
      <c r="B307">
        <v>31</v>
      </c>
      <c r="C307" t="s">
        <v>151</v>
      </c>
      <c r="D307" s="1">
        <v>0.70833333333333337</v>
      </c>
      <c r="E307" t="s">
        <v>23</v>
      </c>
      <c r="F307" t="s">
        <v>10</v>
      </c>
      <c r="G307" s="2">
        <v>46023</v>
      </c>
      <c r="H307" t="s">
        <v>13</v>
      </c>
    </row>
    <row r="308" spans="1:8" x14ac:dyDescent="0.3">
      <c r="A308" t="s">
        <v>8</v>
      </c>
      <c r="B308">
        <v>31</v>
      </c>
      <c r="C308" t="s">
        <v>151</v>
      </c>
      <c r="D308" s="1">
        <v>0.79166666666666663</v>
      </c>
      <c r="E308" t="s">
        <v>34</v>
      </c>
      <c r="F308" t="s">
        <v>31</v>
      </c>
      <c r="G308" s="2">
        <v>46023</v>
      </c>
      <c r="H308" t="s">
        <v>13</v>
      </c>
    </row>
    <row r="309" spans="1:8" x14ac:dyDescent="0.3">
      <c r="A309" t="s">
        <v>8</v>
      </c>
      <c r="B309">
        <v>31</v>
      </c>
      <c r="C309" t="s">
        <v>151</v>
      </c>
      <c r="D309" s="1">
        <v>0.875</v>
      </c>
      <c r="E309" t="s">
        <v>16</v>
      </c>
      <c r="F309" t="s">
        <v>11</v>
      </c>
      <c r="G309" s="2">
        <v>46082</v>
      </c>
      <c r="H309" t="s">
        <v>13</v>
      </c>
    </row>
    <row r="310" spans="1:8" x14ac:dyDescent="0.3">
      <c r="A310" t="s">
        <v>8</v>
      </c>
      <c r="B310">
        <v>31</v>
      </c>
      <c r="C310" t="s">
        <v>152</v>
      </c>
      <c r="D310" s="1">
        <v>0.83333333333333337</v>
      </c>
      <c r="E310" t="s">
        <v>24</v>
      </c>
      <c r="F310" t="s">
        <v>21</v>
      </c>
      <c r="G310" t="s">
        <v>54</v>
      </c>
      <c r="H310" t="s">
        <v>13</v>
      </c>
    </row>
    <row r="311" spans="1:8" x14ac:dyDescent="0.3">
      <c r="A311" t="s">
        <v>8</v>
      </c>
      <c r="B311">
        <v>31</v>
      </c>
      <c r="C311" t="s">
        <v>152</v>
      </c>
      <c r="D311" s="1">
        <v>0.91666666666666663</v>
      </c>
      <c r="E311" t="s">
        <v>26</v>
      </c>
      <c r="F311" t="s">
        <v>17</v>
      </c>
      <c r="G311" s="2">
        <v>46054</v>
      </c>
      <c r="H311" t="s">
        <v>13</v>
      </c>
    </row>
    <row r="312" spans="1:8" x14ac:dyDescent="0.3">
      <c r="A312" t="s">
        <v>8</v>
      </c>
      <c r="B312">
        <v>32</v>
      </c>
      <c r="C312" t="s">
        <v>153</v>
      </c>
      <c r="D312" s="1">
        <v>0.875</v>
      </c>
      <c r="E312" t="s">
        <v>33</v>
      </c>
      <c r="F312" t="s">
        <v>23</v>
      </c>
      <c r="G312" s="2">
        <v>46054</v>
      </c>
      <c r="H312" t="s">
        <v>13</v>
      </c>
    </row>
    <row r="313" spans="1:8" x14ac:dyDescent="0.3">
      <c r="A313" t="s">
        <v>8</v>
      </c>
      <c r="B313">
        <v>32</v>
      </c>
      <c r="C313" t="s">
        <v>154</v>
      </c>
      <c r="D313" s="1">
        <v>0.66666666666666663</v>
      </c>
      <c r="E313" t="s">
        <v>28</v>
      </c>
      <c r="F313" t="s">
        <v>34</v>
      </c>
      <c r="G313" t="s">
        <v>18</v>
      </c>
      <c r="H313" t="s">
        <v>13</v>
      </c>
    </row>
    <row r="314" spans="1:8" x14ac:dyDescent="0.3">
      <c r="A314" t="s">
        <v>8</v>
      </c>
      <c r="B314">
        <v>32</v>
      </c>
      <c r="C314" t="s">
        <v>154</v>
      </c>
      <c r="D314" s="1">
        <v>0.75</v>
      </c>
      <c r="E314" t="s">
        <v>20</v>
      </c>
      <c r="F314" t="s">
        <v>26</v>
      </c>
      <c r="G314" s="2">
        <v>46025</v>
      </c>
      <c r="H314" t="s">
        <v>13</v>
      </c>
    </row>
    <row r="315" spans="1:8" x14ac:dyDescent="0.3">
      <c r="A315" t="s">
        <v>8</v>
      </c>
      <c r="B315">
        <v>32</v>
      </c>
      <c r="C315" t="s">
        <v>154</v>
      </c>
      <c r="D315" s="1">
        <v>0.83333333333333337</v>
      </c>
      <c r="E315" t="s">
        <v>10</v>
      </c>
      <c r="F315" t="s">
        <v>25</v>
      </c>
      <c r="G315" t="s">
        <v>53</v>
      </c>
      <c r="H315" t="s">
        <v>13</v>
      </c>
    </row>
    <row r="316" spans="1:8" x14ac:dyDescent="0.3">
      <c r="A316" t="s">
        <v>8</v>
      </c>
      <c r="B316">
        <v>32</v>
      </c>
      <c r="C316" t="s">
        <v>154</v>
      </c>
      <c r="D316" s="1">
        <v>0.91666666666666663</v>
      </c>
      <c r="E316" t="s">
        <v>30</v>
      </c>
      <c r="F316" t="s">
        <v>35</v>
      </c>
      <c r="G316" t="s">
        <v>32</v>
      </c>
      <c r="H316" t="s">
        <v>13</v>
      </c>
    </row>
    <row r="317" spans="1:8" x14ac:dyDescent="0.3">
      <c r="A317" t="s">
        <v>8</v>
      </c>
      <c r="B317">
        <v>32</v>
      </c>
      <c r="C317" t="s">
        <v>155</v>
      </c>
      <c r="D317" s="1">
        <v>0.5</v>
      </c>
      <c r="E317" t="s">
        <v>17</v>
      </c>
      <c r="F317" t="s">
        <v>24</v>
      </c>
      <c r="G317" s="2">
        <v>46026</v>
      </c>
      <c r="H317" t="s">
        <v>13</v>
      </c>
    </row>
    <row r="318" spans="1:8" x14ac:dyDescent="0.3">
      <c r="A318" t="s">
        <v>8</v>
      </c>
      <c r="B318">
        <v>32</v>
      </c>
      <c r="C318" t="s">
        <v>155</v>
      </c>
      <c r="D318" s="1">
        <v>0.70833333333333337</v>
      </c>
      <c r="E318" t="s">
        <v>31</v>
      </c>
      <c r="F318" t="s">
        <v>11</v>
      </c>
      <c r="G318" t="s">
        <v>18</v>
      </c>
      <c r="H318" t="s">
        <v>13</v>
      </c>
    </row>
    <row r="319" spans="1:8" x14ac:dyDescent="0.3">
      <c r="A319" t="s">
        <v>8</v>
      </c>
      <c r="B319">
        <v>32</v>
      </c>
      <c r="C319" t="s">
        <v>155</v>
      </c>
      <c r="D319" s="1">
        <v>0.79166666666666663</v>
      </c>
      <c r="E319" t="s">
        <v>27</v>
      </c>
      <c r="F319" t="s">
        <v>36</v>
      </c>
      <c r="G319" s="2">
        <v>46026</v>
      </c>
      <c r="H319" t="s">
        <v>13</v>
      </c>
    </row>
    <row r="320" spans="1:8" x14ac:dyDescent="0.3">
      <c r="A320" t="s">
        <v>8</v>
      </c>
      <c r="B320">
        <v>32</v>
      </c>
      <c r="C320" t="s">
        <v>155</v>
      </c>
      <c r="D320" s="1">
        <v>0.875</v>
      </c>
      <c r="E320" t="s">
        <v>14</v>
      </c>
      <c r="F320" t="s">
        <v>16</v>
      </c>
      <c r="G320" t="s">
        <v>41</v>
      </c>
      <c r="H320" t="s">
        <v>13</v>
      </c>
    </row>
    <row r="321" spans="1:8" x14ac:dyDescent="0.3">
      <c r="A321" t="s">
        <v>8</v>
      </c>
      <c r="B321">
        <v>32</v>
      </c>
      <c r="C321" t="s">
        <v>156</v>
      </c>
      <c r="D321" s="1">
        <v>0.91666666666666663</v>
      </c>
      <c r="E321" t="s">
        <v>21</v>
      </c>
      <c r="F321" t="s">
        <v>15</v>
      </c>
      <c r="G321" s="2">
        <v>46054</v>
      </c>
      <c r="H321" t="s">
        <v>13</v>
      </c>
    </row>
    <row r="322" spans="1:8" x14ac:dyDescent="0.3">
      <c r="A322" t="s">
        <v>8</v>
      </c>
      <c r="B322">
        <v>33</v>
      </c>
      <c r="C322" t="s">
        <v>157</v>
      </c>
      <c r="D322" s="1">
        <v>0.875</v>
      </c>
      <c r="E322" t="s">
        <v>23</v>
      </c>
      <c r="F322" t="s">
        <v>14</v>
      </c>
      <c r="G322" t="s">
        <v>41</v>
      </c>
      <c r="H322" t="s">
        <v>13</v>
      </c>
    </row>
    <row r="323" spans="1:8" x14ac:dyDescent="0.3">
      <c r="A323" t="s">
        <v>8</v>
      </c>
      <c r="B323">
        <v>33</v>
      </c>
      <c r="C323" t="s">
        <v>158</v>
      </c>
      <c r="D323" s="1">
        <v>0.66666666666666663</v>
      </c>
      <c r="E323" t="s">
        <v>35</v>
      </c>
      <c r="F323" t="s">
        <v>10</v>
      </c>
      <c r="G323" s="2">
        <v>46055</v>
      </c>
      <c r="H323" t="s">
        <v>13</v>
      </c>
    </row>
    <row r="324" spans="1:8" x14ac:dyDescent="0.3">
      <c r="A324" t="s">
        <v>8</v>
      </c>
      <c r="B324">
        <v>33</v>
      </c>
      <c r="C324" t="s">
        <v>158</v>
      </c>
      <c r="D324" s="1">
        <v>0.75</v>
      </c>
      <c r="E324" t="s">
        <v>34</v>
      </c>
      <c r="F324" t="s">
        <v>21</v>
      </c>
      <c r="G324" t="s">
        <v>18</v>
      </c>
      <c r="H324" t="s">
        <v>13</v>
      </c>
    </row>
    <row r="325" spans="1:8" x14ac:dyDescent="0.3">
      <c r="A325" t="s">
        <v>8</v>
      </c>
      <c r="B325">
        <v>33</v>
      </c>
      <c r="C325" t="s">
        <v>158</v>
      </c>
      <c r="D325" s="1">
        <v>0.83333333333333337</v>
      </c>
      <c r="E325" t="s">
        <v>24</v>
      </c>
      <c r="F325" t="s">
        <v>20</v>
      </c>
      <c r="G325" t="s">
        <v>18</v>
      </c>
      <c r="H325" t="s">
        <v>13</v>
      </c>
    </row>
    <row r="326" spans="1:8" x14ac:dyDescent="0.3">
      <c r="A326" t="s">
        <v>8</v>
      </c>
      <c r="B326">
        <v>33</v>
      </c>
      <c r="C326" t="s">
        <v>158</v>
      </c>
      <c r="D326" s="1">
        <v>0.91666666666666663</v>
      </c>
      <c r="E326" t="s">
        <v>25</v>
      </c>
      <c r="F326" t="s">
        <v>33</v>
      </c>
      <c r="G326" t="s">
        <v>88</v>
      </c>
      <c r="H326" t="s">
        <v>13</v>
      </c>
    </row>
    <row r="327" spans="1:8" x14ac:dyDescent="0.3">
      <c r="A327" t="s">
        <v>8</v>
      </c>
      <c r="B327">
        <v>33</v>
      </c>
      <c r="C327" t="s">
        <v>159</v>
      </c>
      <c r="D327" s="1">
        <v>0.5</v>
      </c>
      <c r="E327" t="s">
        <v>26</v>
      </c>
      <c r="F327" t="s">
        <v>27</v>
      </c>
      <c r="G327" t="s">
        <v>54</v>
      </c>
      <c r="H327" t="s">
        <v>13</v>
      </c>
    </row>
    <row r="328" spans="1:8" x14ac:dyDescent="0.3">
      <c r="A328" t="s">
        <v>8</v>
      </c>
      <c r="B328">
        <v>33</v>
      </c>
      <c r="C328" t="s">
        <v>159</v>
      </c>
      <c r="D328" s="1">
        <v>0.70833333333333337</v>
      </c>
      <c r="E328" t="s">
        <v>16</v>
      </c>
      <c r="F328" t="s">
        <v>31</v>
      </c>
      <c r="G328" s="2">
        <v>46024</v>
      </c>
      <c r="H328" t="s">
        <v>13</v>
      </c>
    </row>
    <row r="329" spans="1:8" x14ac:dyDescent="0.3">
      <c r="A329" t="s">
        <v>8</v>
      </c>
      <c r="B329">
        <v>33</v>
      </c>
      <c r="C329" t="s">
        <v>159</v>
      </c>
      <c r="D329" s="1">
        <v>0.79166666666666663</v>
      </c>
      <c r="E329" t="s">
        <v>11</v>
      </c>
      <c r="F329" t="s">
        <v>28</v>
      </c>
      <c r="G329" t="s">
        <v>54</v>
      </c>
      <c r="H329" t="s">
        <v>13</v>
      </c>
    </row>
    <row r="330" spans="1:8" x14ac:dyDescent="0.3">
      <c r="A330" t="s">
        <v>8</v>
      </c>
      <c r="B330">
        <v>33</v>
      </c>
      <c r="C330" t="s">
        <v>159</v>
      </c>
      <c r="D330" s="1">
        <v>0.875</v>
      </c>
      <c r="E330" t="s">
        <v>36</v>
      </c>
      <c r="F330" t="s">
        <v>30</v>
      </c>
      <c r="G330" s="2">
        <v>46055</v>
      </c>
      <c r="H330" t="s">
        <v>13</v>
      </c>
    </row>
    <row r="331" spans="1:8" x14ac:dyDescent="0.3">
      <c r="A331" t="s">
        <v>8</v>
      </c>
      <c r="B331">
        <v>33</v>
      </c>
      <c r="C331" t="s">
        <v>160</v>
      </c>
      <c r="D331" s="1">
        <v>0.91666666666666663</v>
      </c>
      <c r="E331" t="s">
        <v>15</v>
      </c>
      <c r="F331" t="s">
        <v>17</v>
      </c>
      <c r="G331" t="s">
        <v>32</v>
      </c>
      <c r="H331" t="s">
        <v>13</v>
      </c>
    </row>
    <row r="332" spans="1:8" x14ac:dyDescent="0.3">
      <c r="A332" t="s">
        <v>8</v>
      </c>
      <c r="B332">
        <v>34</v>
      </c>
      <c r="C332" t="s">
        <v>161</v>
      </c>
      <c r="D332" s="1">
        <v>0.85416666666666663</v>
      </c>
      <c r="E332" t="s">
        <v>28</v>
      </c>
      <c r="F332" t="s">
        <v>31</v>
      </c>
      <c r="G332" t="s">
        <v>12</v>
      </c>
      <c r="H332" t="s">
        <v>13</v>
      </c>
    </row>
    <row r="333" spans="1:8" x14ac:dyDescent="0.3">
      <c r="A333" t="s">
        <v>8</v>
      </c>
      <c r="B333">
        <v>34</v>
      </c>
      <c r="C333" t="s">
        <v>162</v>
      </c>
      <c r="D333" s="1">
        <v>0.66666666666666663</v>
      </c>
      <c r="E333" t="s">
        <v>23</v>
      </c>
      <c r="F333" t="s">
        <v>16</v>
      </c>
      <c r="G333" s="2">
        <v>46023</v>
      </c>
      <c r="H333" t="s">
        <v>13</v>
      </c>
    </row>
    <row r="334" spans="1:8" x14ac:dyDescent="0.3">
      <c r="A334" t="s">
        <v>8</v>
      </c>
      <c r="B334">
        <v>34</v>
      </c>
      <c r="C334" t="s">
        <v>162</v>
      </c>
      <c r="D334" s="1">
        <v>0.75</v>
      </c>
      <c r="E334" t="s">
        <v>21</v>
      </c>
      <c r="F334" t="s">
        <v>11</v>
      </c>
      <c r="G334" t="s">
        <v>41</v>
      </c>
      <c r="H334" t="s">
        <v>13</v>
      </c>
    </row>
    <row r="335" spans="1:8" x14ac:dyDescent="0.3">
      <c r="A335" t="s">
        <v>8</v>
      </c>
      <c r="B335">
        <v>34</v>
      </c>
      <c r="C335" t="s">
        <v>162</v>
      </c>
      <c r="D335" s="1">
        <v>0.83333333333333337</v>
      </c>
      <c r="E335" t="s">
        <v>10</v>
      </c>
      <c r="F335" t="s">
        <v>36</v>
      </c>
      <c r="G335" s="2">
        <v>46024</v>
      </c>
      <c r="H335" t="s">
        <v>13</v>
      </c>
    </row>
    <row r="336" spans="1:8" x14ac:dyDescent="0.3">
      <c r="A336" t="s">
        <v>8</v>
      </c>
      <c r="B336">
        <v>34</v>
      </c>
      <c r="C336" t="s">
        <v>163</v>
      </c>
      <c r="D336" s="1">
        <v>0.5</v>
      </c>
      <c r="E336" t="s">
        <v>33</v>
      </c>
      <c r="F336" t="s">
        <v>35</v>
      </c>
      <c r="G336" s="2">
        <v>46114</v>
      </c>
      <c r="H336" t="s">
        <v>13</v>
      </c>
    </row>
    <row r="337" spans="1:8" x14ac:dyDescent="0.3">
      <c r="A337" t="s">
        <v>8</v>
      </c>
      <c r="B337">
        <v>34</v>
      </c>
      <c r="C337" t="s">
        <v>163</v>
      </c>
      <c r="D337" s="1">
        <v>0.70833333333333337</v>
      </c>
      <c r="E337" t="s">
        <v>30</v>
      </c>
      <c r="F337" t="s">
        <v>26</v>
      </c>
      <c r="G337" s="2">
        <v>46025</v>
      </c>
      <c r="H337" t="s">
        <v>13</v>
      </c>
    </row>
    <row r="338" spans="1:8" x14ac:dyDescent="0.3">
      <c r="A338" t="s">
        <v>8</v>
      </c>
      <c r="B338">
        <v>34</v>
      </c>
      <c r="C338" t="s">
        <v>163</v>
      </c>
      <c r="D338" s="1">
        <v>0.79166666666666663</v>
      </c>
      <c r="E338" t="s">
        <v>27</v>
      </c>
      <c r="F338" t="s">
        <v>24</v>
      </c>
      <c r="G338" t="s">
        <v>88</v>
      </c>
      <c r="H338" t="s">
        <v>13</v>
      </c>
    </row>
    <row r="339" spans="1:8" x14ac:dyDescent="0.3">
      <c r="A339" t="s">
        <v>8</v>
      </c>
      <c r="B339">
        <v>34</v>
      </c>
      <c r="C339" t="s">
        <v>163</v>
      </c>
      <c r="D339" s="1">
        <v>0.875</v>
      </c>
      <c r="E339" t="s">
        <v>20</v>
      </c>
      <c r="F339" t="s">
        <v>15</v>
      </c>
      <c r="G339" s="2">
        <v>46024</v>
      </c>
      <c r="H339" t="s">
        <v>13</v>
      </c>
    </row>
    <row r="340" spans="1:8" x14ac:dyDescent="0.3">
      <c r="A340" t="s">
        <v>8</v>
      </c>
      <c r="B340">
        <v>34</v>
      </c>
      <c r="C340" t="s">
        <v>164</v>
      </c>
      <c r="D340" s="1">
        <v>0.91666666666666663</v>
      </c>
      <c r="E340" t="s">
        <v>17</v>
      </c>
      <c r="F340" t="s">
        <v>34</v>
      </c>
      <c r="G340" t="s">
        <v>12</v>
      </c>
      <c r="H340" t="s">
        <v>13</v>
      </c>
    </row>
    <row r="341" spans="1:8" x14ac:dyDescent="0.3">
      <c r="A341" t="s">
        <v>8</v>
      </c>
      <c r="B341">
        <v>34</v>
      </c>
      <c r="C341" t="s">
        <v>165</v>
      </c>
      <c r="D341" s="1">
        <v>0.875</v>
      </c>
      <c r="E341" t="s">
        <v>14</v>
      </c>
      <c r="F341" t="s">
        <v>25</v>
      </c>
      <c r="G341" s="2">
        <v>46023</v>
      </c>
      <c r="H341" t="s">
        <v>13</v>
      </c>
    </row>
    <row r="342" spans="1:8" x14ac:dyDescent="0.3">
      <c r="A342" t="s">
        <v>8</v>
      </c>
      <c r="B342">
        <v>35</v>
      </c>
      <c r="C342" t="s">
        <v>166</v>
      </c>
      <c r="D342" s="1">
        <v>0.875</v>
      </c>
      <c r="E342" t="s">
        <v>31</v>
      </c>
      <c r="F342" t="s">
        <v>21</v>
      </c>
      <c r="G342" s="2">
        <v>46023</v>
      </c>
      <c r="H342" t="s">
        <v>13</v>
      </c>
    </row>
    <row r="343" spans="1:8" x14ac:dyDescent="0.3">
      <c r="A343" t="s">
        <v>8</v>
      </c>
      <c r="B343">
        <v>35</v>
      </c>
      <c r="C343" t="s">
        <v>167</v>
      </c>
      <c r="D343" s="1">
        <v>0.66666666666666663</v>
      </c>
      <c r="E343" t="s">
        <v>24</v>
      </c>
      <c r="F343" t="s">
        <v>30</v>
      </c>
      <c r="G343" t="s">
        <v>46</v>
      </c>
      <c r="H343" t="s">
        <v>13</v>
      </c>
    </row>
    <row r="344" spans="1:8" x14ac:dyDescent="0.3">
      <c r="A344" t="s">
        <v>8</v>
      </c>
      <c r="B344">
        <v>35</v>
      </c>
      <c r="C344" t="s">
        <v>167</v>
      </c>
      <c r="D344" s="1">
        <v>0.75</v>
      </c>
      <c r="E344" t="s">
        <v>11</v>
      </c>
      <c r="F344" t="s">
        <v>17</v>
      </c>
      <c r="G344" t="s">
        <v>18</v>
      </c>
      <c r="H344" t="s">
        <v>13</v>
      </c>
    </row>
    <row r="345" spans="1:8" x14ac:dyDescent="0.3">
      <c r="A345" t="s">
        <v>8</v>
      </c>
      <c r="B345">
        <v>35</v>
      </c>
      <c r="C345" t="s">
        <v>167</v>
      </c>
      <c r="D345" s="1">
        <v>0.83333333333333337</v>
      </c>
      <c r="E345" t="s">
        <v>25</v>
      </c>
      <c r="F345" t="s">
        <v>23</v>
      </c>
      <c r="G345" t="s">
        <v>88</v>
      </c>
      <c r="H345" t="s">
        <v>13</v>
      </c>
    </row>
    <row r="346" spans="1:8" x14ac:dyDescent="0.3">
      <c r="A346" t="s">
        <v>8</v>
      </c>
      <c r="B346">
        <v>35</v>
      </c>
      <c r="C346" t="s">
        <v>167</v>
      </c>
      <c r="D346" s="1">
        <v>0.91666666666666663</v>
      </c>
      <c r="E346" t="s">
        <v>26</v>
      </c>
      <c r="F346" t="s">
        <v>10</v>
      </c>
      <c r="G346" t="s">
        <v>42</v>
      </c>
      <c r="H346" t="s">
        <v>13</v>
      </c>
    </row>
    <row r="347" spans="1:8" x14ac:dyDescent="0.3">
      <c r="A347" t="s">
        <v>8</v>
      </c>
      <c r="B347">
        <v>35</v>
      </c>
      <c r="C347" t="s">
        <v>168</v>
      </c>
      <c r="D347" s="1">
        <v>0.5</v>
      </c>
      <c r="E347" t="s">
        <v>36</v>
      </c>
      <c r="F347" t="s">
        <v>33</v>
      </c>
      <c r="G347" s="2">
        <v>46054</v>
      </c>
      <c r="H347" t="s">
        <v>13</v>
      </c>
    </row>
    <row r="348" spans="1:8" x14ac:dyDescent="0.3">
      <c r="A348" t="s">
        <v>8</v>
      </c>
      <c r="B348">
        <v>35</v>
      </c>
      <c r="C348" t="s">
        <v>168</v>
      </c>
      <c r="D348" s="1">
        <v>0.70833333333333337</v>
      </c>
      <c r="E348" t="s">
        <v>16</v>
      </c>
      <c r="F348" t="s">
        <v>28</v>
      </c>
      <c r="G348" t="s">
        <v>42</v>
      </c>
      <c r="H348" t="s">
        <v>13</v>
      </c>
    </row>
    <row r="349" spans="1:8" x14ac:dyDescent="0.3">
      <c r="A349" t="s">
        <v>8</v>
      </c>
      <c r="B349">
        <v>35</v>
      </c>
      <c r="C349" t="s">
        <v>168</v>
      </c>
      <c r="D349" s="1">
        <v>0.79166666666666663</v>
      </c>
      <c r="E349" t="s">
        <v>15</v>
      </c>
      <c r="F349" t="s">
        <v>27</v>
      </c>
      <c r="G349" s="2">
        <v>46025</v>
      </c>
      <c r="H349" t="s">
        <v>13</v>
      </c>
    </row>
    <row r="350" spans="1:8" x14ac:dyDescent="0.3">
      <c r="A350" t="s">
        <v>8</v>
      </c>
      <c r="B350">
        <v>35</v>
      </c>
      <c r="C350" t="s">
        <v>168</v>
      </c>
      <c r="D350" s="1">
        <v>0.875</v>
      </c>
      <c r="E350" t="s">
        <v>34</v>
      </c>
      <c r="F350" t="s">
        <v>20</v>
      </c>
      <c r="G350" s="2">
        <v>46083</v>
      </c>
      <c r="H350" t="s">
        <v>13</v>
      </c>
    </row>
    <row r="351" spans="1:8" x14ac:dyDescent="0.3">
      <c r="A351" t="s">
        <v>8</v>
      </c>
      <c r="B351">
        <v>35</v>
      </c>
      <c r="C351" t="s">
        <v>169</v>
      </c>
      <c r="D351" s="1">
        <v>0.91666666666666663</v>
      </c>
      <c r="E351" t="s">
        <v>35</v>
      </c>
      <c r="F351" t="s">
        <v>14</v>
      </c>
      <c r="G351" s="2">
        <v>46026</v>
      </c>
      <c r="H351" t="s">
        <v>13</v>
      </c>
    </row>
    <row r="352" spans="1:8" x14ac:dyDescent="0.3">
      <c r="A352" t="s">
        <v>8</v>
      </c>
      <c r="B352">
        <v>36</v>
      </c>
      <c r="C352" t="s">
        <v>170</v>
      </c>
      <c r="D352" s="1">
        <v>0.875</v>
      </c>
      <c r="E352" t="s">
        <v>30</v>
      </c>
      <c r="F352" t="s">
        <v>15</v>
      </c>
      <c r="G352" t="s">
        <v>46</v>
      </c>
      <c r="H352" t="s">
        <v>13</v>
      </c>
    </row>
    <row r="353" spans="1:8" x14ac:dyDescent="0.3">
      <c r="A353" t="s">
        <v>8</v>
      </c>
      <c r="B353">
        <v>36</v>
      </c>
      <c r="C353" t="s">
        <v>171</v>
      </c>
      <c r="D353" s="1">
        <v>0.66666666666666663</v>
      </c>
      <c r="E353" t="s">
        <v>20</v>
      </c>
      <c r="F353" t="s">
        <v>11</v>
      </c>
      <c r="G353" s="2">
        <v>46055</v>
      </c>
      <c r="H353" t="s">
        <v>13</v>
      </c>
    </row>
    <row r="354" spans="1:8" x14ac:dyDescent="0.3">
      <c r="A354" t="s">
        <v>8</v>
      </c>
      <c r="B354">
        <v>36</v>
      </c>
      <c r="C354" t="s">
        <v>171</v>
      </c>
      <c r="D354" s="1">
        <v>0.75</v>
      </c>
      <c r="E354" t="s">
        <v>17</v>
      </c>
      <c r="F354" t="s">
        <v>31</v>
      </c>
      <c r="G354" t="s">
        <v>42</v>
      </c>
      <c r="H354" t="s">
        <v>13</v>
      </c>
    </row>
    <row r="355" spans="1:8" x14ac:dyDescent="0.3">
      <c r="A355" t="s">
        <v>8</v>
      </c>
      <c r="B355">
        <v>36</v>
      </c>
      <c r="C355" t="s">
        <v>171</v>
      </c>
      <c r="D355" s="1">
        <v>0.83333333333333337</v>
      </c>
      <c r="E355" t="s">
        <v>23</v>
      </c>
      <c r="F355" t="s">
        <v>35</v>
      </c>
      <c r="G355" t="s">
        <v>54</v>
      </c>
      <c r="H355" t="s">
        <v>13</v>
      </c>
    </row>
    <row r="356" spans="1:8" x14ac:dyDescent="0.3">
      <c r="A356" t="s">
        <v>8</v>
      </c>
      <c r="B356">
        <v>36</v>
      </c>
      <c r="C356" t="s">
        <v>171</v>
      </c>
      <c r="D356" s="1">
        <v>0.91666666666666663</v>
      </c>
      <c r="E356" t="s">
        <v>14</v>
      </c>
      <c r="F356" t="s">
        <v>36</v>
      </c>
      <c r="G356" t="s">
        <v>18</v>
      </c>
      <c r="H356" t="s">
        <v>13</v>
      </c>
    </row>
    <row r="357" spans="1:8" x14ac:dyDescent="0.3">
      <c r="A357" t="s">
        <v>8</v>
      </c>
      <c r="B357">
        <v>36</v>
      </c>
      <c r="C357" t="s">
        <v>172</v>
      </c>
      <c r="D357" s="1">
        <v>0.5</v>
      </c>
      <c r="E357" t="s">
        <v>33</v>
      </c>
      <c r="F357" t="s">
        <v>26</v>
      </c>
      <c r="G357" s="2">
        <v>46056</v>
      </c>
      <c r="H357" t="s">
        <v>13</v>
      </c>
    </row>
    <row r="358" spans="1:8" x14ac:dyDescent="0.3">
      <c r="A358" t="s">
        <v>8</v>
      </c>
      <c r="B358">
        <v>36</v>
      </c>
      <c r="C358" t="s">
        <v>172</v>
      </c>
      <c r="D358" s="1">
        <v>0.70833333333333337</v>
      </c>
      <c r="E358" t="s">
        <v>21</v>
      </c>
      <c r="F358" t="s">
        <v>28</v>
      </c>
      <c r="G358" t="s">
        <v>12</v>
      </c>
      <c r="H358" t="s">
        <v>13</v>
      </c>
    </row>
    <row r="359" spans="1:8" x14ac:dyDescent="0.3">
      <c r="A359" t="s">
        <v>8</v>
      </c>
      <c r="B359">
        <v>36</v>
      </c>
      <c r="C359" t="s">
        <v>172</v>
      </c>
      <c r="D359" s="1">
        <v>0.79166666666666663</v>
      </c>
      <c r="E359" t="s">
        <v>27</v>
      </c>
      <c r="F359" t="s">
        <v>34</v>
      </c>
      <c r="G359" t="s">
        <v>41</v>
      </c>
      <c r="H359" t="s">
        <v>13</v>
      </c>
    </row>
    <row r="360" spans="1:8" x14ac:dyDescent="0.3">
      <c r="A360" t="s">
        <v>8</v>
      </c>
      <c r="B360">
        <v>36</v>
      </c>
      <c r="C360" t="s">
        <v>172</v>
      </c>
      <c r="D360" s="1">
        <v>0.875</v>
      </c>
      <c r="E360" t="s">
        <v>25</v>
      </c>
      <c r="F360" t="s">
        <v>16</v>
      </c>
      <c r="G360" s="2">
        <v>46055</v>
      </c>
      <c r="H360" t="s">
        <v>13</v>
      </c>
    </row>
    <row r="361" spans="1:8" x14ac:dyDescent="0.3">
      <c r="A361" t="s">
        <v>8</v>
      </c>
      <c r="B361">
        <v>36</v>
      </c>
      <c r="C361" t="s">
        <v>173</v>
      </c>
      <c r="D361" s="1">
        <v>0.91666666666666663</v>
      </c>
      <c r="E361" t="s">
        <v>10</v>
      </c>
      <c r="F361" t="s">
        <v>24</v>
      </c>
      <c r="G361" s="2">
        <v>46023</v>
      </c>
      <c r="H361" t="s">
        <v>13</v>
      </c>
    </row>
    <row r="362" spans="1:8" x14ac:dyDescent="0.3">
      <c r="A362" t="s">
        <v>8</v>
      </c>
      <c r="B362">
        <v>37</v>
      </c>
      <c r="C362" t="s">
        <v>174</v>
      </c>
      <c r="D362" s="1">
        <v>0.83333333333333337</v>
      </c>
      <c r="E362" t="s">
        <v>34</v>
      </c>
      <c r="F362" t="s">
        <v>30</v>
      </c>
      <c r="G362" t="s">
        <v>88</v>
      </c>
      <c r="H362" t="s">
        <v>13</v>
      </c>
    </row>
    <row r="363" spans="1:8" x14ac:dyDescent="0.3">
      <c r="A363" t="s">
        <v>8</v>
      </c>
      <c r="B363">
        <v>37</v>
      </c>
      <c r="C363" t="s">
        <v>174</v>
      </c>
      <c r="D363" s="1">
        <v>0.91666666666666663</v>
      </c>
      <c r="E363" t="s">
        <v>21</v>
      </c>
      <c r="F363" t="s">
        <v>16</v>
      </c>
      <c r="G363" t="s">
        <v>12</v>
      </c>
      <c r="H363" t="s">
        <v>13</v>
      </c>
    </row>
    <row r="364" spans="1:8" x14ac:dyDescent="0.3">
      <c r="A364" t="s">
        <v>8</v>
      </c>
      <c r="B364">
        <v>37</v>
      </c>
      <c r="C364" t="s">
        <v>175</v>
      </c>
      <c r="D364" s="1">
        <v>0.70833333333333337</v>
      </c>
      <c r="E364" t="s">
        <v>15</v>
      </c>
      <c r="F364" t="s">
        <v>10</v>
      </c>
      <c r="G364" s="2">
        <v>46023</v>
      </c>
      <c r="H364" t="s">
        <v>13</v>
      </c>
    </row>
    <row r="365" spans="1:8" x14ac:dyDescent="0.3">
      <c r="A365" t="s">
        <v>8</v>
      </c>
      <c r="B365">
        <v>37</v>
      </c>
      <c r="C365" t="s">
        <v>175</v>
      </c>
      <c r="D365" s="1">
        <v>0.79166666666666663</v>
      </c>
      <c r="E365" t="s">
        <v>28</v>
      </c>
      <c r="F365" t="s">
        <v>17</v>
      </c>
      <c r="G365" s="2">
        <v>46023</v>
      </c>
      <c r="H365" t="s">
        <v>13</v>
      </c>
    </row>
    <row r="366" spans="1:8" x14ac:dyDescent="0.3">
      <c r="A366" t="s">
        <v>8</v>
      </c>
      <c r="B366">
        <v>37</v>
      </c>
      <c r="C366" t="s">
        <v>175</v>
      </c>
      <c r="D366" s="1">
        <v>0.79166666666666663</v>
      </c>
      <c r="E366" t="s">
        <v>26</v>
      </c>
      <c r="F366" t="s">
        <v>14</v>
      </c>
      <c r="G366" s="2">
        <v>46085</v>
      </c>
      <c r="H366" t="s">
        <v>13</v>
      </c>
    </row>
    <row r="367" spans="1:8" x14ac:dyDescent="0.3">
      <c r="A367" t="s">
        <v>8</v>
      </c>
      <c r="B367">
        <v>37</v>
      </c>
      <c r="C367" t="s">
        <v>175</v>
      </c>
      <c r="D367" s="1">
        <v>0.79166666666666663</v>
      </c>
      <c r="E367" t="s">
        <v>35</v>
      </c>
      <c r="F367" t="s">
        <v>25</v>
      </c>
      <c r="G367" t="s">
        <v>12</v>
      </c>
      <c r="H367" t="s">
        <v>13</v>
      </c>
    </row>
    <row r="368" spans="1:8" x14ac:dyDescent="0.3">
      <c r="A368" t="s">
        <v>8</v>
      </c>
      <c r="B368">
        <v>37</v>
      </c>
      <c r="C368" t="s">
        <v>175</v>
      </c>
      <c r="D368" s="1">
        <v>0.79166666666666663</v>
      </c>
      <c r="E368" t="s">
        <v>31</v>
      </c>
      <c r="F368" t="s">
        <v>20</v>
      </c>
      <c r="G368" t="s">
        <v>41</v>
      </c>
      <c r="H368" t="s">
        <v>13</v>
      </c>
    </row>
    <row r="369" spans="1:8" x14ac:dyDescent="0.3">
      <c r="A369" t="s">
        <v>8</v>
      </c>
      <c r="B369">
        <v>37</v>
      </c>
      <c r="C369" t="s">
        <v>175</v>
      </c>
      <c r="D369" s="1">
        <v>0.79166666666666663</v>
      </c>
      <c r="E369" t="s">
        <v>36</v>
      </c>
      <c r="F369" t="s">
        <v>23</v>
      </c>
      <c r="G369" s="2">
        <v>46023</v>
      </c>
      <c r="H369" t="s">
        <v>13</v>
      </c>
    </row>
    <row r="370" spans="1:8" x14ac:dyDescent="0.3">
      <c r="A370" t="s">
        <v>8</v>
      </c>
      <c r="B370">
        <v>37</v>
      </c>
      <c r="C370" t="s">
        <v>175</v>
      </c>
      <c r="D370" s="1">
        <v>0.79166666666666663</v>
      </c>
      <c r="E370" t="s">
        <v>11</v>
      </c>
      <c r="F370" t="s">
        <v>27</v>
      </c>
      <c r="G370" t="s">
        <v>18</v>
      </c>
      <c r="H370" t="s">
        <v>13</v>
      </c>
    </row>
    <row r="371" spans="1:8" x14ac:dyDescent="0.3">
      <c r="A371" t="s">
        <v>8</v>
      </c>
      <c r="B371">
        <v>37</v>
      </c>
      <c r="C371" t="s">
        <v>175</v>
      </c>
      <c r="D371" s="1">
        <v>0.79166666666666663</v>
      </c>
      <c r="E371" t="s">
        <v>24</v>
      </c>
      <c r="F371" t="s">
        <v>33</v>
      </c>
      <c r="G371" t="s">
        <v>54</v>
      </c>
      <c r="H371" t="s">
        <v>13</v>
      </c>
    </row>
    <row r="372" spans="1:8" x14ac:dyDescent="0.3">
      <c r="A372" t="s">
        <v>8</v>
      </c>
      <c r="B372">
        <v>38</v>
      </c>
      <c r="C372" t="s">
        <v>176</v>
      </c>
      <c r="D372" s="1">
        <v>0.875</v>
      </c>
      <c r="E372" t="s">
        <v>17</v>
      </c>
      <c r="F372" t="s">
        <v>21</v>
      </c>
      <c r="G372" t="s">
        <v>18</v>
      </c>
      <c r="H372" t="s">
        <v>13</v>
      </c>
    </row>
    <row r="373" spans="1:8" x14ac:dyDescent="0.3">
      <c r="A373" t="s">
        <v>8</v>
      </c>
      <c r="B373">
        <v>38</v>
      </c>
      <c r="C373" t="s">
        <v>177</v>
      </c>
      <c r="D373" s="1">
        <v>0.66666666666666663</v>
      </c>
      <c r="E373" t="s">
        <v>25</v>
      </c>
      <c r="F373" t="s">
        <v>36</v>
      </c>
      <c r="G373" s="2">
        <v>46025</v>
      </c>
      <c r="H373" t="s">
        <v>13</v>
      </c>
    </row>
    <row r="374" spans="1:8" x14ac:dyDescent="0.3">
      <c r="A374" t="s">
        <v>8</v>
      </c>
      <c r="B374">
        <v>38</v>
      </c>
      <c r="C374" t="s">
        <v>177</v>
      </c>
      <c r="D374" s="1">
        <v>0.75</v>
      </c>
      <c r="E374" t="s">
        <v>20</v>
      </c>
      <c r="F374" t="s">
        <v>28</v>
      </c>
      <c r="G374" s="2">
        <v>46023</v>
      </c>
      <c r="H374" t="s">
        <v>13</v>
      </c>
    </row>
    <row r="375" spans="1:8" x14ac:dyDescent="0.3">
      <c r="A375" t="s">
        <v>8</v>
      </c>
      <c r="B375">
        <v>38</v>
      </c>
      <c r="C375" t="s">
        <v>177</v>
      </c>
      <c r="D375" s="1">
        <v>0.91666666666666663</v>
      </c>
      <c r="E375" t="s">
        <v>16</v>
      </c>
      <c r="F375" t="s">
        <v>35</v>
      </c>
      <c r="G375" s="2">
        <v>46024</v>
      </c>
      <c r="H375" t="s">
        <v>13</v>
      </c>
    </row>
    <row r="376" spans="1:8" x14ac:dyDescent="0.3">
      <c r="A376" t="s">
        <v>8</v>
      </c>
      <c r="B376">
        <v>38</v>
      </c>
      <c r="C376" t="s">
        <v>178</v>
      </c>
      <c r="D376" s="1">
        <v>0.5</v>
      </c>
      <c r="E376" t="s">
        <v>10</v>
      </c>
      <c r="F376" t="s">
        <v>34</v>
      </c>
      <c r="G376" s="2">
        <v>46054</v>
      </c>
      <c r="H376" t="s">
        <v>13</v>
      </c>
    </row>
    <row r="377" spans="1:8" x14ac:dyDescent="0.3">
      <c r="A377" t="s">
        <v>8</v>
      </c>
      <c r="B377">
        <v>38</v>
      </c>
      <c r="C377" t="s">
        <v>178</v>
      </c>
      <c r="D377" s="1">
        <v>0.75</v>
      </c>
      <c r="E377" t="s">
        <v>33</v>
      </c>
      <c r="F377" t="s">
        <v>15</v>
      </c>
      <c r="G377" t="s">
        <v>41</v>
      </c>
      <c r="H377" t="s">
        <v>13</v>
      </c>
    </row>
    <row r="378" spans="1:8" x14ac:dyDescent="0.3">
      <c r="A378" t="s">
        <v>8</v>
      </c>
      <c r="B378">
        <v>38</v>
      </c>
      <c r="C378" t="s">
        <v>178</v>
      </c>
      <c r="D378" s="1">
        <v>0.75</v>
      </c>
      <c r="E378" t="s">
        <v>23</v>
      </c>
      <c r="F378" t="s">
        <v>26</v>
      </c>
      <c r="G378" s="2">
        <v>46024</v>
      </c>
      <c r="H378" t="s">
        <v>13</v>
      </c>
    </row>
    <row r="379" spans="1:8" x14ac:dyDescent="0.3">
      <c r="A379" t="s">
        <v>8</v>
      </c>
      <c r="B379">
        <v>38</v>
      </c>
      <c r="C379" t="s">
        <v>178</v>
      </c>
      <c r="D379" s="1">
        <v>0.75</v>
      </c>
      <c r="E379" t="s">
        <v>30</v>
      </c>
      <c r="F379" t="s">
        <v>11</v>
      </c>
      <c r="G379" s="2">
        <v>46054</v>
      </c>
      <c r="H379" t="s">
        <v>13</v>
      </c>
    </row>
    <row r="380" spans="1:8" x14ac:dyDescent="0.3">
      <c r="A380" t="s">
        <v>8</v>
      </c>
      <c r="B380">
        <v>38</v>
      </c>
      <c r="C380" t="s">
        <v>178</v>
      </c>
      <c r="D380" s="1">
        <v>0.75</v>
      </c>
      <c r="E380" t="s">
        <v>14</v>
      </c>
      <c r="F380" t="s">
        <v>24</v>
      </c>
      <c r="G380" t="s">
        <v>42</v>
      </c>
      <c r="H380" t="s">
        <v>13</v>
      </c>
    </row>
    <row r="381" spans="1:8" x14ac:dyDescent="0.3">
      <c r="A381" t="s">
        <v>8</v>
      </c>
      <c r="B381">
        <v>38</v>
      </c>
      <c r="C381" t="s">
        <v>178</v>
      </c>
      <c r="D381" s="1">
        <v>0.875</v>
      </c>
      <c r="E381" t="s">
        <v>27</v>
      </c>
      <c r="F381" t="s">
        <v>31</v>
      </c>
      <c r="G381" s="2">
        <v>46025</v>
      </c>
      <c r="H381" t="s">
        <v>13</v>
      </c>
    </row>
    <row r="382" spans="1:8" x14ac:dyDescent="0.3">
      <c r="A382" t="s">
        <v>179</v>
      </c>
      <c r="B382">
        <v>1</v>
      </c>
      <c r="C382" t="s">
        <v>180</v>
      </c>
      <c r="D382" s="1">
        <v>0.79166666666666663</v>
      </c>
      <c r="E382" t="s">
        <v>17</v>
      </c>
      <c r="F382" t="s">
        <v>15</v>
      </c>
      <c r="G382" t="s">
        <v>18</v>
      </c>
      <c r="H382" t="s">
        <v>181</v>
      </c>
    </row>
    <row r="383" spans="1:8" x14ac:dyDescent="0.3">
      <c r="A383" t="s">
        <v>179</v>
      </c>
      <c r="B383">
        <v>1</v>
      </c>
      <c r="C383" t="s">
        <v>180</v>
      </c>
      <c r="D383" s="1">
        <v>0.875</v>
      </c>
      <c r="E383" t="s">
        <v>24</v>
      </c>
      <c r="F383" t="s">
        <v>182</v>
      </c>
      <c r="G383" s="2">
        <v>46024</v>
      </c>
      <c r="H383" t="s">
        <v>183</v>
      </c>
    </row>
    <row r="384" spans="1:8" x14ac:dyDescent="0.3">
      <c r="A384" t="s">
        <v>179</v>
      </c>
      <c r="B384">
        <v>1</v>
      </c>
      <c r="C384" t="s">
        <v>180</v>
      </c>
      <c r="D384" s="1">
        <v>0.875</v>
      </c>
      <c r="E384" t="s">
        <v>27</v>
      </c>
      <c r="F384" t="s">
        <v>16</v>
      </c>
      <c r="G384" s="2">
        <v>46023</v>
      </c>
      <c r="H384" t="s">
        <v>184</v>
      </c>
    </row>
    <row r="385" spans="1:8" x14ac:dyDescent="0.3">
      <c r="A385" t="s">
        <v>179</v>
      </c>
      <c r="B385">
        <v>1</v>
      </c>
      <c r="C385" t="s">
        <v>180</v>
      </c>
      <c r="D385" s="1">
        <v>0.95833333333333337</v>
      </c>
      <c r="E385" t="s">
        <v>33</v>
      </c>
      <c r="F385" t="s">
        <v>36</v>
      </c>
      <c r="G385" s="2">
        <v>46023</v>
      </c>
      <c r="H385" t="s">
        <v>185</v>
      </c>
    </row>
    <row r="386" spans="1:8" x14ac:dyDescent="0.3">
      <c r="A386" t="s">
        <v>179</v>
      </c>
      <c r="B386">
        <v>1</v>
      </c>
      <c r="C386" t="s">
        <v>186</v>
      </c>
      <c r="D386" s="1">
        <v>0.79166666666666663</v>
      </c>
      <c r="E386" t="s">
        <v>187</v>
      </c>
      <c r="F386" t="s">
        <v>10</v>
      </c>
      <c r="G386" t="s">
        <v>18</v>
      </c>
      <c r="H386" t="s">
        <v>188</v>
      </c>
    </row>
    <row r="387" spans="1:8" x14ac:dyDescent="0.3">
      <c r="A387" t="s">
        <v>179</v>
      </c>
      <c r="B387">
        <v>1</v>
      </c>
      <c r="C387" t="s">
        <v>186</v>
      </c>
      <c r="D387" s="1">
        <v>0.875</v>
      </c>
      <c r="E387" t="s">
        <v>20</v>
      </c>
      <c r="F387" t="s">
        <v>31</v>
      </c>
      <c r="G387" t="s">
        <v>32</v>
      </c>
      <c r="H387" t="s">
        <v>189</v>
      </c>
    </row>
    <row r="388" spans="1:8" x14ac:dyDescent="0.3">
      <c r="A388" t="s">
        <v>179</v>
      </c>
      <c r="B388">
        <v>1</v>
      </c>
      <c r="C388" t="s">
        <v>186</v>
      </c>
      <c r="D388" s="1">
        <v>0.875</v>
      </c>
      <c r="E388" t="s">
        <v>35</v>
      </c>
      <c r="F388" t="s">
        <v>11</v>
      </c>
      <c r="G388" s="2">
        <v>46025</v>
      </c>
      <c r="H388" t="s">
        <v>190</v>
      </c>
    </row>
    <row r="389" spans="1:8" x14ac:dyDescent="0.3">
      <c r="A389" t="s">
        <v>179</v>
      </c>
      <c r="B389">
        <v>1</v>
      </c>
      <c r="C389" t="s">
        <v>186</v>
      </c>
      <c r="D389" s="1">
        <v>0.95833333333333337</v>
      </c>
      <c r="E389" t="s">
        <v>21</v>
      </c>
      <c r="F389" t="s">
        <v>34</v>
      </c>
      <c r="G389" t="s">
        <v>54</v>
      </c>
      <c r="H389" t="s">
        <v>191</v>
      </c>
    </row>
    <row r="390" spans="1:8" x14ac:dyDescent="0.3">
      <c r="A390" t="s">
        <v>179</v>
      </c>
      <c r="B390">
        <v>1</v>
      </c>
      <c r="C390" t="s">
        <v>192</v>
      </c>
      <c r="D390" s="1">
        <v>0.83333333333333337</v>
      </c>
      <c r="E390" t="s">
        <v>25</v>
      </c>
      <c r="F390" t="s">
        <v>193</v>
      </c>
      <c r="G390" t="s">
        <v>12</v>
      </c>
      <c r="H390" t="s">
        <v>194</v>
      </c>
    </row>
    <row r="391" spans="1:8" x14ac:dyDescent="0.3">
      <c r="A391" t="s">
        <v>179</v>
      </c>
      <c r="B391">
        <v>1</v>
      </c>
      <c r="C391" t="s">
        <v>192</v>
      </c>
      <c r="D391" s="1">
        <v>0.91666666666666663</v>
      </c>
      <c r="E391" t="s">
        <v>30</v>
      </c>
      <c r="F391" t="s">
        <v>28</v>
      </c>
      <c r="G391" t="s">
        <v>41</v>
      </c>
      <c r="H391" t="s">
        <v>195</v>
      </c>
    </row>
    <row r="392" spans="1:8" x14ac:dyDescent="0.3">
      <c r="A392" t="s">
        <v>179</v>
      </c>
      <c r="B392">
        <v>2</v>
      </c>
      <c r="C392" t="s">
        <v>196</v>
      </c>
      <c r="D392" s="1">
        <v>0.83333333333333337</v>
      </c>
      <c r="E392" t="s">
        <v>11</v>
      </c>
      <c r="F392" t="s">
        <v>33</v>
      </c>
      <c r="G392" t="s">
        <v>18</v>
      </c>
      <c r="H392" t="s">
        <v>197</v>
      </c>
    </row>
    <row r="393" spans="1:8" x14ac:dyDescent="0.3">
      <c r="A393" t="s">
        <v>179</v>
      </c>
      <c r="B393">
        <v>2</v>
      </c>
      <c r="C393" t="s">
        <v>196</v>
      </c>
      <c r="D393" s="1">
        <v>0.91666666666666663</v>
      </c>
      <c r="E393" t="s">
        <v>16</v>
      </c>
      <c r="F393" t="s">
        <v>17</v>
      </c>
      <c r="G393" t="s">
        <v>32</v>
      </c>
      <c r="H393" t="s">
        <v>198</v>
      </c>
    </row>
    <row r="394" spans="1:8" x14ac:dyDescent="0.3">
      <c r="A394" t="s">
        <v>179</v>
      </c>
      <c r="B394">
        <v>2</v>
      </c>
      <c r="C394" t="s">
        <v>199</v>
      </c>
      <c r="D394" s="1">
        <v>0.79166666666666663</v>
      </c>
      <c r="E394" t="s">
        <v>15</v>
      </c>
      <c r="F394" t="s">
        <v>21</v>
      </c>
      <c r="G394" t="s">
        <v>32</v>
      </c>
      <c r="H394" t="s">
        <v>200</v>
      </c>
    </row>
    <row r="395" spans="1:8" x14ac:dyDescent="0.3">
      <c r="A395" t="s">
        <v>179</v>
      </c>
      <c r="B395">
        <v>2</v>
      </c>
      <c r="C395" t="s">
        <v>199</v>
      </c>
      <c r="D395" s="1">
        <v>0.79166666666666663</v>
      </c>
      <c r="E395" t="s">
        <v>193</v>
      </c>
      <c r="F395" t="s">
        <v>35</v>
      </c>
      <c r="G395" s="2">
        <v>46023</v>
      </c>
      <c r="H395" t="s">
        <v>201</v>
      </c>
    </row>
    <row r="396" spans="1:8" x14ac:dyDescent="0.3">
      <c r="A396" t="s">
        <v>179</v>
      </c>
      <c r="B396">
        <v>2</v>
      </c>
      <c r="C396" t="s">
        <v>199</v>
      </c>
      <c r="D396" s="1">
        <v>0.875</v>
      </c>
      <c r="E396" t="s">
        <v>28</v>
      </c>
      <c r="F396" t="s">
        <v>187</v>
      </c>
      <c r="G396" s="2">
        <v>46024</v>
      </c>
      <c r="H396" t="s">
        <v>202</v>
      </c>
    </row>
    <row r="397" spans="1:8" x14ac:dyDescent="0.3">
      <c r="A397" t="s">
        <v>179</v>
      </c>
      <c r="B397">
        <v>2</v>
      </c>
      <c r="C397" t="s">
        <v>199</v>
      </c>
      <c r="D397" s="1">
        <v>0.95833333333333337</v>
      </c>
      <c r="E397" t="s">
        <v>36</v>
      </c>
      <c r="F397" t="s">
        <v>27</v>
      </c>
      <c r="G397" s="2">
        <v>46054</v>
      </c>
      <c r="H397" t="s">
        <v>73</v>
      </c>
    </row>
    <row r="398" spans="1:8" x14ac:dyDescent="0.3">
      <c r="A398" t="s">
        <v>179</v>
      </c>
      <c r="B398">
        <v>2</v>
      </c>
      <c r="C398" t="s">
        <v>203</v>
      </c>
      <c r="D398" s="1">
        <v>0.79166666666666663</v>
      </c>
      <c r="E398" t="s">
        <v>34</v>
      </c>
      <c r="F398" t="s">
        <v>20</v>
      </c>
      <c r="G398" t="s">
        <v>42</v>
      </c>
      <c r="H398" t="s">
        <v>204</v>
      </c>
    </row>
    <row r="399" spans="1:8" x14ac:dyDescent="0.3">
      <c r="A399" t="s">
        <v>179</v>
      </c>
      <c r="B399">
        <v>2</v>
      </c>
      <c r="C399" t="s">
        <v>203</v>
      </c>
      <c r="D399" s="1">
        <v>0.875</v>
      </c>
      <c r="E399" t="s">
        <v>10</v>
      </c>
      <c r="F399" t="s">
        <v>25</v>
      </c>
      <c r="G399" s="2">
        <v>46057</v>
      </c>
      <c r="H399" t="s">
        <v>205</v>
      </c>
    </row>
    <row r="400" spans="1:8" x14ac:dyDescent="0.3">
      <c r="A400" t="s">
        <v>179</v>
      </c>
      <c r="B400">
        <v>2</v>
      </c>
      <c r="C400" t="s">
        <v>203</v>
      </c>
      <c r="D400" s="1">
        <v>0.875</v>
      </c>
      <c r="E400" t="s">
        <v>182</v>
      </c>
      <c r="F400" t="s">
        <v>30</v>
      </c>
      <c r="G400" s="2">
        <v>46055</v>
      </c>
      <c r="H400" t="s">
        <v>206</v>
      </c>
    </row>
    <row r="401" spans="1:8" x14ac:dyDescent="0.3">
      <c r="A401" t="s">
        <v>179</v>
      </c>
      <c r="B401">
        <v>2</v>
      </c>
      <c r="C401" t="s">
        <v>203</v>
      </c>
      <c r="D401" s="1">
        <v>0.95833333333333337</v>
      </c>
      <c r="E401" t="s">
        <v>31</v>
      </c>
      <c r="F401" t="s">
        <v>24</v>
      </c>
      <c r="G401" s="2">
        <v>46023</v>
      </c>
      <c r="H401" t="s">
        <v>207</v>
      </c>
    </row>
    <row r="402" spans="1:8" x14ac:dyDescent="0.3">
      <c r="A402" t="s">
        <v>179</v>
      </c>
      <c r="B402">
        <v>3</v>
      </c>
      <c r="C402" t="s">
        <v>208</v>
      </c>
      <c r="D402" s="1">
        <v>0.875</v>
      </c>
      <c r="E402" t="s">
        <v>33</v>
      </c>
      <c r="F402" t="s">
        <v>193</v>
      </c>
      <c r="G402" s="2">
        <v>46023</v>
      </c>
      <c r="H402" t="s">
        <v>189</v>
      </c>
    </row>
    <row r="403" spans="1:8" x14ac:dyDescent="0.3">
      <c r="A403" t="s">
        <v>179</v>
      </c>
      <c r="B403">
        <v>3</v>
      </c>
      <c r="C403" t="s">
        <v>209</v>
      </c>
      <c r="D403" s="1">
        <v>0.66666666666666663</v>
      </c>
      <c r="E403" t="s">
        <v>20</v>
      </c>
      <c r="F403" t="s">
        <v>15</v>
      </c>
      <c r="G403" t="s">
        <v>12</v>
      </c>
      <c r="H403" t="s">
        <v>191</v>
      </c>
    </row>
    <row r="404" spans="1:8" x14ac:dyDescent="0.3">
      <c r="A404" t="s">
        <v>179</v>
      </c>
      <c r="B404">
        <v>3</v>
      </c>
      <c r="C404" t="s">
        <v>209</v>
      </c>
      <c r="D404" s="1">
        <v>0.75</v>
      </c>
      <c r="E404" t="s">
        <v>17</v>
      </c>
      <c r="F404" t="s">
        <v>21</v>
      </c>
      <c r="G404" t="s">
        <v>41</v>
      </c>
      <c r="H404" t="s">
        <v>194</v>
      </c>
    </row>
    <row r="405" spans="1:8" x14ac:dyDescent="0.3">
      <c r="A405" t="s">
        <v>179</v>
      </c>
      <c r="B405">
        <v>3</v>
      </c>
      <c r="C405" t="s">
        <v>209</v>
      </c>
      <c r="D405" s="1">
        <v>0.83333333333333337</v>
      </c>
      <c r="E405" t="s">
        <v>25</v>
      </c>
      <c r="F405" t="s">
        <v>28</v>
      </c>
      <c r="G405" s="2">
        <v>46054</v>
      </c>
      <c r="H405" t="s">
        <v>181</v>
      </c>
    </row>
    <row r="406" spans="1:8" x14ac:dyDescent="0.3">
      <c r="A406" t="s">
        <v>179</v>
      </c>
      <c r="B406">
        <v>3</v>
      </c>
      <c r="C406" t="s">
        <v>209</v>
      </c>
      <c r="D406" s="1">
        <v>0.91666666666666663</v>
      </c>
      <c r="E406" t="s">
        <v>35</v>
      </c>
      <c r="F406" t="s">
        <v>10</v>
      </c>
      <c r="G406" s="2">
        <v>46055</v>
      </c>
      <c r="H406" t="s">
        <v>185</v>
      </c>
    </row>
    <row r="407" spans="1:8" x14ac:dyDescent="0.3">
      <c r="A407" t="s">
        <v>179</v>
      </c>
      <c r="B407">
        <v>3</v>
      </c>
      <c r="C407" t="s">
        <v>210</v>
      </c>
      <c r="D407" s="1">
        <v>0.5</v>
      </c>
      <c r="E407" t="s">
        <v>30</v>
      </c>
      <c r="F407" t="s">
        <v>31</v>
      </c>
      <c r="G407" s="2">
        <v>46083</v>
      </c>
      <c r="H407" t="s">
        <v>183</v>
      </c>
    </row>
    <row r="408" spans="1:8" x14ac:dyDescent="0.3">
      <c r="A408" t="s">
        <v>179</v>
      </c>
      <c r="B408">
        <v>3</v>
      </c>
      <c r="C408" t="s">
        <v>210</v>
      </c>
      <c r="D408" s="1">
        <v>0.70833333333333337</v>
      </c>
      <c r="E408" t="s">
        <v>16</v>
      </c>
      <c r="F408" t="s">
        <v>36</v>
      </c>
      <c r="G408" s="2">
        <v>46025</v>
      </c>
      <c r="H408" t="s">
        <v>195</v>
      </c>
    </row>
    <row r="409" spans="1:8" x14ac:dyDescent="0.3">
      <c r="A409" t="s">
        <v>179</v>
      </c>
      <c r="B409">
        <v>3</v>
      </c>
      <c r="C409" t="s">
        <v>210</v>
      </c>
      <c r="D409" s="1">
        <v>0.79166666666666663</v>
      </c>
      <c r="E409" t="s">
        <v>27</v>
      </c>
      <c r="F409" t="s">
        <v>11</v>
      </c>
      <c r="G409" t="s">
        <v>12</v>
      </c>
      <c r="H409" t="s">
        <v>188</v>
      </c>
    </row>
    <row r="410" spans="1:8" x14ac:dyDescent="0.3">
      <c r="A410" t="s">
        <v>179</v>
      </c>
      <c r="B410">
        <v>3</v>
      </c>
      <c r="C410" t="s">
        <v>210</v>
      </c>
      <c r="D410" s="1">
        <v>0.875</v>
      </c>
      <c r="E410" t="s">
        <v>24</v>
      </c>
      <c r="F410" t="s">
        <v>34</v>
      </c>
      <c r="G410" t="s">
        <v>41</v>
      </c>
      <c r="H410" t="s">
        <v>184</v>
      </c>
    </row>
    <row r="411" spans="1:8" x14ac:dyDescent="0.3">
      <c r="A411" t="s">
        <v>179</v>
      </c>
      <c r="B411">
        <v>3</v>
      </c>
      <c r="C411" t="s">
        <v>211</v>
      </c>
      <c r="D411" s="1">
        <v>0.86458333333333337</v>
      </c>
      <c r="E411" t="s">
        <v>187</v>
      </c>
      <c r="F411" t="s">
        <v>182</v>
      </c>
      <c r="G411" t="s">
        <v>42</v>
      </c>
      <c r="H411" t="s">
        <v>190</v>
      </c>
    </row>
    <row r="412" spans="1:8" x14ac:dyDescent="0.3">
      <c r="A412" t="s">
        <v>179</v>
      </c>
      <c r="B412">
        <v>4</v>
      </c>
      <c r="C412" t="s">
        <v>212</v>
      </c>
      <c r="D412" s="1">
        <v>0.875</v>
      </c>
      <c r="E412" t="s">
        <v>31</v>
      </c>
      <c r="F412" t="s">
        <v>187</v>
      </c>
      <c r="G412" t="s">
        <v>54</v>
      </c>
      <c r="H412" t="s">
        <v>197</v>
      </c>
    </row>
    <row r="413" spans="1:8" x14ac:dyDescent="0.3">
      <c r="A413" t="s">
        <v>179</v>
      </c>
      <c r="B413">
        <v>4</v>
      </c>
      <c r="C413" t="s">
        <v>213</v>
      </c>
      <c r="D413" s="1">
        <v>0.66666666666666663</v>
      </c>
      <c r="E413" t="s">
        <v>182</v>
      </c>
      <c r="F413" t="s">
        <v>25</v>
      </c>
      <c r="G413" s="2">
        <v>46236</v>
      </c>
      <c r="H413" t="s">
        <v>200</v>
      </c>
    </row>
    <row r="414" spans="1:8" x14ac:dyDescent="0.3">
      <c r="A414" t="s">
        <v>179</v>
      </c>
      <c r="B414">
        <v>4</v>
      </c>
      <c r="C414" t="s">
        <v>213</v>
      </c>
      <c r="D414" s="1">
        <v>0.75</v>
      </c>
      <c r="E414" t="s">
        <v>15</v>
      </c>
      <c r="F414" t="s">
        <v>24</v>
      </c>
      <c r="G414" t="s">
        <v>42</v>
      </c>
      <c r="H414" t="s">
        <v>201</v>
      </c>
    </row>
    <row r="415" spans="1:8" x14ac:dyDescent="0.3">
      <c r="A415" t="s">
        <v>179</v>
      </c>
      <c r="B415">
        <v>4</v>
      </c>
      <c r="C415" t="s">
        <v>213</v>
      </c>
      <c r="D415" s="1">
        <v>0.83333333333333337</v>
      </c>
      <c r="E415" t="s">
        <v>28</v>
      </c>
      <c r="F415" t="s">
        <v>35</v>
      </c>
      <c r="G415" s="2">
        <v>46055</v>
      </c>
      <c r="H415" t="s">
        <v>205</v>
      </c>
    </row>
    <row r="416" spans="1:8" x14ac:dyDescent="0.3">
      <c r="A416" t="s">
        <v>179</v>
      </c>
      <c r="B416">
        <v>4</v>
      </c>
      <c r="C416" t="s">
        <v>213</v>
      </c>
      <c r="D416" s="1">
        <v>0.91666666666666663</v>
      </c>
      <c r="E416" t="s">
        <v>36</v>
      </c>
      <c r="F416" t="s">
        <v>17</v>
      </c>
      <c r="G416" s="2">
        <v>46055</v>
      </c>
      <c r="H416" t="s">
        <v>207</v>
      </c>
    </row>
    <row r="417" spans="1:8" x14ac:dyDescent="0.3">
      <c r="A417" t="s">
        <v>179</v>
      </c>
      <c r="B417">
        <v>4</v>
      </c>
      <c r="C417" t="s">
        <v>214</v>
      </c>
      <c r="D417" s="1">
        <v>0.5</v>
      </c>
      <c r="E417" t="s">
        <v>10</v>
      </c>
      <c r="F417" t="s">
        <v>33</v>
      </c>
      <c r="G417" s="2">
        <v>46054</v>
      </c>
      <c r="H417" t="s">
        <v>198</v>
      </c>
    </row>
    <row r="418" spans="1:8" x14ac:dyDescent="0.3">
      <c r="A418" t="s">
        <v>179</v>
      </c>
      <c r="B418">
        <v>4</v>
      </c>
      <c r="C418" t="s">
        <v>214</v>
      </c>
      <c r="D418" s="1">
        <v>0.70833333333333337</v>
      </c>
      <c r="E418" t="s">
        <v>34</v>
      </c>
      <c r="F418" t="s">
        <v>30</v>
      </c>
      <c r="G418" s="2">
        <v>46057</v>
      </c>
      <c r="H418" t="s">
        <v>202</v>
      </c>
    </row>
    <row r="419" spans="1:8" x14ac:dyDescent="0.3">
      <c r="A419" t="s">
        <v>179</v>
      </c>
      <c r="B419">
        <v>4</v>
      </c>
      <c r="C419" t="s">
        <v>214</v>
      </c>
      <c r="D419" s="1">
        <v>0.79166666666666663</v>
      </c>
      <c r="E419" t="s">
        <v>193</v>
      </c>
      <c r="F419" t="s">
        <v>27</v>
      </c>
      <c r="G419" s="2">
        <v>46082</v>
      </c>
      <c r="H419" t="s">
        <v>204</v>
      </c>
    </row>
    <row r="420" spans="1:8" x14ac:dyDescent="0.3">
      <c r="A420" t="s">
        <v>179</v>
      </c>
      <c r="B420">
        <v>4</v>
      </c>
      <c r="C420" t="s">
        <v>214</v>
      </c>
      <c r="D420" s="1">
        <v>0.875</v>
      </c>
      <c r="E420" t="s">
        <v>21</v>
      </c>
      <c r="F420" t="s">
        <v>20</v>
      </c>
      <c r="G420" t="s">
        <v>72</v>
      </c>
      <c r="H420" t="s">
        <v>206</v>
      </c>
    </row>
    <row r="421" spans="1:8" x14ac:dyDescent="0.3">
      <c r="A421" t="s">
        <v>179</v>
      </c>
      <c r="B421">
        <v>4</v>
      </c>
      <c r="C421" t="s">
        <v>215</v>
      </c>
      <c r="D421" s="1">
        <v>0.86458333333333337</v>
      </c>
      <c r="E421" t="s">
        <v>11</v>
      </c>
      <c r="F421" t="s">
        <v>16</v>
      </c>
      <c r="G421" t="s">
        <v>46</v>
      </c>
      <c r="H421" t="s">
        <v>73</v>
      </c>
    </row>
    <row r="422" spans="1:8" x14ac:dyDescent="0.3">
      <c r="A422" t="s">
        <v>179</v>
      </c>
      <c r="B422">
        <v>5</v>
      </c>
      <c r="C422" t="s">
        <v>216</v>
      </c>
      <c r="D422" s="1">
        <v>0.83333333333333337</v>
      </c>
      <c r="E422" t="s">
        <v>25</v>
      </c>
      <c r="F422" t="s">
        <v>31</v>
      </c>
      <c r="G422" s="2">
        <v>46027</v>
      </c>
      <c r="H422" t="s">
        <v>195</v>
      </c>
    </row>
    <row r="423" spans="1:8" x14ac:dyDescent="0.3">
      <c r="A423" t="s">
        <v>179</v>
      </c>
      <c r="B423">
        <v>5</v>
      </c>
      <c r="C423" t="s">
        <v>216</v>
      </c>
      <c r="D423" s="1">
        <v>0.91666666666666663</v>
      </c>
      <c r="E423" t="s">
        <v>35</v>
      </c>
      <c r="F423" t="s">
        <v>182</v>
      </c>
      <c r="G423" s="2">
        <v>46024</v>
      </c>
      <c r="H423" t="s">
        <v>184</v>
      </c>
    </row>
    <row r="424" spans="1:8" x14ac:dyDescent="0.3">
      <c r="A424" t="s">
        <v>179</v>
      </c>
      <c r="B424">
        <v>5</v>
      </c>
      <c r="C424" t="s">
        <v>217</v>
      </c>
      <c r="D424" s="1">
        <v>0.83333333333333337</v>
      </c>
      <c r="E424" t="s">
        <v>33</v>
      </c>
      <c r="F424" t="s">
        <v>28</v>
      </c>
      <c r="G424" t="s">
        <v>42</v>
      </c>
      <c r="H424" t="s">
        <v>194</v>
      </c>
    </row>
    <row r="425" spans="1:8" x14ac:dyDescent="0.3">
      <c r="A425" t="s">
        <v>179</v>
      </c>
      <c r="B425">
        <v>5</v>
      </c>
      <c r="C425" t="s">
        <v>217</v>
      </c>
      <c r="D425" s="1">
        <v>0.83333333333333337</v>
      </c>
      <c r="E425" t="s">
        <v>30</v>
      </c>
      <c r="F425" t="s">
        <v>15</v>
      </c>
      <c r="G425" s="2">
        <v>46024</v>
      </c>
      <c r="H425" t="s">
        <v>190</v>
      </c>
    </row>
    <row r="426" spans="1:8" x14ac:dyDescent="0.3">
      <c r="A426" t="s">
        <v>179</v>
      </c>
      <c r="B426">
        <v>5</v>
      </c>
      <c r="C426" t="s">
        <v>217</v>
      </c>
      <c r="D426" s="1">
        <v>0.83333333333333337</v>
      </c>
      <c r="E426" t="s">
        <v>187</v>
      </c>
      <c r="F426" t="s">
        <v>34</v>
      </c>
      <c r="G426" s="2">
        <v>46023</v>
      </c>
      <c r="H426" t="s">
        <v>189</v>
      </c>
    </row>
    <row r="427" spans="1:8" x14ac:dyDescent="0.3">
      <c r="A427" t="s">
        <v>179</v>
      </c>
      <c r="B427">
        <v>5</v>
      </c>
      <c r="C427" t="s">
        <v>217</v>
      </c>
      <c r="D427" s="1">
        <v>0.91666666666666663</v>
      </c>
      <c r="E427" t="s">
        <v>24</v>
      </c>
      <c r="F427" t="s">
        <v>21</v>
      </c>
      <c r="G427" t="s">
        <v>42</v>
      </c>
      <c r="H427" t="s">
        <v>188</v>
      </c>
    </row>
    <row r="428" spans="1:8" x14ac:dyDescent="0.3">
      <c r="A428" t="s">
        <v>179</v>
      </c>
      <c r="B428">
        <v>5</v>
      </c>
      <c r="C428" t="s">
        <v>217</v>
      </c>
      <c r="D428" s="1">
        <v>0.91666666666666663</v>
      </c>
      <c r="E428" t="s">
        <v>17</v>
      </c>
      <c r="F428" t="s">
        <v>20</v>
      </c>
      <c r="G428" t="s">
        <v>41</v>
      </c>
      <c r="H428" t="s">
        <v>185</v>
      </c>
    </row>
    <row r="429" spans="1:8" x14ac:dyDescent="0.3">
      <c r="A429" t="s">
        <v>179</v>
      </c>
      <c r="B429">
        <v>5</v>
      </c>
      <c r="C429" t="s">
        <v>217</v>
      </c>
      <c r="D429" s="1">
        <v>0.91666666666666663</v>
      </c>
      <c r="E429" t="s">
        <v>27</v>
      </c>
      <c r="F429" t="s">
        <v>10</v>
      </c>
      <c r="G429" t="s">
        <v>18</v>
      </c>
      <c r="H429" t="s">
        <v>181</v>
      </c>
    </row>
    <row r="430" spans="1:8" x14ac:dyDescent="0.3">
      <c r="A430" t="s">
        <v>179</v>
      </c>
      <c r="B430">
        <v>5</v>
      </c>
      <c r="C430" t="s">
        <v>218</v>
      </c>
      <c r="D430" s="1">
        <v>0.83333333333333337</v>
      </c>
      <c r="E430" t="s">
        <v>36</v>
      </c>
      <c r="F430" t="s">
        <v>11</v>
      </c>
      <c r="G430" t="s">
        <v>12</v>
      </c>
      <c r="H430" t="s">
        <v>191</v>
      </c>
    </row>
    <row r="431" spans="1:8" x14ac:dyDescent="0.3">
      <c r="A431" t="s">
        <v>179</v>
      </c>
      <c r="B431">
        <v>5</v>
      </c>
      <c r="C431" t="s">
        <v>218</v>
      </c>
      <c r="D431" s="1">
        <v>0.91666666666666663</v>
      </c>
      <c r="E431" t="s">
        <v>16</v>
      </c>
      <c r="F431" t="s">
        <v>193</v>
      </c>
      <c r="G431" t="s">
        <v>32</v>
      </c>
      <c r="H431" t="s">
        <v>183</v>
      </c>
    </row>
    <row r="432" spans="1:8" x14ac:dyDescent="0.3">
      <c r="A432" t="s">
        <v>179</v>
      </c>
      <c r="B432">
        <v>6</v>
      </c>
      <c r="C432" t="s">
        <v>219</v>
      </c>
      <c r="D432" s="1">
        <v>0.875</v>
      </c>
      <c r="E432" t="s">
        <v>31</v>
      </c>
      <c r="F432" t="s">
        <v>35</v>
      </c>
      <c r="G432" t="s">
        <v>42</v>
      </c>
      <c r="H432" t="s">
        <v>200</v>
      </c>
    </row>
    <row r="433" spans="1:8" x14ac:dyDescent="0.3">
      <c r="A433" t="s">
        <v>179</v>
      </c>
      <c r="B433">
        <v>6</v>
      </c>
      <c r="C433" t="s">
        <v>220</v>
      </c>
      <c r="D433" s="1">
        <v>0.66666666666666663</v>
      </c>
      <c r="E433" t="s">
        <v>34</v>
      </c>
      <c r="F433" t="s">
        <v>25</v>
      </c>
      <c r="G433" t="s">
        <v>54</v>
      </c>
      <c r="H433" t="s">
        <v>73</v>
      </c>
    </row>
    <row r="434" spans="1:8" x14ac:dyDescent="0.3">
      <c r="A434" t="s">
        <v>179</v>
      </c>
      <c r="B434">
        <v>6</v>
      </c>
      <c r="C434" t="s">
        <v>220</v>
      </c>
      <c r="D434" s="1">
        <v>0.75</v>
      </c>
      <c r="E434" t="s">
        <v>20</v>
      </c>
      <c r="F434" t="s">
        <v>24</v>
      </c>
      <c r="G434" t="s">
        <v>126</v>
      </c>
      <c r="H434" t="s">
        <v>205</v>
      </c>
    </row>
    <row r="435" spans="1:8" x14ac:dyDescent="0.3">
      <c r="A435" t="s">
        <v>179</v>
      </c>
      <c r="B435">
        <v>6</v>
      </c>
      <c r="C435" t="s">
        <v>220</v>
      </c>
      <c r="D435" s="1">
        <v>0.83333333333333337</v>
      </c>
      <c r="E435" t="s">
        <v>28</v>
      </c>
      <c r="F435" t="s">
        <v>27</v>
      </c>
      <c r="G435" t="s">
        <v>88</v>
      </c>
      <c r="H435" t="s">
        <v>206</v>
      </c>
    </row>
    <row r="436" spans="1:8" x14ac:dyDescent="0.3">
      <c r="A436" t="s">
        <v>179</v>
      </c>
      <c r="B436">
        <v>6</v>
      </c>
      <c r="C436" t="s">
        <v>220</v>
      </c>
      <c r="D436" s="1">
        <v>0.91666666666666663</v>
      </c>
      <c r="E436" t="s">
        <v>15</v>
      </c>
      <c r="F436" t="s">
        <v>187</v>
      </c>
      <c r="G436" t="s">
        <v>41</v>
      </c>
      <c r="H436" t="s">
        <v>204</v>
      </c>
    </row>
    <row r="437" spans="1:8" x14ac:dyDescent="0.3">
      <c r="A437" t="s">
        <v>179</v>
      </c>
      <c r="B437">
        <v>6</v>
      </c>
      <c r="C437" t="s">
        <v>220</v>
      </c>
      <c r="D437" s="1">
        <v>0.91666666666666663</v>
      </c>
      <c r="E437" t="s">
        <v>21</v>
      </c>
      <c r="F437" t="s">
        <v>30</v>
      </c>
      <c r="G437" t="s">
        <v>54</v>
      </c>
      <c r="H437" t="s">
        <v>198</v>
      </c>
    </row>
    <row r="438" spans="1:8" x14ac:dyDescent="0.3">
      <c r="A438" t="s">
        <v>179</v>
      </c>
      <c r="B438">
        <v>6</v>
      </c>
      <c r="C438" t="s">
        <v>221</v>
      </c>
      <c r="D438" s="1">
        <v>0.5</v>
      </c>
      <c r="E438" t="s">
        <v>11</v>
      </c>
      <c r="F438" t="s">
        <v>17</v>
      </c>
      <c r="G438" t="s">
        <v>18</v>
      </c>
      <c r="H438" t="s">
        <v>202</v>
      </c>
    </row>
    <row r="439" spans="1:8" x14ac:dyDescent="0.3">
      <c r="A439" t="s">
        <v>179</v>
      </c>
      <c r="B439">
        <v>6</v>
      </c>
      <c r="C439" t="s">
        <v>221</v>
      </c>
      <c r="D439" s="1">
        <v>0.70833333333333337</v>
      </c>
      <c r="E439" t="s">
        <v>182</v>
      </c>
      <c r="F439" t="s">
        <v>33</v>
      </c>
      <c r="G439" t="s">
        <v>42</v>
      </c>
      <c r="H439" t="s">
        <v>201</v>
      </c>
    </row>
    <row r="440" spans="1:8" x14ac:dyDescent="0.3">
      <c r="A440" t="s">
        <v>179</v>
      </c>
      <c r="B440">
        <v>6</v>
      </c>
      <c r="C440" t="s">
        <v>221</v>
      </c>
      <c r="D440" s="1">
        <v>0.79166666666666663</v>
      </c>
      <c r="E440" t="s">
        <v>10</v>
      </c>
      <c r="F440" t="s">
        <v>16</v>
      </c>
      <c r="G440" s="2">
        <v>46023</v>
      </c>
      <c r="H440" t="s">
        <v>207</v>
      </c>
    </row>
    <row r="441" spans="1:8" x14ac:dyDescent="0.3">
      <c r="A441" t="s">
        <v>179</v>
      </c>
      <c r="B441">
        <v>6</v>
      </c>
      <c r="C441" t="s">
        <v>221</v>
      </c>
      <c r="D441" s="1">
        <v>0.875</v>
      </c>
      <c r="E441" t="s">
        <v>193</v>
      </c>
      <c r="F441" t="s">
        <v>36</v>
      </c>
      <c r="G441" t="s">
        <v>41</v>
      </c>
      <c r="H441" t="s">
        <v>197</v>
      </c>
    </row>
    <row r="442" spans="1:8" x14ac:dyDescent="0.3">
      <c r="A442" t="s">
        <v>179</v>
      </c>
      <c r="B442">
        <v>7</v>
      </c>
      <c r="C442" t="s">
        <v>222</v>
      </c>
      <c r="D442" s="1">
        <v>0.875</v>
      </c>
      <c r="E442" t="s">
        <v>11</v>
      </c>
      <c r="F442" t="s">
        <v>193</v>
      </c>
      <c r="G442" s="2">
        <v>46023</v>
      </c>
      <c r="H442" t="s">
        <v>205</v>
      </c>
    </row>
    <row r="443" spans="1:8" x14ac:dyDescent="0.3">
      <c r="A443" t="s">
        <v>179</v>
      </c>
      <c r="B443">
        <v>7</v>
      </c>
      <c r="C443" t="s">
        <v>223</v>
      </c>
      <c r="D443" s="1">
        <v>0.66666666666666663</v>
      </c>
      <c r="E443" t="s">
        <v>16</v>
      </c>
      <c r="F443" t="s">
        <v>28</v>
      </c>
      <c r="G443" s="2">
        <v>46025</v>
      </c>
      <c r="H443" t="s">
        <v>189</v>
      </c>
    </row>
    <row r="444" spans="1:8" x14ac:dyDescent="0.3">
      <c r="A444" t="s">
        <v>179</v>
      </c>
      <c r="B444">
        <v>7</v>
      </c>
      <c r="C444" t="s">
        <v>223</v>
      </c>
      <c r="D444" s="1">
        <v>0.75</v>
      </c>
      <c r="E444" t="s">
        <v>30</v>
      </c>
      <c r="F444" t="s">
        <v>20</v>
      </c>
      <c r="G444" t="s">
        <v>54</v>
      </c>
      <c r="H444" t="s">
        <v>181</v>
      </c>
    </row>
    <row r="445" spans="1:8" x14ac:dyDescent="0.3">
      <c r="A445" t="s">
        <v>179</v>
      </c>
      <c r="B445">
        <v>7</v>
      </c>
      <c r="C445" t="s">
        <v>223</v>
      </c>
      <c r="D445" s="1">
        <v>0.83333333333333337</v>
      </c>
      <c r="E445" t="s">
        <v>187</v>
      </c>
      <c r="F445" t="s">
        <v>21</v>
      </c>
      <c r="G445" s="2">
        <v>46084</v>
      </c>
      <c r="H445" t="s">
        <v>73</v>
      </c>
    </row>
    <row r="446" spans="1:8" x14ac:dyDescent="0.3">
      <c r="A446" t="s">
        <v>179</v>
      </c>
      <c r="B446">
        <v>7</v>
      </c>
      <c r="C446" t="s">
        <v>223</v>
      </c>
      <c r="D446" s="1">
        <v>0.91666666666666663</v>
      </c>
      <c r="E446" t="s">
        <v>33</v>
      </c>
      <c r="F446" t="s">
        <v>31</v>
      </c>
      <c r="G446" s="2">
        <v>46055</v>
      </c>
      <c r="H446" t="s">
        <v>184</v>
      </c>
    </row>
    <row r="447" spans="1:8" x14ac:dyDescent="0.3">
      <c r="A447" t="s">
        <v>179</v>
      </c>
      <c r="B447">
        <v>7</v>
      </c>
      <c r="C447" t="s">
        <v>223</v>
      </c>
      <c r="D447" s="1">
        <v>0.91666666666666663</v>
      </c>
      <c r="E447" t="s">
        <v>17</v>
      </c>
      <c r="F447" t="s">
        <v>24</v>
      </c>
      <c r="G447" s="2">
        <v>46024</v>
      </c>
      <c r="H447" t="s">
        <v>204</v>
      </c>
    </row>
    <row r="448" spans="1:8" x14ac:dyDescent="0.3">
      <c r="A448" t="s">
        <v>179</v>
      </c>
      <c r="B448">
        <v>7</v>
      </c>
      <c r="C448" t="s">
        <v>224</v>
      </c>
      <c r="D448" s="1">
        <v>0.5</v>
      </c>
      <c r="E448" t="s">
        <v>27</v>
      </c>
      <c r="F448" t="s">
        <v>182</v>
      </c>
      <c r="G448" s="2">
        <v>46026</v>
      </c>
      <c r="H448" t="s">
        <v>194</v>
      </c>
    </row>
    <row r="449" spans="1:8" x14ac:dyDescent="0.3">
      <c r="A449" t="s">
        <v>179</v>
      </c>
      <c r="B449">
        <v>7</v>
      </c>
      <c r="C449" t="s">
        <v>224</v>
      </c>
      <c r="D449" s="1">
        <v>0.70833333333333337</v>
      </c>
      <c r="E449" t="s">
        <v>35</v>
      </c>
      <c r="F449" t="s">
        <v>34</v>
      </c>
      <c r="G449" s="2">
        <v>46082</v>
      </c>
      <c r="H449" t="s">
        <v>188</v>
      </c>
    </row>
    <row r="450" spans="1:8" x14ac:dyDescent="0.3">
      <c r="A450" t="s">
        <v>179</v>
      </c>
      <c r="B450">
        <v>7</v>
      </c>
      <c r="C450" t="s">
        <v>224</v>
      </c>
      <c r="D450" s="1">
        <v>0.79166666666666663</v>
      </c>
      <c r="E450" t="s">
        <v>36</v>
      </c>
      <c r="F450" t="s">
        <v>10</v>
      </c>
      <c r="G450" t="s">
        <v>12</v>
      </c>
      <c r="H450" t="s">
        <v>190</v>
      </c>
    </row>
    <row r="451" spans="1:8" x14ac:dyDescent="0.3">
      <c r="A451" t="s">
        <v>179</v>
      </c>
      <c r="B451">
        <v>7</v>
      </c>
      <c r="C451" t="s">
        <v>224</v>
      </c>
      <c r="D451" s="1">
        <v>0.875</v>
      </c>
      <c r="E451" t="s">
        <v>25</v>
      </c>
      <c r="F451" t="s">
        <v>15</v>
      </c>
      <c r="G451" t="s">
        <v>40</v>
      </c>
      <c r="H451" t="s">
        <v>185</v>
      </c>
    </row>
    <row r="452" spans="1:8" x14ac:dyDescent="0.3">
      <c r="A452" t="s">
        <v>179</v>
      </c>
      <c r="B452">
        <v>8</v>
      </c>
      <c r="C452" t="s">
        <v>225</v>
      </c>
      <c r="D452" s="1">
        <v>0.875</v>
      </c>
      <c r="E452" t="s">
        <v>24</v>
      </c>
      <c r="F452" t="s">
        <v>30</v>
      </c>
      <c r="G452" t="s">
        <v>42</v>
      </c>
      <c r="H452" t="s">
        <v>197</v>
      </c>
    </row>
    <row r="453" spans="1:8" x14ac:dyDescent="0.3">
      <c r="A453" t="s">
        <v>179</v>
      </c>
      <c r="B453">
        <v>8</v>
      </c>
      <c r="C453" t="s">
        <v>226</v>
      </c>
      <c r="D453" s="1">
        <v>0.66666666666666663</v>
      </c>
      <c r="E453" t="s">
        <v>21</v>
      </c>
      <c r="F453" t="s">
        <v>25</v>
      </c>
      <c r="G453" t="s">
        <v>72</v>
      </c>
      <c r="H453" t="s">
        <v>207</v>
      </c>
    </row>
    <row r="454" spans="1:8" x14ac:dyDescent="0.3">
      <c r="A454" t="s">
        <v>179</v>
      </c>
      <c r="B454">
        <v>8</v>
      </c>
      <c r="C454" t="s">
        <v>226</v>
      </c>
      <c r="D454" s="1">
        <v>0.75</v>
      </c>
      <c r="E454" t="s">
        <v>15</v>
      </c>
      <c r="F454" t="s">
        <v>35</v>
      </c>
      <c r="G454" s="2">
        <v>46023</v>
      </c>
      <c r="H454" t="s">
        <v>191</v>
      </c>
    </row>
    <row r="455" spans="1:8" x14ac:dyDescent="0.3">
      <c r="A455" t="s">
        <v>179</v>
      </c>
      <c r="B455">
        <v>8</v>
      </c>
      <c r="C455" t="s">
        <v>226</v>
      </c>
      <c r="D455" s="1">
        <v>0.83333333333333337</v>
      </c>
      <c r="E455" t="s">
        <v>20</v>
      </c>
      <c r="F455" t="s">
        <v>187</v>
      </c>
      <c r="G455" t="s">
        <v>32</v>
      </c>
      <c r="H455" t="s">
        <v>201</v>
      </c>
    </row>
    <row r="456" spans="1:8" x14ac:dyDescent="0.3">
      <c r="A456" t="s">
        <v>179</v>
      </c>
      <c r="B456">
        <v>8</v>
      </c>
      <c r="C456" t="s">
        <v>226</v>
      </c>
      <c r="D456" s="1">
        <v>0.91666666666666663</v>
      </c>
      <c r="E456" t="s">
        <v>193</v>
      </c>
      <c r="F456" t="s">
        <v>17</v>
      </c>
      <c r="G456" s="2">
        <v>46054</v>
      </c>
      <c r="H456" t="s">
        <v>206</v>
      </c>
    </row>
    <row r="457" spans="1:8" x14ac:dyDescent="0.3">
      <c r="A457" t="s">
        <v>179</v>
      </c>
      <c r="B457">
        <v>8</v>
      </c>
      <c r="C457" t="s">
        <v>227</v>
      </c>
      <c r="D457" s="1">
        <v>0.5</v>
      </c>
      <c r="E457" t="s">
        <v>28</v>
      </c>
      <c r="F457" t="s">
        <v>36</v>
      </c>
      <c r="G457" t="s">
        <v>12</v>
      </c>
      <c r="H457" t="s">
        <v>183</v>
      </c>
    </row>
    <row r="458" spans="1:8" x14ac:dyDescent="0.3">
      <c r="A458" t="s">
        <v>179</v>
      </c>
      <c r="B458">
        <v>8</v>
      </c>
      <c r="C458" t="s">
        <v>227</v>
      </c>
      <c r="D458" s="1">
        <v>0.70833333333333337</v>
      </c>
      <c r="E458" t="s">
        <v>182</v>
      </c>
      <c r="F458" t="s">
        <v>16</v>
      </c>
      <c r="G458" t="s">
        <v>32</v>
      </c>
      <c r="H458" t="s">
        <v>198</v>
      </c>
    </row>
    <row r="459" spans="1:8" x14ac:dyDescent="0.3">
      <c r="A459" t="s">
        <v>179</v>
      </c>
      <c r="B459">
        <v>8</v>
      </c>
      <c r="C459" t="s">
        <v>227</v>
      </c>
      <c r="D459" s="1">
        <v>0.79166666666666663</v>
      </c>
      <c r="E459" t="s">
        <v>31</v>
      </c>
      <c r="F459" t="s">
        <v>27</v>
      </c>
      <c r="G459" t="s">
        <v>54</v>
      </c>
      <c r="H459" t="s">
        <v>202</v>
      </c>
    </row>
    <row r="460" spans="1:8" x14ac:dyDescent="0.3">
      <c r="A460" t="s">
        <v>179</v>
      </c>
      <c r="B460">
        <v>8</v>
      </c>
      <c r="C460" t="s">
        <v>227</v>
      </c>
      <c r="D460" s="1">
        <v>0.875</v>
      </c>
      <c r="E460" t="s">
        <v>34</v>
      </c>
      <c r="F460" t="s">
        <v>33</v>
      </c>
      <c r="G460" t="s">
        <v>12</v>
      </c>
      <c r="H460" t="s">
        <v>195</v>
      </c>
    </row>
    <row r="461" spans="1:8" x14ac:dyDescent="0.3">
      <c r="A461" t="s">
        <v>179</v>
      </c>
      <c r="B461">
        <v>8</v>
      </c>
      <c r="C461" t="s">
        <v>228</v>
      </c>
      <c r="D461" s="1">
        <v>0.86458333333333337</v>
      </c>
      <c r="E461" t="s">
        <v>10</v>
      </c>
      <c r="F461" t="s">
        <v>11</v>
      </c>
      <c r="G461" s="2">
        <v>46054</v>
      </c>
      <c r="H461" t="s">
        <v>200</v>
      </c>
    </row>
    <row r="462" spans="1:8" x14ac:dyDescent="0.3">
      <c r="A462" t="s">
        <v>179</v>
      </c>
      <c r="B462">
        <v>9</v>
      </c>
      <c r="C462" t="s">
        <v>229</v>
      </c>
      <c r="D462" s="1">
        <v>0.875</v>
      </c>
      <c r="E462" t="s">
        <v>35</v>
      </c>
      <c r="F462" t="s">
        <v>21</v>
      </c>
      <c r="G462" t="s">
        <v>32</v>
      </c>
      <c r="H462" t="s">
        <v>189</v>
      </c>
    </row>
    <row r="463" spans="1:8" x14ac:dyDescent="0.3">
      <c r="A463" t="s">
        <v>179</v>
      </c>
      <c r="B463">
        <v>9</v>
      </c>
      <c r="C463" t="s">
        <v>230</v>
      </c>
      <c r="D463" s="1">
        <v>0.66666666666666663</v>
      </c>
      <c r="E463" t="s">
        <v>33</v>
      </c>
      <c r="F463" t="s">
        <v>15</v>
      </c>
      <c r="G463" t="s">
        <v>42</v>
      </c>
      <c r="H463" t="s">
        <v>205</v>
      </c>
    </row>
    <row r="464" spans="1:8" x14ac:dyDescent="0.3">
      <c r="A464" t="s">
        <v>179</v>
      </c>
      <c r="B464">
        <v>9</v>
      </c>
      <c r="C464" t="s">
        <v>230</v>
      </c>
      <c r="D464" s="1">
        <v>0.75</v>
      </c>
      <c r="E464" t="s">
        <v>25</v>
      </c>
      <c r="F464" t="s">
        <v>20</v>
      </c>
      <c r="G464" s="2">
        <v>46025</v>
      </c>
      <c r="H464" t="s">
        <v>194</v>
      </c>
    </row>
    <row r="465" spans="1:8" x14ac:dyDescent="0.3">
      <c r="A465" t="s">
        <v>179</v>
      </c>
      <c r="B465">
        <v>9</v>
      </c>
      <c r="C465" t="s">
        <v>230</v>
      </c>
      <c r="D465" s="1">
        <v>0.83333333333333337</v>
      </c>
      <c r="E465" t="s">
        <v>16</v>
      </c>
      <c r="F465" t="s">
        <v>31</v>
      </c>
      <c r="G465" s="2">
        <v>46025</v>
      </c>
      <c r="H465" t="s">
        <v>73</v>
      </c>
    </row>
    <row r="466" spans="1:8" x14ac:dyDescent="0.3">
      <c r="A466" t="s">
        <v>179</v>
      </c>
      <c r="B466">
        <v>9</v>
      </c>
      <c r="C466" t="s">
        <v>230</v>
      </c>
      <c r="D466" s="1">
        <v>0.91666666666666663</v>
      </c>
      <c r="E466" t="s">
        <v>193</v>
      </c>
      <c r="F466" t="s">
        <v>10</v>
      </c>
      <c r="G466" s="2">
        <v>46023</v>
      </c>
      <c r="H466" t="s">
        <v>184</v>
      </c>
    </row>
    <row r="467" spans="1:8" x14ac:dyDescent="0.3">
      <c r="A467" t="s">
        <v>179</v>
      </c>
      <c r="B467">
        <v>9</v>
      </c>
      <c r="C467" t="s">
        <v>230</v>
      </c>
      <c r="D467" s="1">
        <v>0.91666666666666663</v>
      </c>
      <c r="E467" t="s">
        <v>187</v>
      </c>
      <c r="F467" t="s">
        <v>24</v>
      </c>
      <c r="G467" s="2">
        <v>46023</v>
      </c>
      <c r="H467" t="s">
        <v>181</v>
      </c>
    </row>
    <row r="468" spans="1:8" x14ac:dyDescent="0.3">
      <c r="A468" t="s">
        <v>179</v>
      </c>
      <c r="B468">
        <v>9</v>
      </c>
      <c r="C468" t="s">
        <v>231</v>
      </c>
      <c r="D468" s="1">
        <v>0.5</v>
      </c>
      <c r="E468" t="s">
        <v>17</v>
      </c>
      <c r="F468" t="s">
        <v>30</v>
      </c>
      <c r="G468" t="s">
        <v>88</v>
      </c>
      <c r="H468" t="s">
        <v>188</v>
      </c>
    </row>
    <row r="469" spans="1:8" x14ac:dyDescent="0.3">
      <c r="A469" t="s">
        <v>179</v>
      </c>
      <c r="B469">
        <v>9</v>
      </c>
      <c r="C469" t="s">
        <v>231</v>
      </c>
      <c r="D469" s="1">
        <v>0.70833333333333337</v>
      </c>
      <c r="E469" t="s">
        <v>36</v>
      </c>
      <c r="F469" t="s">
        <v>182</v>
      </c>
      <c r="G469" t="s">
        <v>41</v>
      </c>
      <c r="H469" t="s">
        <v>204</v>
      </c>
    </row>
    <row r="470" spans="1:8" x14ac:dyDescent="0.3">
      <c r="A470" t="s">
        <v>179</v>
      </c>
      <c r="B470">
        <v>9</v>
      </c>
      <c r="C470" t="s">
        <v>231</v>
      </c>
      <c r="D470" s="1">
        <v>0.79166666666666663</v>
      </c>
      <c r="E470" t="s">
        <v>27</v>
      </c>
      <c r="F470" t="s">
        <v>34</v>
      </c>
      <c r="G470" s="2">
        <v>46024</v>
      </c>
      <c r="H470" t="s">
        <v>185</v>
      </c>
    </row>
    <row r="471" spans="1:8" x14ac:dyDescent="0.3">
      <c r="A471" t="s">
        <v>179</v>
      </c>
      <c r="B471">
        <v>9</v>
      </c>
      <c r="C471" t="s">
        <v>231</v>
      </c>
      <c r="D471" s="1">
        <v>0.875</v>
      </c>
      <c r="E471" t="s">
        <v>11</v>
      </c>
      <c r="F471" t="s">
        <v>28</v>
      </c>
      <c r="G471" t="s">
        <v>42</v>
      </c>
      <c r="H471" t="s">
        <v>190</v>
      </c>
    </row>
    <row r="472" spans="1:8" x14ac:dyDescent="0.3">
      <c r="A472" t="s">
        <v>179</v>
      </c>
      <c r="B472">
        <v>10</v>
      </c>
      <c r="C472" t="s">
        <v>232</v>
      </c>
      <c r="D472" s="1">
        <v>0.86458333333333337</v>
      </c>
      <c r="E472" t="s">
        <v>182</v>
      </c>
      <c r="F472" t="s">
        <v>11</v>
      </c>
      <c r="G472" s="2">
        <v>46054</v>
      </c>
      <c r="H472" t="s">
        <v>185</v>
      </c>
    </row>
    <row r="473" spans="1:8" x14ac:dyDescent="0.3">
      <c r="A473" t="s">
        <v>179</v>
      </c>
      <c r="B473">
        <v>10</v>
      </c>
      <c r="C473" t="s">
        <v>233</v>
      </c>
      <c r="D473" s="1">
        <v>0.66666666666666663</v>
      </c>
      <c r="E473" t="s">
        <v>24</v>
      </c>
      <c r="F473" t="s">
        <v>25</v>
      </c>
      <c r="G473" t="s">
        <v>53</v>
      </c>
      <c r="H473" t="s">
        <v>206</v>
      </c>
    </row>
    <row r="474" spans="1:8" x14ac:dyDescent="0.3">
      <c r="A474" t="s">
        <v>179</v>
      </c>
      <c r="B474">
        <v>10</v>
      </c>
      <c r="C474" t="s">
        <v>233</v>
      </c>
      <c r="D474" s="1">
        <v>0.75</v>
      </c>
      <c r="E474" t="s">
        <v>28</v>
      </c>
      <c r="F474" t="s">
        <v>193</v>
      </c>
      <c r="G474" s="2">
        <v>46057</v>
      </c>
      <c r="H474" t="s">
        <v>195</v>
      </c>
    </row>
    <row r="475" spans="1:8" x14ac:dyDescent="0.3">
      <c r="A475" t="s">
        <v>179</v>
      </c>
      <c r="B475">
        <v>10</v>
      </c>
      <c r="C475" t="s">
        <v>233</v>
      </c>
      <c r="D475" s="1">
        <v>0.83333333333333337</v>
      </c>
      <c r="E475" t="s">
        <v>20</v>
      </c>
      <c r="F475" t="s">
        <v>35</v>
      </c>
      <c r="G475" t="s">
        <v>42</v>
      </c>
      <c r="H475" t="s">
        <v>183</v>
      </c>
    </row>
    <row r="476" spans="1:8" x14ac:dyDescent="0.3">
      <c r="A476" t="s">
        <v>179</v>
      </c>
      <c r="B476">
        <v>10</v>
      </c>
      <c r="C476" t="s">
        <v>233</v>
      </c>
      <c r="D476" s="1">
        <v>0.91666666666666663</v>
      </c>
      <c r="E476" t="s">
        <v>10</v>
      </c>
      <c r="F476" t="s">
        <v>17</v>
      </c>
      <c r="G476" t="s">
        <v>42</v>
      </c>
      <c r="H476" t="s">
        <v>197</v>
      </c>
    </row>
    <row r="477" spans="1:8" x14ac:dyDescent="0.3">
      <c r="A477" t="s">
        <v>179</v>
      </c>
      <c r="B477">
        <v>10</v>
      </c>
      <c r="C477" t="s">
        <v>234</v>
      </c>
      <c r="D477" s="1">
        <v>0.5</v>
      </c>
      <c r="E477" t="s">
        <v>15</v>
      </c>
      <c r="F477" t="s">
        <v>27</v>
      </c>
      <c r="G477" t="s">
        <v>18</v>
      </c>
      <c r="H477" t="s">
        <v>198</v>
      </c>
    </row>
    <row r="478" spans="1:8" x14ac:dyDescent="0.3">
      <c r="A478" t="s">
        <v>179</v>
      </c>
      <c r="B478">
        <v>10</v>
      </c>
      <c r="C478" t="s">
        <v>234</v>
      </c>
      <c r="D478" s="1">
        <v>0.70833333333333337</v>
      </c>
      <c r="E478" t="s">
        <v>34</v>
      </c>
      <c r="F478" t="s">
        <v>16</v>
      </c>
      <c r="G478" s="2">
        <v>46082</v>
      </c>
      <c r="H478" t="s">
        <v>200</v>
      </c>
    </row>
    <row r="479" spans="1:8" x14ac:dyDescent="0.3">
      <c r="A479" t="s">
        <v>179</v>
      </c>
      <c r="B479">
        <v>10</v>
      </c>
      <c r="C479" t="s">
        <v>234</v>
      </c>
      <c r="D479" s="1">
        <v>0.79166666666666663</v>
      </c>
      <c r="E479" t="s">
        <v>21</v>
      </c>
      <c r="F479" t="s">
        <v>33</v>
      </c>
      <c r="G479" s="2">
        <v>46024</v>
      </c>
      <c r="H479" t="s">
        <v>202</v>
      </c>
    </row>
    <row r="480" spans="1:8" x14ac:dyDescent="0.3">
      <c r="A480" t="s">
        <v>179</v>
      </c>
      <c r="B480">
        <v>10</v>
      </c>
      <c r="C480" t="s">
        <v>234</v>
      </c>
      <c r="D480" s="1">
        <v>0.875</v>
      </c>
      <c r="E480" t="s">
        <v>31</v>
      </c>
      <c r="F480" t="s">
        <v>36</v>
      </c>
      <c r="G480" s="2">
        <v>46024</v>
      </c>
      <c r="H480" t="s">
        <v>201</v>
      </c>
    </row>
    <row r="481" spans="1:8" x14ac:dyDescent="0.3">
      <c r="A481" t="s">
        <v>179</v>
      </c>
      <c r="B481">
        <v>10</v>
      </c>
      <c r="C481" t="s">
        <v>235</v>
      </c>
      <c r="D481" s="1">
        <v>0.86458333333333337</v>
      </c>
      <c r="E481" t="s">
        <v>30</v>
      </c>
      <c r="F481" t="s">
        <v>187</v>
      </c>
      <c r="G481" s="2">
        <v>46083</v>
      </c>
      <c r="H481" t="s">
        <v>207</v>
      </c>
    </row>
    <row r="482" spans="1:8" x14ac:dyDescent="0.3">
      <c r="A482" t="s">
        <v>179</v>
      </c>
      <c r="B482">
        <v>11</v>
      </c>
      <c r="C482" t="s">
        <v>236</v>
      </c>
      <c r="D482" s="1">
        <v>0.86458333333333337</v>
      </c>
      <c r="E482" t="s">
        <v>193</v>
      </c>
      <c r="F482" t="s">
        <v>182</v>
      </c>
      <c r="G482" t="s">
        <v>41</v>
      </c>
      <c r="H482" t="s">
        <v>181</v>
      </c>
    </row>
    <row r="483" spans="1:8" x14ac:dyDescent="0.3">
      <c r="A483" t="s">
        <v>179</v>
      </c>
      <c r="B483">
        <v>11</v>
      </c>
      <c r="C483" t="s">
        <v>237</v>
      </c>
      <c r="D483" s="1">
        <v>0.66666666666666663</v>
      </c>
      <c r="E483" t="s">
        <v>33</v>
      </c>
      <c r="F483" t="s">
        <v>20</v>
      </c>
      <c r="G483" s="2">
        <v>46054</v>
      </c>
      <c r="H483" t="s">
        <v>73</v>
      </c>
    </row>
    <row r="484" spans="1:8" x14ac:dyDescent="0.3">
      <c r="A484" t="s">
        <v>179</v>
      </c>
      <c r="B484">
        <v>11</v>
      </c>
      <c r="C484" t="s">
        <v>237</v>
      </c>
      <c r="D484" s="1">
        <v>0.75</v>
      </c>
      <c r="E484" t="s">
        <v>11</v>
      </c>
      <c r="F484" t="s">
        <v>31</v>
      </c>
      <c r="G484" t="s">
        <v>41</v>
      </c>
      <c r="H484" t="s">
        <v>191</v>
      </c>
    </row>
    <row r="485" spans="1:8" x14ac:dyDescent="0.3">
      <c r="A485" t="s">
        <v>179</v>
      </c>
      <c r="B485">
        <v>11</v>
      </c>
      <c r="C485" t="s">
        <v>237</v>
      </c>
      <c r="D485" s="1">
        <v>0.83333333333333337</v>
      </c>
      <c r="E485" t="s">
        <v>25</v>
      </c>
      <c r="F485" t="s">
        <v>30</v>
      </c>
      <c r="G485" s="2">
        <v>46027</v>
      </c>
      <c r="H485" t="s">
        <v>200</v>
      </c>
    </row>
    <row r="486" spans="1:8" x14ac:dyDescent="0.3">
      <c r="A486" t="s">
        <v>179</v>
      </c>
      <c r="B486">
        <v>11</v>
      </c>
      <c r="C486" t="s">
        <v>237</v>
      </c>
      <c r="D486" s="1">
        <v>0.91666666666666663</v>
      </c>
      <c r="E486" t="s">
        <v>35</v>
      </c>
      <c r="F486" t="s">
        <v>24</v>
      </c>
      <c r="G486" t="s">
        <v>41</v>
      </c>
      <c r="H486" t="s">
        <v>198</v>
      </c>
    </row>
    <row r="487" spans="1:8" x14ac:dyDescent="0.3">
      <c r="A487" t="s">
        <v>179</v>
      </c>
      <c r="B487">
        <v>11</v>
      </c>
      <c r="C487" t="s">
        <v>237</v>
      </c>
      <c r="D487" s="1">
        <v>0.91666666666666663</v>
      </c>
      <c r="E487" t="s">
        <v>17</v>
      </c>
      <c r="F487" t="s">
        <v>187</v>
      </c>
      <c r="G487" s="2">
        <v>46024</v>
      </c>
      <c r="H487" t="s">
        <v>205</v>
      </c>
    </row>
    <row r="488" spans="1:8" x14ac:dyDescent="0.3">
      <c r="A488" t="s">
        <v>179</v>
      </c>
      <c r="B488">
        <v>11</v>
      </c>
      <c r="C488" t="s">
        <v>238</v>
      </c>
      <c r="D488" s="1">
        <v>0.5</v>
      </c>
      <c r="E488" t="s">
        <v>27</v>
      </c>
      <c r="F488" t="s">
        <v>21</v>
      </c>
      <c r="G488" s="2">
        <v>46023</v>
      </c>
      <c r="H488" t="s">
        <v>204</v>
      </c>
    </row>
    <row r="489" spans="1:8" x14ac:dyDescent="0.3">
      <c r="A489" t="s">
        <v>179</v>
      </c>
      <c r="B489">
        <v>11</v>
      </c>
      <c r="C489" t="s">
        <v>238</v>
      </c>
      <c r="D489" s="1">
        <v>0.70833333333333337</v>
      </c>
      <c r="E489" t="s">
        <v>36</v>
      </c>
      <c r="F489" t="s">
        <v>34</v>
      </c>
      <c r="G489" s="2">
        <v>46023</v>
      </c>
      <c r="H489" t="s">
        <v>194</v>
      </c>
    </row>
    <row r="490" spans="1:8" x14ac:dyDescent="0.3">
      <c r="A490" t="s">
        <v>179</v>
      </c>
      <c r="B490">
        <v>11</v>
      </c>
      <c r="C490" t="s">
        <v>238</v>
      </c>
      <c r="D490" s="1">
        <v>0.79166666666666663</v>
      </c>
      <c r="E490" t="s">
        <v>16</v>
      </c>
      <c r="F490" t="s">
        <v>15</v>
      </c>
      <c r="G490" t="s">
        <v>41</v>
      </c>
      <c r="H490" t="s">
        <v>184</v>
      </c>
    </row>
    <row r="491" spans="1:8" x14ac:dyDescent="0.3">
      <c r="A491" t="s">
        <v>179</v>
      </c>
      <c r="B491">
        <v>11</v>
      </c>
      <c r="C491" t="s">
        <v>238</v>
      </c>
      <c r="D491" s="1">
        <v>0.875</v>
      </c>
      <c r="E491" t="s">
        <v>10</v>
      </c>
      <c r="F491" t="s">
        <v>28</v>
      </c>
      <c r="G491" s="2">
        <v>46024</v>
      </c>
      <c r="H491" t="s">
        <v>188</v>
      </c>
    </row>
    <row r="492" spans="1:8" x14ac:dyDescent="0.3">
      <c r="A492" t="s">
        <v>179</v>
      </c>
      <c r="B492">
        <v>12</v>
      </c>
      <c r="C492" t="s">
        <v>239</v>
      </c>
      <c r="D492" s="1">
        <v>0.86458333333333337</v>
      </c>
      <c r="E492" t="s">
        <v>15</v>
      </c>
      <c r="F492" t="s">
        <v>36</v>
      </c>
      <c r="G492" s="2">
        <v>46025</v>
      </c>
      <c r="H492" t="s">
        <v>190</v>
      </c>
    </row>
    <row r="493" spans="1:8" x14ac:dyDescent="0.3">
      <c r="A493" t="s">
        <v>179</v>
      </c>
      <c r="B493">
        <v>12</v>
      </c>
      <c r="C493" t="s">
        <v>240</v>
      </c>
      <c r="D493" s="1">
        <v>0.66666666666666663</v>
      </c>
      <c r="E493" t="s">
        <v>28</v>
      </c>
      <c r="F493" t="s">
        <v>17</v>
      </c>
      <c r="G493" s="2">
        <v>46025</v>
      </c>
      <c r="H493" t="s">
        <v>189</v>
      </c>
    </row>
    <row r="494" spans="1:8" x14ac:dyDescent="0.3">
      <c r="A494" t="s">
        <v>179</v>
      </c>
      <c r="B494">
        <v>12</v>
      </c>
      <c r="C494" t="s">
        <v>240</v>
      </c>
      <c r="D494" s="1">
        <v>0.75</v>
      </c>
      <c r="E494" t="s">
        <v>187</v>
      </c>
      <c r="F494" t="s">
        <v>25</v>
      </c>
      <c r="G494" t="s">
        <v>53</v>
      </c>
      <c r="H494" t="s">
        <v>191</v>
      </c>
    </row>
    <row r="495" spans="1:8" x14ac:dyDescent="0.3">
      <c r="A495" t="s">
        <v>179</v>
      </c>
      <c r="B495">
        <v>12</v>
      </c>
      <c r="C495" t="s">
        <v>240</v>
      </c>
      <c r="D495" s="1">
        <v>0.83333333333333337</v>
      </c>
      <c r="E495" t="s">
        <v>20</v>
      </c>
      <c r="F495" t="s">
        <v>27</v>
      </c>
      <c r="G495" s="2">
        <v>46027</v>
      </c>
      <c r="H495" t="s">
        <v>205</v>
      </c>
    </row>
    <row r="496" spans="1:8" x14ac:dyDescent="0.3">
      <c r="A496" t="s">
        <v>179</v>
      </c>
      <c r="B496">
        <v>12</v>
      </c>
      <c r="C496" t="s">
        <v>240</v>
      </c>
      <c r="D496" s="1">
        <v>0.91666666666666663</v>
      </c>
      <c r="E496" t="s">
        <v>182</v>
      </c>
      <c r="F496" t="s">
        <v>10</v>
      </c>
      <c r="G496" t="s">
        <v>41</v>
      </c>
      <c r="H496" t="s">
        <v>202</v>
      </c>
    </row>
    <row r="497" spans="1:8" x14ac:dyDescent="0.3">
      <c r="A497" t="s">
        <v>179</v>
      </c>
      <c r="B497">
        <v>12</v>
      </c>
      <c r="C497" t="s">
        <v>241</v>
      </c>
      <c r="D497" s="1">
        <v>0.5</v>
      </c>
      <c r="E497" t="s">
        <v>30</v>
      </c>
      <c r="F497" t="s">
        <v>35</v>
      </c>
      <c r="G497" t="s">
        <v>18</v>
      </c>
      <c r="H497" t="s">
        <v>206</v>
      </c>
    </row>
    <row r="498" spans="1:8" x14ac:dyDescent="0.3">
      <c r="A498" t="s">
        <v>179</v>
      </c>
      <c r="B498">
        <v>12</v>
      </c>
      <c r="C498" t="s">
        <v>241</v>
      </c>
      <c r="D498" s="1">
        <v>0.70833333333333337</v>
      </c>
      <c r="E498" t="s">
        <v>21</v>
      </c>
      <c r="F498" t="s">
        <v>16</v>
      </c>
      <c r="G498" s="2">
        <v>46024</v>
      </c>
      <c r="H498" t="s">
        <v>183</v>
      </c>
    </row>
    <row r="499" spans="1:8" x14ac:dyDescent="0.3">
      <c r="A499" t="s">
        <v>179</v>
      </c>
      <c r="B499">
        <v>12</v>
      </c>
      <c r="C499" t="s">
        <v>241</v>
      </c>
      <c r="D499" s="1">
        <v>0.79166666666666663</v>
      </c>
      <c r="E499" t="s">
        <v>31</v>
      </c>
      <c r="F499" t="s">
        <v>193</v>
      </c>
      <c r="G499" s="2">
        <v>46055</v>
      </c>
      <c r="H499" t="s">
        <v>185</v>
      </c>
    </row>
    <row r="500" spans="1:8" x14ac:dyDescent="0.3">
      <c r="A500" t="s">
        <v>179</v>
      </c>
      <c r="B500">
        <v>12</v>
      </c>
      <c r="C500" t="s">
        <v>241</v>
      </c>
      <c r="D500" s="1">
        <v>0.875</v>
      </c>
      <c r="E500" t="s">
        <v>34</v>
      </c>
      <c r="F500" t="s">
        <v>11</v>
      </c>
      <c r="G500" s="2">
        <v>46024</v>
      </c>
      <c r="H500" t="s">
        <v>197</v>
      </c>
    </row>
    <row r="501" spans="1:8" x14ac:dyDescent="0.3">
      <c r="A501" t="s">
        <v>179</v>
      </c>
      <c r="B501">
        <v>12</v>
      </c>
      <c r="C501" t="s">
        <v>242</v>
      </c>
      <c r="D501" s="1">
        <v>0.86458333333333337</v>
      </c>
      <c r="E501" t="s">
        <v>24</v>
      </c>
      <c r="F501" t="s">
        <v>33</v>
      </c>
      <c r="G501" t="s">
        <v>41</v>
      </c>
      <c r="H501" t="s">
        <v>207</v>
      </c>
    </row>
    <row r="502" spans="1:8" x14ac:dyDescent="0.3">
      <c r="A502" t="s">
        <v>179</v>
      </c>
      <c r="B502">
        <v>13</v>
      </c>
      <c r="C502" t="s">
        <v>243</v>
      </c>
      <c r="D502" s="1">
        <v>0.86458333333333337</v>
      </c>
      <c r="E502" t="s">
        <v>10</v>
      </c>
      <c r="F502" t="s">
        <v>31</v>
      </c>
      <c r="G502" t="s">
        <v>32</v>
      </c>
      <c r="H502" t="s">
        <v>204</v>
      </c>
    </row>
    <row r="503" spans="1:8" x14ac:dyDescent="0.3">
      <c r="A503" t="s">
        <v>179</v>
      </c>
      <c r="B503">
        <v>13</v>
      </c>
      <c r="C503" t="s">
        <v>244</v>
      </c>
      <c r="D503" s="1">
        <v>0.66666666666666663</v>
      </c>
      <c r="E503" t="s">
        <v>11</v>
      </c>
      <c r="F503" t="s">
        <v>15</v>
      </c>
      <c r="G503" s="2">
        <v>46054</v>
      </c>
      <c r="H503" t="s">
        <v>188</v>
      </c>
    </row>
    <row r="504" spans="1:8" x14ac:dyDescent="0.3">
      <c r="A504" t="s">
        <v>179</v>
      </c>
      <c r="B504">
        <v>13</v>
      </c>
      <c r="C504" t="s">
        <v>244</v>
      </c>
      <c r="D504" s="1">
        <v>0.75</v>
      </c>
      <c r="E504" t="s">
        <v>36</v>
      </c>
      <c r="F504" t="s">
        <v>21</v>
      </c>
      <c r="G504" s="2">
        <v>46024</v>
      </c>
      <c r="H504" t="s">
        <v>184</v>
      </c>
    </row>
    <row r="505" spans="1:8" x14ac:dyDescent="0.3">
      <c r="A505" t="s">
        <v>179</v>
      </c>
      <c r="B505">
        <v>13</v>
      </c>
      <c r="C505" t="s">
        <v>244</v>
      </c>
      <c r="D505" s="1">
        <v>0.83333333333333337</v>
      </c>
      <c r="E505" t="s">
        <v>17</v>
      </c>
      <c r="F505" t="s">
        <v>25</v>
      </c>
      <c r="G505" s="2">
        <v>46054</v>
      </c>
      <c r="H505" t="s">
        <v>183</v>
      </c>
    </row>
    <row r="506" spans="1:8" x14ac:dyDescent="0.3">
      <c r="A506" t="s">
        <v>179</v>
      </c>
      <c r="B506">
        <v>13</v>
      </c>
      <c r="C506" t="s">
        <v>244</v>
      </c>
      <c r="D506" s="1">
        <v>0.91666666666666663</v>
      </c>
      <c r="E506" t="s">
        <v>35</v>
      </c>
      <c r="F506" t="s">
        <v>187</v>
      </c>
      <c r="G506" t="s">
        <v>42</v>
      </c>
      <c r="H506" t="s">
        <v>200</v>
      </c>
    </row>
    <row r="507" spans="1:8" x14ac:dyDescent="0.3">
      <c r="A507" t="s">
        <v>179</v>
      </c>
      <c r="B507">
        <v>13</v>
      </c>
      <c r="C507" t="s">
        <v>245</v>
      </c>
      <c r="D507" s="1">
        <v>0.5</v>
      </c>
      <c r="E507" t="s">
        <v>28</v>
      </c>
      <c r="F507" t="s">
        <v>182</v>
      </c>
      <c r="G507" t="s">
        <v>12</v>
      </c>
      <c r="H507" t="s">
        <v>201</v>
      </c>
    </row>
    <row r="508" spans="1:8" x14ac:dyDescent="0.3">
      <c r="A508" t="s">
        <v>179</v>
      </c>
      <c r="B508">
        <v>13</v>
      </c>
      <c r="C508" t="s">
        <v>245</v>
      </c>
      <c r="D508" s="1">
        <v>0.70833333333333337</v>
      </c>
      <c r="E508" t="s">
        <v>27</v>
      </c>
      <c r="F508" t="s">
        <v>24</v>
      </c>
      <c r="G508" s="2">
        <v>46027</v>
      </c>
      <c r="H508" t="s">
        <v>202</v>
      </c>
    </row>
    <row r="509" spans="1:8" x14ac:dyDescent="0.3">
      <c r="A509" t="s">
        <v>179</v>
      </c>
      <c r="B509">
        <v>13</v>
      </c>
      <c r="C509" t="s">
        <v>245</v>
      </c>
      <c r="D509" s="1">
        <v>0.79166666666666663</v>
      </c>
      <c r="E509" t="s">
        <v>193</v>
      </c>
      <c r="F509" t="s">
        <v>34</v>
      </c>
      <c r="G509" t="s">
        <v>54</v>
      </c>
      <c r="H509" t="s">
        <v>198</v>
      </c>
    </row>
    <row r="510" spans="1:8" x14ac:dyDescent="0.3">
      <c r="A510" t="s">
        <v>179</v>
      </c>
      <c r="B510">
        <v>13</v>
      </c>
      <c r="C510" t="s">
        <v>245</v>
      </c>
      <c r="D510" s="1">
        <v>0.875</v>
      </c>
      <c r="E510" t="s">
        <v>16</v>
      </c>
      <c r="F510" t="s">
        <v>20</v>
      </c>
      <c r="G510" t="s">
        <v>42</v>
      </c>
      <c r="H510" t="s">
        <v>191</v>
      </c>
    </row>
    <row r="511" spans="1:8" x14ac:dyDescent="0.3">
      <c r="A511" t="s">
        <v>179</v>
      </c>
      <c r="B511">
        <v>13</v>
      </c>
      <c r="C511" t="s">
        <v>246</v>
      </c>
      <c r="D511" s="1">
        <v>0.86458333333333337</v>
      </c>
      <c r="E511" t="s">
        <v>33</v>
      </c>
      <c r="F511" t="s">
        <v>30</v>
      </c>
      <c r="G511" t="s">
        <v>42</v>
      </c>
      <c r="H511" t="s">
        <v>181</v>
      </c>
    </row>
    <row r="512" spans="1:8" x14ac:dyDescent="0.3">
      <c r="A512" t="s">
        <v>179</v>
      </c>
      <c r="B512">
        <v>14</v>
      </c>
      <c r="C512" t="s">
        <v>247</v>
      </c>
      <c r="D512" s="1">
        <v>0.66666666666666663</v>
      </c>
      <c r="E512" t="s">
        <v>31</v>
      </c>
      <c r="F512" t="s">
        <v>28</v>
      </c>
      <c r="G512" t="s">
        <v>54</v>
      </c>
      <c r="H512" t="s">
        <v>183</v>
      </c>
    </row>
    <row r="513" spans="1:8" x14ac:dyDescent="0.3">
      <c r="A513" t="s">
        <v>179</v>
      </c>
      <c r="B513">
        <v>14</v>
      </c>
      <c r="C513" t="s">
        <v>247</v>
      </c>
      <c r="D513" s="1">
        <v>0.75</v>
      </c>
      <c r="E513" t="s">
        <v>15</v>
      </c>
      <c r="F513" t="s">
        <v>193</v>
      </c>
      <c r="G513" t="s">
        <v>42</v>
      </c>
      <c r="H513" t="s">
        <v>197</v>
      </c>
    </row>
    <row r="514" spans="1:8" x14ac:dyDescent="0.3">
      <c r="A514" t="s">
        <v>179</v>
      </c>
      <c r="B514">
        <v>14</v>
      </c>
      <c r="C514" t="s">
        <v>247</v>
      </c>
      <c r="D514" s="1">
        <v>0.83333333333333337</v>
      </c>
      <c r="E514" t="s">
        <v>25</v>
      </c>
      <c r="F514" t="s">
        <v>35</v>
      </c>
      <c r="G514" t="s">
        <v>32</v>
      </c>
      <c r="H514" t="s">
        <v>73</v>
      </c>
    </row>
    <row r="515" spans="1:8" x14ac:dyDescent="0.3">
      <c r="A515" t="s">
        <v>179</v>
      </c>
      <c r="B515">
        <v>14</v>
      </c>
      <c r="C515" t="s">
        <v>247</v>
      </c>
      <c r="D515" s="1">
        <v>0.91666666666666663</v>
      </c>
      <c r="E515" t="s">
        <v>182</v>
      </c>
      <c r="F515" t="s">
        <v>17</v>
      </c>
      <c r="G515" t="s">
        <v>42</v>
      </c>
      <c r="H515" t="s">
        <v>194</v>
      </c>
    </row>
    <row r="516" spans="1:8" x14ac:dyDescent="0.3">
      <c r="A516" t="s">
        <v>179</v>
      </c>
      <c r="B516">
        <v>14</v>
      </c>
      <c r="C516" t="s">
        <v>248</v>
      </c>
      <c r="D516" s="1">
        <v>0.5</v>
      </c>
      <c r="E516" t="s">
        <v>30</v>
      </c>
      <c r="F516" t="s">
        <v>27</v>
      </c>
      <c r="G516" t="s">
        <v>42</v>
      </c>
      <c r="H516" t="s">
        <v>188</v>
      </c>
    </row>
    <row r="517" spans="1:8" x14ac:dyDescent="0.3">
      <c r="A517" t="s">
        <v>179</v>
      </c>
      <c r="B517">
        <v>14</v>
      </c>
      <c r="C517" t="s">
        <v>248</v>
      </c>
      <c r="D517" s="1">
        <v>0.70833333333333337</v>
      </c>
      <c r="E517" t="s">
        <v>20</v>
      </c>
      <c r="F517" t="s">
        <v>36</v>
      </c>
      <c r="G517" s="2">
        <v>46027</v>
      </c>
      <c r="H517" t="s">
        <v>207</v>
      </c>
    </row>
    <row r="518" spans="1:8" x14ac:dyDescent="0.3">
      <c r="A518" t="s">
        <v>179</v>
      </c>
      <c r="B518">
        <v>14</v>
      </c>
      <c r="C518" t="s">
        <v>248</v>
      </c>
      <c r="D518" s="1">
        <v>0.79166666666666663</v>
      </c>
      <c r="E518" t="s">
        <v>34</v>
      </c>
      <c r="F518" t="s">
        <v>10</v>
      </c>
      <c r="G518" t="s">
        <v>88</v>
      </c>
      <c r="H518" t="s">
        <v>189</v>
      </c>
    </row>
    <row r="519" spans="1:8" x14ac:dyDescent="0.3">
      <c r="A519" t="s">
        <v>179</v>
      </c>
      <c r="B519">
        <v>14</v>
      </c>
      <c r="C519" t="s">
        <v>248</v>
      </c>
      <c r="D519" s="1">
        <v>0.875</v>
      </c>
      <c r="E519" t="s">
        <v>24</v>
      </c>
      <c r="F519" t="s">
        <v>16</v>
      </c>
      <c r="G519" s="2">
        <v>46023</v>
      </c>
      <c r="H519" t="s">
        <v>185</v>
      </c>
    </row>
    <row r="520" spans="1:8" x14ac:dyDescent="0.3">
      <c r="A520" t="s">
        <v>179</v>
      </c>
      <c r="B520">
        <v>14</v>
      </c>
      <c r="C520" t="s">
        <v>249</v>
      </c>
      <c r="D520" s="1">
        <v>0.70833333333333337</v>
      </c>
      <c r="E520" t="s">
        <v>187</v>
      </c>
      <c r="F520" t="s">
        <v>33</v>
      </c>
      <c r="G520" s="2">
        <v>46058</v>
      </c>
      <c r="H520" t="s">
        <v>206</v>
      </c>
    </row>
    <row r="521" spans="1:8" x14ac:dyDescent="0.3">
      <c r="A521" t="s">
        <v>179</v>
      </c>
      <c r="B521">
        <v>14</v>
      </c>
      <c r="C521" t="s">
        <v>249</v>
      </c>
      <c r="D521" s="1">
        <v>0.79166666666666663</v>
      </c>
      <c r="E521" t="s">
        <v>21</v>
      </c>
      <c r="F521" t="s">
        <v>11</v>
      </c>
      <c r="G521" s="2">
        <v>46023</v>
      </c>
      <c r="H521" t="s">
        <v>190</v>
      </c>
    </row>
    <row r="522" spans="1:8" x14ac:dyDescent="0.3">
      <c r="A522" t="s">
        <v>179</v>
      </c>
      <c r="B522">
        <v>15</v>
      </c>
      <c r="C522" t="s">
        <v>250</v>
      </c>
      <c r="D522" s="1">
        <v>0.86458333333333337</v>
      </c>
      <c r="E522" t="s">
        <v>33</v>
      </c>
      <c r="F522" t="s">
        <v>25</v>
      </c>
      <c r="G522" s="2">
        <v>46113</v>
      </c>
      <c r="H522" t="s">
        <v>188</v>
      </c>
    </row>
    <row r="523" spans="1:8" x14ac:dyDescent="0.3">
      <c r="A523" t="s">
        <v>179</v>
      </c>
      <c r="B523">
        <v>15</v>
      </c>
      <c r="C523" t="s">
        <v>251</v>
      </c>
      <c r="D523" s="1">
        <v>0.66666666666666663</v>
      </c>
      <c r="E523" t="s">
        <v>11</v>
      </c>
      <c r="F523" t="s">
        <v>20</v>
      </c>
      <c r="G523" t="s">
        <v>41</v>
      </c>
      <c r="H523" t="s">
        <v>183</v>
      </c>
    </row>
    <row r="524" spans="1:8" x14ac:dyDescent="0.3">
      <c r="A524" t="s">
        <v>179</v>
      </c>
      <c r="B524">
        <v>15</v>
      </c>
      <c r="C524" t="s">
        <v>251</v>
      </c>
      <c r="D524" s="1">
        <v>0.75</v>
      </c>
      <c r="E524" t="s">
        <v>16</v>
      </c>
      <c r="F524" t="s">
        <v>30</v>
      </c>
      <c r="G524" t="s">
        <v>32</v>
      </c>
      <c r="H524" t="s">
        <v>201</v>
      </c>
    </row>
    <row r="525" spans="1:8" x14ac:dyDescent="0.3">
      <c r="A525" t="s">
        <v>179</v>
      </c>
      <c r="B525">
        <v>15</v>
      </c>
      <c r="C525" t="s">
        <v>251</v>
      </c>
      <c r="D525" s="1">
        <v>0.83333333333333337</v>
      </c>
      <c r="E525" t="s">
        <v>193</v>
      </c>
      <c r="F525" t="s">
        <v>21</v>
      </c>
      <c r="G525" t="s">
        <v>41</v>
      </c>
      <c r="H525" t="s">
        <v>202</v>
      </c>
    </row>
    <row r="526" spans="1:8" x14ac:dyDescent="0.3">
      <c r="A526" t="s">
        <v>179</v>
      </c>
      <c r="B526">
        <v>15</v>
      </c>
      <c r="C526" t="s">
        <v>251</v>
      </c>
      <c r="D526" s="1">
        <v>0.91666666666666663</v>
      </c>
      <c r="E526" t="s">
        <v>17</v>
      </c>
      <c r="F526" t="s">
        <v>35</v>
      </c>
      <c r="G526" t="s">
        <v>18</v>
      </c>
      <c r="H526" t="s">
        <v>184</v>
      </c>
    </row>
    <row r="527" spans="1:8" x14ac:dyDescent="0.3">
      <c r="A527" t="s">
        <v>179</v>
      </c>
      <c r="B527">
        <v>15</v>
      </c>
      <c r="C527" t="s">
        <v>252</v>
      </c>
      <c r="D527" s="1">
        <v>0.5</v>
      </c>
      <c r="E527" t="s">
        <v>36</v>
      </c>
      <c r="F527" t="s">
        <v>24</v>
      </c>
      <c r="G527" s="2">
        <v>46024</v>
      </c>
      <c r="H527" t="s">
        <v>197</v>
      </c>
    </row>
    <row r="528" spans="1:8" x14ac:dyDescent="0.3">
      <c r="A528" t="s">
        <v>179</v>
      </c>
      <c r="B528">
        <v>15</v>
      </c>
      <c r="C528" t="s">
        <v>252</v>
      </c>
      <c r="D528" s="1">
        <v>0.70833333333333337</v>
      </c>
      <c r="E528" t="s">
        <v>27</v>
      </c>
      <c r="F528" t="s">
        <v>187</v>
      </c>
      <c r="G528" t="s">
        <v>41</v>
      </c>
      <c r="H528" t="s">
        <v>198</v>
      </c>
    </row>
    <row r="529" spans="1:8" x14ac:dyDescent="0.3">
      <c r="A529" t="s">
        <v>179</v>
      </c>
      <c r="B529">
        <v>15</v>
      </c>
      <c r="C529" t="s">
        <v>252</v>
      </c>
      <c r="D529" s="1">
        <v>0.79166666666666663</v>
      </c>
      <c r="E529" t="s">
        <v>28</v>
      </c>
      <c r="F529" t="s">
        <v>34</v>
      </c>
      <c r="G529" t="s">
        <v>42</v>
      </c>
      <c r="H529" t="s">
        <v>200</v>
      </c>
    </row>
    <row r="530" spans="1:8" x14ac:dyDescent="0.3">
      <c r="A530" t="s">
        <v>179</v>
      </c>
      <c r="B530">
        <v>15</v>
      </c>
      <c r="C530" t="s">
        <v>252</v>
      </c>
      <c r="D530" s="1">
        <v>0.875</v>
      </c>
      <c r="E530" t="s">
        <v>10</v>
      </c>
      <c r="F530" t="s">
        <v>15</v>
      </c>
      <c r="G530" s="2">
        <v>46023</v>
      </c>
      <c r="H530" t="s">
        <v>191</v>
      </c>
    </row>
    <row r="531" spans="1:8" x14ac:dyDescent="0.3">
      <c r="A531" t="s">
        <v>179</v>
      </c>
      <c r="B531">
        <v>15</v>
      </c>
      <c r="C531" t="s">
        <v>253</v>
      </c>
      <c r="D531" s="1">
        <v>0.86458333333333337</v>
      </c>
      <c r="E531" t="s">
        <v>182</v>
      </c>
      <c r="F531" t="s">
        <v>31</v>
      </c>
      <c r="G531" t="s">
        <v>18</v>
      </c>
      <c r="H531" t="s">
        <v>190</v>
      </c>
    </row>
    <row r="532" spans="1:8" x14ac:dyDescent="0.3">
      <c r="A532" t="s">
        <v>179</v>
      </c>
      <c r="B532">
        <v>16</v>
      </c>
      <c r="C532" t="s">
        <v>254</v>
      </c>
      <c r="D532" s="1">
        <v>0.86458333333333337</v>
      </c>
      <c r="E532" t="s">
        <v>35</v>
      </c>
      <c r="F532" t="s">
        <v>33</v>
      </c>
      <c r="G532" t="s">
        <v>42</v>
      </c>
      <c r="H532" t="s">
        <v>194</v>
      </c>
    </row>
    <row r="533" spans="1:8" x14ac:dyDescent="0.3">
      <c r="A533" t="s">
        <v>179</v>
      </c>
      <c r="B533">
        <v>16</v>
      </c>
      <c r="C533" t="s">
        <v>255</v>
      </c>
      <c r="D533" s="1">
        <v>0.66666666666666663</v>
      </c>
      <c r="E533" t="s">
        <v>20</v>
      </c>
      <c r="F533" t="s">
        <v>193</v>
      </c>
      <c r="G533" t="s">
        <v>40</v>
      </c>
      <c r="H533" t="s">
        <v>181</v>
      </c>
    </row>
    <row r="534" spans="1:8" x14ac:dyDescent="0.3">
      <c r="A534" t="s">
        <v>179</v>
      </c>
      <c r="B534">
        <v>16</v>
      </c>
      <c r="C534" t="s">
        <v>255</v>
      </c>
      <c r="D534" s="1">
        <v>0.75</v>
      </c>
      <c r="E534" t="s">
        <v>21</v>
      </c>
      <c r="F534" t="s">
        <v>10</v>
      </c>
      <c r="G534" s="2">
        <v>46023</v>
      </c>
      <c r="H534" t="s">
        <v>197</v>
      </c>
    </row>
    <row r="535" spans="1:8" x14ac:dyDescent="0.3">
      <c r="A535" t="s">
        <v>179</v>
      </c>
      <c r="B535">
        <v>16</v>
      </c>
      <c r="C535" t="s">
        <v>255</v>
      </c>
      <c r="D535" s="1">
        <v>0.83333333333333337</v>
      </c>
      <c r="E535" t="s">
        <v>187</v>
      </c>
      <c r="F535" t="s">
        <v>16</v>
      </c>
      <c r="G535" t="s">
        <v>42</v>
      </c>
      <c r="H535" t="s">
        <v>204</v>
      </c>
    </row>
    <row r="536" spans="1:8" x14ac:dyDescent="0.3">
      <c r="A536" t="s">
        <v>179</v>
      </c>
      <c r="B536">
        <v>16</v>
      </c>
      <c r="C536" t="s">
        <v>255</v>
      </c>
      <c r="D536" s="1">
        <v>0.91666666666666663</v>
      </c>
      <c r="E536" t="s">
        <v>30</v>
      </c>
      <c r="F536" t="s">
        <v>36</v>
      </c>
      <c r="G536" s="2">
        <v>46082</v>
      </c>
      <c r="H536" t="s">
        <v>205</v>
      </c>
    </row>
    <row r="537" spans="1:8" x14ac:dyDescent="0.3">
      <c r="A537" t="s">
        <v>179</v>
      </c>
      <c r="B537">
        <v>16</v>
      </c>
      <c r="C537" t="s">
        <v>256</v>
      </c>
      <c r="D537" s="1">
        <v>0.5</v>
      </c>
      <c r="E537" t="s">
        <v>34</v>
      </c>
      <c r="F537" t="s">
        <v>182</v>
      </c>
      <c r="G537" t="s">
        <v>32</v>
      </c>
      <c r="H537" t="s">
        <v>206</v>
      </c>
    </row>
    <row r="538" spans="1:8" x14ac:dyDescent="0.3">
      <c r="A538" t="s">
        <v>179</v>
      </c>
      <c r="B538">
        <v>16</v>
      </c>
      <c r="C538" t="s">
        <v>256</v>
      </c>
      <c r="D538" s="1">
        <v>0.70833333333333337</v>
      </c>
      <c r="E538" t="s">
        <v>24</v>
      </c>
      <c r="F538" t="s">
        <v>11</v>
      </c>
      <c r="G538" s="2">
        <v>46023</v>
      </c>
      <c r="H538" t="s">
        <v>189</v>
      </c>
    </row>
    <row r="539" spans="1:8" x14ac:dyDescent="0.3">
      <c r="A539" t="s">
        <v>179</v>
      </c>
      <c r="B539">
        <v>16</v>
      </c>
      <c r="C539" t="s">
        <v>256</v>
      </c>
      <c r="D539" s="1">
        <v>0.79166666666666663</v>
      </c>
      <c r="E539" t="s">
        <v>31</v>
      </c>
      <c r="F539" t="s">
        <v>17</v>
      </c>
      <c r="G539" s="2">
        <v>46054</v>
      </c>
      <c r="H539" t="s">
        <v>73</v>
      </c>
    </row>
    <row r="540" spans="1:8" x14ac:dyDescent="0.3">
      <c r="A540" t="s">
        <v>179</v>
      </c>
      <c r="B540">
        <v>16</v>
      </c>
      <c r="C540" t="s">
        <v>256</v>
      </c>
      <c r="D540" s="1">
        <v>0.875</v>
      </c>
      <c r="E540" t="s">
        <v>15</v>
      </c>
      <c r="F540" t="s">
        <v>28</v>
      </c>
      <c r="G540" s="2">
        <v>46113</v>
      </c>
      <c r="H540" t="s">
        <v>185</v>
      </c>
    </row>
    <row r="541" spans="1:8" x14ac:dyDescent="0.3">
      <c r="A541" t="s">
        <v>179</v>
      </c>
      <c r="B541">
        <v>16</v>
      </c>
      <c r="C541" t="s">
        <v>257</v>
      </c>
      <c r="D541" s="1">
        <v>0.86458333333333337</v>
      </c>
      <c r="E541" t="s">
        <v>25</v>
      </c>
      <c r="F541" t="s">
        <v>27</v>
      </c>
      <c r="G541" s="2">
        <v>46024</v>
      </c>
      <c r="H541" t="s">
        <v>207</v>
      </c>
    </row>
    <row r="542" spans="1:8" x14ac:dyDescent="0.3">
      <c r="A542" t="s">
        <v>179</v>
      </c>
      <c r="B542">
        <v>17</v>
      </c>
      <c r="C542" t="s">
        <v>258</v>
      </c>
      <c r="D542" s="1">
        <v>0.66666666666666663</v>
      </c>
      <c r="E542" t="s">
        <v>28</v>
      </c>
      <c r="F542" t="s">
        <v>21</v>
      </c>
      <c r="G542" s="2">
        <v>46025</v>
      </c>
      <c r="H542" t="s">
        <v>188</v>
      </c>
    </row>
    <row r="543" spans="1:8" x14ac:dyDescent="0.3">
      <c r="A543" t="s">
        <v>179</v>
      </c>
      <c r="B543">
        <v>17</v>
      </c>
      <c r="C543" t="s">
        <v>258</v>
      </c>
      <c r="D543" s="1">
        <v>0.75</v>
      </c>
      <c r="E543" t="s">
        <v>27</v>
      </c>
      <c r="F543" t="s">
        <v>35</v>
      </c>
      <c r="G543" t="s">
        <v>18</v>
      </c>
      <c r="H543" t="s">
        <v>204</v>
      </c>
    </row>
    <row r="544" spans="1:8" x14ac:dyDescent="0.3">
      <c r="A544" t="s">
        <v>179</v>
      </c>
      <c r="B544">
        <v>17</v>
      </c>
      <c r="C544" t="s">
        <v>258</v>
      </c>
      <c r="D544" s="1">
        <v>0.83333333333333337</v>
      </c>
      <c r="E544" t="s">
        <v>31</v>
      </c>
      <c r="F544" t="s">
        <v>34</v>
      </c>
      <c r="G544" s="2">
        <v>46055</v>
      </c>
      <c r="H544" t="s">
        <v>195</v>
      </c>
    </row>
    <row r="545" spans="1:8" x14ac:dyDescent="0.3">
      <c r="A545" t="s">
        <v>179</v>
      </c>
      <c r="B545">
        <v>17</v>
      </c>
      <c r="C545" t="s">
        <v>258</v>
      </c>
      <c r="D545" s="1">
        <v>0.91666666666666663</v>
      </c>
      <c r="E545" t="s">
        <v>17</v>
      </c>
      <c r="F545" t="s">
        <v>33</v>
      </c>
      <c r="G545" s="2">
        <v>46054</v>
      </c>
      <c r="H545" t="s">
        <v>189</v>
      </c>
    </row>
    <row r="546" spans="1:8" x14ac:dyDescent="0.3">
      <c r="A546" t="s">
        <v>179</v>
      </c>
      <c r="B546">
        <v>17</v>
      </c>
      <c r="C546" t="s">
        <v>258</v>
      </c>
      <c r="D546" s="1">
        <v>0.91666666666666663</v>
      </c>
      <c r="E546" t="s">
        <v>182</v>
      </c>
      <c r="F546" t="s">
        <v>15</v>
      </c>
      <c r="G546" t="s">
        <v>18</v>
      </c>
      <c r="H546" t="s">
        <v>73</v>
      </c>
    </row>
    <row r="547" spans="1:8" x14ac:dyDescent="0.3">
      <c r="A547" t="s">
        <v>179</v>
      </c>
      <c r="B547">
        <v>17</v>
      </c>
      <c r="C547" t="s">
        <v>259</v>
      </c>
      <c r="D547" s="1">
        <v>0.5</v>
      </c>
      <c r="E547" t="s">
        <v>11</v>
      </c>
      <c r="F547" t="s">
        <v>30</v>
      </c>
      <c r="G547" s="2">
        <v>46054</v>
      </c>
      <c r="H547" t="s">
        <v>185</v>
      </c>
    </row>
    <row r="548" spans="1:8" x14ac:dyDescent="0.3">
      <c r="A548" t="s">
        <v>179</v>
      </c>
      <c r="B548">
        <v>17</v>
      </c>
      <c r="C548" t="s">
        <v>259</v>
      </c>
      <c r="D548" s="1">
        <v>0.70833333333333337</v>
      </c>
      <c r="E548" t="s">
        <v>16</v>
      </c>
      <c r="F548" t="s">
        <v>25</v>
      </c>
      <c r="G548" s="2">
        <v>46024</v>
      </c>
      <c r="H548" t="s">
        <v>194</v>
      </c>
    </row>
    <row r="549" spans="1:8" x14ac:dyDescent="0.3">
      <c r="A549" t="s">
        <v>179</v>
      </c>
      <c r="B549">
        <v>17</v>
      </c>
      <c r="C549" t="s">
        <v>259</v>
      </c>
      <c r="D549" s="1">
        <v>0.79166666666666663</v>
      </c>
      <c r="E549" t="s">
        <v>36</v>
      </c>
      <c r="F549" t="s">
        <v>187</v>
      </c>
      <c r="G549" s="2">
        <v>46054</v>
      </c>
      <c r="H549" t="s">
        <v>181</v>
      </c>
    </row>
    <row r="550" spans="1:8" x14ac:dyDescent="0.3">
      <c r="A550" t="s">
        <v>179</v>
      </c>
      <c r="B550">
        <v>17</v>
      </c>
      <c r="C550" t="s">
        <v>259</v>
      </c>
      <c r="D550" s="1">
        <v>0.875</v>
      </c>
      <c r="E550" t="s">
        <v>10</v>
      </c>
      <c r="F550" t="s">
        <v>20</v>
      </c>
      <c r="G550" t="s">
        <v>18</v>
      </c>
      <c r="H550" t="s">
        <v>184</v>
      </c>
    </row>
    <row r="551" spans="1:8" x14ac:dyDescent="0.3">
      <c r="A551" t="s">
        <v>179</v>
      </c>
      <c r="B551">
        <v>17</v>
      </c>
      <c r="C551" t="s">
        <v>260</v>
      </c>
      <c r="D551" s="1">
        <v>0.86458333333333337</v>
      </c>
      <c r="E551" t="s">
        <v>193</v>
      </c>
      <c r="F551" t="s">
        <v>24</v>
      </c>
      <c r="G551" t="s">
        <v>12</v>
      </c>
      <c r="H551" t="s">
        <v>183</v>
      </c>
    </row>
    <row r="552" spans="1:8" x14ac:dyDescent="0.3">
      <c r="A552" t="s">
        <v>179</v>
      </c>
      <c r="B552">
        <v>18</v>
      </c>
      <c r="C552" t="s">
        <v>261</v>
      </c>
      <c r="D552" s="1">
        <v>0.86458333333333337</v>
      </c>
      <c r="E552" t="s">
        <v>21</v>
      </c>
      <c r="F552" t="s">
        <v>182</v>
      </c>
      <c r="G552" t="s">
        <v>41</v>
      </c>
      <c r="H552" t="s">
        <v>200</v>
      </c>
    </row>
    <row r="553" spans="1:8" x14ac:dyDescent="0.3">
      <c r="A553" t="s">
        <v>179</v>
      </c>
      <c r="B553">
        <v>18</v>
      </c>
      <c r="C553" t="s">
        <v>262</v>
      </c>
      <c r="D553" s="1">
        <v>0.66666666666666663</v>
      </c>
      <c r="E553" t="s">
        <v>25</v>
      </c>
      <c r="F553" t="s">
        <v>36</v>
      </c>
      <c r="G553" t="s">
        <v>32</v>
      </c>
      <c r="H553" t="s">
        <v>191</v>
      </c>
    </row>
    <row r="554" spans="1:8" x14ac:dyDescent="0.3">
      <c r="A554" t="s">
        <v>179</v>
      </c>
      <c r="B554">
        <v>18</v>
      </c>
      <c r="C554" t="s">
        <v>262</v>
      </c>
      <c r="D554" s="1">
        <v>0.75</v>
      </c>
      <c r="E554" t="s">
        <v>17</v>
      </c>
      <c r="F554" t="s">
        <v>34</v>
      </c>
      <c r="G554" s="2">
        <v>46023</v>
      </c>
      <c r="H554" t="s">
        <v>197</v>
      </c>
    </row>
    <row r="555" spans="1:8" x14ac:dyDescent="0.3">
      <c r="A555" t="s">
        <v>179</v>
      </c>
      <c r="B555">
        <v>18</v>
      </c>
      <c r="C555" t="s">
        <v>262</v>
      </c>
      <c r="D555" s="1">
        <v>0.83333333333333337</v>
      </c>
      <c r="E555" t="s">
        <v>35</v>
      </c>
      <c r="F555" t="s">
        <v>16</v>
      </c>
      <c r="G555" s="2">
        <v>46023</v>
      </c>
      <c r="H555" t="s">
        <v>206</v>
      </c>
    </row>
    <row r="556" spans="1:8" x14ac:dyDescent="0.3">
      <c r="A556" t="s">
        <v>179</v>
      </c>
      <c r="B556">
        <v>18</v>
      </c>
      <c r="C556" t="s">
        <v>262</v>
      </c>
      <c r="D556" s="1">
        <v>0.91666666666666663</v>
      </c>
      <c r="E556" t="s">
        <v>187</v>
      </c>
      <c r="F556" t="s">
        <v>11</v>
      </c>
      <c r="G556" s="2">
        <v>46024</v>
      </c>
      <c r="H556" t="s">
        <v>195</v>
      </c>
    </row>
    <row r="557" spans="1:8" x14ac:dyDescent="0.3">
      <c r="A557" t="s">
        <v>179</v>
      </c>
      <c r="B557">
        <v>18</v>
      </c>
      <c r="C557" t="s">
        <v>263</v>
      </c>
      <c r="D557" s="1">
        <v>0.5</v>
      </c>
      <c r="E557" t="s">
        <v>33</v>
      </c>
      <c r="F557" t="s">
        <v>27</v>
      </c>
      <c r="G557" t="s">
        <v>54</v>
      </c>
      <c r="H557" t="s">
        <v>202</v>
      </c>
    </row>
    <row r="558" spans="1:8" x14ac:dyDescent="0.3">
      <c r="A558" t="s">
        <v>179</v>
      </c>
      <c r="B558">
        <v>18</v>
      </c>
      <c r="C558" t="s">
        <v>263</v>
      </c>
      <c r="D558" s="1">
        <v>0.70833333333333337</v>
      </c>
      <c r="E558" t="s">
        <v>15</v>
      </c>
      <c r="F558" t="s">
        <v>31</v>
      </c>
      <c r="G558" s="2">
        <v>46054</v>
      </c>
      <c r="H558" t="s">
        <v>207</v>
      </c>
    </row>
    <row r="559" spans="1:8" x14ac:dyDescent="0.3">
      <c r="A559" t="s">
        <v>179</v>
      </c>
      <c r="B559">
        <v>18</v>
      </c>
      <c r="C559" t="s">
        <v>263</v>
      </c>
      <c r="D559" s="1">
        <v>0.79166666666666663</v>
      </c>
      <c r="E559" t="s">
        <v>24</v>
      </c>
      <c r="F559" t="s">
        <v>10</v>
      </c>
      <c r="G559" s="2">
        <v>46023</v>
      </c>
      <c r="H559" t="s">
        <v>205</v>
      </c>
    </row>
    <row r="560" spans="1:8" x14ac:dyDescent="0.3">
      <c r="A560" t="s">
        <v>179</v>
      </c>
      <c r="B560">
        <v>18</v>
      </c>
      <c r="C560" t="s">
        <v>263</v>
      </c>
      <c r="D560" s="1">
        <v>0.875</v>
      </c>
      <c r="E560" t="s">
        <v>20</v>
      </c>
      <c r="F560" t="s">
        <v>28</v>
      </c>
      <c r="G560" s="2">
        <v>46025</v>
      </c>
      <c r="H560" t="s">
        <v>73</v>
      </c>
    </row>
    <row r="561" spans="1:8" x14ac:dyDescent="0.3">
      <c r="A561" t="s">
        <v>179</v>
      </c>
      <c r="B561">
        <v>18</v>
      </c>
      <c r="C561" t="s">
        <v>264</v>
      </c>
      <c r="D561" s="1">
        <v>0.86458333333333337</v>
      </c>
      <c r="E561" t="s">
        <v>30</v>
      </c>
      <c r="F561" t="s">
        <v>193</v>
      </c>
      <c r="G561" t="s">
        <v>42</v>
      </c>
      <c r="H561" t="s">
        <v>198</v>
      </c>
    </row>
    <row r="562" spans="1:8" x14ac:dyDescent="0.3">
      <c r="A562" t="s">
        <v>179</v>
      </c>
      <c r="B562">
        <v>19</v>
      </c>
      <c r="C562" t="s">
        <v>265</v>
      </c>
      <c r="D562" s="1">
        <v>0.86458333333333337</v>
      </c>
      <c r="E562" t="s">
        <v>193</v>
      </c>
      <c r="F562" t="s">
        <v>187</v>
      </c>
      <c r="G562" s="2">
        <v>46023</v>
      </c>
      <c r="H562" t="s">
        <v>189</v>
      </c>
    </row>
    <row r="563" spans="1:8" x14ac:dyDescent="0.3">
      <c r="A563" t="s">
        <v>179</v>
      </c>
      <c r="B563">
        <v>19</v>
      </c>
      <c r="C563" t="s">
        <v>266</v>
      </c>
      <c r="D563" s="1">
        <v>0.66666666666666663</v>
      </c>
      <c r="E563" t="s">
        <v>10</v>
      </c>
      <c r="F563" t="s">
        <v>30</v>
      </c>
      <c r="G563" t="s">
        <v>42</v>
      </c>
      <c r="H563" t="s">
        <v>190</v>
      </c>
    </row>
    <row r="564" spans="1:8" x14ac:dyDescent="0.3">
      <c r="A564" t="s">
        <v>179</v>
      </c>
      <c r="B564">
        <v>19</v>
      </c>
      <c r="C564" t="s">
        <v>266</v>
      </c>
      <c r="D564" s="1">
        <v>0.75</v>
      </c>
      <c r="E564" t="s">
        <v>16</v>
      </c>
      <c r="F564" t="s">
        <v>33</v>
      </c>
      <c r="G564" s="2">
        <v>46056</v>
      </c>
      <c r="H564" t="s">
        <v>183</v>
      </c>
    </row>
    <row r="565" spans="1:8" x14ac:dyDescent="0.3">
      <c r="A565" t="s">
        <v>179</v>
      </c>
      <c r="B565">
        <v>19</v>
      </c>
      <c r="C565" t="s">
        <v>266</v>
      </c>
      <c r="D565" s="1">
        <v>0.83333333333333337</v>
      </c>
      <c r="E565" t="s">
        <v>34</v>
      </c>
      <c r="F565" t="s">
        <v>15</v>
      </c>
      <c r="G565" t="s">
        <v>12</v>
      </c>
      <c r="H565" t="s">
        <v>198</v>
      </c>
    </row>
    <row r="566" spans="1:8" x14ac:dyDescent="0.3">
      <c r="A566" t="s">
        <v>179</v>
      </c>
      <c r="B566">
        <v>19</v>
      </c>
      <c r="C566" t="s">
        <v>266</v>
      </c>
      <c r="D566" s="1">
        <v>0.91666666666666663</v>
      </c>
      <c r="E566" t="s">
        <v>36</v>
      </c>
      <c r="F566" t="s">
        <v>35</v>
      </c>
      <c r="G566" t="s">
        <v>18</v>
      </c>
      <c r="H566" t="s">
        <v>202</v>
      </c>
    </row>
    <row r="567" spans="1:8" x14ac:dyDescent="0.3">
      <c r="A567" t="s">
        <v>179</v>
      </c>
      <c r="B567">
        <v>19</v>
      </c>
      <c r="C567" t="s">
        <v>267</v>
      </c>
      <c r="D567" s="1">
        <v>0.5</v>
      </c>
      <c r="E567" t="s">
        <v>11</v>
      </c>
      <c r="F567" t="s">
        <v>25</v>
      </c>
      <c r="G567" t="s">
        <v>46</v>
      </c>
      <c r="H567" t="s">
        <v>200</v>
      </c>
    </row>
    <row r="568" spans="1:8" x14ac:dyDescent="0.3">
      <c r="A568" t="s">
        <v>179</v>
      </c>
      <c r="B568">
        <v>19</v>
      </c>
      <c r="C568" t="s">
        <v>267</v>
      </c>
      <c r="D568" s="1">
        <v>0.70833333333333337</v>
      </c>
      <c r="E568" t="s">
        <v>28</v>
      </c>
      <c r="F568" t="s">
        <v>24</v>
      </c>
      <c r="G568" t="s">
        <v>12</v>
      </c>
      <c r="H568" t="s">
        <v>207</v>
      </c>
    </row>
    <row r="569" spans="1:8" x14ac:dyDescent="0.3">
      <c r="A569" t="s">
        <v>179</v>
      </c>
      <c r="B569">
        <v>19</v>
      </c>
      <c r="C569" t="s">
        <v>267</v>
      </c>
      <c r="D569" s="1">
        <v>0.79166666666666663</v>
      </c>
      <c r="E569" t="s">
        <v>182</v>
      </c>
      <c r="F569" t="s">
        <v>20</v>
      </c>
      <c r="G569" t="s">
        <v>53</v>
      </c>
      <c r="H569" t="s">
        <v>205</v>
      </c>
    </row>
    <row r="570" spans="1:8" x14ac:dyDescent="0.3">
      <c r="A570" t="s">
        <v>179</v>
      </c>
      <c r="B570">
        <v>19</v>
      </c>
      <c r="C570" t="s">
        <v>267</v>
      </c>
      <c r="D570" s="1">
        <v>0.875</v>
      </c>
      <c r="E570" t="s">
        <v>31</v>
      </c>
      <c r="F570" t="s">
        <v>21</v>
      </c>
      <c r="G570" t="s">
        <v>18</v>
      </c>
      <c r="H570" t="s">
        <v>204</v>
      </c>
    </row>
    <row r="571" spans="1:8" x14ac:dyDescent="0.3">
      <c r="A571" t="s">
        <v>179</v>
      </c>
      <c r="B571">
        <v>19</v>
      </c>
      <c r="C571" t="s">
        <v>267</v>
      </c>
      <c r="D571" s="1">
        <v>0.875</v>
      </c>
      <c r="E571" t="s">
        <v>27</v>
      </c>
      <c r="F571" t="s">
        <v>17</v>
      </c>
      <c r="G571" t="s">
        <v>12</v>
      </c>
      <c r="H571" t="s">
        <v>201</v>
      </c>
    </row>
    <row r="572" spans="1:8" x14ac:dyDescent="0.3">
      <c r="A572" t="s">
        <v>179</v>
      </c>
      <c r="B572">
        <v>20</v>
      </c>
      <c r="C572" t="s">
        <v>268</v>
      </c>
      <c r="D572" s="1">
        <v>0.66666666666666663</v>
      </c>
      <c r="E572" t="s">
        <v>193</v>
      </c>
      <c r="F572" t="s">
        <v>25</v>
      </c>
      <c r="G572" s="2">
        <v>46054</v>
      </c>
      <c r="H572" t="s">
        <v>185</v>
      </c>
    </row>
    <row r="573" spans="1:8" x14ac:dyDescent="0.3">
      <c r="A573" t="s">
        <v>179</v>
      </c>
      <c r="B573">
        <v>20</v>
      </c>
      <c r="C573" t="s">
        <v>268</v>
      </c>
      <c r="D573" s="1">
        <v>0.75</v>
      </c>
      <c r="E573" t="s">
        <v>31</v>
      </c>
      <c r="F573" t="s">
        <v>20</v>
      </c>
      <c r="G573" t="s">
        <v>269</v>
      </c>
      <c r="H573" t="s">
        <v>195</v>
      </c>
    </row>
    <row r="574" spans="1:8" x14ac:dyDescent="0.3">
      <c r="A574" t="s">
        <v>179</v>
      </c>
      <c r="B574">
        <v>20</v>
      </c>
      <c r="C574" t="s">
        <v>268</v>
      </c>
      <c r="D574" s="1">
        <v>0.83333333333333337</v>
      </c>
      <c r="E574" t="s">
        <v>28</v>
      </c>
      <c r="F574" t="s">
        <v>30</v>
      </c>
      <c r="G574" s="2">
        <v>46025</v>
      </c>
      <c r="H574" t="s">
        <v>183</v>
      </c>
    </row>
    <row r="575" spans="1:8" x14ac:dyDescent="0.3">
      <c r="A575" t="s">
        <v>179</v>
      </c>
      <c r="B575">
        <v>20</v>
      </c>
      <c r="C575" t="s">
        <v>268</v>
      </c>
      <c r="D575" s="1">
        <v>0.91666666666666663</v>
      </c>
      <c r="E575" t="s">
        <v>10</v>
      </c>
      <c r="F575" t="s">
        <v>187</v>
      </c>
      <c r="G575" t="s">
        <v>18</v>
      </c>
      <c r="H575" t="s">
        <v>206</v>
      </c>
    </row>
    <row r="576" spans="1:8" x14ac:dyDescent="0.3">
      <c r="A576" t="s">
        <v>179</v>
      </c>
      <c r="B576">
        <v>20</v>
      </c>
      <c r="C576" t="s">
        <v>268</v>
      </c>
      <c r="D576" s="1">
        <v>0.91666666666666663</v>
      </c>
      <c r="E576" t="s">
        <v>34</v>
      </c>
      <c r="F576" t="s">
        <v>21</v>
      </c>
      <c r="G576" t="s">
        <v>18</v>
      </c>
      <c r="H576" t="s">
        <v>191</v>
      </c>
    </row>
    <row r="577" spans="1:8" x14ac:dyDescent="0.3">
      <c r="A577" t="s">
        <v>179</v>
      </c>
      <c r="B577">
        <v>20</v>
      </c>
      <c r="C577" t="s">
        <v>270</v>
      </c>
      <c r="D577" s="1">
        <v>0.5</v>
      </c>
      <c r="E577" t="s">
        <v>182</v>
      </c>
      <c r="F577" t="s">
        <v>24</v>
      </c>
      <c r="G577" s="2">
        <v>46055</v>
      </c>
      <c r="H577" t="s">
        <v>184</v>
      </c>
    </row>
    <row r="578" spans="1:8" x14ac:dyDescent="0.3">
      <c r="A578" t="s">
        <v>179</v>
      </c>
      <c r="B578">
        <v>20</v>
      </c>
      <c r="C578" t="s">
        <v>270</v>
      </c>
      <c r="D578" s="1">
        <v>0.70833333333333337</v>
      </c>
      <c r="E578" t="s">
        <v>15</v>
      </c>
      <c r="F578" t="s">
        <v>17</v>
      </c>
      <c r="G578" s="2">
        <v>46023</v>
      </c>
      <c r="H578" t="s">
        <v>188</v>
      </c>
    </row>
    <row r="579" spans="1:8" x14ac:dyDescent="0.3">
      <c r="A579" t="s">
        <v>179</v>
      </c>
      <c r="B579">
        <v>20</v>
      </c>
      <c r="C579" t="s">
        <v>270</v>
      </c>
      <c r="D579" s="1">
        <v>0.79166666666666663</v>
      </c>
      <c r="E579" t="s">
        <v>36</v>
      </c>
      <c r="F579" t="s">
        <v>33</v>
      </c>
      <c r="G579" t="s">
        <v>32</v>
      </c>
      <c r="H579" t="s">
        <v>73</v>
      </c>
    </row>
    <row r="580" spans="1:8" x14ac:dyDescent="0.3">
      <c r="A580" t="s">
        <v>179</v>
      </c>
      <c r="B580">
        <v>20</v>
      </c>
      <c r="C580" t="s">
        <v>270</v>
      </c>
      <c r="D580" s="1">
        <v>0.875</v>
      </c>
      <c r="E580" t="s">
        <v>16</v>
      </c>
      <c r="F580" t="s">
        <v>27</v>
      </c>
      <c r="G580" s="2">
        <v>46025</v>
      </c>
      <c r="H580" t="s">
        <v>197</v>
      </c>
    </row>
    <row r="581" spans="1:8" x14ac:dyDescent="0.3">
      <c r="A581" t="s">
        <v>179</v>
      </c>
      <c r="B581">
        <v>20</v>
      </c>
      <c r="C581" t="s">
        <v>271</v>
      </c>
      <c r="D581" s="1">
        <v>0.86458333333333337</v>
      </c>
      <c r="E581" t="s">
        <v>11</v>
      </c>
      <c r="F581" t="s">
        <v>35</v>
      </c>
      <c r="G581" s="2">
        <v>46024</v>
      </c>
      <c r="H581" t="s">
        <v>181</v>
      </c>
    </row>
    <row r="582" spans="1:8" x14ac:dyDescent="0.3">
      <c r="A582" t="s">
        <v>179</v>
      </c>
      <c r="B582">
        <v>21</v>
      </c>
      <c r="C582" t="s">
        <v>272</v>
      </c>
      <c r="D582" s="1">
        <v>0.86458333333333337</v>
      </c>
      <c r="E582" t="s">
        <v>30</v>
      </c>
      <c r="F582" t="s">
        <v>182</v>
      </c>
      <c r="G582" s="2">
        <v>46054</v>
      </c>
      <c r="H582" t="s">
        <v>202</v>
      </c>
    </row>
    <row r="583" spans="1:8" x14ac:dyDescent="0.3">
      <c r="A583" t="s">
        <v>179</v>
      </c>
      <c r="B583">
        <v>21</v>
      </c>
      <c r="C583" t="s">
        <v>273</v>
      </c>
      <c r="D583" s="1">
        <v>0.66666666666666663</v>
      </c>
      <c r="E583" t="s">
        <v>25</v>
      </c>
      <c r="F583" t="s">
        <v>10</v>
      </c>
      <c r="G583" s="2">
        <v>46026</v>
      </c>
      <c r="H583" t="s">
        <v>188</v>
      </c>
    </row>
    <row r="584" spans="1:8" x14ac:dyDescent="0.3">
      <c r="A584" t="s">
        <v>179</v>
      </c>
      <c r="B584">
        <v>21</v>
      </c>
      <c r="C584" t="s">
        <v>273</v>
      </c>
      <c r="D584" s="1">
        <v>0.75</v>
      </c>
      <c r="E584" t="s">
        <v>187</v>
      </c>
      <c r="F584" t="s">
        <v>28</v>
      </c>
      <c r="G584" s="2">
        <v>46082</v>
      </c>
      <c r="H584" t="s">
        <v>200</v>
      </c>
    </row>
    <row r="585" spans="1:8" x14ac:dyDescent="0.3">
      <c r="A585" t="s">
        <v>179</v>
      </c>
      <c r="B585">
        <v>21</v>
      </c>
      <c r="C585" t="s">
        <v>273</v>
      </c>
      <c r="D585" s="1">
        <v>0.83333333333333337</v>
      </c>
      <c r="E585" t="s">
        <v>24</v>
      </c>
      <c r="F585" t="s">
        <v>31</v>
      </c>
      <c r="G585" t="s">
        <v>18</v>
      </c>
      <c r="H585" t="s">
        <v>194</v>
      </c>
    </row>
    <row r="586" spans="1:8" x14ac:dyDescent="0.3">
      <c r="A586" t="s">
        <v>179</v>
      </c>
      <c r="B586">
        <v>21</v>
      </c>
      <c r="C586" t="s">
        <v>273</v>
      </c>
      <c r="D586" s="1">
        <v>0.91666666666666663</v>
      </c>
      <c r="E586" t="s">
        <v>35</v>
      </c>
      <c r="F586" t="s">
        <v>193</v>
      </c>
      <c r="G586" t="s">
        <v>18</v>
      </c>
      <c r="H586" t="s">
        <v>201</v>
      </c>
    </row>
    <row r="587" spans="1:8" x14ac:dyDescent="0.3">
      <c r="A587" t="s">
        <v>179</v>
      </c>
      <c r="B587">
        <v>21</v>
      </c>
      <c r="C587" t="s">
        <v>274</v>
      </c>
      <c r="D587" s="1">
        <v>0.5</v>
      </c>
      <c r="E587" t="s">
        <v>21</v>
      </c>
      <c r="F587" t="s">
        <v>15</v>
      </c>
      <c r="G587" t="s">
        <v>54</v>
      </c>
      <c r="H587" t="s">
        <v>185</v>
      </c>
    </row>
    <row r="588" spans="1:8" x14ac:dyDescent="0.3">
      <c r="A588" t="s">
        <v>179</v>
      </c>
      <c r="B588">
        <v>21</v>
      </c>
      <c r="C588" t="s">
        <v>274</v>
      </c>
      <c r="D588" s="1">
        <v>0.70833333333333337</v>
      </c>
      <c r="E588" t="s">
        <v>33</v>
      </c>
      <c r="F588" t="s">
        <v>11</v>
      </c>
      <c r="G588" t="s">
        <v>18</v>
      </c>
      <c r="H588" t="s">
        <v>207</v>
      </c>
    </row>
    <row r="589" spans="1:8" x14ac:dyDescent="0.3">
      <c r="A589" t="s">
        <v>179</v>
      </c>
      <c r="B589">
        <v>21</v>
      </c>
      <c r="C589" t="s">
        <v>274</v>
      </c>
      <c r="D589" s="1">
        <v>0.79166666666666663</v>
      </c>
      <c r="E589" t="s">
        <v>27</v>
      </c>
      <c r="F589" t="s">
        <v>36</v>
      </c>
      <c r="G589" s="2">
        <v>46056</v>
      </c>
      <c r="H589" t="s">
        <v>206</v>
      </c>
    </row>
    <row r="590" spans="1:8" x14ac:dyDescent="0.3">
      <c r="A590" t="s">
        <v>179</v>
      </c>
      <c r="B590">
        <v>21</v>
      </c>
      <c r="C590" t="s">
        <v>274</v>
      </c>
      <c r="D590" s="1">
        <v>0.875</v>
      </c>
      <c r="E590" t="s">
        <v>20</v>
      </c>
      <c r="F590" t="s">
        <v>34</v>
      </c>
      <c r="G590" s="2">
        <v>46056</v>
      </c>
      <c r="H590" t="s">
        <v>183</v>
      </c>
    </row>
    <row r="591" spans="1:8" x14ac:dyDescent="0.3">
      <c r="A591" t="s">
        <v>179</v>
      </c>
      <c r="B591">
        <v>21</v>
      </c>
      <c r="C591" t="s">
        <v>275</v>
      </c>
      <c r="D591" s="1">
        <v>0.86458333333333337</v>
      </c>
      <c r="E591" t="s">
        <v>17</v>
      </c>
      <c r="F591" t="s">
        <v>16</v>
      </c>
      <c r="G591" t="s">
        <v>18</v>
      </c>
      <c r="H591" t="s">
        <v>195</v>
      </c>
    </row>
    <row r="592" spans="1:8" x14ac:dyDescent="0.3">
      <c r="A592" t="s">
        <v>179</v>
      </c>
      <c r="B592">
        <v>22</v>
      </c>
      <c r="C592" t="s">
        <v>276</v>
      </c>
      <c r="D592" s="1">
        <v>0.86458333333333337</v>
      </c>
      <c r="E592" t="s">
        <v>182</v>
      </c>
      <c r="F592" t="s">
        <v>187</v>
      </c>
      <c r="G592" t="s">
        <v>12</v>
      </c>
      <c r="H592" t="s">
        <v>204</v>
      </c>
    </row>
    <row r="593" spans="1:8" x14ac:dyDescent="0.3">
      <c r="A593" t="s">
        <v>179</v>
      </c>
      <c r="B593">
        <v>22</v>
      </c>
      <c r="C593" t="s">
        <v>277</v>
      </c>
      <c r="D593" s="1">
        <v>0.66666666666666663</v>
      </c>
      <c r="E593" t="s">
        <v>28</v>
      </c>
      <c r="F593" t="s">
        <v>25</v>
      </c>
      <c r="G593" t="s">
        <v>88</v>
      </c>
      <c r="H593" t="s">
        <v>191</v>
      </c>
    </row>
    <row r="594" spans="1:8" x14ac:dyDescent="0.3">
      <c r="A594" t="s">
        <v>179</v>
      </c>
      <c r="B594">
        <v>22</v>
      </c>
      <c r="C594" t="s">
        <v>277</v>
      </c>
      <c r="D594" s="1">
        <v>0.75</v>
      </c>
      <c r="E594" t="s">
        <v>34</v>
      </c>
      <c r="F594" t="s">
        <v>24</v>
      </c>
      <c r="G594" t="s">
        <v>12</v>
      </c>
      <c r="H594" t="s">
        <v>73</v>
      </c>
    </row>
    <row r="595" spans="1:8" x14ac:dyDescent="0.3">
      <c r="A595" t="s">
        <v>179</v>
      </c>
      <c r="B595">
        <v>22</v>
      </c>
      <c r="C595" t="s">
        <v>277</v>
      </c>
      <c r="D595" s="1">
        <v>0.83333333333333337</v>
      </c>
      <c r="E595" t="s">
        <v>21</v>
      </c>
      <c r="F595" t="s">
        <v>17</v>
      </c>
      <c r="G595" s="2">
        <v>46026</v>
      </c>
      <c r="H595" t="s">
        <v>184</v>
      </c>
    </row>
    <row r="596" spans="1:8" x14ac:dyDescent="0.3">
      <c r="A596" t="s">
        <v>179</v>
      </c>
      <c r="B596">
        <v>22</v>
      </c>
      <c r="C596" t="s">
        <v>277</v>
      </c>
      <c r="D596" s="1">
        <v>0.91666666666666663</v>
      </c>
      <c r="E596" t="s">
        <v>10</v>
      </c>
      <c r="F596" t="s">
        <v>35</v>
      </c>
      <c r="G596" s="2">
        <v>46023</v>
      </c>
      <c r="H596" t="s">
        <v>197</v>
      </c>
    </row>
    <row r="597" spans="1:8" x14ac:dyDescent="0.3">
      <c r="A597" t="s">
        <v>179</v>
      </c>
      <c r="B597">
        <v>22</v>
      </c>
      <c r="C597" t="s">
        <v>278</v>
      </c>
      <c r="D597" s="1">
        <v>0.5</v>
      </c>
      <c r="E597" t="s">
        <v>193</v>
      </c>
      <c r="F597" t="s">
        <v>33</v>
      </c>
      <c r="G597" s="2">
        <v>46054</v>
      </c>
      <c r="H597" t="s">
        <v>205</v>
      </c>
    </row>
    <row r="598" spans="1:8" x14ac:dyDescent="0.3">
      <c r="A598" t="s">
        <v>179</v>
      </c>
      <c r="B598">
        <v>22</v>
      </c>
      <c r="C598" t="s">
        <v>278</v>
      </c>
      <c r="D598" s="1">
        <v>0.70833333333333337</v>
      </c>
      <c r="E598" t="s">
        <v>11</v>
      </c>
      <c r="F598" t="s">
        <v>27</v>
      </c>
      <c r="G598" s="2">
        <v>46024</v>
      </c>
      <c r="H598" t="s">
        <v>198</v>
      </c>
    </row>
    <row r="599" spans="1:8" x14ac:dyDescent="0.3">
      <c r="A599" t="s">
        <v>179</v>
      </c>
      <c r="B599">
        <v>22</v>
      </c>
      <c r="C599" t="s">
        <v>278</v>
      </c>
      <c r="D599" s="1">
        <v>0.79166666666666663</v>
      </c>
      <c r="E599" t="s">
        <v>36</v>
      </c>
      <c r="F599" t="s">
        <v>16</v>
      </c>
      <c r="G599" s="2">
        <v>46054</v>
      </c>
      <c r="H599" t="s">
        <v>190</v>
      </c>
    </row>
    <row r="600" spans="1:8" x14ac:dyDescent="0.3">
      <c r="A600" t="s">
        <v>179</v>
      </c>
      <c r="B600">
        <v>22</v>
      </c>
      <c r="C600" t="s">
        <v>278</v>
      </c>
      <c r="D600" s="1">
        <v>0.875</v>
      </c>
      <c r="E600" t="s">
        <v>15</v>
      </c>
      <c r="F600" t="s">
        <v>20</v>
      </c>
      <c r="G600" s="2">
        <v>46144</v>
      </c>
      <c r="H600" t="s">
        <v>181</v>
      </c>
    </row>
    <row r="601" spans="1:8" x14ac:dyDescent="0.3">
      <c r="A601" t="s">
        <v>179</v>
      </c>
      <c r="B601">
        <v>22</v>
      </c>
      <c r="C601" t="s">
        <v>279</v>
      </c>
      <c r="D601" s="1">
        <v>0.86458333333333337</v>
      </c>
      <c r="E601" t="s">
        <v>31</v>
      </c>
      <c r="F601" t="s">
        <v>30</v>
      </c>
      <c r="G601" t="s">
        <v>12</v>
      </c>
      <c r="H601" t="s">
        <v>189</v>
      </c>
    </row>
    <row r="602" spans="1:8" x14ac:dyDescent="0.3">
      <c r="A602" t="s">
        <v>179</v>
      </c>
      <c r="B602">
        <v>23</v>
      </c>
      <c r="C602" t="s">
        <v>280</v>
      </c>
      <c r="D602" s="1">
        <v>0.86458333333333337</v>
      </c>
      <c r="E602" t="s">
        <v>33</v>
      </c>
      <c r="F602" t="s">
        <v>10</v>
      </c>
      <c r="G602" s="2">
        <v>46055</v>
      </c>
      <c r="H602" t="s">
        <v>204</v>
      </c>
    </row>
    <row r="603" spans="1:8" x14ac:dyDescent="0.3">
      <c r="A603" t="s">
        <v>179</v>
      </c>
      <c r="B603">
        <v>23</v>
      </c>
      <c r="C603" t="s">
        <v>281</v>
      </c>
      <c r="D603" s="1">
        <v>0.66666666666666663</v>
      </c>
      <c r="E603" t="s">
        <v>27</v>
      </c>
      <c r="F603" t="s">
        <v>193</v>
      </c>
      <c r="G603" t="s">
        <v>32</v>
      </c>
      <c r="H603" t="s">
        <v>183</v>
      </c>
    </row>
    <row r="604" spans="1:8" x14ac:dyDescent="0.3">
      <c r="A604" t="s">
        <v>179</v>
      </c>
      <c r="B604">
        <v>23</v>
      </c>
      <c r="C604" t="s">
        <v>281</v>
      </c>
      <c r="D604" s="1">
        <v>0.75</v>
      </c>
      <c r="E604" t="s">
        <v>25</v>
      </c>
      <c r="F604" t="s">
        <v>182</v>
      </c>
      <c r="G604" t="s">
        <v>12</v>
      </c>
      <c r="H604" t="s">
        <v>198</v>
      </c>
    </row>
    <row r="605" spans="1:8" x14ac:dyDescent="0.3">
      <c r="A605" t="s">
        <v>179</v>
      </c>
      <c r="B605">
        <v>23</v>
      </c>
      <c r="C605" t="s">
        <v>281</v>
      </c>
      <c r="D605" s="1">
        <v>0.83333333333333337</v>
      </c>
      <c r="E605" t="s">
        <v>24</v>
      </c>
      <c r="F605" t="s">
        <v>15</v>
      </c>
      <c r="G605" t="s">
        <v>41</v>
      </c>
      <c r="H605" t="s">
        <v>195</v>
      </c>
    </row>
    <row r="606" spans="1:8" x14ac:dyDescent="0.3">
      <c r="A606" t="s">
        <v>179</v>
      </c>
      <c r="B606">
        <v>23</v>
      </c>
      <c r="C606" t="s">
        <v>281</v>
      </c>
      <c r="D606" s="1">
        <v>0.91666666666666663</v>
      </c>
      <c r="E606" t="s">
        <v>17</v>
      </c>
      <c r="F606" t="s">
        <v>36</v>
      </c>
      <c r="G606" t="s">
        <v>54</v>
      </c>
      <c r="H606" t="s">
        <v>194</v>
      </c>
    </row>
    <row r="607" spans="1:8" x14ac:dyDescent="0.3">
      <c r="A607" t="s">
        <v>179</v>
      </c>
      <c r="B607">
        <v>23</v>
      </c>
      <c r="C607" t="s">
        <v>282</v>
      </c>
      <c r="D607" s="1">
        <v>0.5</v>
      </c>
      <c r="E607" t="s">
        <v>16</v>
      </c>
      <c r="F607" t="s">
        <v>11</v>
      </c>
      <c r="G607" t="s">
        <v>18</v>
      </c>
      <c r="H607" t="s">
        <v>206</v>
      </c>
    </row>
    <row r="608" spans="1:8" x14ac:dyDescent="0.3">
      <c r="A608" t="s">
        <v>179</v>
      </c>
      <c r="B608">
        <v>23</v>
      </c>
      <c r="C608" t="s">
        <v>282</v>
      </c>
      <c r="D608" s="1">
        <v>0.70833333333333337</v>
      </c>
      <c r="E608" t="s">
        <v>20</v>
      </c>
      <c r="F608" t="s">
        <v>21</v>
      </c>
      <c r="G608" t="s">
        <v>40</v>
      </c>
      <c r="H608" t="s">
        <v>190</v>
      </c>
    </row>
    <row r="609" spans="1:8" x14ac:dyDescent="0.3">
      <c r="A609" t="s">
        <v>179</v>
      </c>
      <c r="B609">
        <v>23</v>
      </c>
      <c r="C609" t="s">
        <v>282</v>
      </c>
      <c r="D609" s="1">
        <v>0.79166666666666663</v>
      </c>
      <c r="E609" t="s">
        <v>30</v>
      </c>
      <c r="F609" t="s">
        <v>34</v>
      </c>
      <c r="G609" t="s">
        <v>12</v>
      </c>
      <c r="H609" t="s">
        <v>200</v>
      </c>
    </row>
    <row r="610" spans="1:8" x14ac:dyDescent="0.3">
      <c r="A610" t="s">
        <v>179</v>
      </c>
      <c r="B610">
        <v>23</v>
      </c>
      <c r="C610" t="s">
        <v>282</v>
      </c>
      <c r="D610" s="1">
        <v>0.875</v>
      </c>
      <c r="E610" t="s">
        <v>35</v>
      </c>
      <c r="F610" t="s">
        <v>28</v>
      </c>
      <c r="G610" t="s">
        <v>12</v>
      </c>
      <c r="H610" t="s">
        <v>205</v>
      </c>
    </row>
    <row r="611" spans="1:8" x14ac:dyDescent="0.3">
      <c r="A611" t="s">
        <v>179</v>
      </c>
      <c r="B611">
        <v>23</v>
      </c>
      <c r="C611" t="s">
        <v>283</v>
      </c>
      <c r="D611" s="1">
        <v>0.86458333333333337</v>
      </c>
      <c r="E611" t="s">
        <v>187</v>
      </c>
      <c r="F611" t="s">
        <v>31</v>
      </c>
      <c r="G611" t="s">
        <v>42</v>
      </c>
      <c r="H611" t="s">
        <v>202</v>
      </c>
    </row>
    <row r="612" spans="1:8" x14ac:dyDescent="0.3">
      <c r="A612" t="s">
        <v>179</v>
      </c>
      <c r="B612">
        <v>24</v>
      </c>
      <c r="C612" t="s">
        <v>284</v>
      </c>
      <c r="D612" s="1">
        <v>0.86458333333333337</v>
      </c>
      <c r="E612" t="s">
        <v>11</v>
      </c>
      <c r="F612" t="s">
        <v>36</v>
      </c>
      <c r="G612" s="2">
        <v>46024</v>
      </c>
      <c r="H612" t="s">
        <v>197</v>
      </c>
    </row>
    <row r="613" spans="1:8" x14ac:dyDescent="0.3">
      <c r="A613" t="s">
        <v>179</v>
      </c>
      <c r="B613">
        <v>24</v>
      </c>
      <c r="C613" t="s">
        <v>285</v>
      </c>
      <c r="D613" s="1">
        <v>0.66666666666666663</v>
      </c>
      <c r="E613" t="s">
        <v>20</v>
      </c>
      <c r="F613" t="s">
        <v>17</v>
      </c>
      <c r="G613" t="s">
        <v>42</v>
      </c>
      <c r="H613" t="s">
        <v>205</v>
      </c>
    </row>
    <row r="614" spans="1:8" x14ac:dyDescent="0.3">
      <c r="A614" t="s">
        <v>179</v>
      </c>
      <c r="B614">
        <v>24</v>
      </c>
      <c r="C614" t="s">
        <v>285</v>
      </c>
      <c r="D614" s="1">
        <v>0.75</v>
      </c>
      <c r="E614" t="s">
        <v>193</v>
      </c>
      <c r="F614" t="s">
        <v>16</v>
      </c>
      <c r="G614" s="2">
        <v>46054</v>
      </c>
      <c r="H614" t="s">
        <v>73</v>
      </c>
    </row>
    <row r="615" spans="1:8" x14ac:dyDescent="0.3">
      <c r="A615" t="s">
        <v>179</v>
      </c>
      <c r="B615">
        <v>24</v>
      </c>
      <c r="C615" t="s">
        <v>285</v>
      </c>
      <c r="D615" s="1">
        <v>0.83333333333333337</v>
      </c>
      <c r="E615" t="s">
        <v>28</v>
      </c>
      <c r="F615" t="s">
        <v>33</v>
      </c>
      <c r="G615" t="s">
        <v>32</v>
      </c>
      <c r="H615" t="s">
        <v>181</v>
      </c>
    </row>
    <row r="616" spans="1:8" x14ac:dyDescent="0.3">
      <c r="A616" t="s">
        <v>179</v>
      </c>
      <c r="B616">
        <v>24</v>
      </c>
      <c r="C616" t="s">
        <v>285</v>
      </c>
      <c r="D616" s="1">
        <v>0.91666666666666663</v>
      </c>
      <c r="E616" t="s">
        <v>182</v>
      </c>
      <c r="F616" t="s">
        <v>35</v>
      </c>
      <c r="G616" t="s">
        <v>54</v>
      </c>
      <c r="H616" t="s">
        <v>200</v>
      </c>
    </row>
    <row r="617" spans="1:8" x14ac:dyDescent="0.3">
      <c r="A617" t="s">
        <v>179</v>
      </c>
      <c r="B617">
        <v>24</v>
      </c>
      <c r="C617" t="s">
        <v>286</v>
      </c>
      <c r="D617" s="1">
        <v>0.5</v>
      </c>
      <c r="E617" t="s">
        <v>10</v>
      </c>
      <c r="F617" t="s">
        <v>27</v>
      </c>
      <c r="G617" s="2">
        <v>46085</v>
      </c>
      <c r="H617" t="s">
        <v>189</v>
      </c>
    </row>
    <row r="618" spans="1:8" x14ac:dyDescent="0.3">
      <c r="A618" t="s">
        <v>179</v>
      </c>
      <c r="B618">
        <v>24</v>
      </c>
      <c r="C618" t="s">
        <v>286</v>
      </c>
      <c r="D618" s="1">
        <v>0.70833333333333337</v>
      </c>
      <c r="E618" t="s">
        <v>15</v>
      </c>
      <c r="F618" t="s">
        <v>30</v>
      </c>
      <c r="G618" t="s">
        <v>18</v>
      </c>
      <c r="H618" t="s">
        <v>191</v>
      </c>
    </row>
    <row r="619" spans="1:8" x14ac:dyDescent="0.3">
      <c r="A619" t="s">
        <v>179</v>
      </c>
      <c r="B619">
        <v>24</v>
      </c>
      <c r="C619" t="s">
        <v>286</v>
      </c>
      <c r="D619" s="1">
        <v>0.79166666666666663</v>
      </c>
      <c r="E619" t="s">
        <v>34</v>
      </c>
      <c r="F619" t="s">
        <v>187</v>
      </c>
      <c r="G619" t="s">
        <v>18</v>
      </c>
      <c r="H619" t="s">
        <v>190</v>
      </c>
    </row>
    <row r="620" spans="1:8" x14ac:dyDescent="0.3">
      <c r="A620" t="s">
        <v>179</v>
      </c>
      <c r="B620">
        <v>24</v>
      </c>
      <c r="C620" t="s">
        <v>286</v>
      </c>
      <c r="D620" s="1">
        <v>0.875</v>
      </c>
      <c r="E620" t="s">
        <v>31</v>
      </c>
      <c r="F620" t="s">
        <v>25</v>
      </c>
      <c r="G620" t="s">
        <v>54</v>
      </c>
      <c r="H620" t="s">
        <v>207</v>
      </c>
    </row>
    <row r="621" spans="1:8" x14ac:dyDescent="0.3">
      <c r="A621" t="s">
        <v>179</v>
      </c>
      <c r="B621">
        <v>24</v>
      </c>
      <c r="C621" t="s">
        <v>287</v>
      </c>
      <c r="D621" s="1">
        <v>0.86458333333333337</v>
      </c>
      <c r="E621" t="s">
        <v>21</v>
      </c>
      <c r="F621" t="s">
        <v>24</v>
      </c>
      <c r="G621" s="2">
        <v>46024</v>
      </c>
      <c r="H621" t="s">
        <v>188</v>
      </c>
    </row>
    <row r="622" spans="1:8" x14ac:dyDescent="0.3">
      <c r="A622" t="s">
        <v>179</v>
      </c>
      <c r="B622">
        <v>25</v>
      </c>
      <c r="C622" t="s">
        <v>288</v>
      </c>
      <c r="D622" s="1">
        <v>0.86458333333333337</v>
      </c>
      <c r="E622" t="s">
        <v>36</v>
      </c>
      <c r="F622" t="s">
        <v>193</v>
      </c>
      <c r="G622" t="s">
        <v>18</v>
      </c>
      <c r="H622" t="s">
        <v>184</v>
      </c>
    </row>
    <row r="623" spans="1:8" x14ac:dyDescent="0.3">
      <c r="A623" t="s">
        <v>179</v>
      </c>
      <c r="B623">
        <v>25</v>
      </c>
      <c r="C623" t="s">
        <v>289</v>
      </c>
      <c r="D623" s="1">
        <v>0.66666666666666663</v>
      </c>
      <c r="E623" t="s">
        <v>24</v>
      </c>
      <c r="F623" t="s">
        <v>20</v>
      </c>
      <c r="G623" s="2">
        <v>46082</v>
      </c>
      <c r="H623" t="s">
        <v>197</v>
      </c>
    </row>
    <row r="624" spans="1:8" x14ac:dyDescent="0.3">
      <c r="A624" t="s">
        <v>179</v>
      </c>
      <c r="B624">
        <v>25</v>
      </c>
      <c r="C624" t="s">
        <v>289</v>
      </c>
      <c r="D624" s="1">
        <v>0.75</v>
      </c>
      <c r="E624" t="s">
        <v>30</v>
      </c>
      <c r="F624" t="s">
        <v>21</v>
      </c>
      <c r="G624" s="2">
        <v>46057</v>
      </c>
      <c r="H624" t="s">
        <v>183</v>
      </c>
    </row>
    <row r="625" spans="1:8" x14ac:dyDescent="0.3">
      <c r="A625" t="s">
        <v>179</v>
      </c>
      <c r="B625">
        <v>25</v>
      </c>
      <c r="C625" t="s">
        <v>289</v>
      </c>
      <c r="D625" s="1">
        <v>0.83333333333333337</v>
      </c>
      <c r="E625" t="s">
        <v>33</v>
      </c>
      <c r="F625" t="s">
        <v>182</v>
      </c>
      <c r="G625" t="s">
        <v>41</v>
      </c>
      <c r="H625" t="s">
        <v>194</v>
      </c>
    </row>
    <row r="626" spans="1:8" x14ac:dyDescent="0.3">
      <c r="A626" t="s">
        <v>179</v>
      </c>
      <c r="B626">
        <v>25</v>
      </c>
      <c r="C626" t="s">
        <v>289</v>
      </c>
      <c r="D626" s="1">
        <v>0.91666666666666663</v>
      </c>
      <c r="E626" t="s">
        <v>17</v>
      </c>
      <c r="F626" t="s">
        <v>11</v>
      </c>
      <c r="G626" s="2">
        <v>46056</v>
      </c>
      <c r="H626" t="s">
        <v>202</v>
      </c>
    </row>
    <row r="627" spans="1:8" x14ac:dyDescent="0.3">
      <c r="A627" t="s">
        <v>179</v>
      </c>
      <c r="B627">
        <v>25</v>
      </c>
      <c r="C627" t="s">
        <v>290</v>
      </c>
      <c r="D627" s="1">
        <v>0.5</v>
      </c>
      <c r="E627" t="s">
        <v>16</v>
      </c>
      <c r="F627" t="s">
        <v>10</v>
      </c>
      <c r="G627" t="s">
        <v>12</v>
      </c>
      <c r="H627" t="s">
        <v>198</v>
      </c>
    </row>
    <row r="628" spans="1:8" x14ac:dyDescent="0.3">
      <c r="A628" t="s">
        <v>179</v>
      </c>
      <c r="B628">
        <v>25</v>
      </c>
      <c r="C628" t="s">
        <v>290</v>
      </c>
      <c r="D628" s="1">
        <v>0.70833333333333337</v>
      </c>
      <c r="E628" t="s">
        <v>187</v>
      </c>
      <c r="F628" t="s">
        <v>15</v>
      </c>
      <c r="G628" t="s">
        <v>42</v>
      </c>
      <c r="H628" t="s">
        <v>189</v>
      </c>
    </row>
    <row r="629" spans="1:8" x14ac:dyDescent="0.3">
      <c r="A629" t="s">
        <v>179</v>
      </c>
      <c r="B629">
        <v>25</v>
      </c>
      <c r="C629" t="s">
        <v>290</v>
      </c>
      <c r="D629" s="1">
        <v>0.79166666666666663</v>
      </c>
      <c r="E629" t="s">
        <v>27</v>
      </c>
      <c r="F629" t="s">
        <v>28</v>
      </c>
      <c r="G629" t="s">
        <v>41</v>
      </c>
      <c r="H629" t="s">
        <v>195</v>
      </c>
    </row>
    <row r="630" spans="1:8" x14ac:dyDescent="0.3">
      <c r="A630" t="s">
        <v>179</v>
      </c>
      <c r="B630">
        <v>25</v>
      </c>
      <c r="C630" t="s">
        <v>290</v>
      </c>
      <c r="D630" s="1">
        <v>0.875</v>
      </c>
      <c r="E630" t="s">
        <v>25</v>
      </c>
      <c r="F630" t="s">
        <v>34</v>
      </c>
      <c r="G630" s="2">
        <v>46023</v>
      </c>
      <c r="H630" t="s">
        <v>206</v>
      </c>
    </row>
    <row r="631" spans="1:8" x14ac:dyDescent="0.3">
      <c r="A631" t="s">
        <v>179</v>
      </c>
      <c r="B631">
        <v>25</v>
      </c>
      <c r="C631" t="s">
        <v>291</v>
      </c>
      <c r="D631" s="1">
        <v>0.86458333333333337</v>
      </c>
      <c r="E631" t="s">
        <v>35</v>
      </c>
      <c r="F631" t="s">
        <v>31</v>
      </c>
      <c r="G631" s="2">
        <v>46023</v>
      </c>
      <c r="H631" t="s">
        <v>204</v>
      </c>
    </row>
    <row r="632" spans="1:8" x14ac:dyDescent="0.3">
      <c r="A632" t="s">
        <v>179</v>
      </c>
      <c r="B632">
        <v>26</v>
      </c>
      <c r="C632" t="s">
        <v>292</v>
      </c>
      <c r="D632" s="1">
        <v>0.86458333333333337</v>
      </c>
      <c r="E632" t="s">
        <v>21</v>
      </c>
      <c r="F632" t="s">
        <v>187</v>
      </c>
      <c r="G632" s="2">
        <v>46024</v>
      </c>
      <c r="H632" t="s">
        <v>191</v>
      </c>
    </row>
    <row r="633" spans="1:8" x14ac:dyDescent="0.3">
      <c r="A633" t="s">
        <v>179</v>
      </c>
      <c r="B633">
        <v>26</v>
      </c>
      <c r="C633" t="s">
        <v>293</v>
      </c>
      <c r="D633" s="1">
        <v>0.66666666666666663</v>
      </c>
      <c r="E633" t="s">
        <v>182</v>
      </c>
      <c r="F633" t="s">
        <v>27</v>
      </c>
      <c r="G633" s="2">
        <v>46115</v>
      </c>
      <c r="H633" t="s">
        <v>201</v>
      </c>
    </row>
    <row r="634" spans="1:8" x14ac:dyDescent="0.3">
      <c r="A634" t="s">
        <v>179</v>
      </c>
      <c r="B634">
        <v>26</v>
      </c>
      <c r="C634" t="s">
        <v>293</v>
      </c>
      <c r="D634" s="1">
        <v>0.75</v>
      </c>
      <c r="E634" t="s">
        <v>15</v>
      </c>
      <c r="F634" t="s">
        <v>25</v>
      </c>
      <c r="G634" t="s">
        <v>18</v>
      </c>
      <c r="H634" t="s">
        <v>73</v>
      </c>
    </row>
    <row r="635" spans="1:8" x14ac:dyDescent="0.3">
      <c r="A635" t="s">
        <v>179</v>
      </c>
      <c r="B635">
        <v>26</v>
      </c>
      <c r="C635" t="s">
        <v>293</v>
      </c>
      <c r="D635" s="1">
        <v>0.83333333333333337</v>
      </c>
      <c r="E635" t="s">
        <v>31</v>
      </c>
      <c r="F635" t="s">
        <v>33</v>
      </c>
      <c r="G635" t="s">
        <v>18</v>
      </c>
      <c r="H635" t="s">
        <v>184</v>
      </c>
    </row>
    <row r="636" spans="1:8" x14ac:dyDescent="0.3">
      <c r="A636" t="s">
        <v>179</v>
      </c>
      <c r="B636">
        <v>26</v>
      </c>
      <c r="C636" t="s">
        <v>293</v>
      </c>
      <c r="D636" s="1">
        <v>0.91666666666666663</v>
      </c>
      <c r="E636" t="s">
        <v>24</v>
      </c>
      <c r="F636" t="s">
        <v>17</v>
      </c>
      <c r="G636" t="s">
        <v>18</v>
      </c>
      <c r="H636" t="s">
        <v>181</v>
      </c>
    </row>
    <row r="637" spans="1:8" x14ac:dyDescent="0.3">
      <c r="A637" t="s">
        <v>179</v>
      </c>
      <c r="B637">
        <v>26</v>
      </c>
      <c r="C637" t="s">
        <v>294</v>
      </c>
      <c r="D637" s="1">
        <v>0.5</v>
      </c>
      <c r="E637" t="s">
        <v>20</v>
      </c>
      <c r="F637" t="s">
        <v>30</v>
      </c>
      <c r="G637" s="2">
        <v>46028</v>
      </c>
      <c r="H637" t="s">
        <v>194</v>
      </c>
    </row>
    <row r="638" spans="1:8" x14ac:dyDescent="0.3">
      <c r="A638" t="s">
        <v>179</v>
      </c>
      <c r="B638">
        <v>26</v>
      </c>
      <c r="C638" t="s">
        <v>294</v>
      </c>
      <c r="D638" s="1">
        <v>0.70833333333333337</v>
      </c>
      <c r="E638" t="s">
        <v>10</v>
      </c>
      <c r="F638" t="s">
        <v>36</v>
      </c>
      <c r="G638" t="s">
        <v>18</v>
      </c>
      <c r="H638" t="s">
        <v>202</v>
      </c>
    </row>
    <row r="639" spans="1:8" x14ac:dyDescent="0.3">
      <c r="A639" t="s">
        <v>179</v>
      </c>
      <c r="B639">
        <v>26</v>
      </c>
      <c r="C639" t="s">
        <v>294</v>
      </c>
      <c r="D639" s="1">
        <v>0.79166666666666663</v>
      </c>
      <c r="E639" t="s">
        <v>34</v>
      </c>
      <c r="F639" t="s">
        <v>35</v>
      </c>
      <c r="G639" s="2">
        <v>46026</v>
      </c>
      <c r="H639" t="s">
        <v>195</v>
      </c>
    </row>
    <row r="640" spans="1:8" x14ac:dyDescent="0.3">
      <c r="A640" t="s">
        <v>179</v>
      </c>
      <c r="B640">
        <v>26</v>
      </c>
      <c r="C640" t="s">
        <v>294</v>
      </c>
      <c r="D640" s="1">
        <v>0.875</v>
      </c>
      <c r="E640" t="s">
        <v>28</v>
      </c>
      <c r="F640" t="s">
        <v>16</v>
      </c>
      <c r="G640" s="2">
        <v>46023</v>
      </c>
      <c r="H640" t="s">
        <v>197</v>
      </c>
    </row>
    <row r="641" spans="1:8" x14ac:dyDescent="0.3">
      <c r="A641" t="s">
        <v>179</v>
      </c>
      <c r="B641">
        <v>26</v>
      </c>
      <c r="C641" t="s">
        <v>295</v>
      </c>
      <c r="D641" s="1">
        <v>0.86458333333333337</v>
      </c>
      <c r="E641" t="s">
        <v>193</v>
      </c>
      <c r="F641" t="s">
        <v>11</v>
      </c>
      <c r="G641" s="2">
        <v>46054</v>
      </c>
      <c r="H641" t="s">
        <v>188</v>
      </c>
    </row>
    <row r="642" spans="1:8" x14ac:dyDescent="0.3">
      <c r="A642" t="s">
        <v>179</v>
      </c>
      <c r="B642">
        <v>27</v>
      </c>
      <c r="C642" t="s">
        <v>296</v>
      </c>
      <c r="D642" s="1">
        <v>0.86458333333333337</v>
      </c>
      <c r="E642" t="s">
        <v>16</v>
      </c>
      <c r="F642" t="s">
        <v>182</v>
      </c>
      <c r="G642" t="s">
        <v>12</v>
      </c>
      <c r="H642" t="s">
        <v>188</v>
      </c>
    </row>
    <row r="643" spans="1:8" x14ac:dyDescent="0.3">
      <c r="A643" t="s">
        <v>179</v>
      </c>
      <c r="B643">
        <v>27</v>
      </c>
      <c r="C643" t="s">
        <v>297</v>
      </c>
      <c r="D643" s="1">
        <v>0.66666666666666663</v>
      </c>
      <c r="E643" t="s">
        <v>36</v>
      </c>
      <c r="F643" t="s">
        <v>28</v>
      </c>
      <c r="G643" t="s">
        <v>41</v>
      </c>
      <c r="H643" t="s">
        <v>183</v>
      </c>
    </row>
    <row r="644" spans="1:8" x14ac:dyDescent="0.3">
      <c r="A644" t="s">
        <v>179</v>
      </c>
      <c r="B644">
        <v>27</v>
      </c>
      <c r="C644" t="s">
        <v>297</v>
      </c>
      <c r="D644" s="1">
        <v>0.75</v>
      </c>
      <c r="E644" t="s">
        <v>187</v>
      </c>
      <c r="F644" t="s">
        <v>20</v>
      </c>
      <c r="G644" t="s">
        <v>54</v>
      </c>
      <c r="H644" t="s">
        <v>184</v>
      </c>
    </row>
    <row r="645" spans="1:8" x14ac:dyDescent="0.3">
      <c r="A645" t="s">
        <v>179</v>
      </c>
      <c r="B645">
        <v>27</v>
      </c>
      <c r="C645" t="s">
        <v>297</v>
      </c>
      <c r="D645" s="1">
        <v>0.83333333333333337</v>
      </c>
      <c r="E645" t="s">
        <v>30</v>
      </c>
      <c r="F645" t="s">
        <v>24</v>
      </c>
      <c r="G645" s="2">
        <v>46025</v>
      </c>
      <c r="H645" t="s">
        <v>185</v>
      </c>
    </row>
    <row r="646" spans="1:8" x14ac:dyDescent="0.3">
      <c r="A646" t="s">
        <v>179</v>
      </c>
      <c r="B646">
        <v>27</v>
      </c>
      <c r="C646" t="s">
        <v>297</v>
      </c>
      <c r="D646" s="1">
        <v>0.91666666666666663</v>
      </c>
      <c r="E646" t="s">
        <v>35</v>
      </c>
      <c r="F646" t="s">
        <v>15</v>
      </c>
      <c r="G646" s="2">
        <v>46054</v>
      </c>
      <c r="H646" t="s">
        <v>181</v>
      </c>
    </row>
    <row r="647" spans="1:8" x14ac:dyDescent="0.3">
      <c r="A647" t="s">
        <v>179</v>
      </c>
      <c r="B647">
        <v>27</v>
      </c>
      <c r="C647" t="s">
        <v>298</v>
      </c>
      <c r="D647" s="1">
        <v>0.5</v>
      </c>
      <c r="E647" t="s">
        <v>33</v>
      </c>
      <c r="F647" t="s">
        <v>34</v>
      </c>
      <c r="G647" t="s">
        <v>41</v>
      </c>
      <c r="H647" t="s">
        <v>73</v>
      </c>
    </row>
    <row r="648" spans="1:8" x14ac:dyDescent="0.3">
      <c r="A648" t="s">
        <v>179</v>
      </c>
      <c r="B648">
        <v>27</v>
      </c>
      <c r="C648" t="s">
        <v>298</v>
      </c>
      <c r="D648" s="1">
        <v>0.70833333333333337</v>
      </c>
      <c r="E648" t="s">
        <v>17</v>
      </c>
      <c r="F648" t="s">
        <v>193</v>
      </c>
      <c r="G648" t="s">
        <v>12</v>
      </c>
      <c r="H648" t="s">
        <v>206</v>
      </c>
    </row>
    <row r="649" spans="1:8" x14ac:dyDescent="0.3">
      <c r="A649" t="s">
        <v>179</v>
      </c>
      <c r="B649">
        <v>27</v>
      </c>
      <c r="C649" t="s">
        <v>298</v>
      </c>
      <c r="D649" s="1">
        <v>0.79166666666666663</v>
      </c>
      <c r="E649" t="s">
        <v>27</v>
      </c>
      <c r="F649" t="s">
        <v>31</v>
      </c>
      <c r="G649" t="s">
        <v>32</v>
      </c>
      <c r="H649" t="s">
        <v>198</v>
      </c>
    </row>
    <row r="650" spans="1:8" x14ac:dyDescent="0.3">
      <c r="A650" t="s">
        <v>179</v>
      </c>
      <c r="B650">
        <v>27</v>
      </c>
      <c r="C650" t="s">
        <v>298</v>
      </c>
      <c r="D650" s="1">
        <v>0.875</v>
      </c>
      <c r="E650" t="s">
        <v>25</v>
      </c>
      <c r="F650" t="s">
        <v>21</v>
      </c>
      <c r="G650" t="s">
        <v>12</v>
      </c>
      <c r="H650" t="s">
        <v>200</v>
      </c>
    </row>
    <row r="651" spans="1:8" x14ac:dyDescent="0.3">
      <c r="A651" t="s">
        <v>179</v>
      </c>
      <c r="B651">
        <v>27</v>
      </c>
      <c r="C651" t="s">
        <v>299</v>
      </c>
      <c r="D651" s="1">
        <v>0.86458333333333337</v>
      </c>
      <c r="E651" t="s">
        <v>11</v>
      </c>
      <c r="F651" t="s">
        <v>10</v>
      </c>
      <c r="G651" t="s">
        <v>42</v>
      </c>
      <c r="H651" t="s">
        <v>190</v>
      </c>
    </row>
    <row r="652" spans="1:8" x14ac:dyDescent="0.3">
      <c r="A652" t="s">
        <v>179</v>
      </c>
      <c r="B652">
        <v>28</v>
      </c>
      <c r="C652" t="s">
        <v>300</v>
      </c>
      <c r="D652" s="1">
        <v>0.86458333333333337</v>
      </c>
      <c r="E652" t="s">
        <v>31</v>
      </c>
      <c r="F652" t="s">
        <v>16</v>
      </c>
      <c r="G652" t="s">
        <v>53</v>
      </c>
      <c r="H652" t="s">
        <v>191</v>
      </c>
    </row>
    <row r="653" spans="1:8" x14ac:dyDescent="0.3">
      <c r="A653" t="s">
        <v>179</v>
      </c>
      <c r="B653">
        <v>28</v>
      </c>
      <c r="C653" t="s">
        <v>301</v>
      </c>
      <c r="D653" s="1">
        <v>0.66666666666666663</v>
      </c>
      <c r="E653" t="s">
        <v>28</v>
      </c>
      <c r="F653" t="s">
        <v>11</v>
      </c>
      <c r="G653" t="s">
        <v>12</v>
      </c>
      <c r="H653" t="s">
        <v>205</v>
      </c>
    </row>
    <row r="654" spans="1:8" x14ac:dyDescent="0.3">
      <c r="A654" t="s">
        <v>179</v>
      </c>
      <c r="B654">
        <v>28</v>
      </c>
      <c r="C654" t="s">
        <v>301</v>
      </c>
      <c r="D654" s="1">
        <v>0.75</v>
      </c>
      <c r="E654" t="s">
        <v>30</v>
      </c>
      <c r="F654" t="s">
        <v>17</v>
      </c>
      <c r="G654" t="s">
        <v>18</v>
      </c>
      <c r="H654" t="s">
        <v>197</v>
      </c>
    </row>
    <row r="655" spans="1:8" x14ac:dyDescent="0.3">
      <c r="A655" t="s">
        <v>179</v>
      </c>
      <c r="B655">
        <v>28</v>
      </c>
      <c r="C655" t="s">
        <v>301</v>
      </c>
      <c r="D655" s="1">
        <v>0.83333333333333337</v>
      </c>
      <c r="E655" t="s">
        <v>21</v>
      </c>
      <c r="F655" t="s">
        <v>35</v>
      </c>
      <c r="G655" t="s">
        <v>42</v>
      </c>
      <c r="H655" t="s">
        <v>201</v>
      </c>
    </row>
    <row r="656" spans="1:8" x14ac:dyDescent="0.3">
      <c r="A656" t="s">
        <v>179</v>
      </c>
      <c r="B656">
        <v>28</v>
      </c>
      <c r="C656" t="s">
        <v>301</v>
      </c>
      <c r="D656" s="1">
        <v>0.91666666666666663</v>
      </c>
      <c r="E656" t="s">
        <v>15</v>
      </c>
      <c r="F656" t="s">
        <v>33</v>
      </c>
      <c r="G656" s="2">
        <v>46024</v>
      </c>
      <c r="H656" t="s">
        <v>202</v>
      </c>
    </row>
    <row r="657" spans="1:8" x14ac:dyDescent="0.3">
      <c r="A657" t="s">
        <v>179</v>
      </c>
      <c r="B657">
        <v>28</v>
      </c>
      <c r="C657" t="s">
        <v>301</v>
      </c>
      <c r="D657" s="1">
        <v>0.91666666666666663</v>
      </c>
      <c r="E657" t="s">
        <v>24</v>
      </c>
      <c r="F657" t="s">
        <v>187</v>
      </c>
      <c r="G657" t="s">
        <v>41</v>
      </c>
      <c r="H657" t="s">
        <v>73</v>
      </c>
    </row>
    <row r="658" spans="1:8" x14ac:dyDescent="0.3">
      <c r="A658" t="s">
        <v>179</v>
      </c>
      <c r="B658">
        <v>28</v>
      </c>
      <c r="C658" t="s">
        <v>302</v>
      </c>
      <c r="D658" s="1">
        <v>0.5</v>
      </c>
      <c r="E658" t="s">
        <v>182</v>
      </c>
      <c r="F658" t="s">
        <v>36</v>
      </c>
      <c r="G658" t="s">
        <v>41</v>
      </c>
      <c r="H658" t="s">
        <v>189</v>
      </c>
    </row>
    <row r="659" spans="1:8" x14ac:dyDescent="0.3">
      <c r="A659" t="s">
        <v>179</v>
      </c>
      <c r="B659">
        <v>28</v>
      </c>
      <c r="C659" t="s">
        <v>302</v>
      </c>
      <c r="D659" s="1">
        <v>0.70833333333333337</v>
      </c>
      <c r="E659" t="s">
        <v>34</v>
      </c>
      <c r="F659" t="s">
        <v>27</v>
      </c>
      <c r="G659" t="s">
        <v>54</v>
      </c>
      <c r="H659" t="s">
        <v>185</v>
      </c>
    </row>
    <row r="660" spans="1:8" x14ac:dyDescent="0.3">
      <c r="A660" t="s">
        <v>179</v>
      </c>
      <c r="B660">
        <v>28</v>
      </c>
      <c r="C660" t="s">
        <v>302</v>
      </c>
      <c r="D660" s="1">
        <v>0.79166666666666663</v>
      </c>
      <c r="E660" t="s">
        <v>10</v>
      </c>
      <c r="F660" t="s">
        <v>193</v>
      </c>
      <c r="G660" s="2">
        <v>46025</v>
      </c>
      <c r="H660" t="s">
        <v>204</v>
      </c>
    </row>
    <row r="661" spans="1:8" x14ac:dyDescent="0.3">
      <c r="A661" t="s">
        <v>179</v>
      </c>
      <c r="B661">
        <v>28</v>
      </c>
      <c r="C661" t="s">
        <v>302</v>
      </c>
      <c r="D661" s="1">
        <v>0.875</v>
      </c>
      <c r="E661" t="s">
        <v>20</v>
      </c>
      <c r="F661" t="s">
        <v>25</v>
      </c>
      <c r="G661" s="2">
        <v>46024</v>
      </c>
      <c r="H661" t="s">
        <v>181</v>
      </c>
    </row>
    <row r="662" spans="1:8" x14ac:dyDescent="0.3">
      <c r="A662" t="s">
        <v>179</v>
      </c>
      <c r="B662">
        <v>29</v>
      </c>
      <c r="C662" t="s">
        <v>303</v>
      </c>
      <c r="D662" s="1">
        <v>0.86458333333333337</v>
      </c>
      <c r="E662" t="s">
        <v>187</v>
      </c>
      <c r="F662" t="s">
        <v>30</v>
      </c>
      <c r="G662" s="2">
        <v>46054</v>
      </c>
      <c r="H662" t="s">
        <v>207</v>
      </c>
    </row>
    <row r="663" spans="1:8" x14ac:dyDescent="0.3">
      <c r="A663" t="s">
        <v>179</v>
      </c>
      <c r="B663">
        <v>29</v>
      </c>
      <c r="C663" t="s">
        <v>304</v>
      </c>
      <c r="D663" s="1">
        <v>0.66666666666666663</v>
      </c>
      <c r="E663" t="s">
        <v>27</v>
      </c>
      <c r="F663" t="s">
        <v>15</v>
      </c>
      <c r="G663" t="s">
        <v>12</v>
      </c>
      <c r="H663" t="s">
        <v>188</v>
      </c>
    </row>
    <row r="664" spans="1:8" x14ac:dyDescent="0.3">
      <c r="A664" t="s">
        <v>179</v>
      </c>
      <c r="B664">
        <v>29</v>
      </c>
      <c r="C664" t="s">
        <v>304</v>
      </c>
      <c r="D664" s="1">
        <v>0.75</v>
      </c>
      <c r="E664" t="s">
        <v>193</v>
      </c>
      <c r="F664" t="s">
        <v>28</v>
      </c>
      <c r="G664" t="s">
        <v>54</v>
      </c>
      <c r="H664" t="s">
        <v>198</v>
      </c>
    </row>
    <row r="665" spans="1:8" x14ac:dyDescent="0.3">
      <c r="A665" t="s">
        <v>179</v>
      </c>
      <c r="B665">
        <v>29</v>
      </c>
      <c r="C665" t="s">
        <v>304</v>
      </c>
      <c r="D665" s="1">
        <v>0.83333333333333337</v>
      </c>
      <c r="E665" t="s">
        <v>33</v>
      </c>
      <c r="F665" t="s">
        <v>21</v>
      </c>
      <c r="G665" s="2">
        <v>46113</v>
      </c>
      <c r="H665" t="s">
        <v>206</v>
      </c>
    </row>
    <row r="666" spans="1:8" x14ac:dyDescent="0.3">
      <c r="A666" t="s">
        <v>179</v>
      </c>
      <c r="B666">
        <v>29</v>
      </c>
      <c r="C666" t="s">
        <v>304</v>
      </c>
      <c r="D666" s="1">
        <v>0.91666666666666663</v>
      </c>
      <c r="E666" t="s">
        <v>17</v>
      </c>
      <c r="F666" t="s">
        <v>10</v>
      </c>
      <c r="G666" s="2">
        <v>46023</v>
      </c>
      <c r="H666" t="s">
        <v>184</v>
      </c>
    </row>
    <row r="667" spans="1:8" x14ac:dyDescent="0.3">
      <c r="A667" t="s">
        <v>179</v>
      </c>
      <c r="B667">
        <v>29</v>
      </c>
      <c r="C667" t="s">
        <v>305</v>
      </c>
      <c r="D667" s="1">
        <v>0.5</v>
      </c>
      <c r="E667" t="s">
        <v>25</v>
      </c>
      <c r="F667" t="s">
        <v>24</v>
      </c>
      <c r="G667" s="2">
        <v>46031</v>
      </c>
      <c r="H667" t="s">
        <v>194</v>
      </c>
    </row>
    <row r="668" spans="1:8" x14ac:dyDescent="0.3">
      <c r="A668" t="s">
        <v>179</v>
      </c>
      <c r="B668">
        <v>29</v>
      </c>
      <c r="C668" t="s">
        <v>305</v>
      </c>
      <c r="D668" s="1">
        <v>0.70833333333333337</v>
      </c>
      <c r="E668" t="s">
        <v>16</v>
      </c>
      <c r="F668" t="s">
        <v>34</v>
      </c>
      <c r="G668" t="s">
        <v>41</v>
      </c>
      <c r="H668" t="s">
        <v>190</v>
      </c>
    </row>
    <row r="669" spans="1:8" x14ac:dyDescent="0.3">
      <c r="A669" t="s">
        <v>179</v>
      </c>
      <c r="B669">
        <v>29</v>
      </c>
      <c r="C669" t="s">
        <v>305</v>
      </c>
      <c r="D669" s="1">
        <v>0.79166666666666663</v>
      </c>
      <c r="E669" t="s">
        <v>11</v>
      </c>
      <c r="F669" t="s">
        <v>182</v>
      </c>
      <c r="G669" s="2">
        <v>46024</v>
      </c>
      <c r="H669" t="s">
        <v>195</v>
      </c>
    </row>
    <row r="670" spans="1:8" x14ac:dyDescent="0.3">
      <c r="A670" t="s">
        <v>179</v>
      </c>
      <c r="B670">
        <v>29</v>
      </c>
      <c r="C670" t="s">
        <v>305</v>
      </c>
      <c r="D670" s="1">
        <v>0.875</v>
      </c>
      <c r="E670" t="s">
        <v>35</v>
      </c>
      <c r="F670" t="s">
        <v>20</v>
      </c>
      <c r="G670" t="s">
        <v>42</v>
      </c>
      <c r="H670" t="s">
        <v>183</v>
      </c>
    </row>
    <row r="671" spans="1:8" x14ac:dyDescent="0.3">
      <c r="A671" t="s">
        <v>179</v>
      </c>
      <c r="B671">
        <v>29</v>
      </c>
      <c r="C671" t="s">
        <v>306</v>
      </c>
      <c r="D671" s="1">
        <v>0.83333333333333337</v>
      </c>
      <c r="E671" t="s">
        <v>36</v>
      </c>
      <c r="F671" t="s">
        <v>31</v>
      </c>
      <c r="G671" s="2">
        <v>46023</v>
      </c>
      <c r="H671" t="s">
        <v>200</v>
      </c>
    </row>
    <row r="672" spans="1:8" x14ac:dyDescent="0.3">
      <c r="A672" t="s">
        <v>179</v>
      </c>
      <c r="B672">
        <v>30</v>
      </c>
      <c r="C672" t="s">
        <v>307</v>
      </c>
      <c r="D672" s="1">
        <v>0.83333333333333337</v>
      </c>
      <c r="E672" t="s">
        <v>28</v>
      </c>
      <c r="F672" t="s">
        <v>10</v>
      </c>
      <c r="G672" t="s">
        <v>12</v>
      </c>
      <c r="H672" t="s">
        <v>73</v>
      </c>
    </row>
    <row r="673" spans="1:8" x14ac:dyDescent="0.3">
      <c r="A673" t="s">
        <v>179</v>
      </c>
      <c r="B673">
        <v>30</v>
      </c>
      <c r="C673" t="s">
        <v>307</v>
      </c>
      <c r="D673" s="1">
        <v>0.91666666666666663</v>
      </c>
      <c r="E673" t="s">
        <v>21</v>
      </c>
      <c r="F673" t="s">
        <v>27</v>
      </c>
      <c r="G673" s="2">
        <v>46054</v>
      </c>
      <c r="H673" t="s">
        <v>204</v>
      </c>
    </row>
    <row r="674" spans="1:8" x14ac:dyDescent="0.3">
      <c r="A674" t="s">
        <v>179</v>
      </c>
      <c r="B674">
        <v>30</v>
      </c>
      <c r="C674" t="s">
        <v>307</v>
      </c>
      <c r="D674" s="1">
        <v>0.91666666666666663</v>
      </c>
      <c r="E674" t="s">
        <v>187</v>
      </c>
      <c r="F674" t="s">
        <v>17</v>
      </c>
      <c r="G674" t="s">
        <v>18</v>
      </c>
      <c r="H674" t="s">
        <v>194</v>
      </c>
    </row>
    <row r="675" spans="1:8" x14ac:dyDescent="0.3">
      <c r="A675" t="s">
        <v>179</v>
      </c>
      <c r="B675">
        <v>30</v>
      </c>
      <c r="C675" t="s">
        <v>308</v>
      </c>
      <c r="D675" s="1">
        <v>0.83333333333333337</v>
      </c>
      <c r="E675" t="s">
        <v>20</v>
      </c>
      <c r="F675" t="s">
        <v>33</v>
      </c>
      <c r="G675" t="s">
        <v>88</v>
      </c>
      <c r="H675" t="s">
        <v>185</v>
      </c>
    </row>
    <row r="676" spans="1:8" x14ac:dyDescent="0.3">
      <c r="A676" t="s">
        <v>179</v>
      </c>
      <c r="B676">
        <v>30</v>
      </c>
      <c r="C676" t="s">
        <v>308</v>
      </c>
      <c r="D676" s="1">
        <v>0.83333333333333337</v>
      </c>
      <c r="E676" t="s">
        <v>182</v>
      </c>
      <c r="F676" t="s">
        <v>193</v>
      </c>
      <c r="G676" s="2">
        <v>46023</v>
      </c>
      <c r="H676" t="s">
        <v>202</v>
      </c>
    </row>
    <row r="677" spans="1:8" x14ac:dyDescent="0.3">
      <c r="A677" t="s">
        <v>179</v>
      </c>
      <c r="B677">
        <v>30</v>
      </c>
      <c r="C677" t="s">
        <v>308</v>
      </c>
      <c r="D677" s="1">
        <v>0.91666666666666663</v>
      </c>
      <c r="E677" t="s">
        <v>24</v>
      </c>
      <c r="F677" t="s">
        <v>35</v>
      </c>
      <c r="G677" s="2">
        <v>46023</v>
      </c>
      <c r="H677" t="s">
        <v>188</v>
      </c>
    </row>
    <row r="678" spans="1:8" x14ac:dyDescent="0.3">
      <c r="A678" t="s">
        <v>179</v>
      </c>
      <c r="B678">
        <v>30</v>
      </c>
      <c r="C678" t="s">
        <v>308</v>
      </c>
      <c r="D678" s="1">
        <v>0.91666666666666663</v>
      </c>
      <c r="E678" t="s">
        <v>30</v>
      </c>
      <c r="F678" t="s">
        <v>25</v>
      </c>
      <c r="G678" t="s">
        <v>54</v>
      </c>
      <c r="H678" t="s">
        <v>190</v>
      </c>
    </row>
    <row r="679" spans="1:8" x14ac:dyDescent="0.3">
      <c r="A679" t="s">
        <v>179</v>
      </c>
      <c r="B679">
        <v>30</v>
      </c>
      <c r="C679" t="s">
        <v>309</v>
      </c>
      <c r="D679" s="1">
        <v>0.83333333333333337</v>
      </c>
      <c r="E679" t="s">
        <v>15</v>
      </c>
      <c r="F679" t="s">
        <v>16</v>
      </c>
      <c r="G679" s="2">
        <v>46023</v>
      </c>
      <c r="H679" t="s">
        <v>189</v>
      </c>
    </row>
    <row r="680" spans="1:8" x14ac:dyDescent="0.3">
      <c r="A680" t="s">
        <v>179</v>
      </c>
      <c r="B680">
        <v>30</v>
      </c>
      <c r="C680" t="s">
        <v>309</v>
      </c>
      <c r="D680" s="1">
        <v>0.91666666666666663</v>
      </c>
      <c r="E680" t="s">
        <v>31</v>
      </c>
      <c r="F680" t="s">
        <v>11</v>
      </c>
      <c r="G680" t="s">
        <v>42</v>
      </c>
      <c r="H680" t="s">
        <v>206</v>
      </c>
    </row>
    <row r="681" spans="1:8" x14ac:dyDescent="0.3">
      <c r="A681" t="s">
        <v>179</v>
      </c>
      <c r="B681">
        <v>30</v>
      </c>
      <c r="C681" t="s">
        <v>309</v>
      </c>
      <c r="D681" s="1">
        <v>0.91666666666666663</v>
      </c>
      <c r="E681" t="s">
        <v>34</v>
      </c>
      <c r="F681" t="s">
        <v>36</v>
      </c>
      <c r="G681" t="s">
        <v>46</v>
      </c>
      <c r="H681" t="s">
        <v>184</v>
      </c>
    </row>
    <row r="682" spans="1:8" x14ac:dyDescent="0.3">
      <c r="A682" t="s">
        <v>179</v>
      </c>
      <c r="B682">
        <v>31</v>
      </c>
      <c r="C682" t="s">
        <v>310</v>
      </c>
      <c r="D682" s="1">
        <v>0.66666666666666663</v>
      </c>
      <c r="E682" t="s">
        <v>25</v>
      </c>
      <c r="F682" t="s">
        <v>187</v>
      </c>
      <c r="G682" t="s">
        <v>32</v>
      </c>
      <c r="H682" t="s">
        <v>185</v>
      </c>
    </row>
    <row r="683" spans="1:8" x14ac:dyDescent="0.3">
      <c r="A683" t="s">
        <v>179</v>
      </c>
      <c r="B683">
        <v>31</v>
      </c>
      <c r="C683" t="s">
        <v>310</v>
      </c>
      <c r="D683" s="1">
        <v>0.75</v>
      </c>
      <c r="E683" t="s">
        <v>17</v>
      </c>
      <c r="F683" t="s">
        <v>28</v>
      </c>
      <c r="G683" s="2">
        <v>46055</v>
      </c>
      <c r="H683" t="s">
        <v>181</v>
      </c>
    </row>
    <row r="684" spans="1:8" x14ac:dyDescent="0.3">
      <c r="A684" t="s">
        <v>179</v>
      </c>
      <c r="B684">
        <v>31</v>
      </c>
      <c r="C684" t="s">
        <v>310</v>
      </c>
      <c r="D684" s="1">
        <v>0.83333333333333337</v>
      </c>
      <c r="E684" t="s">
        <v>27</v>
      </c>
      <c r="F684" t="s">
        <v>20</v>
      </c>
      <c r="G684" s="2">
        <v>46055</v>
      </c>
      <c r="H684" t="s">
        <v>205</v>
      </c>
    </row>
    <row r="685" spans="1:8" x14ac:dyDescent="0.3">
      <c r="A685" t="s">
        <v>179</v>
      </c>
      <c r="B685">
        <v>31</v>
      </c>
      <c r="C685" t="s">
        <v>310</v>
      </c>
      <c r="D685" s="1">
        <v>0.91666666666666663</v>
      </c>
      <c r="E685" t="s">
        <v>33</v>
      </c>
      <c r="F685" t="s">
        <v>24</v>
      </c>
      <c r="G685" t="s">
        <v>32</v>
      </c>
      <c r="H685" t="s">
        <v>197</v>
      </c>
    </row>
    <row r="686" spans="1:8" x14ac:dyDescent="0.3">
      <c r="A686" t="s">
        <v>179</v>
      </c>
      <c r="B686">
        <v>31</v>
      </c>
      <c r="C686" t="s">
        <v>310</v>
      </c>
      <c r="D686" s="1">
        <v>0.91666666666666663</v>
      </c>
      <c r="E686" t="s">
        <v>35</v>
      </c>
      <c r="F686" t="s">
        <v>30</v>
      </c>
      <c r="G686" s="2">
        <v>46028</v>
      </c>
      <c r="H686" t="s">
        <v>195</v>
      </c>
    </row>
    <row r="687" spans="1:8" x14ac:dyDescent="0.3">
      <c r="A687" t="s">
        <v>179</v>
      </c>
      <c r="B687">
        <v>31</v>
      </c>
      <c r="C687" t="s">
        <v>311</v>
      </c>
      <c r="D687" s="1">
        <v>0.5</v>
      </c>
      <c r="E687" t="s">
        <v>11</v>
      </c>
      <c r="F687" t="s">
        <v>34</v>
      </c>
      <c r="G687" s="2">
        <v>46023</v>
      </c>
      <c r="H687" t="s">
        <v>201</v>
      </c>
    </row>
    <row r="688" spans="1:8" x14ac:dyDescent="0.3">
      <c r="A688" t="s">
        <v>179</v>
      </c>
      <c r="B688">
        <v>31</v>
      </c>
      <c r="C688" t="s">
        <v>311</v>
      </c>
      <c r="D688" s="1">
        <v>0.70833333333333337</v>
      </c>
      <c r="E688" t="s">
        <v>36</v>
      </c>
      <c r="F688" t="s">
        <v>15</v>
      </c>
      <c r="G688" t="s">
        <v>18</v>
      </c>
      <c r="H688" t="s">
        <v>191</v>
      </c>
    </row>
    <row r="689" spans="1:8" x14ac:dyDescent="0.3">
      <c r="A689" t="s">
        <v>179</v>
      </c>
      <c r="B689">
        <v>31</v>
      </c>
      <c r="C689" t="s">
        <v>311</v>
      </c>
      <c r="D689" s="1">
        <v>0.79166666666666663</v>
      </c>
      <c r="E689" t="s">
        <v>10</v>
      </c>
      <c r="F689" t="s">
        <v>182</v>
      </c>
      <c r="G689" s="2">
        <v>46055</v>
      </c>
      <c r="H689" t="s">
        <v>200</v>
      </c>
    </row>
    <row r="690" spans="1:8" x14ac:dyDescent="0.3">
      <c r="A690" t="s">
        <v>179</v>
      </c>
      <c r="B690">
        <v>31</v>
      </c>
      <c r="C690" t="s">
        <v>311</v>
      </c>
      <c r="D690" s="1">
        <v>0.875</v>
      </c>
      <c r="E690" t="s">
        <v>193</v>
      </c>
      <c r="F690" t="s">
        <v>31</v>
      </c>
      <c r="G690" t="s">
        <v>54</v>
      </c>
      <c r="H690" t="s">
        <v>183</v>
      </c>
    </row>
    <row r="691" spans="1:8" x14ac:dyDescent="0.3">
      <c r="A691" t="s">
        <v>179</v>
      </c>
      <c r="B691">
        <v>31</v>
      </c>
      <c r="C691" t="s">
        <v>312</v>
      </c>
      <c r="D691" s="1">
        <v>0.85416666666666663</v>
      </c>
      <c r="E691" t="s">
        <v>16</v>
      </c>
      <c r="F691" t="s">
        <v>21</v>
      </c>
      <c r="G691" t="s">
        <v>32</v>
      </c>
      <c r="H691" t="s">
        <v>207</v>
      </c>
    </row>
    <row r="692" spans="1:8" x14ac:dyDescent="0.3">
      <c r="A692" t="s">
        <v>179</v>
      </c>
      <c r="B692">
        <v>32</v>
      </c>
      <c r="C692" t="s">
        <v>313</v>
      </c>
      <c r="D692" s="1">
        <v>0.86458333333333337</v>
      </c>
      <c r="E692" t="s">
        <v>21</v>
      </c>
      <c r="F692" t="s">
        <v>36</v>
      </c>
      <c r="G692" s="2">
        <v>46055</v>
      </c>
      <c r="H692" t="s">
        <v>190</v>
      </c>
    </row>
    <row r="693" spans="1:8" x14ac:dyDescent="0.3">
      <c r="A693" t="s">
        <v>179</v>
      </c>
      <c r="B693">
        <v>32</v>
      </c>
      <c r="C693" t="s">
        <v>314</v>
      </c>
      <c r="D693" s="1">
        <v>0.66666666666666663</v>
      </c>
      <c r="E693" t="s">
        <v>20</v>
      </c>
      <c r="F693" t="s">
        <v>16</v>
      </c>
      <c r="G693" t="s">
        <v>12</v>
      </c>
      <c r="H693" t="s">
        <v>206</v>
      </c>
    </row>
    <row r="694" spans="1:8" x14ac:dyDescent="0.3">
      <c r="A694" t="s">
        <v>179</v>
      </c>
      <c r="B694">
        <v>32</v>
      </c>
      <c r="C694" t="s">
        <v>314</v>
      </c>
      <c r="D694" s="1">
        <v>0.75</v>
      </c>
      <c r="E694" t="s">
        <v>182</v>
      </c>
      <c r="F694" t="s">
        <v>28</v>
      </c>
      <c r="G694" s="2">
        <v>46054</v>
      </c>
      <c r="H694" t="s">
        <v>191</v>
      </c>
    </row>
    <row r="695" spans="1:8" x14ac:dyDescent="0.3">
      <c r="A695" t="s">
        <v>179</v>
      </c>
      <c r="B695">
        <v>32</v>
      </c>
      <c r="C695" t="s">
        <v>314</v>
      </c>
      <c r="D695" s="1">
        <v>0.83333333333333337</v>
      </c>
      <c r="E695" t="s">
        <v>25</v>
      </c>
      <c r="F695" t="s">
        <v>17</v>
      </c>
      <c r="G695" s="2">
        <v>46025</v>
      </c>
      <c r="H695" t="s">
        <v>183</v>
      </c>
    </row>
    <row r="696" spans="1:8" x14ac:dyDescent="0.3">
      <c r="A696" t="s">
        <v>179</v>
      </c>
      <c r="B696">
        <v>32</v>
      </c>
      <c r="C696" t="s">
        <v>314</v>
      </c>
      <c r="D696" s="1">
        <v>0.91666666666666663</v>
      </c>
      <c r="E696" t="s">
        <v>15</v>
      </c>
      <c r="F696" t="s">
        <v>11</v>
      </c>
      <c r="G696" t="s">
        <v>88</v>
      </c>
      <c r="H696" t="s">
        <v>181</v>
      </c>
    </row>
    <row r="697" spans="1:8" x14ac:dyDescent="0.3">
      <c r="A697" t="s">
        <v>179</v>
      </c>
      <c r="B697">
        <v>32</v>
      </c>
      <c r="C697" t="s">
        <v>315</v>
      </c>
      <c r="D697" s="1">
        <v>0.5</v>
      </c>
      <c r="E697" t="s">
        <v>30</v>
      </c>
      <c r="F697" t="s">
        <v>33</v>
      </c>
      <c r="G697" t="s">
        <v>12</v>
      </c>
      <c r="H697" t="s">
        <v>194</v>
      </c>
    </row>
    <row r="698" spans="1:8" x14ac:dyDescent="0.3">
      <c r="A698" t="s">
        <v>179</v>
      </c>
      <c r="B698">
        <v>32</v>
      </c>
      <c r="C698" t="s">
        <v>315</v>
      </c>
      <c r="D698" s="1">
        <v>0.70833333333333337</v>
      </c>
      <c r="E698" t="s">
        <v>24</v>
      </c>
      <c r="F698" t="s">
        <v>27</v>
      </c>
      <c r="G698" s="2">
        <v>46023</v>
      </c>
      <c r="H698" t="s">
        <v>198</v>
      </c>
    </row>
    <row r="699" spans="1:8" x14ac:dyDescent="0.3">
      <c r="A699" t="s">
        <v>179</v>
      </c>
      <c r="B699">
        <v>32</v>
      </c>
      <c r="C699" t="s">
        <v>315</v>
      </c>
      <c r="D699" s="1">
        <v>0.79166666666666663</v>
      </c>
      <c r="E699" t="s">
        <v>34</v>
      </c>
      <c r="F699" t="s">
        <v>193</v>
      </c>
      <c r="G699" t="s">
        <v>41</v>
      </c>
      <c r="H699" t="s">
        <v>207</v>
      </c>
    </row>
    <row r="700" spans="1:8" x14ac:dyDescent="0.3">
      <c r="A700" t="s">
        <v>179</v>
      </c>
      <c r="B700">
        <v>32</v>
      </c>
      <c r="C700" t="s">
        <v>315</v>
      </c>
      <c r="D700" s="1">
        <v>0.875</v>
      </c>
      <c r="E700" t="s">
        <v>187</v>
      </c>
      <c r="F700" t="s">
        <v>35</v>
      </c>
      <c r="G700" t="s">
        <v>42</v>
      </c>
      <c r="H700" t="s">
        <v>204</v>
      </c>
    </row>
    <row r="701" spans="1:8" x14ac:dyDescent="0.3">
      <c r="A701" t="s">
        <v>179</v>
      </c>
      <c r="B701">
        <v>32</v>
      </c>
      <c r="C701" t="s">
        <v>316</v>
      </c>
      <c r="D701" s="1">
        <v>0.86458333333333337</v>
      </c>
      <c r="E701" t="s">
        <v>31</v>
      </c>
      <c r="F701" t="s">
        <v>10</v>
      </c>
      <c r="G701" t="s">
        <v>18</v>
      </c>
      <c r="H701" t="s">
        <v>202</v>
      </c>
    </row>
    <row r="702" spans="1:8" x14ac:dyDescent="0.3">
      <c r="A702" t="s">
        <v>179</v>
      </c>
      <c r="B702">
        <v>33</v>
      </c>
      <c r="C702" t="s">
        <v>317</v>
      </c>
      <c r="D702" s="1">
        <v>0.86458333333333337</v>
      </c>
      <c r="E702" t="s">
        <v>193</v>
      </c>
      <c r="F702" t="s">
        <v>15</v>
      </c>
      <c r="G702" t="s">
        <v>42</v>
      </c>
      <c r="H702" t="s">
        <v>201</v>
      </c>
    </row>
    <row r="703" spans="1:8" x14ac:dyDescent="0.3">
      <c r="A703" t="s">
        <v>179</v>
      </c>
      <c r="B703">
        <v>33</v>
      </c>
      <c r="C703" t="s">
        <v>318</v>
      </c>
      <c r="D703" s="1">
        <v>0.66666666666666663</v>
      </c>
      <c r="E703" t="s">
        <v>36</v>
      </c>
      <c r="F703" t="s">
        <v>20</v>
      </c>
      <c r="G703" t="s">
        <v>54</v>
      </c>
      <c r="H703" t="s">
        <v>181</v>
      </c>
    </row>
    <row r="704" spans="1:8" x14ac:dyDescent="0.3">
      <c r="A704" t="s">
        <v>179</v>
      </c>
      <c r="B704">
        <v>33</v>
      </c>
      <c r="C704" t="s">
        <v>318</v>
      </c>
      <c r="D704" s="1">
        <v>0.75</v>
      </c>
      <c r="E704" t="s">
        <v>28</v>
      </c>
      <c r="F704" t="s">
        <v>31</v>
      </c>
      <c r="G704" t="s">
        <v>32</v>
      </c>
      <c r="H704" t="s">
        <v>195</v>
      </c>
    </row>
    <row r="705" spans="1:8" x14ac:dyDescent="0.3">
      <c r="A705" t="s">
        <v>179</v>
      </c>
      <c r="B705">
        <v>33</v>
      </c>
      <c r="C705" t="s">
        <v>318</v>
      </c>
      <c r="D705" s="1">
        <v>0.83333333333333337</v>
      </c>
      <c r="E705" t="s">
        <v>11</v>
      </c>
      <c r="F705" t="s">
        <v>21</v>
      </c>
      <c r="G705" t="s">
        <v>42</v>
      </c>
      <c r="H705" t="s">
        <v>188</v>
      </c>
    </row>
    <row r="706" spans="1:8" x14ac:dyDescent="0.3">
      <c r="A706" t="s">
        <v>179</v>
      </c>
      <c r="B706">
        <v>33</v>
      </c>
      <c r="C706" t="s">
        <v>318</v>
      </c>
      <c r="D706" s="1">
        <v>0.91666666666666663</v>
      </c>
      <c r="E706" t="s">
        <v>10</v>
      </c>
      <c r="F706" t="s">
        <v>34</v>
      </c>
      <c r="G706" t="s">
        <v>41</v>
      </c>
      <c r="H706" t="s">
        <v>194</v>
      </c>
    </row>
    <row r="707" spans="1:8" x14ac:dyDescent="0.3">
      <c r="A707" t="s">
        <v>179</v>
      </c>
      <c r="B707">
        <v>33</v>
      </c>
      <c r="C707" t="s">
        <v>319</v>
      </c>
      <c r="D707" s="1">
        <v>0.5</v>
      </c>
      <c r="E707" t="s">
        <v>17</v>
      </c>
      <c r="F707" t="s">
        <v>182</v>
      </c>
      <c r="G707" s="2">
        <v>46023</v>
      </c>
      <c r="H707" t="s">
        <v>198</v>
      </c>
    </row>
    <row r="708" spans="1:8" x14ac:dyDescent="0.3">
      <c r="A708" t="s">
        <v>179</v>
      </c>
      <c r="B708">
        <v>33</v>
      </c>
      <c r="C708" t="s">
        <v>319</v>
      </c>
      <c r="D708" s="1">
        <v>0.70833333333333337</v>
      </c>
      <c r="E708" t="s">
        <v>33</v>
      </c>
      <c r="F708" t="s">
        <v>187</v>
      </c>
      <c r="G708" t="s">
        <v>12</v>
      </c>
      <c r="H708" t="s">
        <v>184</v>
      </c>
    </row>
    <row r="709" spans="1:8" x14ac:dyDescent="0.3">
      <c r="A709" t="s">
        <v>179</v>
      </c>
      <c r="B709">
        <v>33</v>
      </c>
      <c r="C709" t="s">
        <v>319</v>
      </c>
      <c r="D709" s="1">
        <v>0.79166666666666663</v>
      </c>
      <c r="E709" t="s">
        <v>27</v>
      </c>
      <c r="F709" t="s">
        <v>30</v>
      </c>
      <c r="G709" t="s">
        <v>12</v>
      </c>
      <c r="H709" t="s">
        <v>197</v>
      </c>
    </row>
    <row r="710" spans="1:8" x14ac:dyDescent="0.3">
      <c r="A710" t="s">
        <v>179</v>
      </c>
      <c r="B710">
        <v>33</v>
      </c>
      <c r="C710" t="s">
        <v>319</v>
      </c>
      <c r="D710" s="1">
        <v>0.875</v>
      </c>
      <c r="E710" t="s">
        <v>35</v>
      </c>
      <c r="F710" t="s">
        <v>25</v>
      </c>
      <c r="G710" s="2">
        <v>46114</v>
      </c>
      <c r="H710" t="s">
        <v>200</v>
      </c>
    </row>
    <row r="711" spans="1:8" x14ac:dyDescent="0.3">
      <c r="A711" t="s">
        <v>179</v>
      </c>
      <c r="B711">
        <v>33</v>
      </c>
      <c r="C711" t="s">
        <v>320</v>
      </c>
      <c r="D711" s="1">
        <v>0.86458333333333337</v>
      </c>
      <c r="E711" t="s">
        <v>16</v>
      </c>
      <c r="F711" t="s">
        <v>24</v>
      </c>
      <c r="G711" t="s">
        <v>88</v>
      </c>
      <c r="H711" t="s">
        <v>73</v>
      </c>
    </row>
    <row r="712" spans="1:8" x14ac:dyDescent="0.3">
      <c r="A712" t="s">
        <v>179</v>
      </c>
      <c r="B712">
        <v>34</v>
      </c>
      <c r="C712" t="s">
        <v>321</v>
      </c>
      <c r="D712" s="1">
        <v>0.83333333333333337</v>
      </c>
      <c r="E712" t="s">
        <v>20</v>
      </c>
      <c r="F712" t="s">
        <v>11</v>
      </c>
      <c r="G712" t="s">
        <v>126</v>
      </c>
      <c r="H712" t="s">
        <v>191</v>
      </c>
    </row>
    <row r="713" spans="1:8" x14ac:dyDescent="0.3">
      <c r="A713" t="s">
        <v>179</v>
      </c>
      <c r="B713">
        <v>34</v>
      </c>
      <c r="C713" t="s">
        <v>321</v>
      </c>
      <c r="D713" s="1">
        <v>0.91666666666666663</v>
      </c>
      <c r="E713" t="s">
        <v>15</v>
      </c>
      <c r="F713" t="s">
        <v>10</v>
      </c>
      <c r="G713" s="2">
        <v>46023</v>
      </c>
      <c r="H713" t="s">
        <v>205</v>
      </c>
    </row>
    <row r="714" spans="1:8" x14ac:dyDescent="0.3">
      <c r="A714" t="s">
        <v>179</v>
      </c>
      <c r="B714">
        <v>34</v>
      </c>
      <c r="C714" t="s">
        <v>321</v>
      </c>
      <c r="D714" s="1">
        <v>0.91666666666666663</v>
      </c>
      <c r="E714" t="s">
        <v>21</v>
      </c>
      <c r="F714" t="s">
        <v>193</v>
      </c>
      <c r="G714" t="s">
        <v>18</v>
      </c>
      <c r="H714" t="s">
        <v>194</v>
      </c>
    </row>
    <row r="715" spans="1:8" x14ac:dyDescent="0.3">
      <c r="A715" t="s">
        <v>179</v>
      </c>
      <c r="B715">
        <v>34</v>
      </c>
      <c r="C715" t="s">
        <v>322</v>
      </c>
      <c r="D715" s="1">
        <v>0.83333333333333337</v>
      </c>
      <c r="E715" t="s">
        <v>35</v>
      </c>
      <c r="F715" t="s">
        <v>17</v>
      </c>
      <c r="G715" t="s">
        <v>18</v>
      </c>
      <c r="H715" t="s">
        <v>185</v>
      </c>
    </row>
    <row r="716" spans="1:8" x14ac:dyDescent="0.3">
      <c r="A716" t="s">
        <v>179</v>
      </c>
      <c r="B716">
        <v>34</v>
      </c>
      <c r="C716" t="s">
        <v>322</v>
      </c>
      <c r="D716" s="1">
        <v>0.83333333333333337</v>
      </c>
      <c r="E716" t="s">
        <v>25</v>
      </c>
      <c r="F716" t="s">
        <v>33</v>
      </c>
      <c r="G716" t="s">
        <v>32</v>
      </c>
      <c r="H716" t="s">
        <v>207</v>
      </c>
    </row>
    <row r="717" spans="1:8" x14ac:dyDescent="0.3">
      <c r="A717" t="s">
        <v>179</v>
      </c>
      <c r="B717">
        <v>34</v>
      </c>
      <c r="C717" t="s">
        <v>322</v>
      </c>
      <c r="D717" s="1">
        <v>0.83333333333333337</v>
      </c>
      <c r="E717" t="s">
        <v>187</v>
      </c>
      <c r="F717" t="s">
        <v>27</v>
      </c>
      <c r="G717" s="2">
        <v>46082</v>
      </c>
      <c r="H717" t="s">
        <v>202</v>
      </c>
    </row>
    <row r="718" spans="1:8" x14ac:dyDescent="0.3">
      <c r="A718" t="s">
        <v>179</v>
      </c>
      <c r="B718">
        <v>34</v>
      </c>
      <c r="C718" t="s">
        <v>322</v>
      </c>
      <c r="D718" s="1">
        <v>0.91666666666666663</v>
      </c>
      <c r="E718" t="s">
        <v>31</v>
      </c>
      <c r="F718" t="s">
        <v>182</v>
      </c>
      <c r="G718" t="s">
        <v>88</v>
      </c>
      <c r="H718" t="s">
        <v>188</v>
      </c>
    </row>
    <row r="719" spans="1:8" x14ac:dyDescent="0.3">
      <c r="A719" t="s">
        <v>179</v>
      </c>
      <c r="B719">
        <v>34</v>
      </c>
      <c r="C719" t="s">
        <v>322</v>
      </c>
      <c r="D719" s="1">
        <v>0.91666666666666663</v>
      </c>
      <c r="E719" t="s">
        <v>34</v>
      </c>
      <c r="F719" t="s">
        <v>28</v>
      </c>
      <c r="G719" t="s">
        <v>42</v>
      </c>
      <c r="H719" t="s">
        <v>206</v>
      </c>
    </row>
    <row r="720" spans="1:8" x14ac:dyDescent="0.3">
      <c r="A720" t="s">
        <v>179</v>
      </c>
      <c r="B720">
        <v>34</v>
      </c>
      <c r="C720" t="s">
        <v>323</v>
      </c>
      <c r="D720" s="1">
        <v>0.83333333333333337</v>
      </c>
      <c r="E720" t="s">
        <v>30</v>
      </c>
      <c r="F720" t="s">
        <v>16</v>
      </c>
      <c r="G720" s="2">
        <v>46023</v>
      </c>
      <c r="H720" t="s">
        <v>183</v>
      </c>
    </row>
    <row r="721" spans="1:8" x14ac:dyDescent="0.3">
      <c r="A721" t="s">
        <v>179</v>
      </c>
      <c r="B721">
        <v>34</v>
      </c>
      <c r="C721" t="s">
        <v>323</v>
      </c>
      <c r="D721" s="1">
        <v>0.91666666666666663</v>
      </c>
      <c r="E721" t="s">
        <v>24</v>
      </c>
      <c r="F721" t="s">
        <v>36</v>
      </c>
      <c r="G721" s="2">
        <v>46054</v>
      </c>
      <c r="H721" t="s">
        <v>204</v>
      </c>
    </row>
    <row r="722" spans="1:8" x14ac:dyDescent="0.3">
      <c r="A722" t="s">
        <v>179</v>
      </c>
      <c r="B722">
        <v>35</v>
      </c>
      <c r="C722" t="s">
        <v>324</v>
      </c>
      <c r="D722" s="1">
        <v>0.86458333333333337</v>
      </c>
      <c r="E722" t="s">
        <v>10</v>
      </c>
      <c r="F722" t="s">
        <v>21</v>
      </c>
      <c r="G722" t="s">
        <v>32</v>
      </c>
      <c r="H722" t="s">
        <v>184</v>
      </c>
    </row>
    <row r="723" spans="1:8" x14ac:dyDescent="0.3">
      <c r="A723" t="s">
        <v>179</v>
      </c>
      <c r="B723">
        <v>35</v>
      </c>
      <c r="C723" t="s">
        <v>325</v>
      </c>
      <c r="D723" s="1">
        <v>0.66666666666666663</v>
      </c>
      <c r="E723" t="s">
        <v>193</v>
      </c>
      <c r="F723" t="s">
        <v>20</v>
      </c>
      <c r="G723" t="s">
        <v>326</v>
      </c>
      <c r="H723" t="s">
        <v>195</v>
      </c>
    </row>
    <row r="724" spans="1:8" x14ac:dyDescent="0.3">
      <c r="A724" t="s">
        <v>179</v>
      </c>
      <c r="B724">
        <v>35</v>
      </c>
      <c r="C724" t="s">
        <v>325</v>
      </c>
      <c r="D724" s="1">
        <v>0.75</v>
      </c>
      <c r="E724" t="s">
        <v>28</v>
      </c>
      <c r="F724" t="s">
        <v>15</v>
      </c>
      <c r="G724" t="s">
        <v>41</v>
      </c>
      <c r="H724" t="s">
        <v>197</v>
      </c>
    </row>
    <row r="725" spans="1:8" x14ac:dyDescent="0.3">
      <c r="A725" t="s">
        <v>179</v>
      </c>
      <c r="B725">
        <v>35</v>
      </c>
      <c r="C725" t="s">
        <v>325</v>
      </c>
      <c r="D725" s="1">
        <v>0.83333333333333337</v>
      </c>
      <c r="E725" t="s">
        <v>27</v>
      </c>
      <c r="F725" t="s">
        <v>25</v>
      </c>
      <c r="G725" s="2">
        <v>46083</v>
      </c>
      <c r="H725" t="s">
        <v>206</v>
      </c>
    </row>
    <row r="726" spans="1:8" x14ac:dyDescent="0.3">
      <c r="A726" t="s">
        <v>179</v>
      </c>
      <c r="B726">
        <v>35</v>
      </c>
      <c r="C726" t="s">
        <v>325</v>
      </c>
      <c r="D726" s="1">
        <v>0.91666666666666663</v>
      </c>
      <c r="E726" t="s">
        <v>182</v>
      </c>
      <c r="F726" t="s">
        <v>34</v>
      </c>
      <c r="G726" s="2">
        <v>46023</v>
      </c>
      <c r="H726" t="s">
        <v>185</v>
      </c>
    </row>
    <row r="727" spans="1:8" x14ac:dyDescent="0.3">
      <c r="A727" t="s">
        <v>179</v>
      </c>
      <c r="B727">
        <v>35</v>
      </c>
      <c r="C727" t="s">
        <v>327</v>
      </c>
      <c r="D727" s="1">
        <v>0.5</v>
      </c>
      <c r="E727" t="s">
        <v>36</v>
      </c>
      <c r="F727" t="s">
        <v>30</v>
      </c>
      <c r="G727" s="2">
        <v>46023</v>
      </c>
      <c r="H727" t="s">
        <v>189</v>
      </c>
    </row>
    <row r="728" spans="1:8" x14ac:dyDescent="0.3">
      <c r="A728" t="s">
        <v>179</v>
      </c>
      <c r="B728">
        <v>35</v>
      </c>
      <c r="C728" t="s">
        <v>327</v>
      </c>
      <c r="D728" s="1">
        <v>0.70833333333333337</v>
      </c>
      <c r="E728" t="s">
        <v>11</v>
      </c>
      <c r="F728" t="s">
        <v>24</v>
      </c>
      <c r="G728" s="2">
        <v>46054</v>
      </c>
      <c r="H728" t="s">
        <v>202</v>
      </c>
    </row>
    <row r="729" spans="1:8" x14ac:dyDescent="0.3">
      <c r="A729" t="s">
        <v>179</v>
      </c>
      <c r="B729">
        <v>35</v>
      </c>
      <c r="C729" t="s">
        <v>327</v>
      </c>
      <c r="D729" s="1">
        <v>0.79166666666666663</v>
      </c>
      <c r="E729" t="s">
        <v>16</v>
      </c>
      <c r="F729" t="s">
        <v>187</v>
      </c>
      <c r="G729" s="2">
        <v>46025</v>
      </c>
      <c r="H729" t="s">
        <v>198</v>
      </c>
    </row>
    <row r="730" spans="1:8" x14ac:dyDescent="0.3">
      <c r="A730" t="s">
        <v>179</v>
      </c>
      <c r="B730">
        <v>35</v>
      </c>
      <c r="C730" t="s">
        <v>327</v>
      </c>
      <c r="D730" s="1">
        <v>0.875</v>
      </c>
      <c r="E730" t="s">
        <v>17</v>
      </c>
      <c r="F730" t="s">
        <v>31</v>
      </c>
      <c r="G730" s="2">
        <v>46054</v>
      </c>
      <c r="H730" t="s">
        <v>73</v>
      </c>
    </row>
    <row r="731" spans="1:8" x14ac:dyDescent="0.3">
      <c r="A731" t="s">
        <v>179</v>
      </c>
      <c r="B731">
        <v>35</v>
      </c>
      <c r="C731" t="s">
        <v>328</v>
      </c>
      <c r="D731" s="1">
        <v>0.86458333333333337</v>
      </c>
      <c r="E731" t="s">
        <v>33</v>
      </c>
      <c r="F731" t="s">
        <v>35</v>
      </c>
      <c r="G731" s="2">
        <v>46055</v>
      </c>
      <c r="H731" t="s">
        <v>201</v>
      </c>
    </row>
    <row r="732" spans="1:8" x14ac:dyDescent="0.3">
      <c r="A732" t="s">
        <v>179</v>
      </c>
      <c r="B732">
        <v>36</v>
      </c>
      <c r="C732" t="s">
        <v>329</v>
      </c>
      <c r="D732" s="1">
        <v>0.86458333333333337</v>
      </c>
      <c r="E732" t="s">
        <v>187</v>
      </c>
      <c r="F732" t="s">
        <v>36</v>
      </c>
      <c r="G732" t="s">
        <v>54</v>
      </c>
      <c r="H732" t="s">
        <v>201</v>
      </c>
    </row>
    <row r="733" spans="1:8" x14ac:dyDescent="0.3">
      <c r="A733" t="s">
        <v>179</v>
      </c>
      <c r="B733">
        <v>36</v>
      </c>
      <c r="C733" t="s">
        <v>330</v>
      </c>
      <c r="D733" s="1">
        <v>0.66666666666666663</v>
      </c>
      <c r="E733" t="s">
        <v>24</v>
      </c>
      <c r="F733" t="s">
        <v>193</v>
      </c>
      <c r="G733" t="s">
        <v>12</v>
      </c>
      <c r="H733" t="s">
        <v>189</v>
      </c>
    </row>
    <row r="734" spans="1:8" x14ac:dyDescent="0.3">
      <c r="A734" t="s">
        <v>179</v>
      </c>
      <c r="B734">
        <v>36</v>
      </c>
      <c r="C734" t="s">
        <v>330</v>
      </c>
      <c r="D734" s="1">
        <v>0.75</v>
      </c>
      <c r="E734" t="s">
        <v>20</v>
      </c>
      <c r="F734" t="s">
        <v>10</v>
      </c>
      <c r="G734" t="s">
        <v>12</v>
      </c>
      <c r="H734" t="s">
        <v>207</v>
      </c>
    </row>
    <row r="735" spans="1:8" x14ac:dyDescent="0.3">
      <c r="A735" t="s">
        <v>179</v>
      </c>
      <c r="B735">
        <v>36</v>
      </c>
      <c r="C735" t="s">
        <v>330</v>
      </c>
      <c r="D735" s="1">
        <v>0.83333333333333337</v>
      </c>
      <c r="E735" t="s">
        <v>25</v>
      </c>
      <c r="F735" t="s">
        <v>16</v>
      </c>
      <c r="G735" s="2">
        <v>46055</v>
      </c>
      <c r="H735" t="s">
        <v>195</v>
      </c>
    </row>
    <row r="736" spans="1:8" x14ac:dyDescent="0.3">
      <c r="A736" t="s">
        <v>179</v>
      </c>
      <c r="B736">
        <v>36</v>
      </c>
      <c r="C736" t="s">
        <v>330</v>
      </c>
      <c r="D736" s="1">
        <v>0.91666666666666663</v>
      </c>
      <c r="E736" t="s">
        <v>15</v>
      </c>
      <c r="F736" t="s">
        <v>182</v>
      </c>
      <c r="G736" s="2">
        <v>46023</v>
      </c>
      <c r="H736" t="s">
        <v>194</v>
      </c>
    </row>
    <row r="737" spans="1:8" x14ac:dyDescent="0.3">
      <c r="A737" t="s">
        <v>179</v>
      </c>
      <c r="B737">
        <v>36</v>
      </c>
      <c r="C737" t="s">
        <v>331</v>
      </c>
      <c r="D737" s="1">
        <v>0.5</v>
      </c>
      <c r="E737" t="s">
        <v>21</v>
      </c>
      <c r="F737" t="s">
        <v>28</v>
      </c>
      <c r="G737" s="2">
        <v>46055</v>
      </c>
      <c r="H737" t="s">
        <v>185</v>
      </c>
    </row>
    <row r="738" spans="1:8" x14ac:dyDescent="0.3">
      <c r="A738" t="s">
        <v>179</v>
      </c>
      <c r="B738">
        <v>36</v>
      </c>
      <c r="C738" t="s">
        <v>331</v>
      </c>
      <c r="D738" s="1">
        <v>0.70833333333333337</v>
      </c>
      <c r="E738" t="s">
        <v>34</v>
      </c>
      <c r="F738" t="s">
        <v>31</v>
      </c>
      <c r="G738" t="s">
        <v>18</v>
      </c>
      <c r="H738" t="s">
        <v>184</v>
      </c>
    </row>
    <row r="739" spans="1:8" x14ac:dyDescent="0.3">
      <c r="A739" t="s">
        <v>179</v>
      </c>
      <c r="B739">
        <v>36</v>
      </c>
      <c r="C739" t="s">
        <v>331</v>
      </c>
      <c r="D739" s="1">
        <v>0.79166666666666663</v>
      </c>
      <c r="E739" t="s">
        <v>33</v>
      </c>
      <c r="F739" t="s">
        <v>17</v>
      </c>
      <c r="G739" s="2">
        <v>46054</v>
      </c>
      <c r="H739" t="s">
        <v>202</v>
      </c>
    </row>
    <row r="740" spans="1:8" x14ac:dyDescent="0.3">
      <c r="A740" t="s">
        <v>179</v>
      </c>
      <c r="B740">
        <v>36</v>
      </c>
      <c r="C740" t="s">
        <v>331</v>
      </c>
      <c r="D740" s="1">
        <v>0.875</v>
      </c>
      <c r="E740" t="s">
        <v>35</v>
      </c>
      <c r="F740" t="s">
        <v>27</v>
      </c>
      <c r="G740" s="2">
        <v>46023</v>
      </c>
      <c r="H740" t="s">
        <v>204</v>
      </c>
    </row>
    <row r="741" spans="1:8" x14ac:dyDescent="0.3">
      <c r="A741" t="s">
        <v>179</v>
      </c>
      <c r="B741">
        <v>36</v>
      </c>
      <c r="C741" t="s">
        <v>332</v>
      </c>
      <c r="D741" s="1">
        <v>0.86458333333333337</v>
      </c>
      <c r="E741" t="s">
        <v>30</v>
      </c>
      <c r="F741" t="s">
        <v>11</v>
      </c>
      <c r="G741" t="s">
        <v>12</v>
      </c>
      <c r="H741" t="s">
        <v>200</v>
      </c>
    </row>
    <row r="742" spans="1:8" x14ac:dyDescent="0.3">
      <c r="A742" t="s">
        <v>179</v>
      </c>
      <c r="B742">
        <v>37</v>
      </c>
      <c r="C742" t="s">
        <v>333</v>
      </c>
      <c r="D742" s="1">
        <v>0.79166666666666663</v>
      </c>
      <c r="E742" t="s">
        <v>28</v>
      </c>
      <c r="F742" t="s">
        <v>20</v>
      </c>
      <c r="G742" t="s">
        <v>42</v>
      </c>
      <c r="H742" t="s">
        <v>73</v>
      </c>
    </row>
    <row r="743" spans="1:8" x14ac:dyDescent="0.3">
      <c r="A743" t="s">
        <v>179</v>
      </c>
      <c r="B743">
        <v>37</v>
      </c>
      <c r="C743" t="s">
        <v>333</v>
      </c>
      <c r="D743" s="1">
        <v>0.79166666666666663</v>
      </c>
      <c r="E743" t="s">
        <v>31</v>
      </c>
      <c r="F743" t="s">
        <v>15</v>
      </c>
      <c r="G743" s="2">
        <v>46083</v>
      </c>
      <c r="H743" t="s">
        <v>185</v>
      </c>
    </row>
    <row r="744" spans="1:8" x14ac:dyDescent="0.3">
      <c r="A744" t="s">
        <v>179</v>
      </c>
      <c r="B744">
        <v>37</v>
      </c>
      <c r="C744" t="s">
        <v>333</v>
      </c>
      <c r="D744" s="1">
        <v>0.79166666666666663</v>
      </c>
      <c r="E744" t="s">
        <v>36</v>
      </c>
      <c r="F744" t="s">
        <v>25</v>
      </c>
      <c r="G744" s="2">
        <v>46113</v>
      </c>
      <c r="H744" t="s">
        <v>205</v>
      </c>
    </row>
    <row r="745" spans="1:8" x14ac:dyDescent="0.3">
      <c r="A745" t="s">
        <v>179</v>
      </c>
      <c r="B745">
        <v>37</v>
      </c>
      <c r="C745" t="s">
        <v>333</v>
      </c>
      <c r="D745" s="1">
        <v>0.79166666666666663</v>
      </c>
      <c r="E745" t="s">
        <v>11</v>
      </c>
      <c r="F745" t="s">
        <v>187</v>
      </c>
      <c r="G745" s="2">
        <v>46023</v>
      </c>
      <c r="H745" t="s">
        <v>195</v>
      </c>
    </row>
    <row r="746" spans="1:8" x14ac:dyDescent="0.3">
      <c r="A746" t="s">
        <v>179</v>
      </c>
      <c r="B746">
        <v>37</v>
      </c>
      <c r="C746" t="s">
        <v>333</v>
      </c>
      <c r="D746" s="1">
        <v>0.79166666666666663</v>
      </c>
      <c r="E746" t="s">
        <v>10</v>
      </c>
      <c r="F746" t="s">
        <v>24</v>
      </c>
      <c r="G746" t="s">
        <v>46</v>
      </c>
      <c r="H746" t="s">
        <v>198</v>
      </c>
    </row>
    <row r="747" spans="1:8" x14ac:dyDescent="0.3">
      <c r="A747" t="s">
        <v>179</v>
      </c>
      <c r="B747">
        <v>37</v>
      </c>
      <c r="C747" t="s">
        <v>333</v>
      </c>
      <c r="D747" s="1">
        <v>0.79166666666666663</v>
      </c>
      <c r="E747" t="s">
        <v>27</v>
      </c>
      <c r="F747" t="s">
        <v>33</v>
      </c>
      <c r="G747" s="2">
        <v>46024</v>
      </c>
      <c r="H747" t="s">
        <v>183</v>
      </c>
    </row>
    <row r="748" spans="1:8" x14ac:dyDescent="0.3">
      <c r="A748" t="s">
        <v>179</v>
      </c>
      <c r="B748">
        <v>37</v>
      </c>
      <c r="C748" t="s">
        <v>333</v>
      </c>
      <c r="D748" s="1">
        <v>0.79166666666666663</v>
      </c>
      <c r="E748" t="s">
        <v>16</v>
      </c>
      <c r="F748" t="s">
        <v>35</v>
      </c>
      <c r="G748" s="2">
        <v>46023</v>
      </c>
      <c r="H748" t="s">
        <v>194</v>
      </c>
    </row>
    <row r="749" spans="1:8" x14ac:dyDescent="0.3">
      <c r="A749" t="s">
        <v>179</v>
      </c>
      <c r="B749">
        <v>37</v>
      </c>
      <c r="C749" t="s">
        <v>333</v>
      </c>
      <c r="D749" s="1">
        <v>0.79166666666666663</v>
      </c>
      <c r="E749" t="s">
        <v>34</v>
      </c>
      <c r="F749" t="s">
        <v>17</v>
      </c>
      <c r="G749" s="2">
        <v>46024</v>
      </c>
      <c r="H749" t="s">
        <v>204</v>
      </c>
    </row>
    <row r="750" spans="1:8" x14ac:dyDescent="0.3">
      <c r="A750" t="s">
        <v>179</v>
      </c>
      <c r="B750">
        <v>37</v>
      </c>
      <c r="C750" t="s">
        <v>333</v>
      </c>
      <c r="D750" s="1">
        <v>0.79166666666666663</v>
      </c>
      <c r="E750" t="s">
        <v>193</v>
      </c>
      <c r="F750" t="s">
        <v>30</v>
      </c>
      <c r="G750" s="2">
        <v>46054</v>
      </c>
      <c r="H750" t="s">
        <v>181</v>
      </c>
    </row>
    <row r="751" spans="1:8" x14ac:dyDescent="0.3">
      <c r="A751" t="s">
        <v>179</v>
      </c>
      <c r="B751">
        <v>37</v>
      </c>
      <c r="C751" t="s">
        <v>333</v>
      </c>
      <c r="D751" s="1">
        <v>0.79166666666666663</v>
      </c>
      <c r="E751" t="s">
        <v>182</v>
      </c>
      <c r="F751" t="s">
        <v>21</v>
      </c>
      <c r="G751" t="s">
        <v>12</v>
      </c>
      <c r="H751" t="s">
        <v>206</v>
      </c>
    </row>
    <row r="752" spans="1:8" x14ac:dyDescent="0.3">
      <c r="A752" t="s">
        <v>179</v>
      </c>
      <c r="B752">
        <v>38</v>
      </c>
      <c r="C752" t="s">
        <v>334</v>
      </c>
      <c r="D752" s="1">
        <v>0.6875</v>
      </c>
      <c r="E752" t="s">
        <v>21</v>
      </c>
      <c r="F752" t="s">
        <v>31</v>
      </c>
      <c r="G752" t="s">
        <v>41</v>
      </c>
      <c r="H752" t="s">
        <v>190</v>
      </c>
    </row>
    <row r="753" spans="1:8" x14ac:dyDescent="0.3">
      <c r="A753" t="s">
        <v>179</v>
      </c>
      <c r="B753">
        <v>38</v>
      </c>
      <c r="C753" t="s">
        <v>334</v>
      </c>
      <c r="D753" s="1">
        <v>0.77083333333333337</v>
      </c>
      <c r="E753" t="s">
        <v>33</v>
      </c>
      <c r="F753" t="s">
        <v>16</v>
      </c>
      <c r="G753" s="2">
        <v>46083</v>
      </c>
      <c r="H753" t="s">
        <v>185</v>
      </c>
    </row>
    <row r="754" spans="1:8" x14ac:dyDescent="0.3">
      <c r="A754" t="s">
        <v>179</v>
      </c>
      <c r="B754">
        <v>38</v>
      </c>
      <c r="C754" t="s">
        <v>334</v>
      </c>
      <c r="D754" s="1">
        <v>0.77083333333333337</v>
      </c>
      <c r="E754" t="s">
        <v>15</v>
      </c>
      <c r="F754" t="s">
        <v>34</v>
      </c>
      <c r="G754" t="s">
        <v>88</v>
      </c>
      <c r="H754" t="s">
        <v>202</v>
      </c>
    </row>
    <row r="755" spans="1:8" x14ac:dyDescent="0.3">
      <c r="A755" t="s">
        <v>179</v>
      </c>
      <c r="B755">
        <v>38</v>
      </c>
      <c r="C755" t="s">
        <v>334</v>
      </c>
      <c r="D755" s="1">
        <v>0.77083333333333337</v>
      </c>
      <c r="E755" t="s">
        <v>20</v>
      </c>
      <c r="F755" t="s">
        <v>182</v>
      </c>
      <c r="G755" s="2">
        <v>46055</v>
      </c>
      <c r="H755" t="s">
        <v>195</v>
      </c>
    </row>
    <row r="756" spans="1:8" x14ac:dyDescent="0.3">
      <c r="A756" t="s">
        <v>179</v>
      </c>
      <c r="B756">
        <v>38</v>
      </c>
      <c r="C756" t="s">
        <v>334</v>
      </c>
      <c r="D756" s="1">
        <v>0.77083333333333337</v>
      </c>
      <c r="E756" t="s">
        <v>35</v>
      </c>
      <c r="F756" t="s">
        <v>36</v>
      </c>
      <c r="G756" s="2">
        <v>46056</v>
      </c>
      <c r="H756" t="s">
        <v>184</v>
      </c>
    </row>
    <row r="757" spans="1:8" x14ac:dyDescent="0.3">
      <c r="A757" t="s">
        <v>179</v>
      </c>
      <c r="B757">
        <v>38</v>
      </c>
      <c r="C757" t="s">
        <v>334</v>
      </c>
      <c r="D757" s="1">
        <v>0.77083333333333337</v>
      </c>
      <c r="E757" t="s">
        <v>24</v>
      </c>
      <c r="F757" t="s">
        <v>28</v>
      </c>
      <c r="G757" t="s">
        <v>41</v>
      </c>
      <c r="H757" t="s">
        <v>206</v>
      </c>
    </row>
    <row r="758" spans="1:8" x14ac:dyDescent="0.3">
      <c r="A758" t="s">
        <v>179</v>
      </c>
      <c r="B758">
        <v>38</v>
      </c>
      <c r="C758" t="s">
        <v>334</v>
      </c>
      <c r="D758" s="1">
        <v>0.77083333333333337</v>
      </c>
      <c r="E758" t="s">
        <v>17</v>
      </c>
      <c r="F758" t="s">
        <v>27</v>
      </c>
      <c r="G758" s="2">
        <v>46055</v>
      </c>
      <c r="H758" t="s">
        <v>207</v>
      </c>
    </row>
    <row r="759" spans="1:8" x14ac:dyDescent="0.3">
      <c r="A759" t="s">
        <v>179</v>
      </c>
      <c r="B759">
        <v>38</v>
      </c>
      <c r="C759" t="s">
        <v>334</v>
      </c>
      <c r="D759" s="1">
        <v>0.77083333333333337</v>
      </c>
      <c r="E759" t="s">
        <v>30</v>
      </c>
      <c r="F759" t="s">
        <v>10</v>
      </c>
      <c r="G759" s="2">
        <v>46114</v>
      </c>
      <c r="H759" t="s">
        <v>189</v>
      </c>
    </row>
    <row r="760" spans="1:8" x14ac:dyDescent="0.3">
      <c r="A760" t="s">
        <v>179</v>
      </c>
      <c r="B760">
        <v>38</v>
      </c>
      <c r="C760" t="s">
        <v>334</v>
      </c>
      <c r="D760" s="1">
        <v>0.77083333333333337</v>
      </c>
      <c r="E760" t="s">
        <v>187</v>
      </c>
      <c r="F760" t="s">
        <v>193</v>
      </c>
      <c r="G760" t="s">
        <v>32</v>
      </c>
      <c r="H760" t="s">
        <v>188</v>
      </c>
    </row>
    <row r="761" spans="1:8" x14ac:dyDescent="0.3">
      <c r="A761" t="s">
        <v>179</v>
      </c>
      <c r="B761">
        <v>38</v>
      </c>
      <c r="C761" t="s">
        <v>334</v>
      </c>
      <c r="D761" s="1">
        <v>0.85416666666666663</v>
      </c>
      <c r="E761" t="s">
        <v>25</v>
      </c>
      <c r="F761" t="s">
        <v>11</v>
      </c>
      <c r="G761" s="2">
        <v>46088</v>
      </c>
      <c r="H761" t="s">
        <v>201</v>
      </c>
    </row>
    <row r="762" spans="1:8" x14ac:dyDescent="0.3">
      <c r="A762" t="s">
        <v>335</v>
      </c>
      <c r="B762">
        <v>1</v>
      </c>
      <c r="C762" t="s">
        <v>336</v>
      </c>
      <c r="D762" s="1">
        <v>0.85416666666666663</v>
      </c>
      <c r="E762" t="s">
        <v>17</v>
      </c>
      <c r="F762" t="s">
        <v>27</v>
      </c>
      <c r="G762" t="s">
        <v>41</v>
      </c>
      <c r="H762" t="s">
        <v>188</v>
      </c>
    </row>
    <row r="763" spans="1:8" x14ac:dyDescent="0.3">
      <c r="A763" t="s">
        <v>335</v>
      </c>
      <c r="B763">
        <v>1</v>
      </c>
      <c r="C763" t="s">
        <v>337</v>
      </c>
      <c r="D763" s="1">
        <v>0.77083333333333337</v>
      </c>
      <c r="E763" t="s">
        <v>36</v>
      </c>
      <c r="F763" t="s">
        <v>11</v>
      </c>
      <c r="G763" t="s">
        <v>18</v>
      </c>
      <c r="H763" t="s">
        <v>194</v>
      </c>
    </row>
    <row r="764" spans="1:8" x14ac:dyDescent="0.3">
      <c r="A764" t="s">
        <v>335</v>
      </c>
      <c r="B764">
        <v>1</v>
      </c>
      <c r="C764" t="s">
        <v>337</v>
      </c>
      <c r="D764" s="1">
        <v>0.77083333333333337</v>
      </c>
      <c r="E764" t="s">
        <v>182</v>
      </c>
      <c r="F764" t="s">
        <v>10</v>
      </c>
      <c r="G764" t="s">
        <v>41</v>
      </c>
      <c r="H764" t="s">
        <v>181</v>
      </c>
    </row>
    <row r="765" spans="1:8" x14ac:dyDescent="0.3">
      <c r="A765" t="s">
        <v>335</v>
      </c>
      <c r="B765">
        <v>1</v>
      </c>
      <c r="C765" t="s">
        <v>337</v>
      </c>
      <c r="D765" s="1">
        <v>0.85416666666666663</v>
      </c>
      <c r="E765" t="s">
        <v>28</v>
      </c>
      <c r="F765" t="s">
        <v>338</v>
      </c>
      <c r="G765" t="s">
        <v>18</v>
      </c>
      <c r="H765" t="s">
        <v>202</v>
      </c>
    </row>
    <row r="766" spans="1:8" x14ac:dyDescent="0.3">
      <c r="A766" t="s">
        <v>335</v>
      </c>
      <c r="B766">
        <v>1</v>
      </c>
      <c r="C766" t="s">
        <v>337</v>
      </c>
      <c r="D766" s="1">
        <v>0.9375</v>
      </c>
      <c r="E766" t="s">
        <v>30</v>
      </c>
      <c r="F766" t="s">
        <v>16</v>
      </c>
      <c r="G766" t="s">
        <v>41</v>
      </c>
      <c r="H766" t="s">
        <v>73</v>
      </c>
    </row>
    <row r="767" spans="1:8" x14ac:dyDescent="0.3">
      <c r="A767" t="s">
        <v>335</v>
      </c>
      <c r="B767">
        <v>1</v>
      </c>
      <c r="C767" t="s">
        <v>339</v>
      </c>
      <c r="D767" s="1">
        <v>0.77083333333333337</v>
      </c>
      <c r="E767" t="s">
        <v>15</v>
      </c>
      <c r="F767" t="s">
        <v>20</v>
      </c>
      <c r="G767" t="s">
        <v>42</v>
      </c>
      <c r="H767" t="s">
        <v>184</v>
      </c>
    </row>
    <row r="768" spans="1:8" x14ac:dyDescent="0.3">
      <c r="A768" t="s">
        <v>335</v>
      </c>
      <c r="B768">
        <v>1</v>
      </c>
      <c r="C768" t="s">
        <v>339</v>
      </c>
      <c r="D768" s="1">
        <v>0.85416666666666663</v>
      </c>
      <c r="E768" t="s">
        <v>340</v>
      </c>
      <c r="F768" t="s">
        <v>25</v>
      </c>
      <c r="G768" t="s">
        <v>41</v>
      </c>
      <c r="H768" t="s">
        <v>198</v>
      </c>
    </row>
    <row r="769" spans="1:8" x14ac:dyDescent="0.3">
      <c r="A769" t="s">
        <v>335</v>
      </c>
      <c r="B769">
        <v>1</v>
      </c>
      <c r="C769" t="s">
        <v>339</v>
      </c>
      <c r="D769" s="1">
        <v>0.91666666666666663</v>
      </c>
      <c r="E769" t="s">
        <v>21</v>
      </c>
      <c r="F769" t="s">
        <v>35</v>
      </c>
      <c r="G769" s="2">
        <v>46054</v>
      </c>
      <c r="H769" t="s">
        <v>341</v>
      </c>
    </row>
    <row r="770" spans="1:8" x14ac:dyDescent="0.3">
      <c r="A770" t="s">
        <v>335</v>
      </c>
      <c r="B770">
        <v>1</v>
      </c>
      <c r="C770" t="s">
        <v>339</v>
      </c>
      <c r="D770" s="1">
        <v>0.9375</v>
      </c>
      <c r="E770" t="s">
        <v>26</v>
      </c>
      <c r="F770" t="s">
        <v>34</v>
      </c>
      <c r="G770" s="2">
        <v>46023</v>
      </c>
      <c r="H770" t="s">
        <v>183</v>
      </c>
    </row>
    <row r="771" spans="1:8" x14ac:dyDescent="0.3">
      <c r="A771" t="s">
        <v>335</v>
      </c>
      <c r="B771">
        <v>1</v>
      </c>
      <c r="C771" t="s">
        <v>342</v>
      </c>
      <c r="D771" s="1">
        <v>0.85416666666666663</v>
      </c>
      <c r="E771" t="s">
        <v>24</v>
      </c>
      <c r="F771" t="s">
        <v>187</v>
      </c>
      <c r="G771" s="2">
        <v>46082</v>
      </c>
      <c r="H771" t="s">
        <v>207</v>
      </c>
    </row>
    <row r="772" spans="1:8" x14ac:dyDescent="0.3">
      <c r="A772" t="s">
        <v>335</v>
      </c>
      <c r="B772">
        <v>2</v>
      </c>
      <c r="C772" t="s">
        <v>343</v>
      </c>
      <c r="D772" s="1">
        <v>0.85416666666666663</v>
      </c>
      <c r="E772" t="s">
        <v>34</v>
      </c>
      <c r="F772" t="s">
        <v>36</v>
      </c>
      <c r="G772" s="2">
        <v>46025</v>
      </c>
      <c r="H772" t="s">
        <v>204</v>
      </c>
    </row>
    <row r="773" spans="1:8" x14ac:dyDescent="0.3">
      <c r="A773" t="s">
        <v>335</v>
      </c>
      <c r="B773">
        <v>2</v>
      </c>
      <c r="C773" t="s">
        <v>344</v>
      </c>
      <c r="D773" s="1">
        <v>0.77083333333333337</v>
      </c>
      <c r="E773" t="s">
        <v>10</v>
      </c>
      <c r="F773" t="s">
        <v>340</v>
      </c>
      <c r="G773" t="s">
        <v>41</v>
      </c>
      <c r="H773" t="s">
        <v>345</v>
      </c>
    </row>
    <row r="774" spans="1:8" x14ac:dyDescent="0.3">
      <c r="A774" t="s">
        <v>335</v>
      </c>
      <c r="B774">
        <v>2</v>
      </c>
      <c r="C774" t="s">
        <v>344</v>
      </c>
      <c r="D774" s="1">
        <v>0.85416666666666663</v>
      </c>
      <c r="E774" t="s">
        <v>20</v>
      </c>
      <c r="F774" t="s">
        <v>17</v>
      </c>
      <c r="G774" t="s">
        <v>18</v>
      </c>
      <c r="H774" t="s">
        <v>197</v>
      </c>
    </row>
    <row r="775" spans="1:8" x14ac:dyDescent="0.3">
      <c r="A775" t="s">
        <v>335</v>
      </c>
      <c r="B775">
        <v>2</v>
      </c>
      <c r="C775" t="s">
        <v>344</v>
      </c>
      <c r="D775" s="1">
        <v>0.91666666666666663</v>
      </c>
      <c r="E775" t="s">
        <v>35</v>
      </c>
      <c r="F775" t="s">
        <v>30</v>
      </c>
      <c r="G775" t="s">
        <v>32</v>
      </c>
      <c r="H775" t="s">
        <v>205</v>
      </c>
    </row>
    <row r="776" spans="1:8" x14ac:dyDescent="0.3">
      <c r="A776" t="s">
        <v>335</v>
      </c>
      <c r="B776">
        <v>2</v>
      </c>
      <c r="C776" t="s">
        <v>344</v>
      </c>
      <c r="D776" s="1">
        <v>0.9375</v>
      </c>
      <c r="E776" t="s">
        <v>25</v>
      </c>
      <c r="F776" t="s">
        <v>26</v>
      </c>
      <c r="G776" t="s">
        <v>40</v>
      </c>
      <c r="H776" t="s">
        <v>185</v>
      </c>
    </row>
    <row r="777" spans="1:8" x14ac:dyDescent="0.3">
      <c r="A777" t="s">
        <v>335</v>
      </c>
      <c r="B777">
        <v>2</v>
      </c>
      <c r="C777" t="s">
        <v>346</v>
      </c>
      <c r="D777" s="1">
        <v>0.77083333333333337</v>
      </c>
      <c r="E777" t="s">
        <v>187</v>
      </c>
      <c r="F777" t="s">
        <v>15</v>
      </c>
      <c r="G777" t="s">
        <v>12</v>
      </c>
      <c r="H777" t="s">
        <v>191</v>
      </c>
    </row>
    <row r="778" spans="1:8" x14ac:dyDescent="0.3">
      <c r="A778" t="s">
        <v>335</v>
      </c>
      <c r="B778">
        <v>2</v>
      </c>
      <c r="C778" t="s">
        <v>346</v>
      </c>
      <c r="D778" s="1">
        <v>0.85416666666666663</v>
      </c>
      <c r="E778" t="s">
        <v>27</v>
      </c>
      <c r="F778" t="s">
        <v>28</v>
      </c>
      <c r="G778" t="s">
        <v>46</v>
      </c>
      <c r="H778" t="s">
        <v>195</v>
      </c>
    </row>
    <row r="779" spans="1:8" x14ac:dyDescent="0.3">
      <c r="A779" t="s">
        <v>335</v>
      </c>
      <c r="B779">
        <v>2</v>
      </c>
      <c r="C779" t="s">
        <v>346</v>
      </c>
      <c r="D779" s="1">
        <v>0.85416666666666663</v>
      </c>
      <c r="E779" t="s">
        <v>16</v>
      </c>
      <c r="F779" t="s">
        <v>182</v>
      </c>
      <c r="G779" s="2">
        <v>46023</v>
      </c>
      <c r="H779" t="s">
        <v>206</v>
      </c>
    </row>
    <row r="780" spans="1:8" x14ac:dyDescent="0.3">
      <c r="A780" t="s">
        <v>335</v>
      </c>
      <c r="B780">
        <v>2</v>
      </c>
      <c r="C780" t="s">
        <v>346</v>
      </c>
      <c r="D780" s="1">
        <v>0.9375</v>
      </c>
      <c r="E780" t="s">
        <v>11</v>
      </c>
      <c r="F780" t="s">
        <v>24</v>
      </c>
      <c r="G780" s="2">
        <v>46054</v>
      </c>
      <c r="H780" t="s">
        <v>202</v>
      </c>
    </row>
    <row r="781" spans="1:8" x14ac:dyDescent="0.3">
      <c r="A781" t="s">
        <v>335</v>
      </c>
      <c r="B781">
        <v>2</v>
      </c>
      <c r="C781" t="s">
        <v>346</v>
      </c>
      <c r="D781" s="1">
        <v>0.9375</v>
      </c>
      <c r="E781" t="s">
        <v>338</v>
      </c>
      <c r="F781" t="s">
        <v>21</v>
      </c>
      <c r="G781" t="s">
        <v>41</v>
      </c>
      <c r="H781" t="s">
        <v>200</v>
      </c>
    </row>
    <row r="782" spans="1:8" x14ac:dyDescent="0.3">
      <c r="A782" t="s">
        <v>335</v>
      </c>
      <c r="B782">
        <v>3</v>
      </c>
      <c r="C782" t="s">
        <v>347</v>
      </c>
      <c r="D782" s="1">
        <v>0.85416666666666663</v>
      </c>
      <c r="E782" t="s">
        <v>21</v>
      </c>
      <c r="F782" t="s">
        <v>27</v>
      </c>
      <c r="G782" s="2">
        <v>46023</v>
      </c>
      <c r="H782" t="s">
        <v>207</v>
      </c>
    </row>
    <row r="783" spans="1:8" x14ac:dyDescent="0.3">
      <c r="A783" t="s">
        <v>335</v>
      </c>
      <c r="B783">
        <v>3</v>
      </c>
      <c r="C783" t="s">
        <v>348</v>
      </c>
      <c r="D783" s="1">
        <v>0.66666666666666663</v>
      </c>
      <c r="E783" t="s">
        <v>36</v>
      </c>
      <c r="F783" t="s">
        <v>25</v>
      </c>
      <c r="G783" t="s">
        <v>269</v>
      </c>
      <c r="H783" t="s">
        <v>183</v>
      </c>
    </row>
    <row r="784" spans="1:8" x14ac:dyDescent="0.3">
      <c r="A784" t="s">
        <v>335</v>
      </c>
      <c r="B784">
        <v>3</v>
      </c>
      <c r="C784" t="s">
        <v>348</v>
      </c>
      <c r="D784" s="1">
        <v>0.76041666666666663</v>
      </c>
      <c r="E784" t="s">
        <v>340</v>
      </c>
      <c r="F784" t="s">
        <v>16</v>
      </c>
      <c r="G784" t="s">
        <v>42</v>
      </c>
      <c r="H784" t="s">
        <v>184</v>
      </c>
    </row>
    <row r="785" spans="1:8" x14ac:dyDescent="0.3">
      <c r="A785" t="s">
        <v>335</v>
      </c>
      <c r="B785">
        <v>3</v>
      </c>
      <c r="C785" t="s">
        <v>348</v>
      </c>
      <c r="D785" s="1">
        <v>0.85416666666666663</v>
      </c>
      <c r="E785" t="s">
        <v>28</v>
      </c>
      <c r="F785" t="s">
        <v>20</v>
      </c>
      <c r="G785" s="2">
        <v>46054</v>
      </c>
      <c r="H785" t="s">
        <v>181</v>
      </c>
    </row>
    <row r="786" spans="1:8" x14ac:dyDescent="0.3">
      <c r="A786" t="s">
        <v>335</v>
      </c>
      <c r="B786">
        <v>3</v>
      </c>
      <c r="C786" t="s">
        <v>348</v>
      </c>
      <c r="D786" s="1">
        <v>0.91666666666666663</v>
      </c>
      <c r="E786" t="s">
        <v>26</v>
      </c>
      <c r="F786" t="s">
        <v>10</v>
      </c>
      <c r="G786" t="s">
        <v>18</v>
      </c>
      <c r="H786" t="s">
        <v>188</v>
      </c>
    </row>
    <row r="787" spans="1:8" x14ac:dyDescent="0.3">
      <c r="A787" t="s">
        <v>335</v>
      </c>
      <c r="B787">
        <v>3</v>
      </c>
      <c r="C787" t="s">
        <v>349</v>
      </c>
      <c r="D787" s="1">
        <v>0.5</v>
      </c>
      <c r="E787" t="s">
        <v>24</v>
      </c>
      <c r="F787" t="s">
        <v>34</v>
      </c>
      <c r="G787" s="2">
        <v>46082</v>
      </c>
      <c r="H787" t="s">
        <v>194</v>
      </c>
    </row>
    <row r="788" spans="1:8" x14ac:dyDescent="0.3">
      <c r="A788" t="s">
        <v>335</v>
      </c>
      <c r="B788">
        <v>3</v>
      </c>
      <c r="C788" t="s">
        <v>349</v>
      </c>
      <c r="D788" s="1">
        <v>0.66666666666666663</v>
      </c>
      <c r="E788" t="s">
        <v>15</v>
      </c>
      <c r="F788" t="s">
        <v>11</v>
      </c>
      <c r="G788" s="2">
        <v>46025</v>
      </c>
      <c r="H788" t="s">
        <v>200</v>
      </c>
    </row>
    <row r="789" spans="1:8" x14ac:dyDescent="0.3">
      <c r="A789" t="s">
        <v>335</v>
      </c>
      <c r="B789">
        <v>3</v>
      </c>
      <c r="C789" t="s">
        <v>349</v>
      </c>
      <c r="D789" s="1">
        <v>0.76041666666666663</v>
      </c>
      <c r="E789" t="s">
        <v>35</v>
      </c>
      <c r="F789" t="s">
        <v>338</v>
      </c>
      <c r="G789" s="2">
        <v>46084</v>
      </c>
      <c r="H789" t="s">
        <v>198</v>
      </c>
    </row>
    <row r="790" spans="1:8" x14ac:dyDescent="0.3">
      <c r="A790" t="s">
        <v>335</v>
      </c>
      <c r="B790">
        <v>3</v>
      </c>
      <c r="C790" t="s">
        <v>349</v>
      </c>
      <c r="D790" s="1">
        <v>0.85416666666666663</v>
      </c>
      <c r="E790" t="s">
        <v>17</v>
      </c>
      <c r="F790" t="s">
        <v>187</v>
      </c>
      <c r="G790" t="s">
        <v>41</v>
      </c>
      <c r="H790" t="s">
        <v>73</v>
      </c>
    </row>
    <row r="791" spans="1:8" x14ac:dyDescent="0.3">
      <c r="A791" t="s">
        <v>335</v>
      </c>
      <c r="B791">
        <v>3</v>
      </c>
      <c r="C791" t="s">
        <v>350</v>
      </c>
      <c r="D791" s="1">
        <v>0.85416666666666663</v>
      </c>
      <c r="E791" t="s">
        <v>30</v>
      </c>
      <c r="F791" t="s">
        <v>182</v>
      </c>
      <c r="G791" s="2">
        <v>46082</v>
      </c>
      <c r="H791" t="s">
        <v>341</v>
      </c>
    </row>
    <row r="792" spans="1:8" x14ac:dyDescent="0.3">
      <c r="A792" t="s">
        <v>335</v>
      </c>
      <c r="B792">
        <v>4</v>
      </c>
      <c r="C792" t="s">
        <v>351</v>
      </c>
      <c r="D792" s="1">
        <v>0.85416666666666663</v>
      </c>
      <c r="E792" t="s">
        <v>11</v>
      </c>
      <c r="F792" t="s">
        <v>17</v>
      </c>
      <c r="G792" t="s">
        <v>18</v>
      </c>
      <c r="H792" t="s">
        <v>345</v>
      </c>
    </row>
    <row r="793" spans="1:8" x14ac:dyDescent="0.3">
      <c r="A793" t="s">
        <v>335</v>
      </c>
      <c r="B793">
        <v>4</v>
      </c>
      <c r="C793" t="s">
        <v>352</v>
      </c>
      <c r="D793" s="1">
        <v>0.66666666666666663</v>
      </c>
      <c r="E793" t="s">
        <v>25</v>
      </c>
      <c r="F793" t="s">
        <v>24</v>
      </c>
      <c r="G793" t="s">
        <v>18</v>
      </c>
      <c r="H793" t="s">
        <v>205</v>
      </c>
    </row>
    <row r="794" spans="1:8" x14ac:dyDescent="0.3">
      <c r="A794" t="s">
        <v>335</v>
      </c>
      <c r="B794">
        <v>4</v>
      </c>
      <c r="C794" t="s">
        <v>352</v>
      </c>
      <c r="D794" s="1">
        <v>0.76041666666666663</v>
      </c>
      <c r="E794" t="s">
        <v>16</v>
      </c>
      <c r="F794" t="s">
        <v>26</v>
      </c>
      <c r="G794" t="s">
        <v>41</v>
      </c>
      <c r="H794" t="s">
        <v>204</v>
      </c>
    </row>
    <row r="795" spans="1:8" x14ac:dyDescent="0.3">
      <c r="A795" t="s">
        <v>335</v>
      </c>
      <c r="B795">
        <v>4</v>
      </c>
      <c r="C795" t="s">
        <v>352</v>
      </c>
      <c r="D795" s="1">
        <v>0.85416666666666663</v>
      </c>
      <c r="E795" t="s">
        <v>187</v>
      </c>
      <c r="F795" t="s">
        <v>28</v>
      </c>
      <c r="G795" t="s">
        <v>54</v>
      </c>
      <c r="H795" t="s">
        <v>185</v>
      </c>
    </row>
    <row r="796" spans="1:8" x14ac:dyDescent="0.3">
      <c r="A796" t="s">
        <v>335</v>
      </c>
      <c r="B796">
        <v>4</v>
      </c>
      <c r="C796" t="s">
        <v>352</v>
      </c>
      <c r="D796" s="1">
        <v>0.91666666666666663</v>
      </c>
      <c r="E796" t="s">
        <v>10</v>
      </c>
      <c r="F796" t="s">
        <v>36</v>
      </c>
      <c r="G796" s="2">
        <v>46083</v>
      </c>
      <c r="H796" t="s">
        <v>200</v>
      </c>
    </row>
    <row r="797" spans="1:8" x14ac:dyDescent="0.3">
      <c r="A797" t="s">
        <v>335</v>
      </c>
      <c r="B797">
        <v>4</v>
      </c>
      <c r="C797" t="s">
        <v>353</v>
      </c>
      <c r="D797" s="1">
        <v>0.5</v>
      </c>
      <c r="E797" t="s">
        <v>27</v>
      </c>
      <c r="F797" t="s">
        <v>35</v>
      </c>
      <c r="G797" s="2">
        <v>46054</v>
      </c>
      <c r="H797" t="s">
        <v>197</v>
      </c>
    </row>
    <row r="798" spans="1:8" x14ac:dyDescent="0.3">
      <c r="A798" t="s">
        <v>335</v>
      </c>
      <c r="B798">
        <v>4</v>
      </c>
      <c r="C798" t="s">
        <v>353</v>
      </c>
      <c r="D798" s="1">
        <v>0.66666666666666663</v>
      </c>
      <c r="E798" t="s">
        <v>182</v>
      </c>
      <c r="F798" t="s">
        <v>340</v>
      </c>
      <c r="G798" s="2">
        <v>46083</v>
      </c>
      <c r="H798" t="s">
        <v>202</v>
      </c>
    </row>
    <row r="799" spans="1:8" x14ac:dyDescent="0.3">
      <c r="A799" t="s">
        <v>335</v>
      </c>
      <c r="B799">
        <v>4</v>
      </c>
      <c r="C799" t="s">
        <v>353</v>
      </c>
      <c r="D799" s="1">
        <v>0.76041666666666663</v>
      </c>
      <c r="E799" t="s">
        <v>34</v>
      </c>
      <c r="F799" t="s">
        <v>15</v>
      </c>
      <c r="G799" s="2">
        <v>46025</v>
      </c>
      <c r="H799" t="s">
        <v>195</v>
      </c>
    </row>
    <row r="800" spans="1:8" x14ac:dyDescent="0.3">
      <c r="A800" t="s">
        <v>335</v>
      </c>
      <c r="B800">
        <v>4</v>
      </c>
      <c r="C800" t="s">
        <v>353</v>
      </c>
      <c r="D800" s="1">
        <v>0.85416666666666663</v>
      </c>
      <c r="E800" t="s">
        <v>20</v>
      </c>
      <c r="F800" t="s">
        <v>21</v>
      </c>
      <c r="G800" s="2">
        <v>46026</v>
      </c>
      <c r="H800" t="s">
        <v>191</v>
      </c>
    </row>
    <row r="801" spans="1:8" x14ac:dyDescent="0.3">
      <c r="A801" t="s">
        <v>335</v>
      </c>
      <c r="B801">
        <v>4</v>
      </c>
      <c r="C801" t="s">
        <v>353</v>
      </c>
      <c r="D801" s="1">
        <v>0.85416666666666663</v>
      </c>
      <c r="E801" t="s">
        <v>338</v>
      </c>
      <c r="F801" t="s">
        <v>30</v>
      </c>
      <c r="G801" t="s">
        <v>42</v>
      </c>
      <c r="H801" t="s">
        <v>206</v>
      </c>
    </row>
    <row r="802" spans="1:8" x14ac:dyDescent="0.3">
      <c r="A802" t="s">
        <v>335</v>
      </c>
      <c r="B802">
        <v>5</v>
      </c>
      <c r="C802" t="s">
        <v>354</v>
      </c>
      <c r="D802" s="1">
        <v>0.83333333333333337</v>
      </c>
      <c r="E802" t="s">
        <v>28</v>
      </c>
      <c r="F802" t="s">
        <v>11</v>
      </c>
      <c r="G802" t="s">
        <v>12</v>
      </c>
      <c r="H802" t="s">
        <v>188</v>
      </c>
    </row>
    <row r="803" spans="1:8" x14ac:dyDescent="0.3">
      <c r="A803" t="s">
        <v>335</v>
      </c>
      <c r="B803">
        <v>5</v>
      </c>
      <c r="C803" t="s">
        <v>354</v>
      </c>
      <c r="D803" s="1">
        <v>0.83333333333333337</v>
      </c>
      <c r="E803" t="s">
        <v>36</v>
      </c>
      <c r="F803" t="s">
        <v>16</v>
      </c>
      <c r="G803" t="s">
        <v>18</v>
      </c>
      <c r="H803" t="s">
        <v>207</v>
      </c>
    </row>
    <row r="804" spans="1:8" x14ac:dyDescent="0.3">
      <c r="A804" t="s">
        <v>335</v>
      </c>
      <c r="B804">
        <v>5</v>
      </c>
      <c r="C804" t="s">
        <v>354</v>
      </c>
      <c r="D804" s="1">
        <v>0.91666666666666663</v>
      </c>
      <c r="E804" t="s">
        <v>24</v>
      </c>
      <c r="F804" t="s">
        <v>10</v>
      </c>
      <c r="G804" t="s">
        <v>46</v>
      </c>
      <c r="H804" t="s">
        <v>198</v>
      </c>
    </row>
    <row r="805" spans="1:8" x14ac:dyDescent="0.3">
      <c r="A805" t="s">
        <v>335</v>
      </c>
      <c r="B805">
        <v>5</v>
      </c>
      <c r="C805" t="s">
        <v>355</v>
      </c>
      <c r="D805" s="1">
        <v>0.83333333333333337</v>
      </c>
      <c r="E805" t="s">
        <v>35</v>
      </c>
      <c r="F805" t="s">
        <v>20</v>
      </c>
      <c r="G805" s="2">
        <v>46026</v>
      </c>
      <c r="H805" t="s">
        <v>73</v>
      </c>
    </row>
    <row r="806" spans="1:8" x14ac:dyDescent="0.3">
      <c r="A806" t="s">
        <v>335</v>
      </c>
      <c r="B806">
        <v>5</v>
      </c>
      <c r="C806" t="s">
        <v>355</v>
      </c>
      <c r="D806" s="1">
        <v>0.83333333333333337</v>
      </c>
      <c r="E806" t="s">
        <v>21</v>
      </c>
      <c r="F806" t="s">
        <v>187</v>
      </c>
      <c r="G806" s="2">
        <v>46055</v>
      </c>
      <c r="H806" t="s">
        <v>204</v>
      </c>
    </row>
    <row r="807" spans="1:8" x14ac:dyDescent="0.3">
      <c r="A807" t="s">
        <v>335</v>
      </c>
      <c r="B807">
        <v>5</v>
      </c>
      <c r="C807" t="s">
        <v>355</v>
      </c>
      <c r="D807" s="1">
        <v>0.83333333333333337</v>
      </c>
      <c r="E807" t="s">
        <v>30</v>
      </c>
      <c r="F807" t="s">
        <v>340</v>
      </c>
      <c r="G807" s="2">
        <v>46024</v>
      </c>
      <c r="H807" t="s">
        <v>183</v>
      </c>
    </row>
    <row r="808" spans="1:8" x14ac:dyDescent="0.3">
      <c r="A808" t="s">
        <v>335</v>
      </c>
      <c r="B808">
        <v>5</v>
      </c>
      <c r="C808" t="s">
        <v>355</v>
      </c>
      <c r="D808" s="1">
        <v>0.875</v>
      </c>
      <c r="E808" t="s">
        <v>15</v>
      </c>
      <c r="F808" t="s">
        <v>25</v>
      </c>
      <c r="G808" s="2">
        <v>46054</v>
      </c>
      <c r="H808" t="s">
        <v>181</v>
      </c>
    </row>
    <row r="809" spans="1:8" x14ac:dyDescent="0.3">
      <c r="A809" t="s">
        <v>335</v>
      </c>
      <c r="B809">
        <v>5</v>
      </c>
      <c r="C809" t="s">
        <v>355</v>
      </c>
      <c r="D809" s="1">
        <v>0.91666666666666663</v>
      </c>
      <c r="E809" t="s">
        <v>17</v>
      </c>
      <c r="F809" t="s">
        <v>34</v>
      </c>
      <c r="G809" t="s">
        <v>42</v>
      </c>
      <c r="H809" t="s">
        <v>341</v>
      </c>
    </row>
    <row r="810" spans="1:8" x14ac:dyDescent="0.3">
      <c r="A810" t="s">
        <v>335</v>
      </c>
      <c r="B810">
        <v>5</v>
      </c>
      <c r="C810" t="s">
        <v>355</v>
      </c>
      <c r="D810" s="1">
        <v>0.91666666666666663</v>
      </c>
      <c r="E810" t="s">
        <v>338</v>
      </c>
      <c r="F810" t="s">
        <v>27</v>
      </c>
      <c r="G810" t="s">
        <v>12</v>
      </c>
      <c r="H810" t="s">
        <v>184</v>
      </c>
    </row>
    <row r="811" spans="1:8" x14ac:dyDescent="0.3">
      <c r="A811" t="s">
        <v>335</v>
      </c>
      <c r="B811">
        <v>5</v>
      </c>
      <c r="C811" t="s">
        <v>356</v>
      </c>
      <c r="D811" s="1">
        <v>0.92013888888888884</v>
      </c>
      <c r="E811" t="s">
        <v>26</v>
      </c>
      <c r="F811" t="s">
        <v>182</v>
      </c>
      <c r="G811" s="2">
        <v>46054</v>
      </c>
      <c r="H811" t="s">
        <v>194</v>
      </c>
    </row>
    <row r="812" spans="1:8" x14ac:dyDescent="0.3">
      <c r="A812" t="s">
        <v>335</v>
      </c>
      <c r="B812">
        <v>6</v>
      </c>
      <c r="C812" t="s">
        <v>357</v>
      </c>
      <c r="D812" s="1">
        <v>0.85416666666666663</v>
      </c>
      <c r="E812" t="s">
        <v>16</v>
      </c>
      <c r="F812" t="s">
        <v>24</v>
      </c>
      <c r="G812" t="s">
        <v>18</v>
      </c>
      <c r="H812" t="s">
        <v>195</v>
      </c>
    </row>
    <row r="813" spans="1:8" x14ac:dyDescent="0.3">
      <c r="A813" t="s">
        <v>335</v>
      </c>
      <c r="B813">
        <v>6</v>
      </c>
      <c r="C813" t="s">
        <v>358</v>
      </c>
      <c r="D813" s="1">
        <v>0.66666666666666663</v>
      </c>
      <c r="E813" t="s">
        <v>20</v>
      </c>
      <c r="F813" t="s">
        <v>338</v>
      </c>
      <c r="G813" s="2">
        <v>46024</v>
      </c>
      <c r="H813" t="s">
        <v>341</v>
      </c>
    </row>
    <row r="814" spans="1:8" x14ac:dyDescent="0.3">
      <c r="A814" t="s">
        <v>335</v>
      </c>
      <c r="B814">
        <v>6</v>
      </c>
      <c r="C814" t="s">
        <v>358</v>
      </c>
      <c r="D814" s="1">
        <v>0.76041666666666663</v>
      </c>
      <c r="E814" t="s">
        <v>25</v>
      </c>
      <c r="F814" t="s">
        <v>17</v>
      </c>
      <c r="G814" t="s">
        <v>41</v>
      </c>
      <c r="H814" t="s">
        <v>206</v>
      </c>
    </row>
    <row r="815" spans="1:8" x14ac:dyDescent="0.3">
      <c r="A815" t="s">
        <v>335</v>
      </c>
      <c r="B815">
        <v>6</v>
      </c>
      <c r="C815" t="s">
        <v>358</v>
      </c>
      <c r="D815" s="1">
        <v>0.85416666666666663</v>
      </c>
      <c r="E815" t="s">
        <v>27</v>
      </c>
      <c r="F815" t="s">
        <v>30</v>
      </c>
      <c r="G815" s="2">
        <v>46056</v>
      </c>
      <c r="H815" t="s">
        <v>185</v>
      </c>
    </row>
    <row r="816" spans="1:8" x14ac:dyDescent="0.3">
      <c r="A816" t="s">
        <v>335</v>
      </c>
      <c r="B816">
        <v>6</v>
      </c>
      <c r="C816" t="s">
        <v>358</v>
      </c>
      <c r="D816" s="1">
        <v>0.85416666666666663</v>
      </c>
      <c r="E816" t="s">
        <v>34</v>
      </c>
      <c r="F816" t="s">
        <v>28</v>
      </c>
      <c r="G816" t="s">
        <v>18</v>
      </c>
      <c r="H816" t="s">
        <v>191</v>
      </c>
    </row>
    <row r="817" spans="1:8" x14ac:dyDescent="0.3">
      <c r="A817" t="s">
        <v>335</v>
      </c>
      <c r="B817">
        <v>6</v>
      </c>
      <c r="C817" t="s">
        <v>358</v>
      </c>
      <c r="D817" s="1">
        <v>0.92013888888888884</v>
      </c>
      <c r="E817" t="s">
        <v>187</v>
      </c>
      <c r="F817" t="s">
        <v>35</v>
      </c>
      <c r="G817" s="2">
        <v>46023</v>
      </c>
      <c r="H817" t="s">
        <v>200</v>
      </c>
    </row>
    <row r="818" spans="1:8" x14ac:dyDescent="0.3">
      <c r="A818" t="s">
        <v>335</v>
      </c>
      <c r="B818">
        <v>6</v>
      </c>
      <c r="C818" t="s">
        <v>359</v>
      </c>
      <c r="D818" s="1">
        <v>0.5</v>
      </c>
      <c r="E818" t="s">
        <v>340</v>
      </c>
      <c r="F818" t="s">
        <v>26</v>
      </c>
      <c r="G818" s="2">
        <v>46054</v>
      </c>
      <c r="H818" t="s">
        <v>205</v>
      </c>
    </row>
    <row r="819" spans="1:8" x14ac:dyDescent="0.3">
      <c r="A819" t="s">
        <v>335</v>
      </c>
      <c r="B819">
        <v>6</v>
      </c>
      <c r="C819" t="s">
        <v>359</v>
      </c>
      <c r="D819" s="1">
        <v>0.66666666666666663</v>
      </c>
      <c r="E819" t="s">
        <v>182</v>
      </c>
      <c r="F819" t="s">
        <v>36</v>
      </c>
      <c r="G819" t="s">
        <v>32</v>
      </c>
      <c r="H819" t="s">
        <v>345</v>
      </c>
    </row>
    <row r="820" spans="1:8" x14ac:dyDescent="0.3">
      <c r="A820" t="s">
        <v>335</v>
      </c>
      <c r="B820">
        <v>6</v>
      </c>
      <c r="C820" t="s">
        <v>359</v>
      </c>
      <c r="D820" s="1">
        <v>0.76041666666666663</v>
      </c>
      <c r="E820" t="s">
        <v>11</v>
      </c>
      <c r="F820" t="s">
        <v>21</v>
      </c>
      <c r="G820" t="s">
        <v>32</v>
      </c>
      <c r="H820" t="s">
        <v>197</v>
      </c>
    </row>
    <row r="821" spans="1:8" x14ac:dyDescent="0.3">
      <c r="A821" t="s">
        <v>335</v>
      </c>
      <c r="B821">
        <v>6</v>
      </c>
      <c r="C821" t="s">
        <v>359</v>
      </c>
      <c r="D821" s="1">
        <v>0.85416666666666663</v>
      </c>
      <c r="E821" t="s">
        <v>10</v>
      </c>
      <c r="F821" t="s">
        <v>15</v>
      </c>
      <c r="G821" t="s">
        <v>41</v>
      </c>
      <c r="H821" t="s">
        <v>204</v>
      </c>
    </row>
    <row r="822" spans="1:8" x14ac:dyDescent="0.3">
      <c r="A822" t="s">
        <v>335</v>
      </c>
      <c r="B822">
        <v>7</v>
      </c>
      <c r="C822" t="s">
        <v>360</v>
      </c>
      <c r="D822" s="1">
        <v>0.85416666666666663</v>
      </c>
      <c r="E822" t="s">
        <v>35</v>
      </c>
      <c r="F822" t="s">
        <v>11</v>
      </c>
      <c r="G822" t="s">
        <v>41</v>
      </c>
      <c r="H822" t="s">
        <v>202</v>
      </c>
    </row>
    <row r="823" spans="1:8" x14ac:dyDescent="0.3">
      <c r="A823" t="s">
        <v>335</v>
      </c>
      <c r="B823">
        <v>7</v>
      </c>
      <c r="C823" t="s">
        <v>361</v>
      </c>
      <c r="D823" s="1">
        <v>0.66666666666666663</v>
      </c>
      <c r="E823" t="s">
        <v>27</v>
      </c>
      <c r="F823" t="s">
        <v>20</v>
      </c>
      <c r="G823" s="2">
        <v>46024</v>
      </c>
      <c r="H823" t="s">
        <v>194</v>
      </c>
    </row>
    <row r="824" spans="1:8" x14ac:dyDescent="0.3">
      <c r="A824" t="s">
        <v>335</v>
      </c>
      <c r="B824">
        <v>7</v>
      </c>
      <c r="C824" t="s">
        <v>361</v>
      </c>
      <c r="D824" s="1">
        <v>0.76041666666666663</v>
      </c>
      <c r="E824" t="s">
        <v>24</v>
      </c>
      <c r="F824" t="s">
        <v>182</v>
      </c>
      <c r="G824" s="2">
        <v>46023</v>
      </c>
      <c r="H824" t="s">
        <v>183</v>
      </c>
    </row>
    <row r="825" spans="1:8" x14ac:dyDescent="0.3">
      <c r="A825" t="s">
        <v>335</v>
      </c>
      <c r="B825">
        <v>7</v>
      </c>
      <c r="C825" t="s">
        <v>361</v>
      </c>
      <c r="D825" s="1">
        <v>0.85416666666666663</v>
      </c>
      <c r="E825" t="s">
        <v>36</v>
      </c>
      <c r="F825" t="s">
        <v>340</v>
      </c>
      <c r="G825" s="2">
        <v>46054</v>
      </c>
      <c r="H825" t="s">
        <v>195</v>
      </c>
    </row>
    <row r="826" spans="1:8" x14ac:dyDescent="0.3">
      <c r="A826" t="s">
        <v>335</v>
      </c>
      <c r="B826">
        <v>7</v>
      </c>
      <c r="C826" t="s">
        <v>361</v>
      </c>
      <c r="D826" s="1">
        <v>0.91666666666666663</v>
      </c>
      <c r="E826" t="s">
        <v>338</v>
      </c>
      <c r="F826" t="s">
        <v>187</v>
      </c>
      <c r="G826" t="s">
        <v>54</v>
      </c>
      <c r="H826" t="s">
        <v>181</v>
      </c>
    </row>
    <row r="827" spans="1:8" x14ac:dyDescent="0.3">
      <c r="A827" t="s">
        <v>335</v>
      </c>
      <c r="B827">
        <v>7</v>
      </c>
      <c r="C827" t="s">
        <v>361</v>
      </c>
      <c r="D827" s="1">
        <v>0.92013888888888884</v>
      </c>
      <c r="E827" t="s">
        <v>17</v>
      </c>
      <c r="F827" t="s">
        <v>10</v>
      </c>
      <c r="G827" s="2">
        <v>46025</v>
      </c>
      <c r="H827" t="s">
        <v>184</v>
      </c>
    </row>
    <row r="828" spans="1:8" x14ac:dyDescent="0.3">
      <c r="A828" t="s">
        <v>335</v>
      </c>
      <c r="B828">
        <v>7</v>
      </c>
      <c r="C828" t="s">
        <v>362</v>
      </c>
      <c r="D828" s="1">
        <v>0.5</v>
      </c>
      <c r="E828" t="s">
        <v>30</v>
      </c>
      <c r="F828" t="s">
        <v>26</v>
      </c>
      <c r="G828" t="s">
        <v>54</v>
      </c>
      <c r="H828" t="s">
        <v>207</v>
      </c>
    </row>
    <row r="829" spans="1:8" x14ac:dyDescent="0.3">
      <c r="A829" t="s">
        <v>335</v>
      </c>
      <c r="B829">
        <v>7</v>
      </c>
      <c r="C829" t="s">
        <v>362</v>
      </c>
      <c r="D829" s="1">
        <v>0.66666666666666663</v>
      </c>
      <c r="E829" t="s">
        <v>15</v>
      </c>
      <c r="F829" t="s">
        <v>16</v>
      </c>
      <c r="G829" s="2">
        <v>46025</v>
      </c>
      <c r="H829" t="s">
        <v>198</v>
      </c>
    </row>
    <row r="830" spans="1:8" x14ac:dyDescent="0.3">
      <c r="A830" t="s">
        <v>335</v>
      </c>
      <c r="B830">
        <v>7</v>
      </c>
      <c r="C830" t="s">
        <v>362</v>
      </c>
      <c r="D830" s="1">
        <v>0.76041666666666663</v>
      </c>
      <c r="E830" t="s">
        <v>21</v>
      </c>
      <c r="F830" t="s">
        <v>34</v>
      </c>
      <c r="G830" t="s">
        <v>18</v>
      </c>
      <c r="H830" t="s">
        <v>188</v>
      </c>
    </row>
    <row r="831" spans="1:8" x14ac:dyDescent="0.3">
      <c r="A831" t="s">
        <v>335</v>
      </c>
      <c r="B831">
        <v>7</v>
      </c>
      <c r="C831" t="s">
        <v>362</v>
      </c>
      <c r="D831" s="1">
        <v>0.85416666666666663</v>
      </c>
      <c r="E831" t="s">
        <v>28</v>
      </c>
      <c r="F831" t="s">
        <v>25</v>
      </c>
      <c r="G831" s="2">
        <v>46023</v>
      </c>
      <c r="H831" t="s">
        <v>73</v>
      </c>
    </row>
    <row r="832" spans="1:8" x14ac:dyDescent="0.3">
      <c r="A832" t="s">
        <v>335</v>
      </c>
      <c r="B832">
        <v>8</v>
      </c>
      <c r="C832" t="s">
        <v>363</v>
      </c>
      <c r="D832" s="1">
        <v>0.66666666666666663</v>
      </c>
      <c r="E832" t="s">
        <v>25</v>
      </c>
      <c r="F832" t="s">
        <v>21</v>
      </c>
      <c r="G832" t="s">
        <v>32</v>
      </c>
      <c r="H832" t="s">
        <v>345</v>
      </c>
    </row>
    <row r="833" spans="1:8" x14ac:dyDescent="0.3">
      <c r="A833" t="s">
        <v>335</v>
      </c>
      <c r="B833">
        <v>8</v>
      </c>
      <c r="C833" t="s">
        <v>363</v>
      </c>
      <c r="D833" s="1">
        <v>0.76041666666666663</v>
      </c>
      <c r="E833" t="s">
        <v>187</v>
      </c>
      <c r="F833" t="s">
        <v>27</v>
      </c>
      <c r="G833" s="2">
        <v>46023</v>
      </c>
      <c r="H833" t="s">
        <v>205</v>
      </c>
    </row>
    <row r="834" spans="1:8" x14ac:dyDescent="0.3">
      <c r="A834" t="s">
        <v>335</v>
      </c>
      <c r="B834">
        <v>8</v>
      </c>
      <c r="C834" t="s">
        <v>363</v>
      </c>
      <c r="D834" s="1">
        <v>0.85416666666666663</v>
      </c>
      <c r="E834" t="s">
        <v>20</v>
      </c>
      <c r="F834" t="s">
        <v>30</v>
      </c>
      <c r="G834" s="2">
        <v>46058</v>
      </c>
      <c r="H834" t="s">
        <v>200</v>
      </c>
    </row>
    <row r="835" spans="1:8" x14ac:dyDescent="0.3">
      <c r="A835" t="s">
        <v>335</v>
      </c>
      <c r="B835">
        <v>8</v>
      </c>
      <c r="C835" t="s">
        <v>363</v>
      </c>
      <c r="D835" s="1">
        <v>0.91666666666666663</v>
      </c>
      <c r="E835" t="s">
        <v>16</v>
      </c>
      <c r="F835" t="s">
        <v>17</v>
      </c>
      <c r="G835" t="s">
        <v>32</v>
      </c>
      <c r="H835" t="s">
        <v>185</v>
      </c>
    </row>
    <row r="836" spans="1:8" x14ac:dyDescent="0.3">
      <c r="A836" t="s">
        <v>335</v>
      </c>
      <c r="B836">
        <v>8</v>
      </c>
      <c r="C836" t="s">
        <v>363</v>
      </c>
      <c r="D836" s="1">
        <v>0.92013888888888884</v>
      </c>
      <c r="E836" t="s">
        <v>26</v>
      </c>
      <c r="F836" t="s">
        <v>36</v>
      </c>
      <c r="G836" s="2">
        <v>46082</v>
      </c>
      <c r="H836" t="s">
        <v>341</v>
      </c>
    </row>
    <row r="837" spans="1:8" x14ac:dyDescent="0.3">
      <c r="A837" t="s">
        <v>335</v>
      </c>
      <c r="B837">
        <v>8</v>
      </c>
      <c r="C837" t="s">
        <v>364</v>
      </c>
      <c r="D837" s="1">
        <v>0.5</v>
      </c>
      <c r="E837" t="s">
        <v>34</v>
      </c>
      <c r="F837" t="s">
        <v>35</v>
      </c>
      <c r="G837" s="2">
        <v>46054</v>
      </c>
      <c r="H837" t="s">
        <v>206</v>
      </c>
    </row>
    <row r="838" spans="1:8" x14ac:dyDescent="0.3">
      <c r="A838" t="s">
        <v>335</v>
      </c>
      <c r="B838">
        <v>8</v>
      </c>
      <c r="C838" t="s">
        <v>364</v>
      </c>
      <c r="D838" s="1">
        <v>0.66666666666666663</v>
      </c>
      <c r="E838" t="s">
        <v>10</v>
      </c>
      <c r="F838" t="s">
        <v>28</v>
      </c>
      <c r="G838" t="s">
        <v>54</v>
      </c>
      <c r="H838" t="s">
        <v>207</v>
      </c>
    </row>
    <row r="839" spans="1:8" x14ac:dyDescent="0.3">
      <c r="A839" t="s">
        <v>335</v>
      </c>
      <c r="B839">
        <v>8</v>
      </c>
      <c r="C839" t="s">
        <v>364</v>
      </c>
      <c r="D839" s="1">
        <v>0.76041666666666663</v>
      </c>
      <c r="E839" t="s">
        <v>11</v>
      </c>
      <c r="F839" t="s">
        <v>338</v>
      </c>
      <c r="G839" t="s">
        <v>88</v>
      </c>
      <c r="H839" t="s">
        <v>191</v>
      </c>
    </row>
    <row r="840" spans="1:8" x14ac:dyDescent="0.3">
      <c r="A840" t="s">
        <v>335</v>
      </c>
      <c r="B840">
        <v>8</v>
      </c>
      <c r="C840" t="s">
        <v>364</v>
      </c>
      <c r="D840" s="1">
        <v>0.85416666666666663</v>
      </c>
      <c r="E840" t="s">
        <v>182</v>
      </c>
      <c r="F840" t="s">
        <v>15</v>
      </c>
      <c r="G840" s="2">
        <v>46055</v>
      </c>
      <c r="H840" t="s">
        <v>197</v>
      </c>
    </row>
    <row r="841" spans="1:8" x14ac:dyDescent="0.3">
      <c r="A841" t="s">
        <v>335</v>
      </c>
      <c r="B841">
        <v>8</v>
      </c>
      <c r="C841" t="s">
        <v>365</v>
      </c>
      <c r="D841" s="1">
        <v>0.85416666666666663</v>
      </c>
      <c r="E841" t="s">
        <v>340</v>
      </c>
      <c r="F841" t="s">
        <v>24</v>
      </c>
      <c r="G841" s="2">
        <v>46084</v>
      </c>
      <c r="H841" t="s">
        <v>188</v>
      </c>
    </row>
    <row r="842" spans="1:8" x14ac:dyDescent="0.3">
      <c r="A842" t="s">
        <v>335</v>
      </c>
      <c r="B842">
        <v>9</v>
      </c>
      <c r="C842" t="s">
        <v>366</v>
      </c>
      <c r="D842" s="1">
        <v>0.85416666666666663</v>
      </c>
      <c r="E842" t="s">
        <v>30</v>
      </c>
      <c r="F842" t="s">
        <v>36</v>
      </c>
      <c r="G842" t="s">
        <v>32</v>
      </c>
      <c r="H842" t="s">
        <v>202</v>
      </c>
    </row>
    <row r="843" spans="1:8" x14ac:dyDescent="0.3">
      <c r="A843" t="s">
        <v>335</v>
      </c>
      <c r="B843">
        <v>9</v>
      </c>
      <c r="C843" t="s">
        <v>367</v>
      </c>
      <c r="D843" s="1">
        <v>0.66666666666666663</v>
      </c>
      <c r="E843" t="s">
        <v>35</v>
      </c>
      <c r="F843" t="s">
        <v>25</v>
      </c>
      <c r="G843" s="2">
        <v>46082</v>
      </c>
      <c r="H843" t="s">
        <v>195</v>
      </c>
    </row>
    <row r="844" spans="1:8" x14ac:dyDescent="0.3">
      <c r="A844" t="s">
        <v>335</v>
      </c>
      <c r="B844">
        <v>9</v>
      </c>
      <c r="C844" t="s">
        <v>367</v>
      </c>
      <c r="D844" s="1">
        <v>0.76041666666666663</v>
      </c>
      <c r="E844" t="s">
        <v>24</v>
      </c>
      <c r="F844" t="s">
        <v>26</v>
      </c>
      <c r="G844" s="2">
        <v>46023</v>
      </c>
      <c r="H844" t="s">
        <v>181</v>
      </c>
    </row>
    <row r="845" spans="1:8" x14ac:dyDescent="0.3">
      <c r="A845" t="s">
        <v>335</v>
      </c>
      <c r="B845">
        <v>9</v>
      </c>
      <c r="C845" t="s">
        <v>367</v>
      </c>
      <c r="D845" s="1">
        <v>0.85416666666666663</v>
      </c>
      <c r="E845" t="s">
        <v>27</v>
      </c>
      <c r="F845" t="s">
        <v>11</v>
      </c>
      <c r="G845" t="s">
        <v>40</v>
      </c>
      <c r="H845" t="s">
        <v>183</v>
      </c>
    </row>
    <row r="846" spans="1:8" x14ac:dyDescent="0.3">
      <c r="A846" t="s">
        <v>335</v>
      </c>
      <c r="B846">
        <v>9</v>
      </c>
      <c r="C846" t="s">
        <v>367</v>
      </c>
      <c r="D846" s="1">
        <v>0.92013888888888884</v>
      </c>
      <c r="E846" t="s">
        <v>17</v>
      </c>
      <c r="F846" t="s">
        <v>182</v>
      </c>
      <c r="G846" t="s">
        <v>12</v>
      </c>
      <c r="H846" t="s">
        <v>204</v>
      </c>
    </row>
    <row r="847" spans="1:8" x14ac:dyDescent="0.3">
      <c r="A847" t="s">
        <v>335</v>
      </c>
      <c r="B847">
        <v>9</v>
      </c>
      <c r="C847" t="s">
        <v>368</v>
      </c>
      <c r="D847" s="1">
        <v>0.5</v>
      </c>
      <c r="E847" t="s">
        <v>21</v>
      </c>
      <c r="F847" t="s">
        <v>10</v>
      </c>
      <c r="G847" t="s">
        <v>53</v>
      </c>
      <c r="H847" t="s">
        <v>73</v>
      </c>
    </row>
    <row r="848" spans="1:8" x14ac:dyDescent="0.3">
      <c r="A848" t="s">
        <v>335</v>
      </c>
      <c r="B848">
        <v>9</v>
      </c>
      <c r="C848" t="s">
        <v>368</v>
      </c>
      <c r="D848" s="1">
        <v>0.66666666666666663</v>
      </c>
      <c r="E848" t="s">
        <v>338</v>
      </c>
      <c r="F848" t="s">
        <v>34</v>
      </c>
      <c r="G848" t="s">
        <v>41</v>
      </c>
      <c r="H848" t="s">
        <v>198</v>
      </c>
    </row>
    <row r="849" spans="1:8" x14ac:dyDescent="0.3">
      <c r="A849" t="s">
        <v>335</v>
      </c>
      <c r="B849">
        <v>9</v>
      </c>
      <c r="C849" t="s">
        <v>368</v>
      </c>
      <c r="D849" s="1">
        <v>0.76041666666666663</v>
      </c>
      <c r="E849" t="s">
        <v>20</v>
      </c>
      <c r="F849" t="s">
        <v>187</v>
      </c>
      <c r="G849" s="2">
        <v>46025</v>
      </c>
      <c r="H849" t="s">
        <v>184</v>
      </c>
    </row>
    <row r="850" spans="1:8" x14ac:dyDescent="0.3">
      <c r="A850" t="s">
        <v>335</v>
      </c>
      <c r="B850">
        <v>9</v>
      </c>
      <c r="C850" t="s">
        <v>368</v>
      </c>
      <c r="D850" s="1">
        <v>0.85416666666666663</v>
      </c>
      <c r="E850" t="s">
        <v>28</v>
      </c>
      <c r="F850" t="s">
        <v>16</v>
      </c>
      <c r="G850" s="2">
        <v>46024</v>
      </c>
      <c r="H850" t="s">
        <v>194</v>
      </c>
    </row>
    <row r="851" spans="1:8" x14ac:dyDescent="0.3">
      <c r="A851" t="s">
        <v>335</v>
      </c>
      <c r="B851">
        <v>9</v>
      </c>
      <c r="C851" t="s">
        <v>369</v>
      </c>
      <c r="D851" s="1">
        <v>0.85416666666666663</v>
      </c>
      <c r="E851" t="s">
        <v>15</v>
      </c>
      <c r="F851" t="s">
        <v>340</v>
      </c>
      <c r="G851" t="s">
        <v>32</v>
      </c>
      <c r="H851" t="s">
        <v>207</v>
      </c>
    </row>
    <row r="852" spans="1:8" x14ac:dyDescent="0.3">
      <c r="A852" t="s">
        <v>335</v>
      </c>
      <c r="B852">
        <v>10</v>
      </c>
      <c r="C852" t="s">
        <v>370</v>
      </c>
      <c r="D852" s="1">
        <v>0.85416666666666663</v>
      </c>
      <c r="E852" t="s">
        <v>182</v>
      </c>
      <c r="F852" t="s">
        <v>28</v>
      </c>
      <c r="G852" s="2">
        <v>46023</v>
      </c>
      <c r="H852" t="s">
        <v>200</v>
      </c>
    </row>
    <row r="853" spans="1:8" x14ac:dyDescent="0.3">
      <c r="A853" t="s">
        <v>335</v>
      </c>
      <c r="B853">
        <v>10</v>
      </c>
      <c r="C853" t="s">
        <v>371</v>
      </c>
      <c r="D853" s="1">
        <v>0.66666666666666663</v>
      </c>
      <c r="E853" t="s">
        <v>25</v>
      </c>
      <c r="F853" t="s">
        <v>338</v>
      </c>
      <c r="G853" s="2">
        <v>46025</v>
      </c>
      <c r="H853" t="s">
        <v>197</v>
      </c>
    </row>
    <row r="854" spans="1:8" x14ac:dyDescent="0.3">
      <c r="A854" t="s">
        <v>335</v>
      </c>
      <c r="B854">
        <v>10</v>
      </c>
      <c r="C854" t="s">
        <v>371</v>
      </c>
      <c r="D854" s="1">
        <v>0.76041666666666663</v>
      </c>
      <c r="E854" t="s">
        <v>16</v>
      </c>
      <c r="F854" t="s">
        <v>21</v>
      </c>
      <c r="G854" t="s">
        <v>32</v>
      </c>
      <c r="H854" t="s">
        <v>341</v>
      </c>
    </row>
    <row r="855" spans="1:8" x14ac:dyDescent="0.3">
      <c r="A855" t="s">
        <v>335</v>
      </c>
      <c r="B855">
        <v>10</v>
      </c>
      <c r="C855" t="s">
        <v>371</v>
      </c>
      <c r="D855" s="1">
        <v>0.76041666666666663</v>
      </c>
      <c r="E855" t="s">
        <v>34</v>
      </c>
      <c r="F855" t="s">
        <v>27</v>
      </c>
      <c r="G855" s="2">
        <v>46024</v>
      </c>
      <c r="H855" t="s">
        <v>345</v>
      </c>
    </row>
    <row r="856" spans="1:8" x14ac:dyDescent="0.3">
      <c r="A856" t="s">
        <v>335</v>
      </c>
      <c r="B856">
        <v>10</v>
      </c>
      <c r="C856" t="s">
        <v>371</v>
      </c>
      <c r="D856" s="1">
        <v>0.85416666666666663</v>
      </c>
      <c r="E856" t="s">
        <v>11</v>
      </c>
      <c r="F856" t="s">
        <v>20</v>
      </c>
      <c r="G856" t="s">
        <v>54</v>
      </c>
      <c r="H856" t="s">
        <v>205</v>
      </c>
    </row>
    <row r="857" spans="1:8" x14ac:dyDescent="0.3">
      <c r="A857" t="s">
        <v>335</v>
      </c>
      <c r="B857">
        <v>10</v>
      </c>
      <c r="C857" t="s">
        <v>371</v>
      </c>
      <c r="D857" s="1">
        <v>0.92013888888888884</v>
      </c>
      <c r="E857" t="s">
        <v>10</v>
      </c>
      <c r="F857" t="s">
        <v>35</v>
      </c>
      <c r="G857" s="2">
        <v>46083</v>
      </c>
      <c r="H857" t="s">
        <v>191</v>
      </c>
    </row>
    <row r="858" spans="1:8" x14ac:dyDescent="0.3">
      <c r="A858" t="s">
        <v>335</v>
      </c>
      <c r="B858">
        <v>10</v>
      </c>
      <c r="C858" t="s">
        <v>372</v>
      </c>
      <c r="D858" s="1">
        <v>0.5</v>
      </c>
      <c r="E858" t="s">
        <v>187</v>
      </c>
      <c r="F858" t="s">
        <v>30</v>
      </c>
      <c r="G858" t="s">
        <v>18</v>
      </c>
      <c r="H858" t="s">
        <v>188</v>
      </c>
    </row>
    <row r="859" spans="1:8" x14ac:dyDescent="0.3">
      <c r="A859" t="s">
        <v>335</v>
      </c>
      <c r="B859">
        <v>10</v>
      </c>
      <c r="C859" t="s">
        <v>372</v>
      </c>
      <c r="D859" s="1">
        <v>0.66666666666666663</v>
      </c>
      <c r="E859" t="s">
        <v>36</v>
      </c>
      <c r="F859" t="s">
        <v>24</v>
      </c>
      <c r="G859" s="2">
        <v>46023</v>
      </c>
      <c r="H859" t="s">
        <v>185</v>
      </c>
    </row>
    <row r="860" spans="1:8" x14ac:dyDescent="0.3">
      <c r="A860" t="s">
        <v>335</v>
      </c>
      <c r="B860">
        <v>10</v>
      </c>
      <c r="C860" t="s">
        <v>372</v>
      </c>
      <c r="D860" s="1">
        <v>0.76041666666666663</v>
      </c>
      <c r="E860" t="s">
        <v>340</v>
      </c>
      <c r="F860" t="s">
        <v>17</v>
      </c>
      <c r="G860" t="s">
        <v>18</v>
      </c>
      <c r="H860" t="s">
        <v>181</v>
      </c>
    </row>
    <row r="861" spans="1:8" x14ac:dyDescent="0.3">
      <c r="A861" t="s">
        <v>335</v>
      </c>
      <c r="B861">
        <v>10</v>
      </c>
      <c r="C861" t="s">
        <v>372</v>
      </c>
      <c r="D861" s="1">
        <v>0.85416666666666663</v>
      </c>
      <c r="E861" t="s">
        <v>26</v>
      </c>
      <c r="F861" t="s">
        <v>15</v>
      </c>
      <c r="G861" s="2">
        <v>46082</v>
      </c>
      <c r="H861" t="s">
        <v>206</v>
      </c>
    </row>
    <row r="862" spans="1:8" x14ac:dyDescent="0.3">
      <c r="A862" t="s">
        <v>335</v>
      </c>
      <c r="B862">
        <v>11</v>
      </c>
      <c r="C862" t="s">
        <v>373</v>
      </c>
      <c r="D862" s="1">
        <v>0.85416666666666663</v>
      </c>
      <c r="E862" t="s">
        <v>338</v>
      </c>
      <c r="F862" t="s">
        <v>10</v>
      </c>
      <c r="G862" t="s">
        <v>12</v>
      </c>
      <c r="H862" t="s">
        <v>204</v>
      </c>
    </row>
    <row r="863" spans="1:8" x14ac:dyDescent="0.3">
      <c r="A863" t="s">
        <v>335</v>
      </c>
      <c r="B863">
        <v>11</v>
      </c>
      <c r="C863" t="s">
        <v>374</v>
      </c>
      <c r="D863" s="1">
        <v>0.66666666666666663</v>
      </c>
      <c r="E863" t="s">
        <v>35</v>
      </c>
      <c r="F863" t="s">
        <v>16</v>
      </c>
      <c r="G863" s="2">
        <v>46143</v>
      </c>
      <c r="H863" t="s">
        <v>183</v>
      </c>
    </row>
    <row r="864" spans="1:8" x14ac:dyDescent="0.3">
      <c r="A864" t="s">
        <v>335</v>
      </c>
      <c r="B864">
        <v>11</v>
      </c>
      <c r="C864" t="s">
        <v>374</v>
      </c>
      <c r="D864" s="1">
        <v>0.76041666666666663</v>
      </c>
      <c r="E864" t="s">
        <v>21</v>
      </c>
      <c r="F864" t="s">
        <v>182</v>
      </c>
      <c r="G864" s="2">
        <v>46023</v>
      </c>
      <c r="H864" t="s">
        <v>184</v>
      </c>
    </row>
    <row r="865" spans="1:8" x14ac:dyDescent="0.3">
      <c r="A865" t="s">
        <v>335</v>
      </c>
      <c r="B865">
        <v>11</v>
      </c>
      <c r="C865" t="s">
        <v>374</v>
      </c>
      <c r="D865" s="1">
        <v>0.85416666666666663</v>
      </c>
      <c r="E865" t="s">
        <v>30</v>
      </c>
      <c r="F865" t="s">
        <v>24</v>
      </c>
      <c r="G865" s="2">
        <v>46024</v>
      </c>
      <c r="H865" t="s">
        <v>194</v>
      </c>
    </row>
    <row r="866" spans="1:8" x14ac:dyDescent="0.3">
      <c r="A866" t="s">
        <v>335</v>
      </c>
      <c r="B866">
        <v>11</v>
      </c>
      <c r="C866" t="s">
        <v>374</v>
      </c>
      <c r="D866" s="1">
        <v>0.85416666666666663</v>
      </c>
      <c r="E866" t="s">
        <v>187</v>
      </c>
      <c r="F866" t="s">
        <v>11</v>
      </c>
      <c r="G866" s="2">
        <v>46025</v>
      </c>
      <c r="H866" t="s">
        <v>207</v>
      </c>
    </row>
    <row r="867" spans="1:8" x14ac:dyDescent="0.3">
      <c r="A867" t="s">
        <v>335</v>
      </c>
      <c r="B867">
        <v>11</v>
      </c>
      <c r="C867" t="s">
        <v>374</v>
      </c>
      <c r="D867" s="1">
        <v>0.92013888888888884</v>
      </c>
      <c r="E867" t="s">
        <v>17</v>
      </c>
      <c r="F867" t="s">
        <v>26</v>
      </c>
      <c r="G867" t="s">
        <v>42</v>
      </c>
      <c r="H867" t="s">
        <v>202</v>
      </c>
    </row>
    <row r="868" spans="1:8" x14ac:dyDescent="0.3">
      <c r="A868" t="s">
        <v>335</v>
      </c>
      <c r="B868">
        <v>11</v>
      </c>
      <c r="C868" t="s">
        <v>375</v>
      </c>
      <c r="D868" s="1">
        <v>0.5</v>
      </c>
      <c r="E868" t="s">
        <v>15</v>
      </c>
      <c r="F868" t="s">
        <v>36</v>
      </c>
      <c r="G868" s="2">
        <v>46024</v>
      </c>
      <c r="H868" t="s">
        <v>73</v>
      </c>
    </row>
    <row r="869" spans="1:8" x14ac:dyDescent="0.3">
      <c r="A869" t="s">
        <v>335</v>
      </c>
      <c r="B869">
        <v>11</v>
      </c>
      <c r="C869" t="s">
        <v>375</v>
      </c>
      <c r="D869" s="1">
        <v>0.66666666666666663</v>
      </c>
      <c r="E869" t="s">
        <v>20</v>
      </c>
      <c r="F869" t="s">
        <v>34</v>
      </c>
      <c r="G869" t="s">
        <v>32</v>
      </c>
      <c r="H869" t="s">
        <v>195</v>
      </c>
    </row>
    <row r="870" spans="1:8" x14ac:dyDescent="0.3">
      <c r="A870" t="s">
        <v>335</v>
      </c>
      <c r="B870">
        <v>11</v>
      </c>
      <c r="C870" t="s">
        <v>375</v>
      </c>
      <c r="D870" s="1">
        <v>0.76041666666666663</v>
      </c>
      <c r="E870" t="s">
        <v>28</v>
      </c>
      <c r="F870" t="s">
        <v>340</v>
      </c>
      <c r="G870" t="s">
        <v>18</v>
      </c>
      <c r="H870" t="s">
        <v>198</v>
      </c>
    </row>
    <row r="871" spans="1:8" x14ac:dyDescent="0.3">
      <c r="A871" t="s">
        <v>335</v>
      </c>
      <c r="B871">
        <v>11</v>
      </c>
      <c r="C871" t="s">
        <v>375</v>
      </c>
      <c r="D871" s="1">
        <v>0.85416666666666663</v>
      </c>
      <c r="E871" t="s">
        <v>27</v>
      </c>
      <c r="F871" t="s">
        <v>25</v>
      </c>
      <c r="G871" s="2">
        <v>46056</v>
      </c>
      <c r="H871" t="s">
        <v>206</v>
      </c>
    </row>
    <row r="872" spans="1:8" x14ac:dyDescent="0.3">
      <c r="A872" t="s">
        <v>335</v>
      </c>
      <c r="B872">
        <v>12</v>
      </c>
      <c r="C872" t="s">
        <v>376</v>
      </c>
      <c r="D872" s="1">
        <v>0.66666666666666663</v>
      </c>
      <c r="E872" t="s">
        <v>10</v>
      </c>
      <c r="F872" t="s">
        <v>27</v>
      </c>
      <c r="G872" t="s">
        <v>12</v>
      </c>
      <c r="H872" t="s">
        <v>181</v>
      </c>
    </row>
    <row r="873" spans="1:8" x14ac:dyDescent="0.3">
      <c r="A873" t="s">
        <v>335</v>
      </c>
      <c r="B873">
        <v>12</v>
      </c>
      <c r="C873" t="s">
        <v>376</v>
      </c>
      <c r="D873" s="1">
        <v>0.76041666666666663</v>
      </c>
      <c r="E873" t="s">
        <v>25</v>
      </c>
      <c r="F873" t="s">
        <v>20</v>
      </c>
      <c r="G873" t="s">
        <v>53</v>
      </c>
      <c r="H873" t="s">
        <v>191</v>
      </c>
    </row>
    <row r="874" spans="1:8" x14ac:dyDescent="0.3">
      <c r="A874" t="s">
        <v>335</v>
      </c>
      <c r="B874">
        <v>12</v>
      </c>
      <c r="C874" t="s">
        <v>376</v>
      </c>
      <c r="D874" s="1">
        <v>0.85416666666666663</v>
      </c>
      <c r="E874" t="s">
        <v>36</v>
      </c>
      <c r="F874" t="s">
        <v>17</v>
      </c>
      <c r="G874" t="s">
        <v>12</v>
      </c>
      <c r="H874" t="s">
        <v>205</v>
      </c>
    </row>
    <row r="875" spans="1:8" x14ac:dyDescent="0.3">
      <c r="A875" t="s">
        <v>335</v>
      </c>
      <c r="B875">
        <v>12</v>
      </c>
      <c r="C875" t="s">
        <v>376</v>
      </c>
      <c r="D875" s="1">
        <v>0.91666666666666663</v>
      </c>
      <c r="E875" t="s">
        <v>16</v>
      </c>
      <c r="F875" t="s">
        <v>338</v>
      </c>
      <c r="G875" s="2">
        <v>46023</v>
      </c>
      <c r="H875" t="s">
        <v>200</v>
      </c>
    </row>
    <row r="876" spans="1:8" x14ac:dyDescent="0.3">
      <c r="A876" t="s">
        <v>335</v>
      </c>
      <c r="B876">
        <v>12</v>
      </c>
      <c r="C876" t="s">
        <v>376</v>
      </c>
      <c r="D876" s="1">
        <v>0.92013888888888884</v>
      </c>
      <c r="E876" t="s">
        <v>182</v>
      </c>
      <c r="F876" t="s">
        <v>35</v>
      </c>
      <c r="G876" t="s">
        <v>12</v>
      </c>
      <c r="H876" t="s">
        <v>188</v>
      </c>
    </row>
    <row r="877" spans="1:8" x14ac:dyDescent="0.3">
      <c r="A877" t="s">
        <v>335</v>
      </c>
      <c r="B877">
        <v>12</v>
      </c>
      <c r="C877" t="s">
        <v>377</v>
      </c>
      <c r="D877" s="1">
        <v>0.5</v>
      </c>
      <c r="E877" t="s">
        <v>340</v>
      </c>
      <c r="F877" t="s">
        <v>21</v>
      </c>
      <c r="G877" t="s">
        <v>46</v>
      </c>
      <c r="H877" t="s">
        <v>190</v>
      </c>
    </row>
    <row r="878" spans="1:8" x14ac:dyDescent="0.3">
      <c r="A878" t="s">
        <v>335</v>
      </c>
      <c r="B878">
        <v>12</v>
      </c>
      <c r="C878" t="s">
        <v>377</v>
      </c>
      <c r="D878" s="1">
        <v>0.66666666666666663</v>
      </c>
      <c r="E878" t="s">
        <v>34</v>
      </c>
      <c r="F878" t="s">
        <v>187</v>
      </c>
      <c r="G878" s="2">
        <v>46023</v>
      </c>
      <c r="H878" t="s">
        <v>202</v>
      </c>
    </row>
    <row r="879" spans="1:8" x14ac:dyDescent="0.3">
      <c r="A879" t="s">
        <v>335</v>
      </c>
      <c r="B879">
        <v>12</v>
      </c>
      <c r="C879" t="s">
        <v>377</v>
      </c>
      <c r="D879" s="1">
        <v>0.76041666666666663</v>
      </c>
      <c r="E879" t="s">
        <v>24</v>
      </c>
      <c r="F879" t="s">
        <v>15</v>
      </c>
      <c r="G879" t="s">
        <v>12</v>
      </c>
      <c r="H879" t="s">
        <v>184</v>
      </c>
    </row>
    <row r="880" spans="1:8" x14ac:dyDescent="0.3">
      <c r="A880" t="s">
        <v>335</v>
      </c>
      <c r="B880">
        <v>12</v>
      </c>
      <c r="C880" t="s">
        <v>377</v>
      </c>
      <c r="D880" s="1">
        <v>0.85416666666666663</v>
      </c>
      <c r="E880" t="s">
        <v>26</v>
      </c>
      <c r="F880" t="s">
        <v>28</v>
      </c>
      <c r="G880" t="s">
        <v>42</v>
      </c>
      <c r="H880" t="s">
        <v>197</v>
      </c>
    </row>
    <row r="881" spans="1:8" x14ac:dyDescent="0.3">
      <c r="A881" t="s">
        <v>335</v>
      </c>
      <c r="B881">
        <v>12</v>
      </c>
      <c r="C881" t="s">
        <v>378</v>
      </c>
      <c r="D881" s="1">
        <v>0.85416666666666663</v>
      </c>
      <c r="E881" t="s">
        <v>11</v>
      </c>
      <c r="F881" t="s">
        <v>30</v>
      </c>
      <c r="G881" s="2">
        <v>46023</v>
      </c>
      <c r="H881" t="s">
        <v>341</v>
      </c>
    </row>
    <row r="882" spans="1:8" x14ac:dyDescent="0.3">
      <c r="A882" t="s">
        <v>335</v>
      </c>
      <c r="B882">
        <v>13</v>
      </c>
      <c r="C882" t="s">
        <v>379</v>
      </c>
      <c r="D882" s="1">
        <v>0.85416666666666663</v>
      </c>
      <c r="E882" t="s">
        <v>21</v>
      </c>
      <c r="F882" t="s">
        <v>26</v>
      </c>
      <c r="G882" t="s">
        <v>42</v>
      </c>
      <c r="H882" t="s">
        <v>345</v>
      </c>
    </row>
    <row r="883" spans="1:8" x14ac:dyDescent="0.3">
      <c r="A883" t="s">
        <v>335</v>
      </c>
      <c r="B883">
        <v>13</v>
      </c>
      <c r="C883" t="s">
        <v>380</v>
      </c>
      <c r="D883" s="1">
        <v>0.66666666666666663</v>
      </c>
      <c r="E883" t="s">
        <v>20</v>
      </c>
      <c r="F883" t="s">
        <v>10</v>
      </c>
      <c r="G883" t="s">
        <v>88</v>
      </c>
      <c r="H883" t="s">
        <v>207</v>
      </c>
    </row>
    <row r="884" spans="1:8" x14ac:dyDescent="0.3">
      <c r="A884" t="s">
        <v>335</v>
      </c>
      <c r="B884">
        <v>13</v>
      </c>
      <c r="C884" t="s">
        <v>380</v>
      </c>
      <c r="D884" s="1">
        <v>0.76041666666666663</v>
      </c>
      <c r="E884" t="s">
        <v>28</v>
      </c>
      <c r="F884" t="s">
        <v>36</v>
      </c>
      <c r="G884" t="s">
        <v>18</v>
      </c>
      <c r="H884" t="s">
        <v>183</v>
      </c>
    </row>
    <row r="885" spans="1:8" x14ac:dyDescent="0.3">
      <c r="A885" t="s">
        <v>335</v>
      </c>
      <c r="B885">
        <v>13</v>
      </c>
      <c r="C885" t="s">
        <v>380</v>
      </c>
      <c r="D885" s="1">
        <v>0.85416666666666663</v>
      </c>
      <c r="E885" t="s">
        <v>17</v>
      </c>
      <c r="F885" t="s">
        <v>24</v>
      </c>
      <c r="G885" s="2">
        <v>46055</v>
      </c>
      <c r="H885" t="s">
        <v>198</v>
      </c>
    </row>
    <row r="886" spans="1:8" x14ac:dyDescent="0.3">
      <c r="A886" t="s">
        <v>335</v>
      </c>
      <c r="B886">
        <v>13</v>
      </c>
      <c r="C886" t="s">
        <v>380</v>
      </c>
      <c r="D886" s="1">
        <v>0.91666666666666663</v>
      </c>
      <c r="E886" t="s">
        <v>338</v>
      </c>
      <c r="F886" t="s">
        <v>182</v>
      </c>
      <c r="G886" t="s">
        <v>54</v>
      </c>
      <c r="H886" t="s">
        <v>195</v>
      </c>
    </row>
    <row r="887" spans="1:8" x14ac:dyDescent="0.3">
      <c r="A887" t="s">
        <v>335</v>
      </c>
      <c r="B887">
        <v>13</v>
      </c>
      <c r="C887" t="s">
        <v>380</v>
      </c>
      <c r="D887" s="1">
        <v>0.92013888888888884</v>
      </c>
      <c r="E887" t="s">
        <v>35</v>
      </c>
      <c r="F887" t="s">
        <v>340</v>
      </c>
      <c r="G887" s="2">
        <v>46024</v>
      </c>
      <c r="H887" t="s">
        <v>197</v>
      </c>
    </row>
    <row r="888" spans="1:8" x14ac:dyDescent="0.3">
      <c r="A888" t="s">
        <v>335</v>
      </c>
      <c r="B888">
        <v>13</v>
      </c>
      <c r="C888" t="s">
        <v>381</v>
      </c>
      <c r="D888" s="1">
        <v>0.5</v>
      </c>
      <c r="E888" t="s">
        <v>11</v>
      </c>
      <c r="F888" t="s">
        <v>34</v>
      </c>
      <c r="G888" t="s">
        <v>12</v>
      </c>
      <c r="H888" t="s">
        <v>206</v>
      </c>
    </row>
    <row r="889" spans="1:8" x14ac:dyDescent="0.3">
      <c r="A889" t="s">
        <v>335</v>
      </c>
      <c r="B889">
        <v>13</v>
      </c>
      <c r="C889" t="s">
        <v>381</v>
      </c>
      <c r="D889" s="1">
        <v>0.66666666666666663</v>
      </c>
      <c r="E889" t="s">
        <v>187</v>
      </c>
      <c r="F889" t="s">
        <v>25</v>
      </c>
      <c r="G889" t="s">
        <v>54</v>
      </c>
      <c r="H889" t="s">
        <v>194</v>
      </c>
    </row>
    <row r="890" spans="1:8" x14ac:dyDescent="0.3">
      <c r="A890" t="s">
        <v>335</v>
      </c>
      <c r="B890">
        <v>13</v>
      </c>
      <c r="C890" t="s">
        <v>381</v>
      </c>
      <c r="D890" s="1">
        <v>0.76041666666666663</v>
      </c>
      <c r="E890" t="s">
        <v>30</v>
      </c>
      <c r="F890" t="s">
        <v>15</v>
      </c>
      <c r="G890" t="s">
        <v>46</v>
      </c>
      <c r="H890" t="s">
        <v>185</v>
      </c>
    </row>
    <row r="891" spans="1:8" x14ac:dyDescent="0.3">
      <c r="A891" t="s">
        <v>335</v>
      </c>
      <c r="B891">
        <v>13</v>
      </c>
      <c r="C891" t="s">
        <v>381</v>
      </c>
      <c r="D891" s="1">
        <v>0.85416666666666663</v>
      </c>
      <c r="E891" t="s">
        <v>27</v>
      </c>
      <c r="F891" t="s">
        <v>16</v>
      </c>
      <c r="G891" t="s">
        <v>18</v>
      </c>
      <c r="H891" t="s">
        <v>204</v>
      </c>
    </row>
    <row r="892" spans="1:8" x14ac:dyDescent="0.3">
      <c r="A892" t="s">
        <v>335</v>
      </c>
      <c r="B892">
        <v>14</v>
      </c>
      <c r="C892" t="s">
        <v>382</v>
      </c>
      <c r="D892" s="1">
        <v>0.66666666666666663</v>
      </c>
      <c r="E892" t="s">
        <v>25</v>
      </c>
      <c r="F892" t="s">
        <v>11</v>
      </c>
      <c r="G892" s="2">
        <v>46026</v>
      </c>
      <c r="H892" t="s">
        <v>181</v>
      </c>
    </row>
    <row r="893" spans="1:8" x14ac:dyDescent="0.3">
      <c r="A893" t="s">
        <v>335</v>
      </c>
      <c r="B893">
        <v>14</v>
      </c>
      <c r="C893" t="s">
        <v>382</v>
      </c>
      <c r="D893" s="1">
        <v>0.76041666666666663</v>
      </c>
      <c r="E893" t="s">
        <v>24</v>
      </c>
      <c r="F893" t="s">
        <v>28</v>
      </c>
      <c r="G893" t="s">
        <v>54</v>
      </c>
      <c r="H893" t="s">
        <v>202</v>
      </c>
    </row>
    <row r="894" spans="1:8" x14ac:dyDescent="0.3">
      <c r="A894" t="s">
        <v>335</v>
      </c>
      <c r="B894">
        <v>14</v>
      </c>
      <c r="C894" t="s">
        <v>382</v>
      </c>
      <c r="D894" s="1">
        <v>0.85416666666666663</v>
      </c>
      <c r="E894" t="s">
        <v>16</v>
      </c>
      <c r="F894" t="s">
        <v>20</v>
      </c>
      <c r="G894" s="2">
        <v>46023</v>
      </c>
      <c r="H894" t="s">
        <v>197</v>
      </c>
    </row>
    <row r="895" spans="1:8" x14ac:dyDescent="0.3">
      <c r="A895" t="s">
        <v>335</v>
      </c>
      <c r="B895">
        <v>14</v>
      </c>
      <c r="C895" t="s">
        <v>382</v>
      </c>
      <c r="D895" s="1">
        <v>0.91666666666666663</v>
      </c>
      <c r="E895" t="s">
        <v>182</v>
      </c>
      <c r="F895" t="s">
        <v>27</v>
      </c>
      <c r="G895" s="2">
        <v>46023</v>
      </c>
      <c r="H895" t="s">
        <v>341</v>
      </c>
    </row>
    <row r="896" spans="1:8" x14ac:dyDescent="0.3">
      <c r="A896" t="s">
        <v>335</v>
      </c>
      <c r="B896">
        <v>14</v>
      </c>
      <c r="C896" t="s">
        <v>382</v>
      </c>
      <c r="D896" s="1">
        <v>0.92013888888888884</v>
      </c>
      <c r="E896" t="s">
        <v>26</v>
      </c>
      <c r="F896" t="s">
        <v>35</v>
      </c>
      <c r="G896" s="2">
        <v>46023</v>
      </c>
      <c r="H896" t="s">
        <v>185</v>
      </c>
    </row>
    <row r="897" spans="1:8" x14ac:dyDescent="0.3">
      <c r="A897" t="s">
        <v>335</v>
      </c>
      <c r="B897">
        <v>14</v>
      </c>
      <c r="C897" t="s">
        <v>383</v>
      </c>
      <c r="D897" s="1">
        <v>0.5</v>
      </c>
      <c r="E897" t="s">
        <v>10</v>
      </c>
      <c r="F897" t="s">
        <v>187</v>
      </c>
      <c r="G897" s="2">
        <v>46024</v>
      </c>
      <c r="H897" t="s">
        <v>190</v>
      </c>
    </row>
    <row r="898" spans="1:8" x14ac:dyDescent="0.3">
      <c r="A898" t="s">
        <v>335</v>
      </c>
      <c r="B898">
        <v>14</v>
      </c>
      <c r="C898" t="s">
        <v>383</v>
      </c>
      <c r="D898" s="1">
        <v>0.66666666666666663</v>
      </c>
      <c r="E898" t="s">
        <v>34</v>
      </c>
      <c r="F898" t="s">
        <v>30</v>
      </c>
      <c r="G898" s="2">
        <v>46024</v>
      </c>
      <c r="H898" t="s">
        <v>198</v>
      </c>
    </row>
    <row r="899" spans="1:8" x14ac:dyDescent="0.3">
      <c r="A899" t="s">
        <v>335</v>
      </c>
      <c r="B899">
        <v>14</v>
      </c>
      <c r="C899" t="s">
        <v>383</v>
      </c>
      <c r="D899" s="1">
        <v>0.76041666666666663</v>
      </c>
      <c r="E899" t="s">
        <v>340</v>
      </c>
      <c r="F899" t="s">
        <v>338</v>
      </c>
      <c r="G899" s="2">
        <v>46025</v>
      </c>
      <c r="H899" t="s">
        <v>73</v>
      </c>
    </row>
    <row r="900" spans="1:8" x14ac:dyDescent="0.3">
      <c r="A900" t="s">
        <v>335</v>
      </c>
      <c r="B900">
        <v>14</v>
      </c>
      <c r="C900" t="s">
        <v>383</v>
      </c>
      <c r="D900" s="1">
        <v>0.85416666666666663</v>
      </c>
      <c r="E900" t="s">
        <v>15</v>
      </c>
      <c r="F900" t="s">
        <v>17</v>
      </c>
      <c r="G900" t="s">
        <v>41</v>
      </c>
      <c r="H900" t="s">
        <v>188</v>
      </c>
    </row>
    <row r="901" spans="1:8" x14ac:dyDescent="0.3">
      <c r="A901" t="s">
        <v>335</v>
      </c>
      <c r="B901">
        <v>14</v>
      </c>
      <c r="C901" t="s">
        <v>384</v>
      </c>
      <c r="D901" s="1">
        <v>0.85416666666666663</v>
      </c>
      <c r="E901" t="s">
        <v>36</v>
      </c>
      <c r="F901" t="s">
        <v>21</v>
      </c>
      <c r="G901" s="2">
        <v>46023</v>
      </c>
      <c r="H901" t="s">
        <v>204</v>
      </c>
    </row>
    <row r="902" spans="1:8" x14ac:dyDescent="0.3">
      <c r="A902" t="s">
        <v>335</v>
      </c>
      <c r="B902">
        <v>15</v>
      </c>
      <c r="C902" t="s">
        <v>385</v>
      </c>
      <c r="D902" s="1">
        <v>0.85416666666666663</v>
      </c>
      <c r="E902" t="s">
        <v>11</v>
      </c>
      <c r="F902" t="s">
        <v>10</v>
      </c>
      <c r="G902" s="2">
        <v>46023</v>
      </c>
      <c r="H902" t="s">
        <v>200</v>
      </c>
    </row>
    <row r="903" spans="1:8" x14ac:dyDescent="0.3">
      <c r="A903" t="s">
        <v>335</v>
      </c>
      <c r="B903">
        <v>15</v>
      </c>
      <c r="C903" t="s">
        <v>386</v>
      </c>
      <c r="D903" s="1">
        <v>0.66666666666666663</v>
      </c>
      <c r="E903" t="s">
        <v>20</v>
      </c>
      <c r="F903" t="s">
        <v>182</v>
      </c>
      <c r="G903" s="2">
        <v>46055</v>
      </c>
      <c r="H903" t="s">
        <v>345</v>
      </c>
    </row>
    <row r="904" spans="1:8" x14ac:dyDescent="0.3">
      <c r="A904" t="s">
        <v>335</v>
      </c>
      <c r="B904">
        <v>15</v>
      </c>
      <c r="C904" t="s">
        <v>386</v>
      </c>
      <c r="D904" s="1">
        <v>0.76041666666666663</v>
      </c>
      <c r="E904" t="s">
        <v>35</v>
      </c>
      <c r="F904" t="s">
        <v>36</v>
      </c>
      <c r="G904" t="s">
        <v>18</v>
      </c>
      <c r="H904" t="s">
        <v>191</v>
      </c>
    </row>
    <row r="905" spans="1:8" x14ac:dyDescent="0.3">
      <c r="A905" t="s">
        <v>335</v>
      </c>
      <c r="B905">
        <v>15</v>
      </c>
      <c r="C905" t="s">
        <v>386</v>
      </c>
      <c r="D905" s="1">
        <v>0.76041666666666663</v>
      </c>
      <c r="E905" t="s">
        <v>21</v>
      </c>
      <c r="F905" t="s">
        <v>24</v>
      </c>
      <c r="G905" s="2">
        <v>46054</v>
      </c>
      <c r="H905" t="s">
        <v>183</v>
      </c>
    </row>
    <row r="906" spans="1:8" x14ac:dyDescent="0.3">
      <c r="A906" t="s">
        <v>335</v>
      </c>
      <c r="B906">
        <v>15</v>
      </c>
      <c r="C906" t="s">
        <v>386</v>
      </c>
      <c r="D906" s="1">
        <v>0.85416666666666663</v>
      </c>
      <c r="E906" t="s">
        <v>27</v>
      </c>
      <c r="F906" t="s">
        <v>340</v>
      </c>
      <c r="G906" t="s">
        <v>12</v>
      </c>
      <c r="H906" t="s">
        <v>184</v>
      </c>
    </row>
    <row r="907" spans="1:8" x14ac:dyDescent="0.3">
      <c r="A907" t="s">
        <v>335</v>
      </c>
      <c r="B907">
        <v>15</v>
      </c>
      <c r="C907" t="s">
        <v>386</v>
      </c>
      <c r="D907" s="1">
        <v>0.92013888888888884</v>
      </c>
      <c r="E907" t="s">
        <v>338</v>
      </c>
      <c r="F907" t="s">
        <v>26</v>
      </c>
      <c r="G907" t="s">
        <v>18</v>
      </c>
      <c r="H907" t="s">
        <v>194</v>
      </c>
    </row>
    <row r="908" spans="1:8" x14ac:dyDescent="0.3">
      <c r="A908" t="s">
        <v>335</v>
      </c>
      <c r="B908">
        <v>15</v>
      </c>
      <c r="C908" t="s">
        <v>387</v>
      </c>
      <c r="D908" s="1">
        <v>0.5</v>
      </c>
      <c r="E908" t="s">
        <v>30</v>
      </c>
      <c r="F908" t="s">
        <v>17</v>
      </c>
      <c r="G908" s="2">
        <v>46054</v>
      </c>
      <c r="H908" t="s">
        <v>195</v>
      </c>
    </row>
    <row r="909" spans="1:8" x14ac:dyDescent="0.3">
      <c r="A909" t="s">
        <v>335</v>
      </c>
      <c r="B909">
        <v>15</v>
      </c>
      <c r="C909" t="s">
        <v>387</v>
      </c>
      <c r="D909" s="1">
        <v>0.66666666666666663</v>
      </c>
      <c r="E909" t="s">
        <v>187</v>
      </c>
      <c r="F909" t="s">
        <v>16</v>
      </c>
      <c r="G909" s="2">
        <v>46023</v>
      </c>
      <c r="H909" t="s">
        <v>206</v>
      </c>
    </row>
    <row r="910" spans="1:8" x14ac:dyDescent="0.3">
      <c r="A910" t="s">
        <v>335</v>
      </c>
      <c r="B910">
        <v>15</v>
      </c>
      <c r="C910" t="s">
        <v>387</v>
      </c>
      <c r="D910" s="1">
        <v>0.76041666666666663</v>
      </c>
      <c r="E910" t="s">
        <v>28</v>
      </c>
      <c r="F910" t="s">
        <v>15</v>
      </c>
      <c r="G910" s="2">
        <v>46024</v>
      </c>
      <c r="H910" t="s">
        <v>205</v>
      </c>
    </row>
    <row r="911" spans="1:8" x14ac:dyDescent="0.3">
      <c r="A911" t="s">
        <v>335</v>
      </c>
      <c r="B911">
        <v>15</v>
      </c>
      <c r="C911" t="s">
        <v>387</v>
      </c>
      <c r="D911" s="1">
        <v>0.85416666666666663</v>
      </c>
      <c r="E911" t="s">
        <v>34</v>
      </c>
      <c r="F911" t="s">
        <v>25</v>
      </c>
      <c r="G911" t="s">
        <v>18</v>
      </c>
      <c r="H911" t="s">
        <v>73</v>
      </c>
    </row>
    <row r="912" spans="1:8" x14ac:dyDescent="0.3">
      <c r="A912" t="s">
        <v>335</v>
      </c>
      <c r="B912">
        <v>16</v>
      </c>
      <c r="C912" t="s">
        <v>388</v>
      </c>
      <c r="D912" s="1">
        <v>0.66666666666666663</v>
      </c>
      <c r="E912" t="s">
        <v>16</v>
      </c>
      <c r="F912" t="s">
        <v>11</v>
      </c>
      <c r="G912" s="2">
        <v>46055</v>
      </c>
      <c r="H912" t="s">
        <v>191</v>
      </c>
    </row>
    <row r="913" spans="1:8" x14ac:dyDescent="0.3">
      <c r="A913" t="s">
        <v>335</v>
      </c>
      <c r="B913">
        <v>16</v>
      </c>
      <c r="C913" t="s">
        <v>388</v>
      </c>
      <c r="D913" s="1">
        <v>0.76041666666666663</v>
      </c>
      <c r="E913" t="s">
        <v>36</v>
      </c>
      <c r="F913" t="s">
        <v>338</v>
      </c>
      <c r="G913" t="s">
        <v>18</v>
      </c>
      <c r="H913" t="s">
        <v>190</v>
      </c>
    </row>
    <row r="914" spans="1:8" x14ac:dyDescent="0.3">
      <c r="A914" t="s">
        <v>335</v>
      </c>
      <c r="B914">
        <v>16</v>
      </c>
      <c r="C914" t="s">
        <v>388</v>
      </c>
      <c r="D914" s="1">
        <v>0.85416666666666663</v>
      </c>
      <c r="E914" t="s">
        <v>26</v>
      </c>
      <c r="F914" t="s">
        <v>27</v>
      </c>
      <c r="G914" t="s">
        <v>41</v>
      </c>
      <c r="H914" t="s">
        <v>195</v>
      </c>
    </row>
    <row r="915" spans="1:8" x14ac:dyDescent="0.3">
      <c r="A915" t="s">
        <v>335</v>
      </c>
      <c r="B915">
        <v>16</v>
      </c>
      <c r="C915" t="s">
        <v>388</v>
      </c>
      <c r="D915" s="1">
        <v>0.92013888888888884</v>
      </c>
      <c r="E915" t="s">
        <v>182</v>
      </c>
      <c r="F915" t="s">
        <v>187</v>
      </c>
      <c r="G915" t="s">
        <v>12</v>
      </c>
      <c r="H915" t="s">
        <v>198</v>
      </c>
    </row>
    <row r="916" spans="1:8" x14ac:dyDescent="0.3">
      <c r="A916" t="s">
        <v>335</v>
      </c>
      <c r="B916">
        <v>16</v>
      </c>
      <c r="C916" t="s">
        <v>389</v>
      </c>
      <c r="D916" s="1">
        <v>0.66666666666666663</v>
      </c>
      <c r="E916" t="s">
        <v>25</v>
      </c>
      <c r="F916" t="s">
        <v>30</v>
      </c>
      <c r="G916" s="2">
        <v>46063</v>
      </c>
      <c r="H916" t="s">
        <v>207</v>
      </c>
    </row>
    <row r="917" spans="1:8" x14ac:dyDescent="0.3">
      <c r="A917" t="s">
        <v>335</v>
      </c>
      <c r="B917">
        <v>16</v>
      </c>
      <c r="C917" t="s">
        <v>389</v>
      </c>
      <c r="D917" s="1">
        <v>0.76041666666666663</v>
      </c>
      <c r="E917" t="s">
        <v>15</v>
      </c>
      <c r="F917" t="s">
        <v>21</v>
      </c>
      <c r="G917" t="s">
        <v>12</v>
      </c>
      <c r="H917" t="s">
        <v>185</v>
      </c>
    </row>
    <row r="918" spans="1:8" x14ac:dyDescent="0.3">
      <c r="A918" t="s">
        <v>335</v>
      </c>
      <c r="B918">
        <v>16</v>
      </c>
      <c r="C918" t="s">
        <v>389</v>
      </c>
      <c r="D918" s="1">
        <v>0.76041666666666663</v>
      </c>
      <c r="E918" t="s">
        <v>24</v>
      </c>
      <c r="F918" t="s">
        <v>35</v>
      </c>
      <c r="G918" t="s">
        <v>54</v>
      </c>
      <c r="H918" t="s">
        <v>205</v>
      </c>
    </row>
    <row r="919" spans="1:8" x14ac:dyDescent="0.3">
      <c r="A919" t="s">
        <v>335</v>
      </c>
      <c r="B919">
        <v>16</v>
      </c>
      <c r="C919" t="s">
        <v>389</v>
      </c>
      <c r="D919" s="1">
        <v>0.76041666666666663</v>
      </c>
      <c r="E919" t="s">
        <v>10</v>
      </c>
      <c r="F919" t="s">
        <v>34</v>
      </c>
      <c r="G919" t="s">
        <v>54</v>
      </c>
      <c r="H919" t="s">
        <v>184</v>
      </c>
    </row>
    <row r="920" spans="1:8" x14ac:dyDescent="0.3">
      <c r="A920" t="s">
        <v>335</v>
      </c>
      <c r="B920">
        <v>16</v>
      </c>
      <c r="C920" t="s">
        <v>389</v>
      </c>
      <c r="D920" s="1">
        <v>0.85416666666666663</v>
      </c>
      <c r="E920" t="s">
        <v>17</v>
      </c>
      <c r="F920" t="s">
        <v>28</v>
      </c>
      <c r="G920" t="s">
        <v>18</v>
      </c>
      <c r="H920" t="s">
        <v>181</v>
      </c>
    </row>
    <row r="921" spans="1:8" x14ac:dyDescent="0.3">
      <c r="A921" t="s">
        <v>335</v>
      </c>
      <c r="B921">
        <v>16</v>
      </c>
      <c r="C921" t="s">
        <v>390</v>
      </c>
      <c r="D921" s="1">
        <v>0.77083333333333337</v>
      </c>
      <c r="E921" t="s">
        <v>340</v>
      </c>
      <c r="F921" t="s">
        <v>20</v>
      </c>
      <c r="G921" s="2">
        <v>46082</v>
      </c>
      <c r="H921" t="s">
        <v>341</v>
      </c>
    </row>
    <row r="922" spans="1:8" x14ac:dyDescent="0.3">
      <c r="A922" t="s">
        <v>335</v>
      </c>
      <c r="B922">
        <v>17</v>
      </c>
      <c r="C922" t="s">
        <v>391</v>
      </c>
      <c r="D922" s="1">
        <v>0.66666666666666663</v>
      </c>
      <c r="E922" t="s">
        <v>21</v>
      </c>
      <c r="F922" t="s">
        <v>17</v>
      </c>
      <c r="G922" t="s">
        <v>42</v>
      </c>
      <c r="H922" t="s">
        <v>194</v>
      </c>
    </row>
    <row r="923" spans="1:8" x14ac:dyDescent="0.3">
      <c r="A923" t="s">
        <v>335</v>
      </c>
      <c r="B923">
        <v>17</v>
      </c>
      <c r="C923" t="s">
        <v>391</v>
      </c>
      <c r="D923" s="1">
        <v>0.66666666666666663</v>
      </c>
      <c r="E923" t="s">
        <v>25</v>
      </c>
      <c r="F923" t="s">
        <v>10</v>
      </c>
      <c r="G923" s="2">
        <v>46025</v>
      </c>
      <c r="H923" t="s">
        <v>206</v>
      </c>
    </row>
    <row r="924" spans="1:8" x14ac:dyDescent="0.3">
      <c r="A924" t="s">
        <v>335</v>
      </c>
      <c r="B924">
        <v>17</v>
      </c>
      <c r="C924" t="s">
        <v>391</v>
      </c>
      <c r="D924" s="1">
        <v>0.76041666666666663</v>
      </c>
      <c r="E924" t="s">
        <v>30</v>
      </c>
      <c r="F924" t="s">
        <v>28</v>
      </c>
      <c r="G924" t="s">
        <v>54</v>
      </c>
      <c r="H924" t="s">
        <v>345</v>
      </c>
    </row>
    <row r="925" spans="1:8" x14ac:dyDescent="0.3">
      <c r="A925" t="s">
        <v>335</v>
      </c>
      <c r="B925">
        <v>17</v>
      </c>
      <c r="C925" t="s">
        <v>391</v>
      </c>
      <c r="D925" s="1">
        <v>0.76041666666666663</v>
      </c>
      <c r="E925" t="s">
        <v>27</v>
      </c>
      <c r="F925" t="s">
        <v>36</v>
      </c>
      <c r="G925" t="s">
        <v>12</v>
      </c>
      <c r="H925" t="s">
        <v>207</v>
      </c>
    </row>
    <row r="926" spans="1:8" x14ac:dyDescent="0.3">
      <c r="A926" t="s">
        <v>335</v>
      </c>
      <c r="B926">
        <v>17</v>
      </c>
      <c r="C926" t="s">
        <v>391</v>
      </c>
      <c r="D926" s="1">
        <v>0.77083333333333337</v>
      </c>
      <c r="E926" t="s">
        <v>187</v>
      </c>
      <c r="F926" t="s">
        <v>340</v>
      </c>
      <c r="G926" t="s">
        <v>12</v>
      </c>
      <c r="H926" t="s">
        <v>204</v>
      </c>
    </row>
    <row r="927" spans="1:8" x14ac:dyDescent="0.3">
      <c r="A927" t="s">
        <v>335</v>
      </c>
      <c r="B927">
        <v>17</v>
      </c>
      <c r="C927" t="s">
        <v>391</v>
      </c>
      <c r="D927" s="1">
        <v>0.85416666666666663</v>
      </c>
      <c r="E927" t="s">
        <v>20</v>
      </c>
      <c r="F927" t="s">
        <v>26</v>
      </c>
      <c r="G927" t="s">
        <v>88</v>
      </c>
      <c r="H927" t="s">
        <v>183</v>
      </c>
    </row>
    <row r="928" spans="1:8" x14ac:dyDescent="0.3">
      <c r="A928" t="s">
        <v>335</v>
      </c>
      <c r="B928">
        <v>17</v>
      </c>
      <c r="C928" t="s">
        <v>391</v>
      </c>
      <c r="D928" s="1">
        <v>0.85416666666666663</v>
      </c>
      <c r="E928" t="s">
        <v>35</v>
      </c>
      <c r="F928" t="s">
        <v>15</v>
      </c>
      <c r="G928" t="s">
        <v>42</v>
      </c>
      <c r="H928" t="s">
        <v>200</v>
      </c>
    </row>
    <row r="929" spans="1:8" x14ac:dyDescent="0.3">
      <c r="A929" t="s">
        <v>335</v>
      </c>
      <c r="B929">
        <v>17</v>
      </c>
      <c r="C929" t="s">
        <v>391</v>
      </c>
      <c r="D929" s="1">
        <v>0.85416666666666663</v>
      </c>
      <c r="E929" t="s">
        <v>11</v>
      </c>
      <c r="F929" t="s">
        <v>182</v>
      </c>
      <c r="G929" t="s">
        <v>41</v>
      </c>
      <c r="H929" t="s">
        <v>73</v>
      </c>
    </row>
    <row r="930" spans="1:8" x14ac:dyDescent="0.3">
      <c r="A930" t="s">
        <v>335</v>
      </c>
      <c r="B930">
        <v>17</v>
      </c>
      <c r="C930" t="s">
        <v>391</v>
      </c>
      <c r="D930" s="1">
        <v>0.875</v>
      </c>
      <c r="E930" t="s">
        <v>338</v>
      </c>
      <c r="F930" t="s">
        <v>24</v>
      </c>
      <c r="G930" s="2">
        <v>46026</v>
      </c>
      <c r="H930" t="s">
        <v>197</v>
      </c>
    </row>
    <row r="931" spans="1:8" x14ac:dyDescent="0.3">
      <c r="A931" t="s">
        <v>335</v>
      </c>
      <c r="B931">
        <v>17</v>
      </c>
      <c r="C931" t="s">
        <v>392</v>
      </c>
      <c r="D931" s="1">
        <v>0.66666666666666663</v>
      </c>
      <c r="E931" t="s">
        <v>34</v>
      </c>
      <c r="F931" t="s">
        <v>16</v>
      </c>
      <c r="G931" t="s">
        <v>18</v>
      </c>
      <c r="H931" t="s">
        <v>188</v>
      </c>
    </row>
    <row r="932" spans="1:8" x14ac:dyDescent="0.3">
      <c r="A932" t="s">
        <v>335</v>
      </c>
      <c r="B932">
        <v>18</v>
      </c>
      <c r="C932" t="s">
        <v>393</v>
      </c>
      <c r="D932" s="1">
        <v>0.66666666666666663</v>
      </c>
      <c r="E932" t="s">
        <v>36</v>
      </c>
      <c r="F932" t="s">
        <v>20</v>
      </c>
      <c r="G932" t="s">
        <v>41</v>
      </c>
      <c r="H932" t="s">
        <v>206</v>
      </c>
    </row>
    <row r="933" spans="1:8" x14ac:dyDescent="0.3">
      <c r="A933" t="s">
        <v>335</v>
      </c>
      <c r="B933">
        <v>18</v>
      </c>
      <c r="C933" t="s">
        <v>393</v>
      </c>
      <c r="D933" s="1">
        <v>0.85416666666666663</v>
      </c>
      <c r="E933" t="s">
        <v>28</v>
      </c>
      <c r="F933" t="s">
        <v>21</v>
      </c>
      <c r="G933" t="s">
        <v>18</v>
      </c>
      <c r="H933" t="s">
        <v>195</v>
      </c>
    </row>
    <row r="934" spans="1:8" x14ac:dyDescent="0.3">
      <c r="A934" t="s">
        <v>335</v>
      </c>
      <c r="B934">
        <v>18</v>
      </c>
      <c r="C934" t="s">
        <v>393</v>
      </c>
      <c r="D934" s="1">
        <v>0.92013888888888884</v>
      </c>
      <c r="E934" t="s">
        <v>17</v>
      </c>
      <c r="F934" t="s">
        <v>35</v>
      </c>
      <c r="G934" t="s">
        <v>12</v>
      </c>
      <c r="H934" t="s">
        <v>183</v>
      </c>
    </row>
    <row r="935" spans="1:8" x14ac:dyDescent="0.3">
      <c r="A935" t="s">
        <v>335</v>
      </c>
      <c r="B935">
        <v>18</v>
      </c>
      <c r="C935" t="s">
        <v>394</v>
      </c>
      <c r="D935" s="1">
        <v>0.5</v>
      </c>
      <c r="E935" t="s">
        <v>30</v>
      </c>
      <c r="F935" t="s">
        <v>10</v>
      </c>
      <c r="G935" s="2">
        <v>46055</v>
      </c>
      <c r="H935" t="s">
        <v>181</v>
      </c>
    </row>
    <row r="936" spans="1:8" x14ac:dyDescent="0.3">
      <c r="A936" t="s">
        <v>335</v>
      </c>
      <c r="B936">
        <v>18</v>
      </c>
      <c r="C936" t="s">
        <v>394</v>
      </c>
      <c r="D936" s="1">
        <v>0.66666666666666663</v>
      </c>
      <c r="E936" t="s">
        <v>26</v>
      </c>
      <c r="F936" t="s">
        <v>187</v>
      </c>
      <c r="G936" t="s">
        <v>53</v>
      </c>
      <c r="H936" t="s">
        <v>202</v>
      </c>
    </row>
    <row r="937" spans="1:8" x14ac:dyDescent="0.3">
      <c r="A937" t="s">
        <v>335</v>
      </c>
      <c r="B937">
        <v>18</v>
      </c>
      <c r="C937" t="s">
        <v>394</v>
      </c>
      <c r="D937" s="1">
        <v>0.66666666666666663</v>
      </c>
      <c r="E937" t="s">
        <v>24</v>
      </c>
      <c r="F937" t="s">
        <v>27</v>
      </c>
      <c r="G937" s="2">
        <v>46024</v>
      </c>
      <c r="H937" t="s">
        <v>73</v>
      </c>
    </row>
    <row r="938" spans="1:8" x14ac:dyDescent="0.3">
      <c r="A938" t="s">
        <v>335</v>
      </c>
      <c r="B938">
        <v>18</v>
      </c>
      <c r="C938" t="s">
        <v>394</v>
      </c>
      <c r="D938" s="1">
        <v>0.76041666666666663</v>
      </c>
      <c r="E938" t="s">
        <v>15</v>
      </c>
      <c r="F938" t="s">
        <v>338</v>
      </c>
      <c r="G938" s="2">
        <v>46055</v>
      </c>
      <c r="H938" t="s">
        <v>184</v>
      </c>
    </row>
    <row r="939" spans="1:8" x14ac:dyDescent="0.3">
      <c r="A939" t="s">
        <v>335</v>
      </c>
      <c r="B939">
        <v>18</v>
      </c>
      <c r="C939" t="s">
        <v>394</v>
      </c>
      <c r="D939" s="1">
        <v>0.76041666666666663</v>
      </c>
      <c r="E939" t="s">
        <v>182</v>
      </c>
      <c r="F939" t="s">
        <v>34</v>
      </c>
      <c r="G939" s="2">
        <v>46054</v>
      </c>
      <c r="H939" t="s">
        <v>191</v>
      </c>
    </row>
    <row r="940" spans="1:8" x14ac:dyDescent="0.3">
      <c r="A940" t="s">
        <v>335</v>
      </c>
      <c r="B940">
        <v>18</v>
      </c>
      <c r="C940" t="s">
        <v>394</v>
      </c>
      <c r="D940" s="1">
        <v>0.85416666666666663</v>
      </c>
      <c r="E940" t="s">
        <v>16</v>
      </c>
      <c r="F940" t="s">
        <v>25</v>
      </c>
      <c r="G940" s="2">
        <v>46055</v>
      </c>
      <c r="H940" t="s">
        <v>345</v>
      </c>
    </row>
    <row r="941" spans="1:8" x14ac:dyDescent="0.3">
      <c r="A941" t="s">
        <v>335</v>
      </c>
      <c r="B941">
        <v>18</v>
      </c>
      <c r="C941" t="s">
        <v>395</v>
      </c>
      <c r="D941" s="1">
        <v>0.85416666666666663</v>
      </c>
      <c r="E941" t="s">
        <v>340</v>
      </c>
      <c r="F941" t="s">
        <v>11</v>
      </c>
      <c r="G941" s="2">
        <v>46054</v>
      </c>
      <c r="H941" t="s">
        <v>198</v>
      </c>
    </row>
    <row r="942" spans="1:8" x14ac:dyDescent="0.3">
      <c r="A942" t="s">
        <v>335</v>
      </c>
      <c r="B942">
        <v>19</v>
      </c>
      <c r="C942" t="s">
        <v>396</v>
      </c>
      <c r="D942" s="1">
        <v>0.66666666666666663</v>
      </c>
      <c r="E942" t="s">
        <v>20</v>
      </c>
      <c r="F942" t="s">
        <v>24</v>
      </c>
      <c r="G942" t="s">
        <v>88</v>
      </c>
      <c r="H942" t="s">
        <v>204</v>
      </c>
    </row>
    <row r="943" spans="1:8" x14ac:dyDescent="0.3">
      <c r="A943" t="s">
        <v>335</v>
      </c>
      <c r="B943">
        <v>19</v>
      </c>
      <c r="C943" t="s">
        <v>396</v>
      </c>
      <c r="D943" s="1">
        <v>0.76041666666666663</v>
      </c>
      <c r="E943" t="s">
        <v>11</v>
      </c>
      <c r="F943" t="s">
        <v>26</v>
      </c>
      <c r="G943" t="s">
        <v>18</v>
      </c>
      <c r="H943" t="s">
        <v>188</v>
      </c>
    </row>
    <row r="944" spans="1:8" x14ac:dyDescent="0.3">
      <c r="A944" t="s">
        <v>335</v>
      </c>
      <c r="B944">
        <v>19</v>
      </c>
      <c r="C944" t="s">
        <v>396</v>
      </c>
      <c r="D944" s="1">
        <v>0.76041666666666663</v>
      </c>
      <c r="E944" t="s">
        <v>27</v>
      </c>
      <c r="F944" t="s">
        <v>15</v>
      </c>
      <c r="G944" t="s">
        <v>12</v>
      </c>
      <c r="H944" t="s">
        <v>202</v>
      </c>
    </row>
    <row r="945" spans="1:8" x14ac:dyDescent="0.3">
      <c r="A945" t="s">
        <v>335</v>
      </c>
      <c r="B945">
        <v>19</v>
      </c>
      <c r="C945" t="s">
        <v>396</v>
      </c>
      <c r="D945" s="1">
        <v>0.85416666666666663</v>
      </c>
      <c r="E945" t="s">
        <v>25</v>
      </c>
      <c r="F945" t="s">
        <v>182</v>
      </c>
      <c r="G945" t="s">
        <v>40</v>
      </c>
      <c r="H945" t="s">
        <v>200</v>
      </c>
    </row>
    <row r="946" spans="1:8" x14ac:dyDescent="0.3">
      <c r="A946" t="s">
        <v>335</v>
      </c>
      <c r="B946">
        <v>19</v>
      </c>
      <c r="C946" t="s">
        <v>396</v>
      </c>
      <c r="D946" s="1">
        <v>0.92013888888888884</v>
      </c>
      <c r="E946" t="s">
        <v>21</v>
      </c>
      <c r="F946" t="s">
        <v>30</v>
      </c>
      <c r="G946" s="2">
        <v>46024</v>
      </c>
      <c r="H946" t="s">
        <v>190</v>
      </c>
    </row>
    <row r="947" spans="1:8" x14ac:dyDescent="0.3">
      <c r="A947" t="s">
        <v>335</v>
      </c>
      <c r="B947">
        <v>19</v>
      </c>
      <c r="C947" t="s">
        <v>397</v>
      </c>
      <c r="D947" s="1">
        <v>0.5</v>
      </c>
      <c r="E947" t="s">
        <v>34</v>
      </c>
      <c r="F947" t="s">
        <v>340</v>
      </c>
      <c r="G947" t="s">
        <v>12</v>
      </c>
      <c r="H947" t="s">
        <v>194</v>
      </c>
    </row>
    <row r="948" spans="1:8" x14ac:dyDescent="0.3">
      <c r="A948" t="s">
        <v>335</v>
      </c>
      <c r="B948">
        <v>19</v>
      </c>
      <c r="C948" t="s">
        <v>397</v>
      </c>
      <c r="D948" s="1">
        <v>0.66666666666666663</v>
      </c>
      <c r="E948" t="s">
        <v>10</v>
      </c>
      <c r="F948" t="s">
        <v>16</v>
      </c>
      <c r="G948" t="s">
        <v>12</v>
      </c>
      <c r="H948" t="s">
        <v>185</v>
      </c>
    </row>
    <row r="949" spans="1:8" x14ac:dyDescent="0.3">
      <c r="A949" t="s">
        <v>335</v>
      </c>
      <c r="B949">
        <v>19</v>
      </c>
      <c r="C949" t="s">
        <v>397</v>
      </c>
      <c r="D949" s="1">
        <v>0.76041666666666663</v>
      </c>
      <c r="E949" t="s">
        <v>187</v>
      </c>
      <c r="F949" t="s">
        <v>36</v>
      </c>
      <c r="G949" s="2">
        <v>46024</v>
      </c>
      <c r="H949" t="s">
        <v>197</v>
      </c>
    </row>
    <row r="950" spans="1:8" x14ac:dyDescent="0.3">
      <c r="A950" t="s">
        <v>335</v>
      </c>
      <c r="B950">
        <v>19</v>
      </c>
      <c r="C950" t="s">
        <v>397</v>
      </c>
      <c r="D950" s="1">
        <v>0.76041666666666663</v>
      </c>
      <c r="E950" t="s">
        <v>338</v>
      </c>
      <c r="F950" t="s">
        <v>17</v>
      </c>
      <c r="G950" s="2">
        <v>46023</v>
      </c>
      <c r="H950" t="s">
        <v>207</v>
      </c>
    </row>
    <row r="951" spans="1:8" x14ac:dyDescent="0.3">
      <c r="A951" t="s">
        <v>335</v>
      </c>
      <c r="B951">
        <v>19</v>
      </c>
      <c r="C951" t="s">
        <v>397</v>
      </c>
      <c r="D951" s="1">
        <v>0.85416666666666663</v>
      </c>
      <c r="E951" t="s">
        <v>35</v>
      </c>
      <c r="F951" t="s">
        <v>28</v>
      </c>
      <c r="G951" t="s">
        <v>54</v>
      </c>
      <c r="H951" t="s">
        <v>341</v>
      </c>
    </row>
    <row r="952" spans="1:8" x14ac:dyDescent="0.3">
      <c r="A952" t="s">
        <v>335</v>
      </c>
      <c r="B952">
        <v>20</v>
      </c>
      <c r="C952" t="s">
        <v>398</v>
      </c>
      <c r="D952" s="1">
        <v>0.66666666666666663</v>
      </c>
      <c r="E952" t="s">
        <v>27</v>
      </c>
      <c r="F952" t="s">
        <v>17</v>
      </c>
      <c r="G952" s="2">
        <v>46024</v>
      </c>
      <c r="H952" t="s">
        <v>198</v>
      </c>
    </row>
    <row r="953" spans="1:8" x14ac:dyDescent="0.3">
      <c r="A953" t="s">
        <v>335</v>
      </c>
      <c r="B953">
        <v>20</v>
      </c>
      <c r="C953" t="s">
        <v>398</v>
      </c>
      <c r="D953" s="1">
        <v>0.76041666666666663</v>
      </c>
      <c r="E953" t="s">
        <v>35</v>
      </c>
      <c r="F953" t="s">
        <v>21</v>
      </c>
      <c r="G953" s="2">
        <v>46085</v>
      </c>
      <c r="H953" t="s">
        <v>184</v>
      </c>
    </row>
    <row r="954" spans="1:8" x14ac:dyDescent="0.3">
      <c r="A954" t="s">
        <v>335</v>
      </c>
      <c r="B954">
        <v>20</v>
      </c>
      <c r="C954" t="s">
        <v>398</v>
      </c>
      <c r="D954" s="1">
        <v>0.85416666666666663</v>
      </c>
      <c r="E954" t="s">
        <v>34</v>
      </c>
      <c r="F954" t="s">
        <v>26</v>
      </c>
      <c r="G954" t="s">
        <v>41</v>
      </c>
      <c r="H954" t="s">
        <v>206</v>
      </c>
    </row>
    <row r="955" spans="1:8" x14ac:dyDescent="0.3">
      <c r="A955" t="s">
        <v>335</v>
      </c>
      <c r="B955">
        <v>20</v>
      </c>
      <c r="C955" t="s">
        <v>398</v>
      </c>
      <c r="D955" s="1">
        <v>0.92013888888888884</v>
      </c>
      <c r="E955" t="s">
        <v>10</v>
      </c>
      <c r="F955" t="s">
        <v>182</v>
      </c>
      <c r="G955" s="2">
        <v>46023</v>
      </c>
      <c r="H955" t="s">
        <v>205</v>
      </c>
    </row>
    <row r="956" spans="1:8" x14ac:dyDescent="0.3">
      <c r="A956" t="s">
        <v>335</v>
      </c>
      <c r="B956">
        <v>20</v>
      </c>
      <c r="C956" t="s">
        <v>399</v>
      </c>
      <c r="D956" s="1">
        <v>0.5</v>
      </c>
      <c r="E956" t="s">
        <v>16</v>
      </c>
      <c r="F956" t="s">
        <v>30</v>
      </c>
      <c r="G956" s="2">
        <v>46055</v>
      </c>
      <c r="H956" t="s">
        <v>202</v>
      </c>
    </row>
    <row r="957" spans="1:8" x14ac:dyDescent="0.3">
      <c r="A957" t="s">
        <v>335</v>
      </c>
      <c r="B957">
        <v>20</v>
      </c>
      <c r="C957" t="s">
        <v>399</v>
      </c>
      <c r="D957" s="1">
        <v>0.66666666666666663</v>
      </c>
      <c r="E957" t="s">
        <v>25</v>
      </c>
      <c r="F957" t="s">
        <v>340</v>
      </c>
      <c r="G957" s="2">
        <v>46027</v>
      </c>
      <c r="H957" t="s">
        <v>73</v>
      </c>
    </row>
    <row r="958" spans="1:8" x14ac:dyDescent="0.3">
      <c r="A958" t="s">
        <v>335</v>
      </c>
      <c r="B958">
        <v>20</v>
      </c>
      <c r="C958" t="s">
        <v>399</v>
      </c>
      <c r="D958" s="1">
        <v>0.76041666666666663</v>
      </c>
      <c r="E958" t="s">
        <v>11</v>
      </c>
      <c r="F958" t="s">
        <v>36</v>
      </c>
      <c r="G958" s="2">
        <v>46025</v>
      </c>
      <c r="H958" t="s">
        <v>195</v>
      </c>
    </row>
    <row r="959" spans="1:8" x14ac:dyDescent="0.3">
      <c r="A959" t="s">
        <v>335</v>
      </c>
      <c r="B959">
        <v>20</v>
      </c>
      <c r="C959" t="s">
        <v>399</v>
      </c>
      <c r="D959" s="1">
        <v>0.76041666666666663</v>
      </c>
      <c r="E959" t="s">
        <v>338</v>
      </c>
      <c r="F959" t="s">
        <v>28</v>
      </c>
      <c r="G959" t="s">
        <v>46</v>
      </c>
      <c r="H959" t="s">
        <v>183</v>
      </c>
    </row>
    <row r="960" spans="1:8" x14ac:dyDescent="0.3">
      <c r="A960" t="s">
        <v>335</v>
      </c>
      <c r="B960">
        <v>20</v>
      </c>
      <c r="C960" t="s">
        <v>399</v>
      </c>
      <c r="D960" s="1">
        <v>0.85416666666666663</v>
      </c>
      <c r="E960" t="s">
        <v>20</v>
      </c>
      <c r="F960" t="s">
        <v>15</v>
      </c>
      <c r="G960" t="s">
        <v>126</v>
      </c>
      <c r="H960" t="s">
        <v>181</v>
      </c>
    </row>
    <row r="961" spans="1:8" x14ac:dyDescent="0.3">
      <c r="A961" t="s">
        <v>335</v>
      </c>
      <c r="B961">
        <v>20</v>
      </c>
      <c r="C961" t="s">
        <v>400</v>
      </c>
      <c r="D961" s="1">
        <v>0.85416666666666663</v>
      </c>
      <c r="E961" t="s">
        <v>187</v>
      </c>
      <c r="F961" t="s">
        <v>24</v>
      </c>
      <c r="G961" s="2">
        <v>46027</v>
      </c>
      <c r="H961" t="s">
        <v>345</v>
      </c>
    </row>
    <row r="962" spans="1:8" x14ac:dyDescent="0.3">
      <c r="A962" t="s">
        <v>335</v>
      </c>
      <c r="B962">
        <v>21</v>
      </c>
      <c r="C962" t="s">
        <v>401</v>
      </c>
      <c r="D962" s="1">
        <v>0.85416666666666663</v>
      </c>
      <c r="E962" t="s">
        <v>340</v>
      </c>
      <c r="F962" t="s">
        <v>10</v>
      </c>
      <c r="G962" s="2">
        <v>46027</v>
      </c>
      <c r="H962" t="s">
        <v>191</v>
      </c>
    </row>
    <row r="963" spans="1:8" x14ac:dyDescent="0.3">
      <c r="A963" t="s">
        <v>335</v>
      </c>
      <c r="B963">
        <v>21</v>
      </c>
      <c r="C963" t="s">
        <v>402</v>
      </c>
      <c r="D963" s="1">
        <v>0.66666666666666663</v>
      </c>
      <c r="E963" t="s">
        <v>17</v>
      </c>
      <c r="F963" t="s">
        <v>20</v>
      </c>
      <c r="G963" s="2">
        <v>46054</v>
      </c>
      <c r="H963" t="s">
        <v>195</v>
      </c>
    </row>
    <row r="964" spans="1:8" x14ac:dyDescent="0.3">
      <c r="A964" t="s">
        <v>335</v>
      </c>
      <c r="B964">
        <v>21</v>
      </c>
      <c r="C964" t="s">
        <v>402</v>
      </c>
      <c r="D964" s="1">
        <v>0.76041666666666663</v>
      </c>
      <c r="E964" t="s">
        <v>36</v>
      </c>
      <c r="F964" t="s">
        <v>34</v>
      </c>
      <c r="G964" s="2">
        <v>46055</v>
      </c>
      <c r="H964" t="s">
        <v>200</v>
      </c>
    </row>
    <row r="965" spans="1:8" x14ac:dyDescent="0.3">
      <c r="A965" t="s">
        <v>335</v>
      </c>
      <c r="B965">
        <v>21</v>
      </c>
      <c r="C965" t="s">
        <v>402</v>
      </c>
      <c r="D965" s="1">
        <v>0.85416666666666663</v>
      </c>
      <c r="E965" t="s">
        <v>24</v>
      </c>
      <c r="F965" t="s">
        <v>11</v>
      </c>
      <c r="G965" s="2">
        <v>46056</v>
      </c>
      <c r="H965" t="s">
        <v>341</v>
      </c>
    </row>
    <row r="966" spans="1:8" x14ac:dyDescent="0.3">
      <c r="A966" t="s">
        <v>335</v>
      </c>
      <c r="B966">
        <v>21</v>
      </c>
      <c r="C966" t="s">
        <v>402</v>
      </c>
      <c r="D966" s="1">
        <v>0.92013888888888884</v>
      </c>
      <c r="E966" t="s">
        <v>30</v>
      </c>
      <c r="F966" t="s">
        <v>35</v>
      </c>
      <c r="G966" t="s">
        <v>32</v>
      </c>
      <c r="H966" t="s">
        <v>197</v>
      </c>
    </row>
    <row r="967" spans="1:8" x14ac:dyDescent="0.3">
      <c r="A967" t="s">
        <v>335</v>
      </c>
      <c r="B967">
        <v>21</v>
      </c>
      <c r="C967" t="s">
        <v>403</v>
      </c>
      <c r="D967" s="1">
        <v>0.5</v>
      </c>
      <c r="E967" t="s">
        <v>15</v>
      </c>
      <c r="F967" t="s">
        <v>187</v>
      </c>
      <c r="G967" s="2">
        <v>46058</v>
      </c>
      <c r="H967" t="s">
        <v>194</v>
      </c>
    </row>
    <row r="968" spans="1:8" x14ac:dyDescent="0.3">
      <c r="A968" t="s">
        <v>335</v>
      </c>
      <c r="B968">
        <v>21</v>
      </c>
      <c r="C968" t="s">
        <v>403</v>
      </c>
      <c r="D968" s="1">
        <v>0.66666666666666663</v>
      </c>
      <c r="E968" t="s">
        <v>28</v>
      </c>
      <c r="F968" t="s">
        <v>27</v>
      </c>
      <c r="G968" t="s">
        <v>41</v>
      </c>
      <c r="H968" t="s">
        <v>207</v>
      </c>
    </row>
    <row r="969" spans="1:8" x14ac:dyDescent="0.3">
      <c r="A969" t="s">
        <v>335</v>
      </c>
      <c r="B969">
        <v>21</v>
      </c>
      <c r="C969" t="s">
        <v>403</v>
      </c>
      <c r="D969" s="1">
        <v>0.76041666666666663</v>
      </c>
      <c r="E969" t="s">
        <v>182</v>
      </c>
      <c r="F969" t="s">
        <v>16</v>
      </c>
      <c r="G969" s="2">
        <v>46023</v>
      </c>
      <c r="H969" t="s">
        <v>190</v>
      </c>
    </row>
    <row r="970" spans="1:8" x14ac:dyDescent="0.3">
      <c r="A970" t="s">
        <v>335</v>
      </c>
      <c r="B970">
        <v>21</v>
      </c>
      <c r="C970" t="s">
        <v>403</v>
      </c>
      <c r="D970" s="1">
        <v>0.85416666666666663</v>
      </c>
      <c r="E970" t="s">
        <v>26</v>
      </c>
      <c r="F970" t="s">
        <v>25</v>
      </c>
      <c r="G970" s="2">
        <v>46023</v>
      </c>
      <c r="H970" t="s">
        <v>205</v>
      </c>
    </row>
    <row r="971" spans="1:8" x14ac:dyDescent="0.3">
      <c r="A971" t="s">
        <v>335</v>
      </c>
      <c r="B971">
        <v>21</v>
      </c>
      <c r="C971" t="s">
        <v>404</v>
      </c>
      <c r="D971" s="1">
        <v>0.85416666666666663</v>
      </c>
      <c r="E971" t="s">
        <v>21</v>
      </c>
      <c r="F971" t="s">
        <v>338</v>
      </c>
      <c r="G971" s="2">
        <v>46056</v>
      </c>
      <c r="H971" t="s">
        <v>204</v>
      </c>
    </row>
    <row r="972" spans="1:8" x14ac:dyDescent="0.3">
      <c r="A972" t="s">
        <v>335</v>
      </c>
      <c r="B972">
        <v>22</v>
      </c>
      <c r="C972" t="s">
        <v>405</v>
      </c>
      <c r="D972" s="1">
        <v>0.66666666666666663</v>
      </c>
      <c r="E972" t="s">
        <v>20</v>
      </c>
      <c r="F972" t="s">
        <v>28</v>
      </c>
      <c r="G972" s="2">
        <v>46024</v>
      </c>
      <c r="H972" t="s">
        <v>73</v>
      </c>
    </row>
    <row r="973" spans="1:8" x14ac:dyDescent="0.3">
      <c r="A973" t="s">
        <v>335</v>
      </c>
      <c r="B973">
        <v>22</v>
      </c>
      <c r="C973" t="s">
        <v>405</v>
      </c>
      <c r="D973" s="1">
        <v>0.76041666666666663</v>
      </c>
      <c r="E973" t="s">
        <v>11</v>
      </c>
      <c r="F973" t="s">
        <v>15</v>
      </c>
      <c r="G973" t="s">
        <v>42</v>
      </c>
      <c r="H973" t="s">
        <v>198</v>
      </c>
    </row>
    <row r="974" spans="1:8" x14ac:dyDescent="0.3">
      <c r="A974" t="s">
        <v>335</v>
      </c>
      <c r="B974">
        <v>22</v>
      </c>
      <c r="C974" t="s">
        <v>405</v>
      </c>
      <c r="D974" s="1">
        <v>0.76041666666666663</v>
      </c>
      <c r="E974" t="s">
        <v>187</v>
      </c>
      <c r="F974" t="s">
        <v>17</v>
      </c>
      <c r="G974" s="2">
        <v>46054</v>
      </c>
      <c r="H974" t="s">
        <v>181</v>
      </c>
    </row>
    <row r="975" spans="1:8" x14ac:dyDescent="0.3">
      <c r="A975" t="s">
        <v>335</v>
      </c>
      <c r="B975">
        <v>22</v>
      </c>
      <c r="C975" t="s">
        <v>405</v>
      </c>
      <c r="D975" s="1">
        <v>0.85416666666666663</v>
      </c>
      <c r="E975" t="s">
        <v>34</v>
      </c>
      <c r="F975" t="s">
        <v>24</v>
      </c>
      <c r="G975" t="s">
        <v>18</v>
      </c>
      <c r="H975" t="s">
        <v>184</v>
      </c>
    </row>
    <row r="976" spans="1:8" x14ac:dyDescent="0.3">
      <c r="A976" t="s">
        <v>335</v>
      </c>
      <c r="B976">
        <v>22</v>
      </c>
      <c r="C976" t="s">
        <v>405</v>
      </c>
      <c r="D976" s="1">
        <v>0.92013888888888884</v>
      </c>
      <c r="E976" t="s">
        <v>10</v>
      </c>
      <c r="F976" t="s">
        <v>26</v>
      </c>
      <c r="G976" s="2">
        <v>46024</v>
      </c>
      <c r="H976" t="s">
        <v>202</v>
      </c>
    </row>
    <row r="977" spans="1:8" x14ac:dyDescent="0.3">
      <c r="A977" t="s">
        <v>335</v>
      </c>
      <c r="B977">
        <v>22</v>
      </c>
      <c r="C977" t="s">
        <v>406</v>
      </c>
      <c r="D977" s="1">
        <v>0.5</v>
      </c>
      <c r="E977" t="s">
        <v>27</v>
      </c>
      <c r="F977" t="s">
        <v>21</v>
      </c>
      <c r="G977" s="2">
        <v>46025</v>
      </c>
      <c r="H977" t="s">
        <v>188</v>
      </c>
    </row>
    <row r="978" spans="1:8" x14ac:dyDescent="0.3">
      <c r="A978" t="s">
        <v>335</v>
      </c>
      <c r="B978">
        <v>22</v>
      </c>
      <c r="C978" t="s">
        <v>406</v>
      </c>
      <c r="D978" s="1">
        <v>0.66666666666666663</v>
      </c>
      <c r="E978" t="s">
        <v>16</v>
      </c>
      <c r="F978" t="s">
        <v>340</v>
      </c>
      <c r="G978" t="s">
        <v>42</v>
      </c>
      <c r="H978" t="s">
        <v>206</v>
      </c>
    </row>
    <row r="979" spans="1:8" x14ac:dyDescent="0.3">
      <c r="A979" t="s">
        <v>335</v>
      </c>
      <c r="B979">
        <v>22</v>
      </c>
      <c r="C979" t="s">
        <v>406</v>
      </c>
      <c r="D979" s="1">
        <v>0.76041666666666663</v>
      </c>
      <c r="E979" t="s">
        <v>338</v>
      </c>
      <c r="F979" t="s">
        <v>35</v>
      </c>
      <c r="G979" s="2">
        <v>46024</v>
      </c>
      <c r="H979" t="s">
        <v>345</v>
      </c>
    </row>
    <row r="980" spans="1:8" x14ac:dyDescent="0.3">
      <c r="A980" t="s">
        <v>335</v>
      </c>
      <c r="B980">
        <v>22</v>
      </c>
      <c r="C980" t="s">
        <v>406</v>
      </c>
      <c r="D980" s="1">
        <v>0.85416666666666663</v>
      </c>
      <c r="E980" t="s">
        <v>25</v>
      </c>
      <c r="F980" t="s">
        <v>36</v>
      </c>
      <c r="G980" t="s">
        <v>126</v>
      </c>
      <c r="H980" t="s">
        <v>185</v>
      </c>
    </row>
    <row r="981" spans="1:8" x14ac:dyDescent="0.3">
      <c r="A981" t="s">
        <v>335</v>
      </c>
      <c r="B981">
        <v>22</v>
      </c>
      <c r="C981" t="s">
        <v>407</v>
      </c>
      <c r="D981" s="1">
        <v>0.85416666666666663</v>
      </c>
      <c r="E981" t="s">
        <v>182</v>
      </c>
      <c r="F981" t="s">
        <v>30</v>
      </c>
      <c r="G981" s="2">
        <v>46055</v>
      </c>
      <c r="H981" t="s">
        <v>183</v>
      </c>
    </row>
    <row r="982" spans="1:8" x14ac:dyDescent="0.3">
      <c r="A982" t="s">
        <v>335</v>
      </c>
      <c r="B982">
        <v>23</v>
      </c>
      <c r="C982" t="s">
        <v>408</v>
      </c>
      <c r="D982" s="1">
        <v>0.85416666666666663</v>
      </c>
      <c r="E982" t="s">
        <v>17</v>
      </c>
      <c r="F982" t="s">
        <v>11</v>
      </c>
      <c r="G982" t="s">
        <v>32</v>
      </c>
      <c r="H982" t="s">
        <v>205</v>
      </c>
    </row>
    <row r="983" spans="1:8" x14ac:dyDescent="0.3">
      <c r="A983" t="s">
        <v>335</v>
      </c>
      <c r="B983">
        <v>23</v>
      </c>
      <c r="C983" t="s">
        <v>409</v>
      </c>
      <c r="D983" s="1">
        <v>0.66666666666666663</v>
      </c>
      <c r="E983" t="s">
        <v>28</v>
      </c>
      <c r="F983" t="s">
        <v>187</v>
      </c>
      <c r="G983" s="2">
        <v>46025</v>
      </c>
      <c r="H983" t="s">
        <v>191</v>
      </c>
    </row>
    <row r="984" spans="1:8" x14ac:dyDescent="0.3">
      <c r="A984" t="s">
        <v>335</v>
      </c>
      <c r="B984">
        <v>23</v>
      </c>
      <c r="C984" t="s">
        <v>409</v>
      </c>
      <c r="D984" s="1">
        <v>0.76041666666666663</v>
      </c>
      <c r="E984" t="s">
        <v>30</v>
      </c>
      <c r="F984" t="s">
        <v>338</v>
      </c>
      <c r="G984" t="s">
        <v>12</v>
      </c>
      <c r="H984" t="s">
        <v>207</v>
      </c>
    </row>
    <row r="985" spans="1:8" x14ac:dyDescent="0.3">
      <c r="A985" t="s">
        <v>335</v>
      </c>
      <c r="B985">
        <v>23</v>
      </c>
      <c r="C985" t="s">
        <v>409</v>
      </c>
      <c r="D985" s="1">
        <v>0.85416666666666663</v>
      </c>
      <c r="E985" t="s">
        <v>15</v>
      </c>
      <c r="F985" t="s">
        <v>34</v>
      </c>
      <c r="G985" t="s">
        <v>41</v>
      </c>
      <c r="H985" t="s">
        <v>190</v>
      </c>
    </row>
    <row r="986" spans="1:8" x14ac:dyDescent="0.3">
      <c r="A986" t="s">
        <v>335</v>
      </c>
      <c r="B986">
        <v>23</v>
      </c>
      <c r="C986" t="s">
        <v>409</v>
      </c>
      <c r="D986" s="1">
        <v>0.92013888888888884</v>
      </c>
      <c r="E986" t="s">
        <v>340</v>
      </c>
      <c r="F986" t="s">
        <v>182</v>
      </c>
      <c r="G986" s="2">
        <v>46023</v>
      </c>
      <c r="H986" t="s">
        <v>185</v>
      </c>
    </row>
    <row r="987" spans="1:8" x14ac:dyDescent="0.3">
      <c r="A987" t="s">
        <v>335</v>
      </c>
      <c r="B987">
        <v>23</v>
      </c>
      <c r="C987" t="s">
        <v>410</v>
      </c>
      <c r="D987" s="1">
        <v>0.5</v>
      </c>
      <c r="E987" t="s">
        <v>21</v>
      </c>
      <c r="F987" t="s">
        <v>20</v>
      </c>
      <c r="G987" t="s">
        <v>54</v>
      </c>
      <c r="H987" t="s">
        <v>200</v>
      </c>
    </row>
    <row r="988" spans="1:8" x14ac:dyDescent="0.3">
      <c r="A988" t="s">
        <v>335</v>
      </c>
      <c r="B988">
        <v>23</v>
      </c>
      <c r="C988" t="s">
        <v>410</v>
      </c>
      <c r="D988" s="1">
        <v>0.66666666666666663</v>
      </c>
      <c r="E988" t="s">
        <v>26</v>
      </c>
      <c r="F988" t="s">
        <v>16</v>
      </c>
      <c r="G988" t="s">
        <v>18</v>
      </c>
      <c r="H988" t="s">
        <v>345</v>
      </c>
    </row>
    <row r="989" spans="1:8" x14ac:dyDescent="0.3">
      <c r="A989" t="s">
        <v>335</v>
      </c>
      <c r="B989">
        <v>23</v>
      </c>
      <c r="C989" t="s">
        <v>410</v>
      </c>
      <c r="D989" s="1">
        <v>0.76041666666666663</v>
      </c>
      <c r="E989" t="s">
        <v>35</v>
      </c>
      <c r="F989" t="s">
        <v>27</v>
      </c>
      <c r="G989" s="2">
        <v>46023</v>
      </c>
      <c r="H989" t="s">
        <v>204</v>
      </c>
    </row>
    <row r="990" spans="1:8" x14ac:dyDescent="0.3">
      <c r="A990" t="s">
        <v>335</v>
      </c>
      <c r="B990">
        <v>23</v>
      </c>
      <c r="C990" t="s">
        <v>410</v>
      </c>
      <c r="D990" s="1">
        <v>0.85416666666666663</v>
      </c>
      <c r="E990" t="s">
        <v>24</v>
      </c>
      <c r="F990" t="s">
        <v>25</v>
      </c>
      <c r="G990" s="2">
        <v>46054</v>
      </c>
      <c r="H990" t="s">
        <v>194</v>
      </c>
    </row>
    <row r="991" spans="1:8" x14ac:dyDescent="0.3">
      <c r="A991" t="s">
        <v>335</v>
      </c>
      <c r="B991">
        <v>23</v>
      </c>
      <c r="C991" t="s">
        <v>411</v>
      </c>
      <c r="D991" s="1">
        <v>0.85416666666666663</v>
      </c>
      <c r="E991" t="s">
        <v>36</v>
      </c>
      <c r="F991" t="s">
        <v>10</v>
      </c>
      <c r="G991" t="s">
        <v>72</v>
      </c>
      <c r="H991" t="s">
        <v>197</v>
      </c>
    </row>
    <row r="992" spans="1:8" x14ac:dyDescent="0.3">
      <c r="A992" t="s">
        <v>335</v>
      </c>
      <c r="B992">
        <v>24</v>
      </c>
      <c r="C992" t="s">
        <v>412</v>
      </c>
      <c r="D992" s="1">
        <v>0.85416666666666663</v>
      </c>
      <c r="E992" t="s">
        <v>340</v>
      </c>
      <c r="F992" t="s">
        <v>30</v>
      </c>
      <c r="G992" s="2">
        <v>46055</v>
      </c>
      <c r="H992" t="s">
        <v>195</v>
      </c>
    </row>
    <row r="993" spans="1:8" x14ac:dyDescent="0.3">
      <c r="A993" t="s">
        <v>335</v>
      </c>
      <c r="B993">
        <v>24</v>
      </c>
      <c r="C993" t="s">
        <v>413</v>
      </c>
      <c r="D993" s="1">
        <v>0.66666666666666663</v>
      </c>
      <c r="E993" t="s">
        <v>25</v>
      </c>
      <c r="F993" t="s">
        <v>15</v>
      </c>
      <c r="G993" s="2">
        <v>46057</v>
      </c>
      <c r="H993" t="s">
        <v>188</v>
      </c>
    </row>
    <row r="994" spans="1:8" x14ac:dyDescent="0.3">
      <c r="A994" t="s">
        <v>335</v>
      </c>
      <c r="B994">
        <v>24</v>
      </c>
      <c r="C994" t="s">
        <v>413</v>
      </c>
      <c r="D994" s="1">
        <v>0.76041666666666663</v>
      </c>
      <c r="E994" t="s">
        <v>34</v>
      </c>
      <c r="F994" t="s">
        <v>17</v>
      </c>
      <c r="G994" t="s">
        <v>18</v>
      </c>
      <c r="H994" t="s">
        <v>183</v>
      </c>
    </row>
    <row r="995" spans="1:8" x14ac:dyDescent="0.3">
      <c r="A995" t="s">
        <v>335</v>
      </c>
      <c r="B995">
        <v>24</v>
      </c>
      <c r="C995" t="s">
        <v>413</v>
      </c>
      <c r="D995" s="1">
        <v>0.85416666666666663</v>
      </c>
      <c r="E995" t="s">
        <v>16</v>
      </c>
      <c r="F995" t="s">
        <v>36</v>
      </c>
      <c r="G995" s="2">
        <v>46024</v>
      </c>
      <c r="H995" t="s">
        <v>184</v>
      </c>
    </row>
    <row r="996" spans="1:8" x14ac:dyDescent="0.3">
      <c r="A996" t="s">
        <v>335</v>
      </c>
      <c r="B996">
        <v>24</v>
      </c>
      <c r="C996" t="s">
        <v>413</v>
      </c>
      <c r="D996" s="1">
        <v>0.92013888888888884</v>
      </c>
      <c r="E996" t="s">
        <v>182</v>
      </c>
      <c r="F996" t="s">
        <v>26</v>
      </c>
      <c r="G996" s="2">
        <v>46055</v>
      </c>
      <c r="H996" t="s">
        <v>73</v>
      </c>
    </row>
    <row r="997" spans="1:8" x14ac:dyDescent="0.3">
      <c r="A997" t="s">
        <v>335</v>
      </c>
      <c r="B997">
        <v>24</v>
      </c>
      <c r="C997" t="s">
        <v>414</v>
      </c>
      <c r="D997" s="1">
        <v>0.5</v>
      </c>
      <c r="E997" t="s">
        <v>10</v>
      </c>
      <c r="F997" t="s">
        <v>24</v>
      </c>
      <c r="G997" t="s">
        <v>32</v>
      </c>
      <c r="H997" t="s">
        <v>206</v>
      </c>
    </row>
    <row r="998" spans="1:8" x14ac:dyDescent="0.3">
      <c r="A998" t="s">
        <v>335</v>
      </c>
      <c r="B998">
        <v>24</v>
      </c>
      <c r="C998" t="s">
        <v>414</v>
      </c>
      <c r="D998" s="1">
        <v>0.66666666666666663</v>
      </c>
      <c r="E998" t="s">
        <v>27</v>
      </c>
      <c r="F998" t="s">
        <v>338</v>
      </c>
      <c r="G998" t="s">
        <v>12</v>
      </c>
      <c r="H998" t="s">
        <v>202</v>
      </c>
    </row>
    <row r="999" spans="1:8" x14ac:dyDescent="0.3">
      <c r="A999" t="s">
        <v>335</v>
      </c>
      <c r="B999">
        <v>24</v>
      </c>
      <c r="C999" t="s">
        <v>414</v>
      </c>
      <c r="D999" s="1">
        <v>0.76041666666666663</v>
      </c>
      <c r="E999" t="s">
        <v>11</v>
      </c>
      <c r="F999" t="s">
        <v>28</v>
      </c>
      <c r="G999" t="s">
        <v>42</v>
      </c>
      <c r="H999" t="s">
        <v>181</v>
      </c>
    </row>
    <row r="1000" spans="1:8" x14ac:dyDescent="0.3">
      <c r="A1000" t="s">
        <v>335</v>
      </c>
      <c r="B1000">
        <v>24</v>
      </c>
      <c r="C1000" t="s">
        <v>414</v>
      </c>
      <c r="D1000" s="1">
        <v>0.76041666666666663</v>
      </c>
      <c r="E1000" t="s">
        <v>187</v>
      </c>
      <c r="F1000" t="s">
        <v>21</v>
      </c>
      <c r="G1000" t="s">
        <v>12</v>
      </c>
      <c r="H1000" t="s">
        <v>198</v>
      </c>
    </row>
    <row r="1001" spans="1:8" x14ac:dyDescent="0.3">
      <c r="A1001" t="s">
        <v>335</v>
      </c>
      <c r="B1001">
        <v>24</v>
      </c>
      <c r="C1001" t="s">
        <v>414</v>
      </c>
      <c r="D1001" s="1">
        <v>0.85416666666666663</v>
      </c>
      <c r="E1001" t="s">
        <v>20</v>
      </c>
      <c r="F1001" t="s">
        <v>35</v>
      </c>
      <c r="G1001" s="2">
        <v>46028</v>
      </c>
      <c r="H1001" t="s">
        <v>185</v>
      </c>
    </row>
    <row r="1002" spans="1:8" x14ac:dyDescent="0.3">
      <c r="A1002" t="s">
        <v>335</v>
      </c>
      <c r="B1002">
        <v>25</v>
      </c>
      <c r="C1002" t="s">
        <v>415</v>
      </c>
      <c r="D1002" s="1">
        <v>0.85416666666666663</v>
      </c>
      <c r="E1002" t="s">
        <v>21</v>
      </c>
      <c r="F1002" t="s">
        <v>11</v>
      </c>
      <c r="G1002" t="s">
        <v>32</v>
      </c>
      <c r="H1002" t="s">
        <v>206</v>
      </c>
    </row>
    <row r="1003" spans="1:8" x14ac:dyDescent="0.3">
      <c r="A1003" t="s">
        <v>335</v>
      </c>
      <c r="B1003">
        <v>25</v>
      </c>
      <c r="C1003" t="s">
        <v>416</v>
      </c>
      <c r="D1003" s="1">
        <v>0.66666666666666663</v>
      </c>
      <c r="E1003" t="s">
        <v>338</v>
      </c>
      <c r="F1003" t="s">
        <v>20</v>
      </c>
      <c r="G1003" s="2">
        <v>46054</v>
      </c>
      <c r="H1003" t="s">
        <v>184</v>
      </c>
    </row>
    <row r="1004" spans="1:8" x14ac:dyDescent="0.3">
      <c r="A1004" t="s">
        <v>335</v>
      </c>
      <c r="B1004">
        <v>25</v>
      </c>
      <c r="C1004" t="s">
        <v>416</v>
      </c>
      <c r="D1004" s="1">
        <v>0.76041666666666663</v>
      </c>
      <c r="E1004" t="s">
        <v>36</v>
      </c>
      <c r="F1004" t="s">
        <v>182</v>
      </c>
      <c r="G1004" t="s">
        <v>18</v>
      </c>
      <c r="H1004" t="s">
        <v>341</v>
      </c>
    </row>
    <row r="1005" spans="1:8" x14ac:dyDescent="0.3">
      <c r="A1005" t="s">
        <v>335</v>
      </c>
      <c r="B1005">
        <v>25</v>
      </c>
      <c r="C1005" t="s">
        <v>416</v>
      </c>
      <c r="D1005" s="1">
        <v>0.85416666666666663</v>
      </c>
      <c r="E1005" t="s">
        <v>26</v>
      </c>
      <c r="F1005" t="s">
        <v>340</v>
      </c>
      <c r="G1005" s="2">
        <v>46023</v>
      </c>
      <c r="H1005" t="s">
        <v>188</v>
      </c>
    </row>
    <row r="1006" spans="1:8" x14ac:dyDescent="0.3">
      <c r="A1006" t="s">
        <v>335</v>
      </c>
      <c r="B1006">
        <v>25</v>
      </c>
      <c r="C1006" t="s">
        <v>416</v>
      </c>
      <c r="D1006" s="1">
        <v>0.92013888888888884</v>
      </c>
      <c r="E1006" t="s">
        <v>35</v>
      </c>
      <c r="F1006" t="s">
        <v>187</v>
      </c>
      <c r="G1006" s="2">
        <v>46056</v>
      </c>
      <c r="H1006" t="s">
        <v>190</v>
      </c>
    </row>
    <row r="1007" spans="1:8" x14ac:dyDescent="0.3">
      <c r="A1007" t="s">
        <v>335</v>
      </c>
      <c r="B1007">
        <v>25</v>
      </c>
      <c r="C1007" t="s">
        <v>417</v>
      </c>
      <c r="D1007" s="1">
        <v>0.5</v>
      </c>
      <c r="E1007" t="s">
        <v>30</v>
      </c>
      <c r="F1007" t="s">
        <v>27</v>
      </c>
      <c r="G1007" s="2">
        <v>46055</v>
      </c>
      <c r="H1007" t="s">
        <v>198</v>
      </c>
    </row>
    <row r="1008" spans="1:8" x14ac:dyDescent="0.3">
      <c r="A1008" t="s">
        <v>335</v>
      </c>
      <c r="B1008">
        <v>25</v>
      </c>
      <c r="C1008" t="s">
        <v>417</v>
      </c>
      <c r="D1008" s="1">
        <v>0.66666666666666663</v>
      </c>
      <c r="E1008" t="s">
        <v>17</v>
      </c>
      <c r="F1008" t="s">
        <v>25</v>
      </c>
      <c r="G1008" s="2">
        <v>46023</v>
      </c>
      <c r="H1008" t="s">
        <v>207</v>
      </c>
    </row>
    <row r="1009" spans="1:8" x14ac:dyDescent="0.3">
      <c r="A1009" t="s">
        <v>335</v>
      </c>
      <c r="B1009">
        <v>25</v>
      </c>
      <c r="C1009" t="s">
        <v>417</v>
      </c>
      <c r="D1009" s="1">
        <v>0.76041666666666663</v>
      </c>
      <c r="E1009" t="s">
        <v>15</v>
      </c>
      <c r="F1009" t="s">
        <v>10</v>
      </c>
      <c r="G1009" t="s">
        <v>42</v>
      </c>
      <c r="H1009" t="s">
        <v>345</v>
      </c>
    </row>
    <row r="1010" spans="1:8" x14ac:dyDescent="0.3">
      <c r="A1010" t="s">
        <v>335</v>
      </c>
      <c r="B1010">
        <v>25</v>
      </c>
      <c r="C1010" t="s">
        <v>417</v>
      </c>
      <c r="D1010" s="1">
        <v>0.76041666666666663</v>
      </c>
      <c r="E1010" t="s">
        <v>24</v>
      </c>
      <c r="F1010" t="s">
        <v>16</v>
      </c>
      <c r="G1010" s="2">
        <v>46054</v>
      </c>
      <c r="H1010" t="s">
        <v>183</v>
      </c>
    </row>
    <row r="1011" spans="1:8" x14ac:dyDescent="0.3">
      <c r="A1011" t="s">
        <v>335</v>
      </c>
      <c r="B1011">
        <v>25</v>
      </c>
      <c r="C1011" t="s">
        <v>417</v>
      </c>
      <c r="D1011" s="1">
        <v>0.85416666666666663</v>
      </c>
      <c r="E1011" t="s">
        <v>28</v>
      </c>
      <c r="F1011" t="s">
        <v>34</v>
      </c>
      <c r="G1011" t="s">
        <v>41</v>
      </c>
      <c r="H1011" t="s">
        <v>202</v>
      </c>
    </row>
    <row r="1012" spans="1:8" x14ac:dyDescent="0.3">
      <c r="A1012" t="s">
        <v>335</v>
      </c>
      <c r="B1012">
        <v>26</v>
      </c>
      <c r="C1012" t="s">
        <v>418</v>
      </c>
      <c r="D1012" s="1">
        <v>0.85416666666666663</v>
      </c>
      <c r="E1012" t="s">
        <v>187</v>
      </c>
      <c r="F1012" t="s">
        <v>338</v>
      </c>
      <c r="G1012" t="s">
        <v>42</v>
      </c>
      <c r="H1012" t="s">
        <v>200</v>
      </c>
    </row>
    <row r="1013" spans="1:8" x14ac:dyDescent="0.3">
      <c r="A1013" t="s">
        <v>335</v>
      </c>
      <c r="B1013">
        <v>26</v>
      </c>
      <c r="C1013" t="s">
        <v>419</v>
      </c>
      <c r="D1013" s="1">
        <v>0.66666666666666663</v>
      </c>
      <c r="E1013" t="s">
        <v>25</v>
      </c>
      <c r="F1013" t="s">
        <v>28</v>
      </c>
      <c r="G1013" t="s">
        <v>42</v>
      </c>
      <c r="H1013" t="s">
        <v>195</v>
      </c>
    </row>
    <row r="1014" spans="1:8" x14ac:dyDescent="0.3">
      <c r="A1014" t="s">
        <v>335</v>
      </c>
      <c r="B1014">
        <v>26</v>
      </c>
      <c r="C1014" t="s">
        <v>419</v>
      </c>
      <c r="D1014" s="1">
        <v>0.76041666666666663</v>
      </c>
      <c r="E1014" t="s">
        <v>11</v>
      </c>
      <c r="F1014" t="s">
        <v>35</v>
      </c>
      <c r="G1014" t="s">
        <v>42</v>
      </c>
      <c r="H1014" t="s">
        <v>191</v>
      </c>
    </row>
    <row r="1015" spans="1:8" x14ac:dyDescent="0.3">
      <c r="A1015" t="s">
        <v>335</v>
      </c>
      <c r="B1015">
        <v>26</v>
      </c>
      <c r="C1015" t="s">
        <v>419</v>
      </c>
      <c r="D1015" s="1">
        <v>0.76041666666666663</v>
      </c>
      <c r="E1015" t="s">
        <v>340</v>
      </c>
      <c r="F1015" t="s">
        <v>36</v>
      </c>
      <c r="G1015" s="2">
        <v>46114</v>
      </c>
      <c r="H1015" t="s">
        <v>204</v>
      </c>
    </row>
    <row r="1016" spans="1:8" x14ac:dyDescent="0.3">
      <c r="A1016" t="s">
        <v>335</v>
      </c>
      <c r="B1016">
        <v>26</v>
      </c>
      <c r="C1016" t="s">
        <v>419</v>
      </c>
      <c r="D1016" s="1">
        <v>0.85416666666666663</v>
      </c>
      <c r="E1016" t="s">
        <v>26</v>
      </c>
      <c r="F1016" t="s">
        <v>30</v>
      </c>
      <c r="G1016" s="2">
        <v>46055</v>
      </c>
      <c r="H1016" t="s">
        <v>181</v>
      </c>
    </row>
    <row r="1017" spans="1:8" x14ac:dyDescent="0.3">
      <c r="A1017" t="s">
        <v>335</v>
      </c>
      <c r="B1017">
        <v>26</v>
      </c>
      <c r="C1017" t="s">
        <v>419</v>
      </c>
      <c r="D1017" s="1">
        <v>0.92013888888888884</v>
      </c>
      <c r="E1017" t="s">
        <v>10</v>
      </c>
      <c r="F1017" t="s">
        <v>17</v>
      </c>
      <c r="G1017" s="2">
        <v>46023</v>
      </c>
      <c r="H1017" t="s">
        <v>73</v>
      </c>
    </row>
    <row r="1018" spans="1:8" x14ac:dyDescent="0.3">
      <c r="A1018" t="s">
        <v>335</v>
      </c>
      <c r="B1018">
        <v>26</v>
      </c>
      <c r="C1018" t="s">
        <v>420</v>
      </c>
      <c r="D1018" s="1">
        <v>0.5</v>
      </c>
      <c r="E1018" t="s">
        <v>34</v>
      </c>
      <c r="F1018" t="s">
        <v>21</v>
      </c>
      <c r="G1018" t="s">
        <v>32</v>
      </c>
      <c r="H1018" t="s">
        <v>185</v>
      </c>
    </row>
    <row r="1019" spans="1:8" x14ac:dyDescent="0.3">
      <c r="A1019" t="s">
        <v>335</v>
      </c>
      <c r="B1019">
        <v>26</v>
      </c>
      <c r="C1019" t="s">
        <v>420</v>
      </c>
      <c r="D1019" s="1">
        <v>0.66666666666666663</v>
      </c>
      <c r="E1019" t="s">
        <v>16</v>
      </c>
      <c r="F1019" t="s">
        <v>15</v>
      </c>
      <c r="G1019" t="s">
        <v>46</v>
      </c>
      <c r="H1019" t="s">
        <v>194</v>
      </c>
    </row>
    <row r="1020" spans="1:8" x14ac:dyDescent="0.3">
      <c r="A1020" t="s">
        <v>335</v>
      </c>
      <c r="B1020">
        <v>26</v>
      </c>
      <c r="C1020" t="s">
        <v>420</v>
      </c>
      <c r="D1020" s="1">
        <v>0.76041666666666663</v>
      </c>
      <c r="E1020" t="s">
        <v>182</v>
      </c>
      <c r="F1020" t="s">
        <v>24</v>
      </c>
      <c r="G1020" t="s">
        <v>42</v>
      </c>
      <c r="H1020" t="s">
        <v>205</v>
      </c>
    </row>
    <row r="1021" spans="1:8" x14ac:dyDescent="0.3">
      <c r="A1021" t="s">
        <v>335</v>
      </c>
      <c r="B1021">
        <v>26</v>
      </c>
      <c r="C1021" t="s">
        <v>420</v>
      </c>
      <c r="D1021" s="1">
        <v>0.85416666666666663</v>
      </c>
      <c r="E1021" t="s">
        <v>20</v>
      </c>
      <c r="F1021" t="s">
        <v>27</v>
      </c>
      <c r="G1021" s="2">
        <v>46024</v>
      </c>
      <c r="H1021" t="s">
        <v>197</v>
      </c>
    </row>
    <row r="1022" spans="1:8" x14ac:dyDescent="0.3">
      <c r="A1022" t="s">
        <v>335</v>
      </c>
      <c r="B1022">
        <v>27</v>
      </c>
      <c r="C1022" t="s">
        <v>421</v>
      </c>
      <c r="D1022" s="1">
        <v>0.875</v>
      </c>
      <c r="E1022" t="s">
        <v>28</v>
      </c>
      <c r="F1022" t="s">
        <v>10</v>
      </c>
      <c r="G1022" t="s">
        <v>32</v>
      </c>
      <c r="H1022" t="s">
        <v>185</v>
      </c>
    </row>
    <row r="1023" spans="1:8" x14ac:dyDescent="0.3">
      <c r="A1023" t="s">
        <v>335</v>
      </c>
      <c r="B1023">
        <v>27</v>
      </c>
      <c r="C1023" t="s">
        <v>421</v>
      </c>
      <c r="D1023" s="1">
        <v>0.91666666666666663</v>
      </c>
      <c r="E1023" t="s">
        <v>338</v>
      </c>
      <c r="F1023" t="s">
        <v>11</v>
      </c>
      <c r="G1023" t="s">
        <v>88</v>
      </c>
      <c r="H1023" t="s">
        <v>190</v>
      </c>
    </row>
    <row r="1024" spans="1:8" x14ac:dyDescent="0.3">
      <c r="A1024" t="s">
        <v>335</v>
      </c>
      <c r="B1024">
        <v>27</v>
      </c>
      <c r="C1024" t="s">
        <v>422</v>
      </c>
      <c r="D1024" s="1">
        <v>0.83333333333333337</v>
      </c>
      <c r="E1024" t="s">
        <v>15</v>
      </c>
      <c r="F1024" t="s">
        <v>182</v>
      </c>
      <c r="G1024" s="2">
        <v>46026</v>
      </c>
      <c r="H1024" t="s">
        <v>181</v>
      </c>
    </row>
    <row r="1025" spans="1:8" x14ac:dyDescent="0.3">
      <c r="A1025" t="s">
        <v>335</v>
      </c>
      <c r="B1025">
        <v>27</v>
      </c>
      <c r="C1025" t="s">
        <v>422</v>
      </c>
      <c r="D1025" s="1">
        <v>0.83333333333333337</v>
      </c>
      <c r="E1025" t="s">
        <v>35</v>
      </c>
      <c r="F1025" t="s">
        <v>34</v>
      </c>
      <c r="G1025" t="s">
        <v>41</v>
      </c>
      <c r="H1025" t="s">
        <v>197</v>
      </c>
    </row>
    <row r="1026" spans="1:8" x14ac:dyDescent="0.3">
      <c r="A1026" t="s">
        <v>335</v>
      </c>
      <c r="B1026">
        <v>27</v>
      </c>
      <c r="C1026" t="s">
        <v>422</v>
      </c>
      <c r="D1026" s="1">
        <v>0.83333333333333337</v>
      </c>
      <c r="E1026" t="s">
        <v>17</v>
      </c>
      <c r="F1026" t="s">
        <v>16</v>
      </c>
      <c r="G1026" s="2">
        <v>46054</v>
      </c>
      <c r="H1026" t="s">
        <v>206</v>
      </c>
    </row>
    <row r="1027" spans="1:8" x14ac:dyDescent="0.3">
      <c r="A1027" t="s">
        <v>335</v>
      </c>
      <c r="B1027">
        <v>27</v>
      </c>
      <c r="C1027" t="s">
        <v>422</v>
      </c>
      <c r="D1027" s="1">
        <v>0.83333333333333337</v>
      </c>
      <c r="E1027" t="s">
        <v>27</v>
      </c>
      <c r="F1027" t="s">
        <v>187</v>
      </c>
      <c r="G1027" t="s">
        <v>18</v>
      </c>
      <c r="H1027" t="s">
        <v>205</v>
      </c>
    </row>
    <row r="1028" spans="1:8" x14ac:dyDescent="0.3">
      <c r="A1028" t="s">
        <v>335</v>
      </c>
      <c r="B1028">
        <v>27</v>
      </c>
      <c r="C1028" t="s">
        <v>422</v>
      </c>
      <c r="D1028" s="1">
        <v>0.875</v>
      </c>
      <c r="E1028" t="s">
        <v>21</v>
      </c>
      <c r="F1028" t="s">
        <v>25</v>
      </c>
      <c r="G1028" s="2">
        <v>46082</v>
      </c>
      <c r="H1028" t="s">
        <v>341</v>
      </c>
    </row>
    <row r="1029" spans="1:8" x14ac:dyDescent="0.3">
      <c r="A1029" t="s">
        <v>335</v>
      </c>
      <c r="B1029">
        <v>27</v>
      </c>
      <c r="C1029" t="s">
        <v>423</v>
      </c>
      <c r="D1029" s="1">
        <v>0.83333333333333337</v>
      </c>
      <c r="E1029" t="s">
        <v>24</v>
      </c>
      <c r="F1029" t="s">
        <v>340</v>
      </c>
      <c r="G1029" t="s">
        <v>12</v>
      </c>
      <c r="H1029" t="s">
        <v>198</v>
      </c>
    </row>
    <row r="1030" spans="1:8" x14ac:dyDescent="0.3">
      <c r="A1030" t="s">
        <v>335</v>
      </c>
      <c r="B1030">
        <v>27</v>
      </c>
      <c r="C1030" t="s">
        <v>423</v>
      </c>
      <c r="D1030" s="1">
        <v>0.85416666666666663</v>
      </c>
      <c r="E1030" t="s">
        <v>36</v>
      </c>
      <c r="F1030" t="s">
        <v>26</v>
      </c>
      <c r="G1030" t="s">
        <v>46</v>
      </c>
      <c r="H1030" t="s">
        <v>345</v>
      </c>
    </row>
    <row r="1031" spans="1:8" x14ac:dyDescent="0.3">
      <c r="A1031" t="s">
        <v>335</v>
      </c>
      <c r="B1031">
        <v>27</v>
      </c>
      <c r="C1031" t="s">
        <v>423</v>
      </c>
      <c r="D1031" s="1">
        <v>0.875</v>
      </c>
      <c r="E1031" t="s">
        <v>30</v>
      </c>
      <c r="F1031" t="s">
        <v>20</v>
      </c>
      <c r="G1031" s="2">
        <v>46143</v>
      </c>
      <c r="H1031" t="s">
        <v>183</v>
      </c>
    </row>
    <row r="1032" spans="1:8" x14ac:dyDescent="0.3">
      <c r="A1032" t="s">
        <v>335</v>
      </c>
      <c r="B1032">
        <v>28</v>
      </c>
      <c r="C1032" t="s">
        <v>424</v>
      </c>
      <c r="D1032" s="1">
        <v>0.66666666666666663</v>
      </c>
      <c r="E1032" t="s">
        <v>25</v>
      </c>
      <c r="F1032" t="s">
        <v>35</v>
      </c>
      <c r="G1032" s="2">
        <v>46029</v>
      </c>
      <c r="H1032" t="s">
        <v>194</v>
      </c>
    </row>
    <row r="1033" spans="1:8" x14ac:dyDescent="0.3">
      <c r="A1033" t="s">
        <v>335</v>
      </c>
      <c r="B1033">
        <v>28</v>
      </c>
      <c r="C1033" t="s">
        <v>424</v>
      </c>
      <c r="D1033" s="1">
        <v>0.76041666666666663</v>
      </c>
      <c r="E1033" t="s">
        <v>34</v>
      </c>
      <c r="F1033" t="s">
        <v>338</v>
      </c>
      <c r="G1033" t="s">
        <v>42</v>
      </c>
      <c r="H1033" t="s">
        <v>195</v>
      </c>
    </row>
    <row r="1034" spans="1:8" x14ac:dyDescent="0.3">
      <c r="A1034" t="s">
        <v>335</v>
      </c>
      <c r="B1034">
        <v>28</v>
      </c>
      <c r="C1034" t="s">
        <v>424</v>
      </c>
      <c r="D1034" s="1">
        <v>0.85416666666666663</v>
      </c>
      <c r="E1034" t="s">
        <v>11</v>
      </c>
      <c r="F1034" t="s">
        <v>27</v>
      </c>
      <c r="G1034" s="2">
        <v>46023</v>
      </c>
      <c r="H1034" t="s">
        <v>202</v>
      </c>
    </row>
    <row r="1035" spans="1:8" x14ac:dyDescent="0.3">
      <c r="A1035" t="s">
        <v>335</v>
      </c>
      <c r="B1035">
        <v>28</v>
      </c>
      <c r="C1035" t="s">
        <v>424</v>
      </c>
      <c r="D1035" s="1">
        <v>0.92013888888888884</v>
      </c>
      <c r="E1035" t="s">
        <v>182</v>
      </c>
      <c r="F1035" t="s">
        <v>17</v>
      </c>
      <c r="G1035" s="2">
        <v>46084</v>
      </c>
      <c r="H1035" t="s">
        <v>204</v>
      </c>
    </row>
    <row r="1036" spans="1:8" x14ac:dyDescent="0.3">
      <c r="A1036" t="s">
        <v>335</v>
      </c>
      <c r="B1036">
        <v>28</v>
      </c>
      <c r="C1036" t="s">
        <v>425</v>
      </c>
      <c r="D1036" s="1">
        <v>0.5</v>
      </c>
      <c r="E1036" t="s">
        <v>26</v>
      </c>
      <c r="F1036" t="s">
        <v>24</v>
      </c>
      <c r="G1036" t="s">
        <v>12</v>
      </c>
      <c r="H1036" t="s">
        <v>207</v>
      </c>
    </row>
    <row r="1037" spans="1:8" x14ac:dyDescent="0.3">
      <c r="A1037" t="s">
        <v>335</v>
      </c>
      <c r="B1037">
        <v>28</v>
      </c>
      <c r="C1037" t="s">
        <v>425</v>
      </c>
      <c r="D1037" s="1">
        <v>0.66666666666666663</v>
      </c>
      <c r="E1037" t="s">
        <v>187</v>
      </c>
      <c r="F1037" t="s">
        <v>20</v>
      </c>
      <c r="G1037" t="s">
        <v>53</v>
      </c>
      <c r="H1037" t="s">
        <v>73</v>
      </c>
    </row>
    <row r="1038" spans="1:8" x14ac:dyDescent="0.3">
      <c r="A1038" t="s">
        <v>335</v>
      </c>
      <c r="B1038">
        <v>28</v>
      </c>
      <c r="C1038" t="s">
        <v>425</v>
      </c>
      <c r="D1038" s="1">
        <v>0.76041666666666663</v>
      </c>
      <c r="E1038" t="s">
        <v>10</v>
      </c>
      <c r="F1038" t="s">
        <v>21</v>
      </c>
      <c r="G1038" s="2">
        <v>46023</v>
      </c>
      <c r="H1038" t="s">
        <v>200</v>
      </c>
    </row>
    <row r="1039" spans="1:8" x14ac:dyDescent="0.3">
      <c r="A1039" t="s">
        <v>335</v>
      </c>
      <c r="B1039">
        <v>28</v>
      </c>
      <c r="C1039" t="s">
        <v>425</v>
      </c>
      <c r="D1039" s="1">
        <v>0.76041666666666663</v>
      </c>
      <c r="E1039" t="s">
        <v>340</v>
      </c>
      <c r="F1039" t="s">
        <v>15</v>
      </c>
      <c r="G1039" t="s">
        <v>54</v>
      </c>
      <c r="H1039" t="s">
        <v>184</v>
      </c>
    </row>
    <row r="1040" spans="1:8" x14ac:dyDescent="0.3">
      <c r="A1040" t="s">
        <v>335</v>
      </c>
      <c r="B1040">
        <v>28</v>
      </c>
      <c r="C1040" t="s">
        <v>425</v>
      </c>
      <c r="D1040" s="1">
        <v>0.85416666666666663</v>
      </c>
      <c r="E1040" t="s">
        <v>16</v>
      </c>
      <c r="F1040" t="s">
        <v>28</v>
      </c>
      <c r="G1040" s="2">
        <v>46082</v>
      </c>
      <c r="H1040" t="s">
        <v>188</v>
      </c>
    </row>
    <row r="1041" spans="1:8" x14ac:dyDescent="0.3">
      <c r="A1041" t="s">
        <v>335</v>
      </c>
      <c r="B1041">
        <v>28</v>
      </c>
      <c r="C1041" t="s">
        <v>426</v>
      </c>
      <c r="D1041" s="1">
        <v>0.85416666666666663</v>
      </c>
      <c r="E1041" t="s">
        <v>36</v>
      </c>
      <c r="F1041" t="s">
        <v>30</v>
      </c>
      <c r="G1041" s="2">
        <v>46024</v>
      </c>
      <c r="H1041" t="s">
        <v>191</v>
      </c>
    </row>
    <row r="1042" spans="1:8" x14ac:dyDescent="0.3">
      <c r="A1042" t="s">
        <v>335</v>
      </c>
      <c r="B1042">
        <v>29</v>
      </c>
      <c r="C1042" t="s">
        <v>427</v>
      </c>
      <c r="D1042" s="1">
        <v>0.85416666666666663</v>
      </c>
      <c r="E1042" t="s">
        <v>17</v>
      </c>
      <c r="F1042" t="s">
        <v>340</v>
      </c>
      <c r="G1042" t="s">
        <v>18</v>
      </c>
      <c r="H1042" t="s">
        <v>341</v>
      </c>
    </row>
    <row r="1043" spans="1:8" x14ac:dyDescent="0.3">
      <c r="A1043" t="s">
        <v>335</v>
      </c>
      <c r="B1043">
        <v>29</v>
      </c>
      <c r="C1043" t="s">
        <v>428</v>
      </c>
      <c r="D1043" s="1">
        <v>0.66666666666666663</v>
      </c>
      <c r="E1043" t="s">
        <v>20</v>
      </c>
      <c r="F1043" t="s">
        <v>11</v>
      </c>
      <c r="G1043" t="s">
        <v>126</v>
      </c>
      <c r="H1043" t="s">
        <v>200</v>
      </c>
    </row>
    <row r="1044" spans="1:8" x14ac:dyDescent="0.3">
      <c r="A1044" t="s">
        <v>335</v>
      </c>
      <c r="B1044">
        <v>29</v>
      </c>
      <c r="C1044" t="s">
        <v>428</v>
      </c>
      <c r="D1044" s="1">
        <v>0.76041666666666663</v>
      </c>
      <c r="E1044" t="s">
        <v>35</v>
      </c>
      <c r="F1044" t="s">
        <v>10</v>
      </c>
      <c r="G1044" t="s">
        <v>18</v>
      </c>
      <c r="H1044" t="s">
        <v>205</v>
      </c>
    </row>
    <row r="1045" spans="1:8" x14ac:dyDescent="0.3">
      <c r="A1045" t="s">
        <v>335</v>
      </c>
      <c r="B1045">
        <v>29</v>
      </c>
      <c r="C1045" t="s">
        <v>428</v>
      </c>
      <c r="D1045" s="1">
        <v>0.85416666666666663</v>
      </c>
      <c r="E1045" t="s">
        <v>28</v>
      </c>
      <c r="F1045" t="s">
        <v>182</v>
      </c>
      <c r="G1045" t="s">
        <v>32</v>
      </c>
      <c r="H1045" t="s">
        <v>190</v>
      </c>
    </row>
    <row r="1046" spans="1:8" x14ac:dyDescent="0.3">
      <c r="A1046" t="s">
        <v>335</v>
      </c>
      <c r="B1046">
        <v>29</v>
      </c>
      <c r="C1046" t="s">
        <v>428</v>
      </c>
      <c r="D1046" s="1">
        <v>0.92013888888888884</v>
      </c>
      <c r="E1046" t="s">
        <v>30</v>
      </c>
      <c r="F1046" t="s">
        <v>187</v>
      </c>
      <c r="G1046" s="2">
        <v>46023</v>
      </c>
      <c r="H1046" t="s">
        <v>188</v>
      </c>
    </row>
    <row r="1047" spans="1:8" x14ac:dyDescent="0.3">
      <c r="A1047" t="s">
        <v>335</v>
      </c>
      <c r="B1047">
        <v>29</v>
      </c>
      <c r="C1047" t="s">
        <v>429</v>
      </c>
      <c r="D1047" s="1">
        <v>0.5</v>
      </c>
      <c r="E1047" t="s">
        <v>21</v>
      </c>
      <c r="F1047" t="s">
        <v>16</v>
      </c>
      <c r="G1047" t="s">
        <v>18</v>
      </c>
      <c r="H1047" t="s">
        <v>184</v>
      </c>
    </row>
    <row r="1048" spans="1:8" x14ac:dyDescent="0.3">
      <c r="A1048" t="s">
        <v>335</v>
      </c>
      <c r="B1048">
        <v>29</v>
      </c>
      <c r="C1048" t="s">
        <v>429</v>
      </c>
      <c r="D1048" s="1">
        <v>0.66666666666666663</v>
      </c>
      <c r="E1048" t="s">
        <v>27</v>
      </c>
      <c r="F1048" t="s">
        <v>34</v>
      </c>
      <c r="G1048" s="2">
        <v>46057</v>
      </c>
      <c r="H1048" t="s">
        <v>204</v>
      </c>
    </row>
    <row r="1049" spans="1:8" x14ac:dyDescent="0.3">
      <c r="A1049" t="s">
        <v>335</v>
      </c>
      <c r="B1049">
        <v>29</v>
      </c>
      <c r="C1049" t="s">
        <v>429</v>
      </c>
      <c r="D1049" s="1">
        <v>0.76041666666666663</v>
      </c>
      <c r="E1049" t="s">
        <v>15</v>
      </c>
      <c r="F1049" t="s">
        <v>26</v>
      </c>
      <c r="G1049" s="2">
        <v>46025</v>
      </c>
      <c r="H1049" t="s">
        <v>197</v>
      </c>
    </row>
    <row r="1050" spans="1:8" x14ac:dyDescent="0.3">
      <c r="A1050" t="s">
        <v>335</v>
      </c>
      <c r="B1050">
        <v>29</v>
      </c>
      <c r="C1050" t="s">
        <v>429</v>
      </c>
      <c r="D1050" s="1">
        <v>0.85416666666666663</v>
      </c>
      <c r="E1050" t="s">
        <v>338</v>
      </c>
      <c r="F1050" t="s">
        <v>25</v>
      </c>
      <c r="G1050" s="2">
        <v>46054</v>
      </c>
      <c r="H1050" t="s">
        <v>191</v>
      </c>
    </row>
    <row r="1051" spans="1:8" x14ac:dyDescent="0.3">
      <c r="A1051" t="s">
        <v>335</v>
      </c>
      <c r="B1051">
        <v>29</v>
      </c>
      <c r="C1051" t="s">
        <v>430</v>
      </c>
      <c r="D1051" s="1">
        <v>0.85416666666666663</v>
      </c>
      <c r="E1051" t="s">
        <v>24</v>
      </c>
      <c r="F1051" t="s">
        <v>36</v>
      </c>
      <c r="G1051" s="2">
        <v>46023</v>
      </c>
      <c r="H1051" t="s">
        <v>206</v>
      </c>
    </row>
    <row r="1052" spans="1:8" x14ac:dyDescent="0.3">
      <c r="A1052" t="s">
        <v>335</v>
      </c>
      <c r="B1052">
        <v>30</v>
      </c>
      <c r="C1052" t="s">
        <v>431</v>
      </c>
      <c r="D1052" s="1">
        <v>0.85416666666666663</v>
      </c>
      <c r="E1052" t="s">
        <v>11</v>
      </c>
      <c r="F1052" t="s">
        <v>187</v>
      </c>
      <c r="G1052" s="2">
        <v>46023</v>
      </c>
      <c r="H1052" t="s">
        <v>207</v>
      </c>
    </row>
    <row r="1053" spans="1:8" x14ac:dyDescent="0.3">
      <c r="A1053" t="s">
        <v>335</v>
      </c>
      <c r="B1053">
        <v>30</v>
      </c>
      <c r="C1053" t="s">
        <v>432</v>
      </c>
      <c r="D1053" s="1">
        <v>0.66666666666666663</v>
      </c>
      <c r="E1053" t="s">
        <v>340</v>
      </c>
      <c r="F1053" t="s">
        <v>28</v>
      </c>
      <c r="G1053" s="2">
        <v>46024</v>
      </c>
      <c r="H1053" t="s">
        <v>194</v>
      </c>
    </row>
    <row r="1054" spans="1:8" x14ac:dyDescent="0.3">
      <c r="A1054" t="s">
        <v>335</v>
      </c>
      <c r="B1054">
        <v>30</v>
      </c>
      <c r="C1054" t="s">
        <v>432</v>
      </c>
      <c r="D1054" s="1">
        <v>0.76041666666666663</v>
      </c>
      <c r="E1054" t="s">
        <v>24</v>
      </c>
      <c r="F1054" t="s">
        <v>30</v>
      </c>
      <c r="G1054" s="2">
        <v>46055</v>
      </c>
      <c r="H1054" t="s">
        <v>185</v>
      </c>
    </row>
    <row r="1055" spans="1:8" x14ac:dyDescent="0.3">
      <c r="A1055" t="s">
        <v>335</v>
      </c>
      <c r="B1055">
        <v>30</v>
      </c>
      <c r="C1055" t="s">
        <v>432</v>
      </c>
      <c r="D1055" s="1">
        <v>0.76041666666666663</v>
      </c>
      <c r="E1055" t="s">
        <v>10</v>
      </c>
      <c r="F1055" t="s">
        <v>338</v>
      </c>
      <c r="G1055" t="s">
        <v>42</v>
      </c>
      <c r="H1055" t="s">
        <v>181</v>
      </c>
    </row>
    <row r="1056" spans="1:8" x14ac:dyDescent="0.3">
      <c r="A1056" t="s">
        <v>335</v>
      </c>
      <c r="B1056">
        <v>30</v>
      </c>
      <c r="C1056" t="s">
        <v>432</v>
      </c>
      <c r="D1056" s="1">
        <v>0.85416666666666663</v>
      </c>
      <c r="E1056" t="s">
        <v>182</v>
      </c>
      <c r="F1056" t="s">
        <v>21</v>
      </c>
      <c r="G1056" s="2">
        <v>46024</v>
      </c>
      <c r="H1056" t="s">
        <v>183</v>
      </c>
    </row>
    <row r="1057" spans="1:8" x14ac:dyDescent="0.3">
      <c r="A1057" t="s">
        <v>335</v>
      </c>
      <c r="B1057">
        <v>30</v>
      </c>
      <c r="C1057" t="s">
        <v>432</v>
      </c>
      <c r="D1057" s="1">
        <v>0.92013888888888884</v>
      </c>
      <c r="E1057" t="s">
        <v>26</v>
      </c>
      <c r="F1057" t="s">
        <v>17</v>
      </c>
      <c r="G1057" t="s">
        <v>42</v>
      </c>
      <c r="H1057" t="s">
        <v>195</v>
      </c>
    </row>
    <row r="1058" spans="1:8" x14ac:dyDescent="0.3">
      <c r="A1058" t="s">
        <v>335</v>
      </c>
      <c r="B1058">
        <v>30</v>
      </c>
      <c r="C1058" t="s">
        <v>433</v>
      </c>
      <c r="D1058" s="1">
        <v>0.5</v>
      </c>
      <c r="E1058" t="s">
        <v>36</v>
      </c>
      <c r="F1058" t="s">
        <v>15</v>
      </c>
      <c r="G1058" s="2">
        <v>46024</v>
      </c>
      <c r="H1058" t="s">
        <v>202</v>
      </c>
    </row>
    <row r="1059" spans="1:8" x14ac:dyDescent="0.3">
      <c r="A1059" t="s">
        <v>335</v>
      </c>
      <c r="B1059">
        <v>30</v>
      </c>
      <c r="C1059" t="s">
        <v>433</v>
      </c>
      <c r="D1059" s="1">
        <v>0.66666666666666663</v>
      </c>
      <c r="E1059" t="s">
        <v>34</v>
      </c>
      <c r="F1059" t="s">
        <v>20</v>
      </c>
      <c r="G1059" s="2">
        <v>46055</v>
      </c>
      <c r="H1059" t="s">
        <v>345</v>
      </c>
    </row>
    <row r="1060" spans="1:8" x14ac:dyDescent="0.3">
      <c r="A1060" t="s">
        <v>335</v>
      </c>
      <c r="B1060">
        <v>30</v>
      </c>
      <c r="C1060" t="s">
        <v>433</v>
      </c>
      <c r="D1060" s="1">
        <v>0.76041666666666663</v>
      </c>
      <c r="E1060" t="s">
        <v>16</v>
      </c>
      <c r="F1060" t="s">
        <v>35</v>
      </c>
      <c r="G1060" t="s">
        <v>54</v>
      </c>
      <c r="H1060" t="s">
        <v>73</v>
      </c>
    </row>
    <row r="1061" spans="1:8" x14ac:dyDescent="0.3">
      <c r="A1061" t="s">
        <v>335</v>
      </c>
      <c r="B1061">
        <v>30</v>
      </c>
      <c r="C1061" t="s">
        <v>433</v>
      </c>
      <c r="D1061" s="1">
        <v>0.85416666666666663</v>
      </c>
      <c r="E1061" t="s">
        <v>25</v>
      </c>
      <c r="F1061" t="s">
        <v>27</v>
      </c>
      <c r="G1061" t="s">
        <v>88</v>
      </c>
      <c r="H1061" t="s">
        <v>198</v>
      </c>
    </row>
    <row r="1062" spans="1:8" x14ac:dyDescent="0.3">
      <c r="A1062" t="s">
        <v>335</v>
      </c>
      <c r="B1062">
        <v>31</v>
      </c>
      <c r="C1062" t="s">
        <v>434</v>
      </c>
      <c r="D1062" s="1">
        <v>0.85416666666666663</v>
      </c>
      <c r="E1062" t="s">
        <v>30</v>
      </c>
      <c r="F1062" t="s">
        <v>11</v>
      </c>
      <c r="G1062" t="s">
        <v>12</v>
      </c>
      <c r="H1062" t="s">
        <v>197</v>
      </c>
    </row>
    <row r="1063" spans="1:8" x14ac:dyDescent="0.3">
      <c r="A1063" t="s">
        <v>335</v>
      </c>
      <c r="B1063">
        <v>31</v>
      </c>
      <c r="C1063" t="s">
        <v>435</v>
      </c>
      <c r="D1063" s="1">
        <v>0.66666666666666663</v>
      </c>
      <c r="E1063" t="s">
        <v>28</v>
      </c>
      <c r="F1063" t="s">
        <v>26</v>
      </c>
      <c r="G1063" s="2">
        <v>46027</v>
      </c>
      <c r="H1063" t="s">
        <v>206</v>
      </c>
    </row>
    <row r="1064" spans="1:8" x14ac:dyDescent="0.3">
      <c r="A1064" t="s">
        <v>335</v>
      </c>
      <c r="B1064">
        <v>31</v>
      </c>
      <c r="C1064" t="s">
        <v>435</v>
      </c>
      <c r="D1064" s="1">
        <v>0.76041666666666663</v>
      </c>
      <c r="E1064" t="s">
        <v>338</v>
      </c>
      <c r="F1064" t="s">
        <v>16</v>
      </c>
      <c r="G1064" s="2">
        <v>46024</v>
      </c>
      <c r="H1064" t="s">
        <v>200</v>
      </c>
    </row>
    <row r="1065" spans="1:8" x14ac:dyDescent="0.3">
      <c r="A1065" t="s">
        <v>335</v>
      </c>
      <c r="B1065">
        <v>31</v>
      </c>
      <c r="C1065" t="s">
        <v>435</v>
      </c>
      <c r="D1065" s="1">
        <v>0.85416666666666663</v>
      </c>
      <c r="E1065" t="s">
        <v>20</v>
      </c>
      <c r="F1065" t="s">
        <v>25</v>
      </c>
      <c r="G1065" s="2">
        <v>46054</v>
      </c>
      <c r="H1065" t="s">
        <v>185</v>
      </c>
    </row>
    <row r="1066" spans="1:8" x14ac:dyDescent="0.3">
      <c r="A1066" t="s">
        <v>335</v>
      </c>
      <c r="B1066">
        <v>31</v>
      </c>
      <c r="C1066" t="s">
        <v>435</v>
      </c>
      <c r="D1066" s="1">
        <v>0.92013888888888884</v>
      </c>
      <c r="E1066" t="s">
        <v>35</v>
      </c>
      <c r="F1066" t="s">
        <v>182</v>
      </c>
      <c r="G1066" s="2">
        <v>46023</v>
      </c>
      <c r="H1066" t="s">
        <v>191</v>
      </c>
    </row>
    <row r="1067" spans="1:8" x14ac:dyDescent="0.3">
      <c r="A1067" t="s">
        <v>335</v>
      </c>
      <c r="B1067">
        <v>31</v>
      </c>
      <c r="C1067" t="s">
        <v>436</v>
      </c>
      <c r="D1067" s="1">
        <v>0.5</v>
      </c>
      <c r="E1067" t="s">
        <v>15</v>
      </c>
      <c r="F1067" t="s">
        <v>24</v>
      </c>
      <c r="G1067" s="2">
        <v>46023</v>
      </c>
      <c r="H1067" t="s">
        <v>204</v>
      </c>
    </row>
    <row r="1068" spans="1:8" x14ac:dyDescent="0.3">
      <c r="A1068" t="s">
        <v>335</v>
      </c>
      <c r="B1068">
        <v>31</v>
      </c>
      <c r="C1068" t="s">
        <v>436</v>
      </c>
      <c r="D1068" s="1">
        <v>0.66666666666666663</v>
      </c>
      <c r="E1068" t="s">
        <v>17</v>
      </c>
      <c r="F1068" t="s">
        <v>36</v>
      </c>
      <c r="G1068" s="2">
        <v>46023</v>
      </c>
      <c r="H1068" t="s">
        <v>205</v>
      </c>
    </row>
    <row r="1069" spans="1:8" x14ac:dyDescent="0.3">
      <c r="A1069" t="s">
        <v>335</v>
      </c>
      <c r="B1069">
        <v>31</v>
      </c>
      <c r="C1069" t="s">
        <v>436</v>
      </c>
      <c r="D1069" s="1">
        <v>0.76041666666666663</v>
      </c>
      <c r="E1069" t="s">
        <v>187</v>
      </c>
      <c r="F1069" t="s">
        <v>34</v>
      </c>
      <c r="G1069" s="2">
        <v>46054</v>
      </c>
      <c r="H1069" t="s">
        <v>184</v>
      </c>
    </row>
    <row r="1070" spans="1:8" x14ac:dyDescent="0.3">
      <c r="A1070" t="s">
        <v>335</v>
      </c>
      <c r="B1070">
        <v>31</v>
      </c>
      <c r="C1070" t="s">
        <v>436</v>
      </c>
      <c r="D1070" s="1">
        <v>0.85416666666666663</v>
      </c>
      <c r="E1070" t="s">
        <v>27</v>
      </c>
      <c r="F1070" t="s">
        <v>10</v>
      </c>
      <c r="G1070" s="2">
        <v>46054</v>
      </c>
      <c r="H1070" t="s">
        <v>195</v>
      </c>
    </row>
    <row r="1071" spans="1:8" x14ac:dyDescent="0.3">
      <c r="A1071" t="s">
        <v>335</v>
      </c>
      <c r="B1071">
        <v>31</v>
      </c>
      <c r="C1071" t="s">
        <v>437</v>
      </c>
      <c r="D1071" s="1">
        <v>0.85416666666666663</v>
      </c>
      <c r="E1071" t="s">
        <v>21</v>
      </c>
      <c r="F1071" t="s">
        <v>340</v>
      </c>
      <c r="G1071" t="s">
        <v>41</v>
      </c>
      <c r="H1071" t="s">
        <v>190</v>
      </c>
    </row>
    <row r="1072" spans="1:8" x14ac:dyDescent="0.3">
      <c r="A1072" t="s">
        <v>335</v>
      </c>
      <c r="B1072">
        <v>32</v>
      </c>
      <c r="C1072" t="s">
        <v>438</v>
      </c>
      <c r="D1072" s="1">
        <v>0.85416666666666663</v>
      </c>
      <c r="E1072" t="s">
        <v>24</v>
      </c>
      <c r="F1072" t="s">
        <v>17</v>
      </c>
      <c r="G1072" t="s">
        <v>41</v>
      </c>
      <c r="H1072" t="s">
        <v>198</v>
      </c>
    </row>
    <row r="1073" spans="1:8" x14ac:dyDescent="0.3">
      <c r="A1073" t="s">
        <v>335</v>
      </c>
      <c r="B1073">
        <v>32</v>
      </c>
      <c r="C1073" t="s">
        <v>439</v>
      </c>
      <c r="D1073" s="1">
        <v>0.66666666666666663</v>
      </c>
      <c r="E1073" t="s">
        <v>25</v>
      </c>
      <c r="F1073" t="s">
        <v>187</v>
      </c>
      <c r="G1073" t="s">
        <v>88</v>
      </c>
      <c r="H1073" t="s">
        <v>345</v>
      </c>
    </row>
    <row r="1074" spans="1:8" x14ac:dyDescent="0.3">
      <c r="A1074" t="s">
        <v>335</v>
      </c>
      <c r="B1074">
        <v>32</v>
      </c>
      <c r="C1074" t="s">
        <v>439</v>
      </c>
      <c r="D1074" s="1">
        <v>0.76041666666666663</v>
      </c>
      <c r="E1074" t="s">
        <v>36</v>
      </c>
      <c r="F1074" t="s">
        <v>28</v>
      </c>
      <c r="G1074" s="2">
        <v>46082</v>
      </c>
      <c r="H1074" t="s">
        <v>341</v>
      </c>
    </row>
    <row r="1075" spans="1:8" x14ac:dyDescent="0.3">
      <c r="A1075" t="s">
        <v>335</v>
      </c>
      <c r="B1075">
        <v>32</v>
      </c>
      <c r="C1075" t="s">
        <v>439</v>
      </c>
      <c r="D1075" s="1">
        <v>0.85416666666666663</v>
      </c>
      <c r="E1075" t="s">
        <v>10</v>
      </c>
      <c r="F1075" t="s">
        <v>20</v>
      </c>
      <c r="G1075" t="s">
        <v>18</v>
      </c>
      <c r="H1075" t="s">
        <v>207</v>
      </c>
    </row>
    <row r="1076" spans="1:8" x14ac:dyDescent="0.3">
      <c r="A1076" t="s">
        <v>335</v>
      </c>
      <c r="B1076">
        <v>32</v>
      </c>
      <c r="C1076" t="s">
        <v>439</v>
      </c>
      <c r="D1076" s="1">
        <v>0.92013888888888884</v>
      </c>
      <c r="E1076" t="s">
        <v>26</v>
      </c>
      <c r="F1076" t="s">
        <v>21</v>
      </c>
      <c r="G1076" t="s">
        <v>18</v>
      </c>
      <c r="H1076" t="s">
        <v>202</v>
      </c>
    </row>
    <row r="1077" spans="1:8" x14ac:dyDescent="0.3">
      <c r="A1077" t="s">
        <v>335</v>
      </c>
      <c r="B1077">
        <v>32</v>
      </c>
      <c r="C1077" t="s">
        <v>440</v>
      </c>
      <c r="D1077" s="1">
        <v>0.5</v>
      </c>
      <c r="E1077" t="s">
        <v>340</v>
      </c>
      <c r="F1077" t="s">
        <v>35</v>
      </c>
      <c r="G1077" t="s">
        <v>42</v>
      </c>
      <c r="H1077" t="s">
        <v>181</v>
      </c>
    </row>
    <row r="1078" spans="1:8" x14ac:dyDescent="0.3">
      <c r="A1078" t="s">
        <v>335</v>
      </c>
      <c r="B1078">
        <v>32</v>
      </c>
      <c r="C1078" t="s">
        <v>440</v>
      </c>
      <c r="D1078" s="1">
        <v>0.66666666666666663</v>
      </c>
      <c r="E1078" t="s">
        <v>16</v>
      </c>
      <c r="F1078" t="s">
        <v>27</v>
      </c>
      <c r="G1078" s="2">
        <v>46024</v>
      </c>
      <c r="H1078" t="s">
        <v>183</v>
      </c>
    </row>
    <row r="1079" spans="1:8" x14ac:dyDescent="0.3">
      <c r="A1079" t="s">
        <v>335</v>
      </c>
      <c r="B1079">
        <v>32</v>
      </c>
      <c r="C1079" t="s">
        <v>440</v>
      </c>
      <c r="D1079" s="1">
        <v>0.76041666666666663</v>
      </c>
      <c r="E1079" t="s">
        <v>34</v>
      </c>
      <c r="F1079" t="s">
        <v>11</v>
      </c>
      <c r="G1079" t="s">
        <v>12</v>
      </c>
      <c r="H1079" t="s">
        <v>73</v>
      </c>
    </row>
    <row r="1080" spans="1:8" x14ac:dyDescent="0.3">
      <c r="A1080" t="s">
        <v>335</v>
      </c>
      <c r="B1080">
        <v>32</v>
      </c>
      <c r="C1080" t="s">
        <v>440</v>
      </c>
      <c r="D1080" s="1">
        <v>0.85416666666666663</v>
      </c>
      <c r="E1080" t="s">
        <v>15</v>
      </c>
      <c r="F1080" t="s">
        <v>30</v>
      </c>
      <c r="G1080" t="s">
        <v>18</v>
      </c>
      <c r="H1080" t="s">
        <v>194</v>
      </c>
    </row>
    <row r="1081" spans="1:8" x14ac:dyDescent="0.3">
      <c r="A1081" t="s">
        <v>335</v>
      </c>
      <c r="B1081">
        <v>32</v>
      </c>
      <c r="C1081" t="s">
        <v>441</v>
      </c>
      <c r="D1081" s="1">
        <v>0.85416666666666663</v>
      </c>
      <c r="E1081" t="s">
        <v>182</v>
      </c>
      <c r="F1081" t="s">
        <v>338</v>
      </c>
      <c r="G1081" s="2">
        <v>46082</v>
      </c>
      <c r="H1081" t="s">
        <v>188</v>
      </c>
    </row>
    <row r="1082" spans="1:8" x14ac:dyDescent="0.3">
      <c r="A1082" t="s">
        <v>335</v>
      </c>
      <c r="B1082">
        <v>33</v>
      </c>
      <c r="C1082" t="s">
        <v>442</v>
      </c>
      <c r="D1082" s="1">
        <v>0.85416666666666663</v>
      </c>
      <c r="E1082" t="s">
        <v>21</v>
      </c>
      <c r="F1082" t="s">
        <v>36</v>
      </c>
      <c r="G1082" s="2">
        <v>46024</v>
      </c>
      <c r="H1082" t="s">
        <v>185</v>
      </c>
    </row>
    <row r="1083" spans="1:8" x14ac:dyDescent="0.3">
      <c r="A1083" t="s">
        <v>335</v>
      </c>
      <c r="B1083">
        <v>33</v>
      </c>
      <c r="C1083" t="s">
        <v>443</v>
      </c>
      <c r="D1083" s="1">
        <v>0.66666666666666663</v>
      </c>
      <c r="E1083" t="s">
        <v>11</v>
      </c>
      <c r="F1083" t="s">
        <v>25</v>
      </c>
      <c r="G1083" s="2">
        <v>46143</v>
      </c>
      <c r="H1083" t="s">
        <v>206</v>
      </c>
    </row>
    <row r="1084" spans="1:8" x14ac:dyDescent="0.3">
      <c r="A1084" t="s">
        <v>335</v>
      </c>
      <c r="B1084">
        <v>33</v>
      </c>
      <c r="C1084" t="s">
        <v>443</v>
      </c>
      <c r="D1084" s="1">
        <v>0.76041666666666663</v>
      </c>
      <c r="E1084" t="s">
        <v>338</v>
      </c>
      <c r="F1084" t="s">
        <v>340</v>
      </c>
      <c r="G1084" s="2">
        <v>46023</v>
      </c>
      <c r="H1084" t="s">
        <v>73</v>
      </c>
    </row>
    <row r="1085" spans="1:8" x14ac:dyDescent="0.3">
      <c r="A1085" t="s">
        <v>335</v>
      </c>
      <c r="B1085">
        <v>33</v>
      </c>
      <c r="C1085" t="s">
        <v>443</v>
      </c>
      <c r="D1085" s="1">
        <v>0.85416666666666663</v>
      </c>
      <c r="E1085" t="s">
        <v>187</v>
      </c>
      <c r="F1085" t="s">
        <v>10</v>
      </c>
      <c r="G1085" s="2">
        <v>46024</v>
      </c>
      <c r="H1085" t="s">
        <v>190</v>
      </c>
    </row>
    <row r="1086" spans="1:8" x14ac:dyDescent="0.3">
      <c r="A1086" t="s">
        <v>335</v>
      </c>
      <c r="B1086">
        <v>33</v>
      </c>
      <c r="C1086" t="s">
        <v>443</v>
      </c>
      <c r="D1086" s="1">
        <v>0.92013888888888884</v>
      </c>
      <c r="E1086" t="s">
        <v>35</v>
      </c>
      <c r="F1086" t="s">
        <v>26</v>
      </c>
      <c r="G1086" s="2">
        <v>46023</v>
      </c>
      <c r="H1086" t="s">
        <v>341</v>
      </c>
    </row>
    <row r="1087" spans="1:8" x14ac:dyDescent="0.3">
      <c r="A1087" t="s">
        <v>335</v>
      </c>
      <c r="B1087">
        <v>33</v>
      </c>
      <c r="C1087" t="s">
        <v>444</v>
      </c>
      <c r="D1087" s="1">
        <v>0.5</v>
      </c>
      <c r="E1087" t="s">
        <v>17</v>
      </c>
      <c r="F1087" t="s">
        <v>15</v>
      </c>
      <c r="G1087" t="s">
        <v>42</v>
      </c>
      <c r="H1087" t="s">
        <v>345</v>
      </c>
    </row>
    <row r="1088" spans="1:8" x14ac:dyDescent="0.3">
      <c r="A1088" t="s">
        <v>335</v>
      </c>
      <c r="B1088">
        <v>33</v>
      </c>
      <c r="C1088" t="s">
        <v>444</v>
      </c>
      <c r="D1088" s="1">
        <v>0.66666666666666663</v>
      </c>
      <c r="E1088" t="s">
        <v>27</v>
      </c>
      <c r="F1088" t="s">
        <v>182</v>
      </c>
      <c r="G1088" s="2">
        <v>46023</v>
      </c>
      <c r="H1088" t="s">
        <v>197</v>
      </c>
    </row>
    <row r="1089" spans="1:8" x14ac:dyDescent="0.3">
      <c r="A1089" t="s">
        <v>335</v>
      </c>
      <c r="B1089">
        <v>33</v>
      </c>
      <c r="C1089" t="s">
        <v>444</v>
      </c>
      <c r="D1089" s="1">
        <v>0.76041666666666663</v>
      </c>
      <c r="E1089" t="s">
        <v>28</v>
      </c>
      <c r="F1089" t="s">
        <v>24</v>
      </c>
      <c r="G1089" t="s">
        <v>32</v>
      </c>
      <c r="H1089" t="s">
        <v>202</v>
      </c>
    </row>
    <row r="1090" spans="1:8" x14ac:dyDescent="0.3">
      <c r="A1090" t="s">
        <v>335</v>
      </c>
      <c r="B1090">
        <v>33</v>
      </c>
      <c r="C1090" t="s">
        <v>444</v>
      </c>
      <c r="D1090" s="1">
        <v>0.76041666666666663</v>
      </c>
      <c r="E1090" t="s">
        <v>30</v>
      </c>
      <c r="F1090" t="s">
        <v>34</v>
      </c>
      <c r="G1090" s="2">
        <v>46024</v>
      </c>
      <c r="H1090" t="s">
        <v>207</v>
      </c>
    </row>
    <row r="1091" spans="1:8" x14ac:dyDescent="0.3">
      <c r="A1091" t="s">
        <v>335</v>
      </c>
      <c r="B1091">
        <v>33</v>
      </c>
      <c r="C1091" t="s">
        <v>444</v>
      </c>
      <c r="D1091" s="1">
        <v>0.85416666666666663</v>
      </c>
      <c r="E1091" t="s">
        <v>20</v>
      </c>
      <c r="F1091" t="s">
        <v>16</v>
      </c>
      <c r="G1091" s="2">
        <v>46054</v>
      </c>
      <c r="H1091" t="s">
        <v>191</v>
      </c>
    </row>
    <row r="1092" spans="1:8" x14ac:dyDescent="0.3">
      <c r="A1092" t="s">
        <v>335</v>
      </c>
      <c r="B1092">
        <v>34</v>
      </c>
      <c r="C1092" t="s">
        <v>445</v>
      </c>
      <c r="D1092" s="1">
        <v>0.83333333333333337</v>
      </c>
      <c r="E1092" t="s">
        <v>36</v>
      </c>
      <c r="F1092" t="s">
        <v>35</v>
      </c>
      <c r="G1092" s="2">
        <v>46023</v>
      </c>
      <c r="H1092" t="s">
        <v>202</v>
      </c>
    </row>
    <row r="1093" spans="1:8" x14ac:dyDescent="0.3">
      <c r="A1093" t="s">
        <v>335</v>
      </c>
      <c r="B1093">
        <v>34</v>
      </c>
      <c r="C1093" t="s">
        <v>445</v>
      </c>
      <c r="D1093" s="1">
        <v>0.875</v>
      </c>
      <c r="E1093" t="s">
        <v>26</v>
      </c>
      <c r="F1093" t="s">
        <v>338</v>
      </c>
      <c r="G1093" t="s">
        <v>18</v>
      </c>
      <c r="H1093" t="s">
        <v>183</v>
      </c>
    </row>
    <row r="1094" spans="1:8" x14ac:dyDescent="0.3">
      <c r="A1094" t="s">
        <v>335</v>
      </c>
      <c r="B1094">
        <v>34</v>
      </c>
      <c r="C1094" t="s">
        <v>446</v>
      </c>
      <c r="D1094" s="1">
        <v>0.83333333333333337</v>
      </c>
      <c r="E1094" t="s">
        <v>182</v>
      </c>
      <c r="F1094" t="s">
        <v>20</v>
      </c>
      <c r="G1094" t="s">
        <v>326</v>
      </c>
      <c r="H1094" t="s">
        <v>341</v>
      </c>
    </row>
    <row r="1095" spans="1:8" x14ac:dyDescent="0.3">
      <c r="A1095" t="s">
        <v>335</v>
      </c>
      <c r="B1095">
        <v>34</v>
      </c>
      <c r="C1095" t="s">
        <v>446</v>
      </c>
      <c r="D1095" s="1">
        <v>0.86458333333333337</v>
      </c>
      <c r="E1095" t="s">
        <v>15</v>
      </c>
      <c r="F1095" t="s">
        <v>28</v>
      </c>
      <c r="G1095" t="s">
        <v>42</v>
      </c>
      <c r="H1095" t="s">
        <v>205</v>
      </c>
    </row>
    <row r="1096" spans="1:8" x14ac:dyDescent="0.3">
      <c r="A1096" t="s">
        <v>335</v>
      </c>
      <c r="B1096">
        <v>34</v>
      </c>
      <c r="C1096" t="s">
        <v>446</v>
      </c>
      <c r="D1096" s="1">
        <v>0.86458333333333337</v>
      </c>
      <c r="E1096" t="s">
        <v>17</v>
      </c>
      <c r="F1096" t="s">
        <v>30</v>
      </c>
      <c r="G1096" s="2">
        <v>46023</v>
      </c>
      <c r="H1096" t="s">
        <v>73</v>
      </c>
    </row>
    <row r="1097" spans="1:8" x14ac:dyDescent="0.3">
      <c r="A1097" t="s">
        <v>335</v>
      </c>
      <c r="B1097">
        <v>34</v>
      </c>
      <c r="C1097" t="s">
        <v>446</v>
      </c>
      <c r="D1097" s="1">
        <v>0.86458333333333337</v>
      </c>
      <c r="E1097" t="s">
        <v>16</v>
      </c>
      <c r="F1097" t="s">
        <v>187</v>
      </c>
      <c r="G1097" t="s">
        <v>88</v>
      </c>
      <c r="H1097" t="s">
        <v>198</v>
      </c>
    </row>
    <row r="1098" spans="1:8" x14ac:dyDescent="0.3">
      <c r="A1098" t="s">
        <v>335</v>
      </c>
      <c r="B1098">
        <v>34</v>
      </c>
      <c r="C1098" t="s">
        <v>446</v>
      </c>
      <c r="D1098" s="1">
        <v>0.86458333333333337</v>
      </c>
      <c r="E1098" t="s">
        <v>340</v>
      </c>
      <c r="F1098" t="s">
        <v>27</v>
      </c>
      <c r="G1098" s="2">
        <v>46024</v>
      </c>
      <c r="H1098" t="s">
        <v>206</v>
      </c>
    </row>
    <row r="1099" spans="1:8" x14ac:dyDescent="0.3">
      <c r="A1099" t="s">
        <v>335</v>
      </c>
      <c r="B1099">
        <v>34</v>
      </c>
      <c r="C1099" t="s">
        <v>446</v>
      </c>
      <c r="D1099" s="1">
        <v>0.91666666666666663</v>
      </c>
      <c r="E1099" t="s">
        <v>25</v>
      </c>
      <c r="F1099" t="s">
        <v>34</v>
      </c>
      <c r="G1099" t="s">
        <v>32</v>
      </c>
      <c r="H1099" t="s">
        <v>195</v>
      </c>
    </row>
    <row r="1100" spans="1:8" x14ac:dyDescent="0.3">
      <c r="A1100" t="s">
        <v>335</v>
      </c>
      <c r="B1100">
        <v>34</v>
      </c>
      <c r="C1100" t="s">
        <v>447</v>
      </c>
      <c r="D1100" s="1">
        <v>0.85416666666666663</v>
      </c>
      <c r="E1100" t="s">
        <v>10</v>
      </c>
      <c r="F1100" t="s">
        <v>11</v>
      </c>
      <c r="G1100" s="2">
        <v>46054</v>
      </c>
      <c r="H1100" t="s">
        <v>345</v>
      </c>
    </row>
    <row r="1101" spans="1:8" x14ac:dyDescent="0.3">
      <c r="A1101" t="s">
        <v>335</v>
      </c>
      <c r="B1101">
        <v>34</v>
      </c>
      <c r="C1101" t="s">
        <v>447</v>
      </c>
      <c r="D1101" s="1">
        <v>0.875</v>
      </c>
      <c r="E1101" t="s">
        <v>24</v>
      </c>
      <c r="F1101" t="s">
        <v>21</v>
      </c>
      <c r="G1101" s="2">
        <v>46027</v>
      </c>
      <c r="H1101" t="s">
        <v>197</v>
      </c>
    </row>
    <row r="1102" spans="1:8" x14ac:dyDescent="0.3">
      <c r="A1102" t="s">
        <v>335</v>
      </c>
      <c r="B1102">
        <v>35</v>
      </c>
      <c r="C1102" t="s">
        <v>448</v>
      </c>
      <c r="D1102" s="1">
        <v>0.875</v>
      </c>
      <c r="E1102" t="s">
        <v>338</v>
      </c>
      <c r="F1102" t="s">
        <v>36</v>
      </c>
      <c r="G1102" t="s">
        <v>88</v>
      </c>
      <c r="H1102" t="s">
        <v>190</v>
      </c>
    </row>
    <row r="1103" spans="1:8" x14ac:dyDescent="0.3">
      <c r="A1103" t="s">
        <v>335</v>
      </c>
      <c r="B1103">
        <v>35</v>
      </c>
      <c r="C1103" t="s">
        <v>449</v>
      </c>
      <c r="D1103" s="1">
        <v>0.66666666666666663</v>
      </c>
      <c r="E1103" t="s">
        <v>30</v>
      </c>
      <c r="F1103" t="s">
        <v>25</v>
      </c>
      <c r="G1103" s="2">
        <v>46083</v>
      </c>
      <c r="H1103" t="s">
        <v>185</v>
      </c>
    </row>
    <row r="1104" spans="1:8" x14ac:dyDescent="0.3">
      <c r="A1104" t="s">
        <v>335</v>
      </c>
      <c r="B1104">
        <v>35</v>
      </c>
      <c r="C1104" t="s">
        <v>449</v>
      </c>
      <c r="D1104" s="1">
        <v>0.76041666666666663</v>
      </c>
      <c r="E1104" t="s">
        <v>28</v>
      </c>
      <c r="F1104" t="s">
        <v>17</v>
      </c>
      <c r="G1104" t="s">
        <v>18</v>
      </c>
      <c r="H1104" t="s">
        <v>181</v>
      </c>
    </row>
    <row r="1105" spans="1:8" x14ac:dyDescent="0.3">
      <c r="A1105" t="s">
        <v>335</v>
      </c>
      <c r="B1105">
        <v>35</v>
      </c>
      <c r="C1105" t="s">
        <v>449</v>
      </c>
      <c r="D1105" s="1">
        <v>0.85416666666666663</v>
      </c>
      <c r="E1105" t="s">
        <v>20</v>
      </c>
      <c r="F1105" t="s">
        <v>340</v>
      </c>
      <c r="G1105" t="s">
        <v>126</v>
      </c>
      <c r="H1105" t="s">
        <v>195</v>
      </c>
    </row>
    <row r="1106" spans="1:8" x14ac:dyDescent="0.3">
      <c r="A1106" t="s">
        <v>335</v>
      </c>
      <c r="B1106">
        <v>35</v>
      </c>
      <c r="C1106" t="s">
        <v>449</v>
      </c>
      <c r="D1106" s="1">
        <v>0.92013888888888884</v>
      </c>
      <c r="E1106" t="s">
        <v>187</v>
      </c>
      <c r="F1106" t="s">
        <v>182</v>
      </c>
      <c r="G1106" s="2">
        <v>46023</v>
      </c>
      <c r="H1106" t="s">
        <v>202</v>
      </c>
    </row>
    <row r="1107" spans="1:8" x14ac:dyDescent="0.3">
      <c r="A1107" t="s">
        <v>335</v>
      </c>
      <c r="B1107">
        <v>35</v>
      </c>
      <c r="C1107" t="s">
        <v>450</v>
      </c>
      <c r="D1107" s="1">
        <v>0.5</v>
      </c>
      <c r="E1107" t="s">
        <v>21</v>
      </c>
      <c r="F1107" t="s">
        <v>15</v>
      </c>
      <c r="G1107" s="2">
        <v>46055</v>
      </c>
      <c r="H1107" t="s">
        <v>207</v>
      </c>
    </row>
    <row r="1108" spans="1:8" x14ac:dyDescent="0.3">
      <c r="A1108" t="s">
        <v>335</v>
      </c>
      <c r="B1108">
        <v>35</v>
      </c>
      <c r="C1108" t="s">
        <v>450</v>
      </c>
      <c r="D1108" s="1">
        <v>0.66666666666666663</v>
      </c>
      <c r="E1108" t="s">
        <v>27</v>
      </c>
      <c r="F1108" t="s">
        <v>26</v>
      </c>
      <c r="G1108" t="s">
        <v>12</v>
      </c>
      <c r="H1108" t="s">
        <v>204</v>
      </c>
    </row>
    <row r="1109" spans="1:8" x14ac:dyDescent="0.3">
      <c r="A1109" t="s">
        <v>335</v>
      </c>
      <c r="B1109">
        <v>35</v>
      </c>
      <c r="C1109" t="s">
        <v>450</v>
      </c>
      <c r="D1109" s="1">
        <v>0.76041666666666663</v>
      </c>
      <c r="E1109" t="s">
        <v>11</v>
      </c>
      <c r="F1109" t="s">
        <v>16</v>
      </c>
      <c r="G1109" s="2">
        <v>46055</v>
      </c>
      <c r="H1109" t="s">
        <v>341</v>
      </c>
    </row>
    <row r="1110" spans="1:8" x14ac:dyDescent="0.3">
      <c r="A1110" t="s">
        <v>335</v>
      </c>
      <c r="B1110">
        <v>35</v>
      </c>
      <c r="C1110" t="s">
        <v>450</v>
      </c>
      <c r="D1110" s="1">
        <v>0.85416666666666663</v>
      </c>
      <c r="E1110" t="s">
        <v>34</v>
      </c>
      <c r="F1110" t="s">
        <v>10</v>
      </c>
      <c r="G1110" t="s">
        <v>41</v>
      </c>
      <c r="H1110" t="s">
        <v>191</v>
      </c>
    </row>
    <row r="1111" spans="1:8" x14ac:dyDescent="0.3">
      <c r="A1111" t="s">
        <v>335</v>
      </c>
      <c r="B1111">
        <v>35</v>
      </c>
      <c r="C1111" t="s">
        <v>451</v>
      </c>
      <c r="D1111" s="1">
        <v>0.85416666666666663</v>
      </c>
      <c r="E1111" t="s">
        <v>35</v>
      </c>
      <c r="F1111" t="s">
        <v>24</v>
      </c>
      <c r="G1111" s="2">
        <v>46024</v>
      </c>
      <c r="H1111" t="s">
        <v>194</v>
      </c>
    </row>
    <row r="1112" spans="1:8" x14ac:dyDescent="0.3">
      <c r="A1112" t="s">
        <v>335</v>
      </c>
      <c r="B1112">
        <v>36</v>
      </c>
      <c r="C1112" t="s">
        <v>452</v>
      </c>
      <c r="D1112" s="1">
        <v>0.85416666666666663</v>
      </c>
      <c r="E1112" t="s">
        <v>340</v>
      </c>
      <c r="F1112" t="s">
        <v>187</v>
      </c>
      <c r="G1112" t="s">
        <v>12</v>
      </c>
      <c r="H1112" t="s">
        <v>185</v>
      </c>
    </row>
    <row r="1113" spans="1:8" x14ac:dyDescent="0.3">
      <c r="A1113" t="s">
        <v>335</v>
      </c>
      <c r="B1113">
        <v>36</v>
      </c>
      <c r="C1113" t="s">
        <v>453</v>
      </c>
      <c r="D1113" s="1">
        <v>0.66666666666666663</v>
      </c>
      <c r="E1113" t="s">
        <v>10</v>
      </c>
      <c r="F1113" t="s">
        <v>25</v>
      </c>
      <c r="G1113" t="s">
        <v>42</v>
      </c>
      <c r="H1113" t="s">
        <v>73</v>
      </c>
    </row>
    <row r="1114" spans="1:8" x14ac:dyDescent="0.3">
      <c r="A1114" t="s">
        <v>335</v>
      </c>
      <c r="B1114">
        <v>36</v>
      </c>
      <c r="C1114" t="s">
        <v>453</v>
      </c>
      <c r="D1114" s="1">
        <v>0.76041666666666663</v>
      </c>
      <c r="E1114" t="s">
        <v>28</v>
      </c>
      <c r="F1114" t="s">
        <v>30</v>
      </c>
      <c r="G1114" t="s">
        <v>18</v>
      </c>
      <c r="H1114" t="s">
        <v>345</v>
      </c>
    </row>
    <row r="1115" spans="1:8" x14ac:dyDescent="0.3">
      <c r="A1115" t="s">
        <v>335</v>
      </c>
      <c r="B1115">
        <v>36</v>
      </c>
      <c r="C1115" t="s">
        <v>453</v>
      </c>
      <c r="D1115" s="1">
        <v>0.85416666666666663</v>
      </c>
      <c r="E1115" t="s">
        <v>26</v>
      </c>
      <c r="F1115" t="s">
        <v>20</v>
      </c>
      <c r="G1115" t="s">
        <v>54</v>
      </c>
      <c r="H1115" t="s">
        <v>181</v>
      </c>
    </row>
    <row r="1116" spans="1:8" x14ac:dyDescent="0.3">
      <c r="A1116" t="s">
        <v>335</v>
      </c>
      <c r="B1116">
        <v>36</v>
      </c>
      <c r="C1116" t="s">
        <v>453</v>
      </c>
      <c r="D1116" s="1">
        <v>0.92013888888888884</v>
      </c>
      <c r="E1116" t="s">
        <v>24</v>
      </c>
      <c r="F1116" t="s">
        <v>338</v>
      </c>
      <c r="G1116" s="2">
        <v>46056</v>
      </c>
      <c r="H1116" t="s">
        <v>206</v>
      </c>
    </row>
    <row r="1117" spans="1:8" x14ac:dyDescent="0.3">
      <c r="A1117" t="s">
        <v>335</v>
      </c>
      <c r="B1117">
        <v>36</v>
      </c>
      <c r="C1117" t="s">
        <v>454</v>
      </c>
      <c r="D1117" s="1">
        <v>0.5</v>
      </c>
      <c r="E1117" t="s">
        <v>15</v>
      </c>
      <c r="F1117" t="s">
        <v>35</v>
      </c>
      <c r="G1117" s="2">
        <v>46024</v>
      </c>
      <c r="H1117" t="s">
        <v>198</v>
      </c>
    </row>
    <row r="1118" spans="1:8" x14ac:dyDescent="0.3">
      <c r="A1118" t="s">
        <v>335</v>
      </c>
      <c r="B1118">
        <v>36</v>
      </c>
      <c r="C1118" t="s">
        <v>454</v>
      </c>
      <c r="D1118" s="1">
        <v>0.66666666666666663</v>
      </c>
      <c r="E1118" t="s">
        <v>36</v>
      </c>
      <c r="F1118" t="s">
        <v>27</v>
      </c>
      <c r="G1118" t="s">
        <v>18</v>
      </c>
      <c r="H1118" t="s">
        <v>205</v>
      </c>
    </row>
    <row r="1119" spans="1:8" x14ac:dyDescent="0.3">
      <c r="A1119" t="s">
        <v>335</v>
      </c>
      <c r="B1119">
        <v>36</v>
      </c>
      <c r="C1119" t="s">
        <v>454</v>
      </c>
      <c r="D1119" s="1">
        <v>0.76041666666666663</v>
      </c>
      <c r="E1119" t="s">
        <v>182</v>
      </c>
      <c r="F1119" t="s">
        <v>11</v>
      </c>
      <c r="G1119" t="s">
        <v>54</v>
      </c>
      <c r="H1119" t="s">
        <v>195</v>
      </c>
    </row>
    <row r="1120" spans="1:8" x14ac:dyDescent="0.3">
      <c r="A1120" t="s">
        <v>335</v>
      </c>
      <c r="B1120">
        <v>36</v>
      </c>
      <c r="C1120" t="s">
        <v>454</v>
      </c>
      <c r="D1120" s="1">
        <v>0.85416666666666663</v>
      </c>
      <c r="E1120" t="s">
        <v>16</v>
      </c>
      <c r="F1120" t="s">
        <v>34</v>
      </c>
      <c r="G1120" t="s">
        <v>54</v>
      </c>
      <c r="H1120" t="s">
        <v>184</v>
      </c>
    </row>
    <row r="1121" spans="1:8" x14ac:dyDescent="0.3">
      <c r="A1121" t="s">
        <v>335</v>
      </c>
      <c r="B1121">
        <v>36</v>
      </c>
      <c r="C1121" t="s">
        <v>455</v>
      </c>
      <c r="D1121" s="1">
        <v>0.85416666666666663</v>
      </c>
      <c r="E1121" t="s">
        <v>17</v>
      </c>
      <c r="F1121" t="s">
        <v>21</v>
      </c>
      <c r="G1121" s="2">
        <v>46025</v>
      </c>
      <c r="H1121" t="s">
        <v>183</v>
      </c>
    </row>
    <row r="1122" spans="1:8" x14ac:dyDescent="0.3">
      <c r="A1122" t="s">
        <v>335</v>
      </c>
      <c r="B1122">
        <v>37</v>
      </c>
      <c r="C1122" t="s">
        <v>456</v>
      </c>
      <c r="D1122" s="1">
        <v>0.70833333333333337</v>
      </c>
      <c r="E1122" t="s">
        <v>20</v>
      </c>
      <c r="F1122" t="s">
        <v>36</v>
      </c>
      <c r="G1122" t="s">
        <v>40</v>
      </c>
      <c r="H1122" t="s">
        <v>194</v>
      </c>
    </row>
    <row r="1123" spans="1:8" x14ac:dyDescent="0.3">
      <c r="A1123" t="s">
        <v>335</v>
      </c>
      <c r="B1123">
        <v>37</v>
      </c>
      <c r="C1123" t="s">
        <v>456</v>
      </c>
      <c r="D1123" s="1">
        <v>0.70833333333333337</v>
      </c>
      <c r="E1123" t="s">
        <v>35</v>
      </c>
      <c r="F1123" t="s">
        <v>17</v>
      </c>
      <c r="G1123" t="s">
        <v>18</v>
      </c>
      <c r="H1123" t="s">
        <v>184</v>
      </c>
    </row>
    <row r="1124" spans="1:8" x14ac:dyDescent="0.3">
      <c r="A1124" t="s">
        <v>335</v>
      </c>
      <c r="B1124">
        <v>37</v>
      </c>
      <c r="C1124" t="s">
        <v>456</v>
      </c>
      <c r="D1124" s="1">
        <v>0.70833333333333337</v>
      </c>
      <c r="E1124" t="s">
        <v>11</v>
      </c>
      <c r="F1124" t="s">
        <v>340</v>
      </c>
      <c r="G1124" s="2">
        <v>46023</v>
      </c>
      <c r="H1124" t="s">
        <v>188</v>
      </c>
    </row>
    <row r="1125" spans="1:8" x14ac:dyDescent="0.3">
      <c r="A1125" t="s">
        <v>335</v>
      </c>
      <c r="B1125">
        <v>37</v>
      </c>
      <c r="C1125" t="s">
        <v>456</v>
      </c>
      <c r="D1125" s="1">
        <v>0.70833333333333337</v>
      </c>
      <c r="E1125" t="s">
        <v>21</v>
      </c>
      <c r="F1125" t="s">
        <v>28</v>
      </c>
      <c r="G1125" s="2">
        <v>46024</v>
      </c>
      <c r="H1125" t="s">
        <v>206</v>
      </c>
    </row>
    <row r="1126" spans="1:8" x14ac:dyDescent="0.3">
      <c r="A1126" t="s">
        <v>335</v>
      </c>
      <c r="B1126">
        <v>37</v>
      </c>
      <c r="C1126" t="s">
        <v>456</v>
      </c>
      <c r="D1126" s="1">
        <v>0.70833333333333337</v>
      </c>
      <c r="E1126" t="s">
        <v>25</v>
      </c>
      <c r="F1126" t="s">
        <v>16</v>
      </c>
      <c r="G1126" s="2">
        <v>46056</v>
      </c>
      <c r="H1126" t="s">
        <v>191</v>
      </c>
    </row>
    <row r="1127" spans="1:8" x14ac:dyDescent="0.3">
      <c r="A1127" t="s">
        <v>335</v>
      </c>
      <c r="B1127">
        <v>37</v>
      </c>
      <c r="C1127" t="s">
        <v>456</v>
      </c>
      <c r="D1127" s="1">
        <v>0.70833333333333337</v>
      </c>
      <c r="E1127" t="s">
        <v>10</v>
      </c>
      <c r="F1127" t="s">
        <v>30</v>
      </c>
      <c r="G1127" s="2">
        <v>46024</v>
      </c>
      <c r="H1127" t="s">
        <v>197</v>
      </c>
    </row>
    <row r="1128" spans="1:8" x14ac:dyDescent="0.3">
      <c r="A1128" t="s">
        <v>335</v>
      </c>
      <c r="B1128">
        <v>37</v>
      </c>
      <c r="C1128" t="s">
        <v>456</v>
      </c>
      <c r="D1128" s="1">
        <v>0.70833333333333337</v>
      </c>
      <c r="E1128" t="s">
        <v>27</v>
      </c>
      <c r="F1128" t="s">
        <v>24</v>
      </c>
      <c r="G1128" s="2">
        <v>46113</v>
      </c>
      <c r="H1128" t="s">
        <v>73</v>
      </c>
    </row>
    <row r="1129" spans="1:8" x14ac:dyDescent="0.3">
      <c r="A1129" t="s">
        <v>335</v>
      </c>
      <c r="B1129">
        <v>37</v>
      </c>
      <c r="C1129" t="s">
        <v>456</v>
      </c>
      <c r="D1129" s="1">
        <v>0.70833333333333337</v>
      </c>
      <c r="E1129" t="s">
        <v>34</v>
      </c>
      <c r="F1129" t="s">
        <v>182</v>
      </c>
      <c r="G1129" t="s">
        <v>54</v>
      </c>
      <c r="H1129" t="s">
        <v>198</v>
      </c>
    </row>
    <row r="1130" spans="1:8" x14ac:dyDescent="0.3">
      <c r="A1130" t="s">
        <v>335</v>
      </c>
      <c r="B1130">
        <v>37</v>
      </c>
      <c r="C1130" t="s">
        <v>456</v>
      </c>
      <c r="D1130" s="1">
        <v>0.70833333333333337</v>
      </c>
      <c r="E1130" t="s">
        <v>187</v>
      </c>
      <c r="F1130" t="s">
        <v>26</v>
      </c>
      <c r="G1130" s="2">
        <v>46023</v>
      </c>
      <c r="H1130" t="s">
        <v>205</v>
      </c>
    </row>
    <row r="1131" spans="1:8" x14ac:dyDescent="0.3">
      <c r="A1131" t="s">
        <v>335</v>
      </c>
      <c r="B1131">
        <v>37</v>
      </c>
      <c r="C1131" t="s">
        <v>456</v>
      </c>
      <c r="D1131" s="1">
        <v>0.70833333333333337</v>
      </c>
      <c r="E1131" t="s">
        <v>338</v>
      </c>
      <c r="F1131" t="s">
        <v>15</v>
      </c>
      <c r="G1131" t="s">
        <v>41</v>
      </c>
      <c r="H1131" t="s">
        <v>200</v>
      </c>
    </row>
    <row r="1132" spans="1:8" x14ac:dyDescent="0.3">
      <c r="A1132" t="s">
        <v>335</v>
      </c>
      <c r="B1132">
        <v>38</v>
      </c>
      <c r="C1132" t="s">
        <v>457</v>
      </c>
      <c r="D1132" s="1">
        <v>0.85416666666666663</v>
      </c>
      <c r="E1132" t="s">
        <v>16</v>
      </c>
      <c r="F1132" t="s">
        <v>10</v>
      </c>
      <c r="G1132" t="s">
        <v>42</v>
      </c>
      <c r="H1132" t="s">
        <v>204</v>
      </c>
    </row>
    <row r="1133" spans="1:8" x14ac:dyDescent="0.3">
      <c r="A1133" t="s">
        <v>335</v>
      </c>
      <c r="B1133">
        <v>38</v>
      </c>
      <c r="C1133" t="s">
        <v>458</v>
      </c>
      <c r="D1133" s="1">
        <v>0.70833333333333337</v>
      </c>
      <c r="E1133" t="s">
        <v>24</v>
      </c>
      <c r="F1133" t="s">
        <v>20</v>
      </c>
      <c r="G1133" t="s">
        <v>46</v>
      </c>
      <c r="H1133" t="s">
        <v>185</v>
      </c>
    </row>
    <row r="1134" spans="1:8" x14ac:dyDescent="0.3">
      <c r="A1134" t="s">
        <v>335</v>
      </c>
      <c r="B1134">
        <v>38</v>
      </c>
      <c r="C1134" t="s">
        <v>458</v>
      </c>
      <c r="D1134" s="1">
        <v>0.70833333333333337</v>
      </c>
      <c r="E1134" t="s">
        <v>182</v>
      </c>
      <c r="F1134" t="s">
        <v>25</v>
      </c>
      <c r="G1134" t="s">
        <v>54</v>
      </c>
      <c r="H1134" t="s">
        <v>181</v>
      </c>
    </row>
    <row r="1135" spans="1:8" x14ac:dyDescent="0.3">
      <c r="A1135" t="s">
        <v>335</v>
      </c>
      <c r="B1135">
        <v>38</v>
      </c>
      <c r="C1135" t="s">
        <v>458</v>
      </c>
      <c r="D1135" s="1">
        <v>0.8125</v>
      </c>
      <c r="E1135" t="s">
        <v>28</v>
      </c>
      <c r="F1135" t="s">
        <v>35</v>
      </c>
      <c r="G1135" t="s">
        <v>12</v>
      </c>
      <c r="H1135" t="s">
        <v>191</v>
      </c>
    </row>
    <row r="1136" spans="1:8" x14ac:dyDescent="0.3">
      <c r="A1136" t="s">
        <v>335</v>
      </c>
      <c r="B1136">
        <v>38</v>
      </c>
      <c r="C1136" t="s">
        <v>458</v>
      </c>
      <c r="D1136" s="1">
        <v>0.8125</v>
      </c>
      <c r="E1136" t="s">
        <v>15</v>
      </c>
      <c r="F1136" t="s">
        <v>27</v>
      </c>
      <c r="G1136" s="2">
        <v>46025</v>
      </c>
      <c r="H1136" t="s">
        <v>188</v>
      </c>
    </row>
    <row r="1137" spans="1:8" x14ac:dyDescent="0.3">
      <c r="A1137" t="s">
        <v>335</v>
      </c>
      <c r="B1137">
        <v>38</v>
      </c>
      <c r="C1137" t="s">
        <v>459</v>
      </c>
      <c r="D1137" s="1">
        <v>0.5</v>
      </c>
      <c r="E1137" t="s">
        <v>17</v>
      </c>
      <c r="F1137" t="s">
        <v>338</v>
      </c>
      <c r="G1137" s="2">
        <v>46026</v>
      </c>
      <c r="H1137" t="s">
        <v>341</v>
      </c>
    </row>
    <row r="1138" spans="1:8" x14ac:dyDescent="0.3">
      <c r="A1138" t="s">
        <v>335</v>
      </c>
      <c r="B1138">
        <v>38</v>
      </c>
      <c r="C1138" t="s">
        <v>459</v>
      </c>
      <c r="D1138" s="1">
        <v>0.79166666666666663</v>
      </c>
      <c r="E1138" t="s">
        <v>36</v>
      </c>
      <c r="F1138" t="s">
        <v>187</v>
      </c>
      <c r="G1138" s="2">
        <v>46057</v>
      </c>
      <c r="H1138" t="s">
        <v>190</v>
      </c>
    </row>
    <row r="1139" spans="1:8" x14ac:dyDescent="0.3">
      <c r="A1139" t="s">
        <v>335</v>
      </c>
      <c r="B1139">
        <v>38</v>
      </c>
      <c r="C1139" t="s">
        <v>459</v>
      </c>
      <c r="D1139" s="1">
        <v>0.8125</v>
      </c>
      <c r="E1139" t="s">
        <v>26</v>
      </c>
      <c r="F1139" t="s">
        <v>11</v>
      </c>
      <c r="G1139" s="2">
        <v>46024</v>
      </c>
      <c r="H1139" t="s">
        <v>194</v>
      </c>
    </row>
    <row r="1140" spans="1:8" x14ac:dyDescent="0.3">
      <c r="A1140" t="s">
        <v>335</v>
      </c>
      <c r="B1140">
        <v>38</v>
      </c>
      <c r="C1140" t="s">
        <v>459</v>
      </c>
      <c r="D1140" s="1">
        <v>0.8125</v>
      </c>
      <c r="E1140" t="s">
        <v>30</v>
      </c>
      <c r="F1140" t="s">
        <v>21</v>
      </c>
      <c r="G1140" s="2">
        <v>46025</v>
      </c>
      <c r="H1140" t="s">
        <v>195</v>
      </c>
    </row>
    <row r="1141" spans="1:8" x14ac:dyDescent="0.3">
      <c r="A1141" t="s">
        <v>335</v>
      </c>
      <c r="B1141">
        <v>38</v>
      </c>
      <c r="C1141" t="s">
        <v>459</v>
      </c>
      <c r="D1141" s="1">
        <v>0.8125</v>
      </c>
      <c r="E1141" t="s">
        <v>340</v>
      </c>
      <c r="F1141" t="s">
        <v>34</v>
      </c>
      <c r="G1141" t="s">
        <v>12</v>
      </c>
      <c r="H1141" t="s">
        <v>73</v>
      </c>
    </row>
    <row r="1142" spans="1:8" x14ac:dyDescent="0.3">
      <c r="A1142" t="s">
        <v>460</v>
      </c>
      <c r="B1142">
        <v>1</v>
      </c>
      <c r="C1142" t="s">
        <v>461</v>
      </c>
      <c r="D1142" s="1">
        <v>0.86458333333333337</v>
      </c>
      <c r="E1142" t="s">
        <v>17</v>
      </c>
      <c r="F1142" t="s">
        <v>23</v>
      </c>
      <c r="G1142" s="2">
        <v>46023</v>
      </c>
      <c r="H1142" t="s">
        <v>197</v>
      </c>
    </row>
    <row r="1143" spans="1:8" x14ac:dyDescent="0.3">
      <c r="A1143" t="s">
        <v>460</v>
      </c>
      <c r="B1143">
        <v>1</v>
      </c>
      <c r="C1143" t="s">
        <v>461</v>
      </c>
      <c r="D1143" s="1">
        <v>0.91666666666666663</v>
      </c>
      <c r="E1143" t="s">
        <v>182</v>
      </c>
      <c r="F1143" t="s">
        <v>187</v>
      </c>
      <c r="G1143" s="2">
        <v>46024</v>
      </c>
      <c r="H1143" t="s">
        <v>190</v>
      </c>
    </row>
    <row r="1144" spans="1:8" x14ac:dyDescent="0.3">
      <c r="A1144" t="s">
        <v>460</v>
      </c>
      <c r="B1144">
        <v>1</v>
      </c>
      <c r="C1144" t="s">
        <v>462</v>
      </c>
      <c r="D1144" s="1">
        <v>0.76041666666666663</v>
      </c>
      <c r="E1144" t="s">
        <v>20</v>
      </c>
      <c r="F1144" t="s">
        <v>26</v>
      </c>
      <c r="G1144" s="2">
        <v>46059</v>
      </c>
      <c r="H1144" t="s">
        <v>73</v>
      </c>
    </row>
    <row r="1145" spans="1:8" x14ac:dyDescent="0.3">
      <c r="A1145" t="s">
        <v>460</v>
      </c>
      <c r="B1145">
        <v>1</v>
      </c>
      <c r="C1145" t="s">
        <v>462</v>
      </c>
      <c r="D1145" s="1">
        <v>0.84375</v>
      </c>
      <c r="E1145" t="s">
        <v>24</v>
      </c>
      <c r="F1145" t="s">
        <v>34</v>
      </c>
      <c r="G1145" s="2">
        <v>46023</v>
      </c>
      <c r="H1145" t="s">
        <v>198</v>
      </c>
    </row>
    <row r="1146" spans="1:8" x14ac:dyDescent="0.3">
      <c r="A1146" t="s">
        <v>460</v>
      </c>
      <c r="B1146">
        <v>1</v>
      </c>
      <c r="C1146" t="s">
        <v>462</v>
      </c>
      <c r="D1146" s="1">
        <v>0.92708333333333337</v>
      </c>
      <c r="E1146" t="s">
        <v>27</v>
      </c>
      <c r="F1146" t="s">
        <v>36</v>
      </c>
      <c r="G1146" s="2">
        <v>46118</v>
      </c>
      <c r="H1146" t="s">
        <v>206</v>
      </c>
    </row>
    <row r="1147" spans="1:8" x14ac:dyDescent="0.3">
      <c r="A1147" t="s">
        <v>460</v>
      </c>
      <c r="B1147">
        <v>1</v>
      </c>
      <c r="C1147" t="s">
        <v>463</v>
      </c>
      <c r="D1147" s="1">
        <v>0.76041666666666663</v>
      </c>
      <c r="E1147" t="s">
        <v>340</v>
      </c>
      <c r="F1147" t="s">
        <v>15</v>
      </c>
      <c r="G1147" s="2">
        <v>46024</v>
      </c>
      <c r="H1147" t="s">
        <v>195</v>
      </c>
    </row>
    <row r="1148" spans="1:8" x14ac:dyDescent="0.3">
      <c r="A1148" t="s">
        <v>460</v>
      </c>
      <c r="B1148">
        <v>1</v>
      </c>
      <c r="C1148" t="s">
        <v>463</v>
      </c>
      <c r="D1148" s="1">
        <v>0.84375</v>
      </c>
      <c r="E1148" t="s">
        <v>10</v>
      </c>
      <c r="F1148" t="s">
        <v>25</v>
      </c>
      <c r="G1148" t="s">
        <v>46</v>
      </c>
      <c r="H1148" t="s">
        <v>205</v>
      </c>
    </row>
    <row r="1149" spans="1:8" x14ac:dyDescent="0.3">
      <c r="A1149" t="s">
        <v>460</v>
      </c>
      <c r="B1149">
        <v>1</v>
      </c>
      <c r="C1149" t="s">
        <v>463</v>
      </c>
      <c r="D1149" s="1">
        <v>0.92708333333333337</v>
      </c>
      <c r="E1149" t="s">
        <v>28</v>
      </c>
      <c r="F1149" t="s">
        <v>464</v>
      </c>
      <c r="G1149" s="2">
        <v>46023</v>
      </c>
      <c r="H1149" t="s">
        <v>207</v>
      </c>
    </row>
    <row r="1150" spans="1:8" x14ac:dyDescent="0.3">
      <c r="A1150" t="s">
        <v>460</v>
      </c>
      <c r="B1150">
        <v>1</v>
      </c>
      <c r="C1150" t="s">
        <v>465</v>
      </c>
      <c r="D1150" s="1">
        <v>0.83333333333333337</v>
      </c>
      <c r="E1150" t="s">
        <v>35</v>
      </c>
      <c r="F1150" t="s">
        <v>466</v>
      </c>
      <c r="G1150" t="s">
        <v>42</v>
      </c>
      <c r="H1150" t="s">
        <v>467</v>
      </c>
    </row>
    <row r="1151" spans="1:8" x14ac:dyDescent="0.3">
      <c r="A1151" t="s">
        <v>460</v>
      </c>
      <c r="B1151">
        <v>1</v>
      </c>
      <c r="C1151" t="s">
        <v>465</v>
      </c>
      <c r="D1151" s="1">
        <v>0.91666666666666663</v>
      </c>
      <c r="E1151" t="s">
        <v>16</v>
      </c>
      <c r="F1151" t="s">
        <v>338</v>
      </c>
      <c r="G1151" s="2">
        <v>46114</v>
      </c>
      <c r="H1151" t="s">
        <v>183</v>
      </c>
    </row>
    <row r="1152" spans="1:8" x14ac:dyDescent="0.3">
      <c r="A1152" t="s">
        <v>460</v>
      </c>
      <c r="B1152">
        <v>2</v>
      </c>
      <c r="C1152" t="s">
        <v>468</v>
      </c>
      <c r="D1152" s="1">
        <v>0.86458333333333337</v>
      </c>
      <c r="E1152" t="s">
        <v>26</v>
      </c>
      <c r="F1152" t="s">
        <v>182</v>
      </c>
      <c r="G1152" t="s">
        <v>41</v>
      </c>
      <c r="H1152" t="s">
        <v>195</v>
      </c>
    </row>
    <row r="1153" spans="1:8" x14ac:dyDescent="0.3">
      <c r="A1153" t="s">
        <v>460</v>
      </c>
      <c r="B1153">
        <v>2</v>
      </c>
      <c r="C1153" t="s">
        <v>468</v>
      </c>
      <c r="D1153" s="1">
        <v>0.91666666666666663</v>
      </c>
      <c r="E1153" t="s">
        <v>36</v>
      </c>
      <c r="F1153" t="s">
        <v>17</v>
      </c>
      <c r="G1153" s="2">
        <v>46055</v>
      </c>
      <c r="H1153" t="s">
        <v>194</v>
      </c>
    </row>
    <row r="1154" spans="1:8" x14ac:dyDescent="0.3">
      <c r="A1154" t="s">
        <v>460</v>
      </c>
      <c r="B1154">
        <v>2</v>
      </c>
      <c r="C1154" t="s">
        <v>469</v>
      </c>
      <c r="D1154" s="1">
        <v>0.76041666666666663</v>
      </c>
      <c r="E1154" t="s">
        <v>23</v>
      </c>
      <c r="F1154" t="s">
        <v>10</v>
      </c>
      <c r="G1154" t="s">
        <v>54</v>
      </c>
      <c r="H1154" t="s">
        <v>188</v>
      </c>
    </row>
    <row r="1155" spans="1:8" x14ac:dyDescent="0.3">
      <c r="A1155" t="s">
        <v>460</v>
      </c>
      <c r="B1155">
        <v>2</v>
      </c>
      <c r="C1155" t="s">
        <v>469</v>
      </c>
      <c r="D1155" s="1">
        <v>0.76041666666666663</v>
      </c>
      <c r="E1155" t="s">
        <v>187</v>
      </c>
      <c r="F1155" t="s">
        <v>16</v>
      </c>
      <c r="G1155" t="s">
        <v>18</v>
      </c>
      <c r="H1155" t="s">
        <v>185</v>
      </c>
    </row>
    <row r="1156" spans="1:8" x14ac:dyDescent="0.3">
      <c r="A1156" t="s">
        <v>460</v>
      </c>
      <c r="B1156">
        <v>2</v>
      </c>
      <c r="C1156" t="s">
        <v>469</v>
      </c>
      <c r="D1156" s="1">
        <v>0.84375</v>
      </c>
      <c r="E1156" t="s">
        <v>25</v>
      </c>
      <c r="F1156" t="s">
        <v>35</v>
      </c>
      <c r="G1156" s="2">
        <v>46024</v>
      </c>
      <c r="H1156" t="s">
        <v>341</v>
      </c>
    </row>
    <row r="1157" spans="1:8" x14ac:dyDescent="0.3">
      <c r="A1157" t="s">
        <v>460</v>
      </c>
      <c r="B1157">
        <v>2</v>
      </c>
      <c r="C1157" t="s">
        <v>469</v>
      </c>
      <c r="D1157" s="1">
        <v>0.92708333333333337</v>
      </c>
      <c r="E1157" t="s">
        <v>466</v>
      </c>
      <c r="F1157" t="s">
        <v>28</v>
      </c>
      <c r="G1157" t="s">
        <v>41</v>
      </c>
      <c r="H1157" t="s">
        <v>345</v>
      </c>
    </row>
    <row r="1158" spans="1:8" x14ac:dyDescent="0.3">
      <c r="A1158" t="s">
        <v>460</v>
      </c>
      <c r="B1158">
        <v>2</v>
      </c>
      <c r="C1158" t="s">
        <v>470</v>
      </c>
      <c r="D1158" s="1">
        <v>0.76041666666666663</v>
      </c>
      <c r="E1158" t="s">
        <v>464</v>
      </c>
      <c r="F1158" t="s">
        <v>340</v>
      </c>
      <c r="G1158" t="s">
        <v>41</v>
      </c>
      <c r="H1158" t="s">
        <v>467</v>
      </c>
    </row>
    <row r="1159" spans="1:8" x14ac:dyDescent="0.3">
      <c r="A1159" t="s">
        <v>460</v>
      </c>
      <c r="B1159">
        <v>2</v>
      </c>
      <c r="C1159" t="s">
        <v>470</v>
      </c>
      <c r="D1159" s="1">
        <v>0.76041666666666663</v>
      </c>
      <c r="E1159" t="s">
        <v>338</v>
      </c>
      <c r="F1159" t="s">
        <v>24</v>
      </c>
      <c r="G1159" s="2">
        <v>46027</v>
      </c>
      <c r="H1159" t="s">
        <v>471</v>
      </c>
    </row>
    <row r="1160" spans="1:8" x14ac:dyDescent="0.3">
      <c r="A1160" t="s">
        <v>460</v>
      </c>
      <c r="B1160">
        <v>2</v>
      </c>
      <c r="C1160" t="s">
        <v>470</v>
      </c>
      <c r="D1160" s="1">
        <v>0.84375</v>
      </c>
      <c r="E1160" t="s">
        <v>15</v>
      </c>
      <c r="F1160" t="s">
        <v>20</v>
      </c>
      <c r="G1160" t="s">
        <v>42</v>
      </c>
      <c r="H1160" t="s">
        <v>181</v>
      </c>
    </row>
    <row r="1161" spans="1:8" x14ac:dyDescent="0.3">
      <c r="A1161" t="s">
        <v>460</v>
      </c>
      <c r="B1161">
        <v>2</v>
      </c>
      <c r="C1161" t="s">
        <v>470</v>
      </c>
      <c r="D1161" s="1">
        <v>0.92708333333333337</v>
      </c>
      <c r="E1161" t="s">
        <v>34</v>
      </c>
      <c r="F1161" t="s">
        <v>27</v>
      </c>
      <c r="G1161" t="s">
        <v>41</v>
      </c>
      <c r="H1161" t="s">
        <v>184</v>
      </c>
    </row>
    <row r="1162" spans="1:8" x14ac:dyDescent="0.3">
      <c r="A1162" t="s">
        <v>460</v>
      </c>
      <c r="B1162">
        <v>3</v>
      </c>
      <c r="C1162" t="s">
        <v>472</v>
      </c>
      <c r="D1162" s="1">
        <v>0.86458333333333337</v>
      </c>
      <c r="E1162" t="s">
        <v>10</v>
      </c>
      <c r="F1162" t="s">
        <v>36</v>
      </c>
      <c r="G1162" s="2">
        <v>46023</v>
      </c>
      <c r="H1162" t="s">
        <v>207</v>
      </c>
    </row>
    <row r="1163" spans="1:8" x14ac:dyDescent="0.3">
      <c r="A1163" t="s">
        <v>460</v>
      </c>
      <c r="B1163">
        <v>3</v>
      </c>
      <c r="C1163" t="s">
        <v>473</v>
      </c>
      <c r="D1163" s="1">
        <v>0.54166666666666663</v>
      </c>
      <c r="E1163" t="s">
        <v>35</v>
      </c>
      <c r="F1163" t="s">
        <v>28</v>
      </c>
      <c r="G1163" t="s">
        <v>53</v>
      </c>
      <c r="H1163" t="s">
        <v>197</v>
      </c>
    </row>
    <row r="1164" spans="1:8" x14ac:dyDescent="0.3">
      <c r="A1164" t="s">
        <v>460</v>
      </c>
      <c r="B1164">
        <v>3</v>
      </c>
      <c r="C1164" t="s">
        <v>473</v>
      </c>
      <c r="D1164" s="1">
        <v>0.66666666666666663</v>
      </c>
      <c r="E1164" t="s">
        <v>25</v>
      </c>
      <c r="F1164" t="s">
        <v>23</v>
      </c>
      <c r="G1164" s="2">
        <v>46058</v>
      </c>
      <c r="H1164" t="s">
        <v>191</v>
      </c>
    </row>
    <row r="1165" spans="1:8" x14ac:dyDescent="0.3">
      <c r="A1165" t="s">
        <v>460</v>
      </c>
      <c r="B1165">
        <v>3</v>
      </c>
      <c r="C1165" t="s">
        <v>473</v>
      </c>
      <c r="D1165" s="1">
        <v>0.76041666666666663</v>
      </c>
      <c r="E1165" t="s">
        <v>17</v>
      </c>
      <c r="F1165" t="s">
        <v>34</v>
      </c>
      <c r="G1165" t="s">
        <v>54</v>
      </c>
      <c r="H1165" t="s">
        <v>73</v>
      </c>
    </row>
    <row r="1166" spans="1:8" x14ac:dyDescent="0.3">
      <c r="A1166" t="s">
        <v>460</v>
      </c>
      <c r="B1166">
        <v>3</v>
      </c>
      <c r="C1166" t="s">
        <v>473</v>
      </c>
      <c r="D1166" s="1">
        <v>0.76041666666666663</v>
      </c>
      <c r="E1166" t="s">
        <v>27</v>
      </c>
      <c r="F1166" t="s">
        <v>338</v>
      </c>
      <c r="G1166" s="2">
        <v>46024</v>
      </c>
      <c r="H1166" t="s">
        <v>205</v>
      </c>
    </row>
    <row r="1167" spans="1:8" x14ac:dyDescent="0.3">
      <c r="A1167" t="s">
        <v>460</v>
      </c>
      <c r="B1167">
        <v>3</v>
      </c>
      <c r="C1167" t="s">
        <v>473</v>
      </c>
      <c r="D1167" s="1">
        <v>0.85416666666666663</v>
      </c>
      <c r="E1167" t="s">
        <v>20</v>
      </c>
      <c r="F1167" t="s">
        <v>464</v>
      </c>
      <c r="G1167" s="2">
        <v>46054</v>
      </c>
      <c r="H1167" t="s">
        <v>190</v>
      </c>
    </row>
    <row r="1168" spans="1:8" x14ac:dyDescent="0.3">
      <c r="A1168" t="s">
        <v>460</v>
      </c>
      <c r="B1168">
        <v>3</v>
      </c>
      <c r="C1168" t="s">
        <v>474</v>
      </c>
      <c r="D1168" s="1">
        <v>0.5</v>
      </c>
      <c r="E1168" t="s">
        <v>340</v>
      </c>
      <c r="F1168" t="s">
        <v>466</v>
      </c>
      <c r="G1168" s="2">
        <v>46024</v>
      </c>
      <c r="H1168" t="s">
        <v>183</v>
      </c>
    </row>
    <row r="1169" spans="1:8" x14ac:dyDescent="0.3">
      <c r="A1169" t="s">
        <v>460</v>
      </c>
      <c r="B1169">
        <v>3</v>
      </c>
      <c r="C1169" t="s">
        <v>474</v>
      </c>
      <c r="D1169" s="1">
        <v>0.66666666666666663</v>
      </c>
      <c r="E1169" t="s">
        <v>16</v>
      </c>
      <c r="F1169" t="s">
        <v>26</v>
      </c>
      <c r="G1169" s="2">
        <v>46083</v>
      </c>
      <c r="H1169" t="s">
        <v>206</v>
      </c>
    </row>
    <row r="1170" spans="1:8" x14ac:dyDescent="0.3">
      <c r="A1170" t="s">
        <v>460</v>
      </c>
      <c r="B1170">
        <v>3</v>
      </c>
      <c r="C1170" t="s">
        <v>474</v>
      </c>
      <c r="D1170" s="1">
        <v>0.76041666666666663</v>
      </c>
      <c r="E1170" t="s">
        <v>24</v>
      </c>
      <c r="F1170" t="s">
        <v>187</v>
      </c>
      <c r="G1170" s="2">
        <v>46054</v>
      </c>
      <c r="H1170" t="s">
        <v>475</v>
      </c>
    </row>
    <row r="1171" spans="1:8" x14ac:dyDescent="0.3">
      <c r="A1171" t="s">
        <v>460</v>
      </c>
      <c r="B1171">
        <v>3</v>
      </c>
      <c r="C1171" t="s">
        <v>474</v>
      </c>
      <c r="D1171" s="1">
        <v>0.85416666666666663</v>
      </c>
      <c r="E1171" t="s">
        <v>182</v>
      </c>
      <c r="F1171" t="s">
        <v>15</v>
      </c>
      <c r="G1171" t="s">
        <v>42</v>
      </c>
      <c r="H1171" t="s">
        <v>198</v>
      </c>
    </row>
    <row r="1172" spans="1:8" x14ac:dyDescent="0.3">
      <c r="A1172" t="s">
        <v>460</v>
      </c>
      <c r="B1172">
        <v>4</v>
      </c>
      <c r="C1172" t="s">
        <v>476</v>
      </c>
      <c r="D1172" s="1">
        <v>0.86458333333333337</v>
      </c>
      <c r="E1172" t="s">
        <v>26</v>
      </c>
      <c r="F1172" t="s">
        <v>24</v>
      </c>
      <c r="G1172" s="2">
        <v>46055</v>
      </c>
      <c r="H1172" t="s">
        <v>184</v>
      </c>
    </row>
    <row r="1173" spans="1:8" x14ac:dyDescent="0.3">
      <c r="A1173" t="s">
        <v>460</v>
      </c>
      <c r="B1173">
        <v>4</v>
      </c>
      <c r="C1173" t="s">
        <v>477</v>
      </c>
      <c r="D1173" s="1">
        <v>0.54166666666666663</v>
      </c>
      <c r="E1173" t="s">
        <v>466</v>
      </c>
      <c r="F1173" t="s">
        <v>20</v>
      </c>
      <c r="G1173" s="2">
        <v>46143</v>
      </c>
      <c r="H1173" t="s">
        <v>341</v>
      </c>
    </row>
    <row r="1174" spans="1:8" x14ac:dyDescent="0.3">
      <c r="A1174" t="s">
        <v>460</v>
      </c>
      <c r="B1174">
        <v>4</v>
      </c>
      <c r="C1174" t="s">
        <v>477</v>
      </c>
      <c r="D1174" s="1">
        <v>0.67708333333333337</v>
      </c>
      <c r="E1174" t="s">
        <v>28</v>
      </c>
      <c r="F1174" t="s">
        <v>340</v>
      </c>
      <c r="G1174" t="s">
        <v>40</v>
      </c>
      <c r="H1174" t="s">
        <v>471</v>
      </c>
    </row>
    <row r="1175" spans="1:8" x14ac:dyDescent="0.3">
      <c r="A1175" t="s">
        <v>460</v>
      </c>
      <c r="B1175">
        <v>4</v>
      </c>
      <c r="C1175" t="s">
        <v>477</v>
      </c>
      <c r="D1175" s="1">
        <v>0.77083333333333337</v>
      </c>
      <c r="E1175" t="s">
        <v>187</v>
      </c>
      <c r="F1175" t="s">
        <v>27</v>
      </c>
      <c r="G1175" s="2">
        <v>46023</v>
      </c>
      <c r="H1175" t="s">
        <v>188</v>
      </c>
    </row>
    <row r="1176" spans="1:8" x14ac:dyDescent="0.3">
      <c r="A1176" t="s">
        <v>460</v>
      </c>
      <c r="B1176">
        <v>4</v>
      </c>
      <c r="C1176" t="s">
        <v>477</v>
      </c>
      <c r="D1176" s="1">
        <v>0.86458333333333337</v>
      </c>
      <c r="E1176" t="s">
        <v>338</v>
      </c>
      <c r="F1176" t="s">
        <v>17</v>
      </c>
      <c r="G1176" t="s">
        <v>18</v>
      </c>
      <c r="H1176" t="s">
        <v>345</v>
      </c>
    </row>
    <row r="1177" spans="1:8" x14ac:dyDescent="0.3">
      <c r="A1177" t="s">
        <v>460</v>
      </c>
      <c r="B1177">
        <v>4</v>
      </c>
      <c r="C1177" t="s">
        <v>478</v>
      </c>
      <c r="D1177" s="1">
        <v>0.5</v>
      </c>
      <c r="E1177" t="s">
        <v>23</v>
      </c>
      <c r="F1177" t="s">
        <v>35</v>
      </c>
      <c r="G1177" t="s">
        <v>41</v>
      </c>
      <c r="H1177" t="s">
        <v>475</v>
      </c>
    </row>
    <row r="1178" spans="1:8" x14ac:dyDescent="0.3">
      <c r="A1178" t="s">
        <v>460</v>
      </c>
      <c r="B1178">
        <v>4</v>
      </c>
      <c r="C1178" t="s">
        <v>478</v>
      </c>
      <c r="D1178" s="1">
        <v>0.67708333333333337</v>
      </c>
      <c r="E1178" t="s">
        <v>15</v>
      </c>
      <c r="F1178" t="s">
        <v>16</v>
      </c>
      <c r="G1178" s="2">
        <v>46024</v>
      </c>
      <c r="H1178" t="s">
        <v>194</v>
      </c>
    </row>
    <row r="1179" spans="1:8" x14ac:dyDescent="0.3">
      <c r="A1179" t="s">
        <v>460</v>
      </c>
      <c r="B1179">
        <v>4</v>
      </c>
      <c r="C1179" t="s">
        <v>478</v>
      </c>
      <c r="D1179" s="1">
        <v>0.77083333333333337</v>
      </c>
      <c r="E1179" t="s">
        <v>34</v>
      </c>
      <c r="F1179" t="s">
        <v>10</v>
      </c>
      <c r="G1179" s="2">
        <v>46024</v>
      </c>
      <c r="H1179" t="s">
        <v>195</v>
      </c>
    </row>
    <row r="1180" spans="1:8" x14ac:dyDescent="0.3">
      <c r="A1180" t="s">
        <v>460</v>
      </c>
      <c r="B1180">
        <v>4</v>
      </c>
      <c r="C1180" t="s">
        <v>478</v>
      </c>
      <c r="D1180" s="1">
        <v>0.86458333333333337</v>
      </c>
      <c r="E1180" t="s">
        <v>36</v>
      </c>
      <c r="F1180" t="s">
        <v>25</v>
      </c>
      <c r="G1180" t="s">
        <v>54</v>
      </c>
      <c r="H1180" t="s">
        <v>185</v>
      </c>
    </row>
    <row r="1181" spans="1:8" x14ac:dyDescent="0.3">
      <c r="A1181" t="s">
        <v>460</v>
      </c>
      <c r="B1181">
        <v>4</v>
      </c>
      <c r="C1181" t="s">
        <v>479</v>
      </c>
      <c r="D1181" s="1">
        <v>0.86458333333333337</v>
      </c>
      <c r="E1181" t="s">
        <v>464</v>
      </c>
      <c r="F1181" t="s">
        <v>182</v>
      </c>
      <c r="G1181" t="s">
        <v>41</v>
      </c>
      <c r="H1181" t="s">
        <v>205</v>
      </c>
    </row>
    <row r="1182" spans="1:8" x14ac:dyDescent="0.3">
      <c r="A1182" t="s">
        <v>460</v>
      </c>
      <c r="B1182">
        <v>5</v>
      </c>
      <c r="C1182" t="s">
        <v>480</v>
      </c>
      <c r="D1182" s="1">
        <v>0.83333333333333337</v>
      </c>
      <c r="E1182" t="s">
        <v>17</v>
      </c>
      <c r="F1182" t="s">
        <v>187</v>
      </c>
      <c r="G1182" s="2">
        <v>46024</v>
      </c>
      <c r="H1182" t="s">
        <v>207</v>
      </c>
    </row>
    <row r="1183" spans="1:8" x14ac:dyDescent="0.3">
      <c r="A1183" t="s">
        <v>460</v>
      </c>
      <c r="B1183">
        <v>5</v>
      </c>
      <c r="C1183" t="s">
        <v>480</v>
      </c>
      <c r="D1183" s="1">
        <v>0.91666666666666663</v>
      </c>
      <c r="E1183" t="s">
        <v>27</v>
      </c>
      <c r="F1183" t="s">
        <v>26</v>
      </c>
      <c r="G1183" t="s">
        <v>18</v>
      </c>
      <c r="H1183" t="s">
        <v>198</v>
      </c>
    </row>
    <row r="1184" spans="1:8" x14ac:dyDescent="0.3">
      <c r="A1184" t="s">
        <v>460</v>
      </c>
      <c r="B1184">
        <v>5</v>
      </c>
      <c r="C1184" t="s">
        <v>481</v>
      </c>
      <c r="D1184" s="1">
        <v>0.83333333333333337</v>
      </c>
      <c r="E1184" t="s">
        <v>35</v>
      </c>
      <c r="F1184" t="s">
        <v>340</v>
      </c>
      <c r="G1184" s="2">
        <v>46024</v>
      </c>
      <c r="H1184" t="s">
        <v>190</v>
      </c>
    </row>
    <row r="1185" spans="1:8" x14ac:dyDescent="0.3">
      <c r="A1185" t="s">
        <v>460</v>
      </c>
      <c r="B1185">
        <v>5</v>
      </c>
      <c r="C1185" t="s">
        <v>481</v>
      </c>
      <c r="D1185" s="1">
        <v>0.83333333333333337</v>
      </c>
      <c r="E1185" t="s">
        <v>25</v>
      </c>
      <c r="F1185" t="s">
        <v>34</v>
      </c>
      <c r="G1185" s="2">
        <v>46023</v>
      </c>
      <c r="H1185" t="s">
        <v>206</v>
      </c>
    </row>
    <row r="1186" spans="1:8" x14ac:dyDescent="0.3">
      <c r="A1186" t="s">
        <v>460</v>
      </c>
      <c r="B1186">
        <v>5</v>
      </c>
      <c r="C1186" t="s">
        <v>481</v>
      </c>
      <c r="D1186" s="1">
        <v>0.91666666666666663</v>
      </c>
      <c r="E1186" t="s">
        <v>20</v>
      </c>
      <c r="F1186" t="s">
        <v>28</v>
      </c>
      <c r="G1186" s="2">
        <v>46023</v>
      </c>
      <c r="H1186" t="s">
        <v>191</v>
      </c>
    </row>
    <row r="1187" spans="1:8" x14ac:dyDescent="0.3">
      <c r="A1187" t="s">
        <v>460</v>
      </c>
      <c r="B1187">
        <v>5</v>
      </c>
      <c r="C1187" t="s">
        <v>481</v>
      </c>
      <c r="D1187" s="1">
        <v>0.91666666666666663</v>
      </c>
      <c r="E1187" t="s">
        <v>24</v>
      </c>
      <c r="F1187" t="s">
        <v>15</v>
      </c>
      <c r="G1187" s="2">
        <v>46054</v>
      </c>
      <c r="H1187" t="s">
        <v>205</v>
      </c>
    </row>
    <row r="1188" spans="1:8" x14ac:dyDescent="0.3">
      <c r="A1188" t="s">
        <v>460</v>
      </c>
      <c r="B1188">
        <v>5</v>
      </c>
      <c r="C1188" t="s">
        <v>481</v>
      </c>
      <c r="D1188" s="1">
        <v>0.91666666666666663</v>
      </c>
      <c r="E1188" t="s">
        <v>10</v>
      </c>
      <c r="F1188" t="s">
        <v>338</v>
      </c>
      <c r="G1188" s="2">
        <v>46026</v>
      </c>
      <c r="H1188" t="s">
        <v>467</v>
      </c>
    </row>
    <row r="1189" spans="1:8" x14ac:dyDescent="0.3">
      <c r="A1189" t="s">
        <v>460</v>
      </c>
      <c r="B1189">
        <v>5</v>
      </c>
      <c r="C1189" t="s">
        <v>482</v>
      </c>
      <c r="D1189" s="1">
        <v>0.83333333333333337</v>
      </c>
      <c r="E1189" t="s">
        <v>23</v>
      </c>
      <c r="F1189" t="s">
        <v>36</v>
      </c>
      <c r="G1189" s="2">
        <v>46054</v>
      </c>
      <c r="H1189" t="s">
        <v>183</v>
      </c>
    </row>
    <row r="1190" spans="1:8" x14ac:dyDescent="0.3">
      <c r="A1190" t="s">
        <v>460</v>
      </c>
      <c r="B1190">
        <v>5</v>
      </c>
      <c r="C1190" t="s">
        <v>482</v>
      </c>
      <c r="D1190" s="1">
        <v>0.83333333333333337</v>
      </c>
      <c r="E1190" t="s">
        <v>182</v>
      </c>
      <c r="F1190" t="s">
        <v>466</v>
      </c>
      <c r="G1190" s="2">
        <v>46054</v>
      </c>
      <c r="H1190" t="s">
        <v>73</v>
      </c>
    </row>
    <row r="1191" spans="1:8" x14ac:dyDescent="0.3">
      <c r="A1191" t="s">
        <v>460</v>
      </c>
      <c r="B1191">
        <v>5</v>
      </c>
      <c r="C1191" t="s">
        <v>482</v>
      </c>
      <c r="D1191" s="1">
        <v>0.91666666666666663</v>
      </c>
      <c r="E1191" t="s">
        <v>16</v>
      </c>
      <c r="F1191" t="s">
        <v>464</v>
      </c>
      <c r="G1191" s="2">
        <v>46024</v>
      </c>
      <c r="H1191" t="s">
        <v>197</v>
      </c>
    </row>
    <row r="1192" spans="1:8" x14ac:dyDescent="0.3">
      <c r="A1192" t="s">
        <v>460</v>
      </c>
      <c r="B1192">
        <v>6</v>
      </c>
      <c r="C1192" t="s">
        <v>483</v>
      </c>
      <c r="D1192" s="1">
        <v>0.86458333333333337</v>
      </c>
      <c r="E1192" t="s">
        <v>26</v>
      </c>
      <c r="F1192" t="s">
        <v>17</v>
      </c>
      <c r="G1192" t="s">
        <v>18</v>
      </c>
      <c r="H1192" t="s">
        <v>188</v>
      </c>
    </row>
    <row r="1193" spans="1:8" x14ac:dyDescent="0.3">
      <c r="A1193" t="s">
        <v>460</v>
      </c>
      <c r="B1193">
        <v>6</v>
      </c>
      <c r="C1193" t="s">
        <v>484</v>
      </c>
      <c r="D1193" s="1">
        <v>0.54166666666666663</v>
      </c>
      <c r="E1193" t="s">
        <v>187</v>
      </c>
      <c r="F1193" t="s">
        <v>10</v>
      </c>
      <c r="G1193" t="s">
        <v>12</v>
      </c>
      <c r="H1193" t="s">
        <v>345</v>
      </c>
    </row>
    <row r="1194" spans="1:8" x14ac:dyDescent="0.3">
      <c r="A1194" t="s">
        <v>460</v>
      </c>
      <c r="B1194">
        <v>6</v>
      </c>
      <c r="C1194" t="s">
        <v>484</v>
      </c>
      <c r="D1194" s="1">
        <v>0.67708333333333337</v>
      </c>
      <c r="E1194" t="s">
        <v>340</v>
      </c>
      <c r="F1194" t="s">
        <v>20</v>
      </c>
      <c r="G1194" t="s">
        <v>72</v>
      </c>
      <c r="H1194" t="s">
        <v>184</v>
      </c>
    </row>
    <row r="1195" spans="1:8" x14ac:dyDescent="0.3">
      <c r="A1195" t="s">
        <v>460</v>
      </c>
      <c r="B1195">
        <v>6</v>
      </c>
      <c r="C1195" t="s">
        <v>484</v>
      </c>
      <c r="D1195" s="1">
        <v>0.77083333333333337</v>
      </c>
      <c r="E1195" t="s">
        <v>15</v>
      </c>
      <c r="F1195" t="s">
        <v>27</v>
      </c>
      <c r="G1195" s="2">
        <v>46025</v>
      </c>
      <c r="H1195" t="s">
        <v>185</v>
      </c>
    </row>
    <row r="1196" spans="1:8" x14ac:dyDescent="0.3">
      <c r="A1196" t="s">
        <v>460</v>
      </c>
      <c r="B1196">
        <v>6</v>
      </c>
      <c r="C1196" t="s">
        <v>484</v>
      </c>
      <c r="D1196" s="1">
        <v>0.86458333333333337</v>
      </c>
      <c r="E1196" t="s">
        <v>338</v>
      </c>
      <c r="F1196" t="s">
        <v>25</v>
      </c>
      <c r="G1196" s="2">
        <v>46055</v>
      </c>
      <c r="H1196" t="s">
        <v>198</v>
      </c>
    </row>
    <row r="1197" spans="1:8" x14ac:dyDescent="0.3">
      <c r="A1197" t="s">
        <v>460</v>
      </c>
      <c r="B1197">
        <v>6</v>
      </c>
      <c r="C1197" t="s">
        <v>485</v>
      </c>
      <c r="D1197" s="1">
        <v>0.5</v>
      </c>
      <c r="E1197" t="s">
        <v>466</v>
      </c>
      <c r="F1197" t="s">
        <v>16</v>
      </c>
      <c r="G1197" s="2">
        <v>46054</v>
      </c>
      <c r="H1197" t="s">
        <v>191</v>
      </c>
    </row>
    <row r="1198" spans="1:8" x14ac:dyDescent="0.3">
      <c r="A1198" t="s">
        <v>460</v>
      </c>
      <c r="B1198">
        <v>6</v>
      </c>
      <c r="C1198" t="s">
        <v>485</v>
      </c>
      <c r="D1198" s="1">
        <v>0.67708333333333337</v>
      </c>
      <c r="E1198" t="s">
        <v>28</v>
      </c>
      <c r="F1198" t="s">
        <v>182</v>
      </c>
      <c r="G1198" t="s">
        <v>18</v>
      </c>
      <c r="H1198" t="s">
        <v>194</v>
      </c>
    </row>
    <row r="1199" spans="1:8" x14ac:dyDescent="0.3">
      <c r="A1199" t="s">
        <v>460</v>
      </c>
      <c r="B1199">
        <v>6</v>
      </c>
      <c r="C1199" t="s">
        <v>485</v>
      </c>
      <c r="D1199" s="1">
        <v>0.77083333333333337</v>
      </c>
      <c r="E1199" t="s">
        <v>34</v>
      </c>
      <c r="F1199" t="s">
        <v>23</v>
      </c>
      <c r="G1199" s="2">
        <v>46025</v>
      </c>
      <c r="H1199" t="s">
        <v>471</v>
      </c>
    </row>
    <row r="1200" spans="1:8" x14ac:dyDescent="0.3">
      <c r="A1200" t="s">
        <v>460</v>
      </c>
      <c r="B1200">
        <v>6</v>
      </c>
      <c r="C1200" t="s">
        <v>485</v>
      </c>
      <c r="D1200" s="1">
        <v>0.86458333333333337</v>
      </c>
      <c r="E1200" t="s">
        <v>36</v>
      </c>
      <c r="F1200" t="s">
        <v>35</v>
      </c>
      <c r="G1200" t="s">
        <v>54</v>
      </c>
      <c r="H1200" t="s">
        <v>73</v>
      </c>
    </row>
    <row r="1201" spans="1:8" x14ac:dyDescent="0.3">
      <c r="A1201" t="s">
        <v>460</v>
      </c>
      <c r="B1201">
        <v>6</v>
      </c>
      <c r="C1201" t="s">
        <v>486</v>
      </c>
      <c r="D1201" s="1">
        <v>0.86458333333333337</v>
      </c>
      <c r="E1201" t="s">
        <v>464</v>
      </c>
      <c r="F1201" t="s">
        <v>24</v>
      </c>
      <c r="G1201" s="2">
        <v>46025</v>
      </c>
      <c r="H1201" t="s">
        <v>206</v>
      </c>
    </row>
    <row r="1202" spans="1:8" x14ac:dyDescent="0.3">
      <c r="A1202" t="s">
        <v>460</v>
      </c>
      <c r="B1202">
        <v>7</v>
      </c>
      <c r="C1202" t="s">
        <v>487</v>
      </c>
      <c r="D1202" s="1">
        <v>0.86458333333333337</v>
      </c>
      <c r="E1202" t="s">
        <v>10</v>
      </c>
      <c r="F1202" t="s">
        <v>26</v>
      </c>
      <c r="G1202" t="s">
        <v>18</v>
      </c>
      <c r="H1202" t="s">
        <v>475</v>
      </c>
    </row>
    <row r="1203" spans="1:8" x14ac:dyDescent="0.3">
      <c r="A1203" t="s">
        <v>460</v>
      </c>
      <c r="B1203">
        <v>7</v>
      </c>
      <c r="C1203" t="s">
        <v>488</v>
      </c>
      <c r="D1203" s="1">
        <v>0.54166666666666663</v>
      </c>
      <c r="E1203" t="s">
        <v>24</v>
      </c>
      <c r="F1203" t="s">
        <v>466</v>
      </c>
      <c r="G1203" t="s">
        <v>42</v>
      </c>
      <c r="H1203" t="s">
        <v>197</v>
      </c>
    </row>
    <row r="1204" spans="1:8" x14ac:dyDescent="0.3">
      <c r="A1204" t="s">
        <v>460</v>
      </c>
      <c r="B1204">
        <v>7</v>
      </c>
      <c r="C1204" t="s">
        <v>488</v>
      </c>
      <c r="D1204" s="1">
        <v>0.67708333333333337</v>
      </c>
      <c r="E1204" t="s">
        <v>27</v>
      </c>
      <c r="F1204" t="s">
        <v>464</v>
      </c>
      <c r="G1204" s="2">
        <v>46024</v>
      </c>
      <c r="H1204" t="s">
        <v>181</v>
      </c>
    </row>
    <row r="1205" spans="1:8" x14ac:dyDescent="0.3">
      <c r="A1205" t="s">
        <v>460</v>
      </c>
      <c r="B1205">
        <v>7</v>
      </c>
      <c r="C1205" t="s">
        <v>488</v>
      </c>
      <c r="D1205" s="1">
        <v>0.77083333333333337</v>
      </c>
      <c r="E1205" t="s">
        <v>23</v>
      </c>
      <c r="F1205" t="s">
        <v>338</v>
      </c>
      <c r="G1205" s="2">
        <v>46055</v>
      </c>
      <c r="H1205" t="s">
        <v>207</v>
      </c>
    </row>
    <row r="1206" spans="1:8" x14ac:dyDescent="0.3">
      <c r="A1206" t="s">
        <v>460</v>
      </c>
      <c r="B1206">
        <v>7</v>
      </c>
      <c r="C1206" t="s">
        <v>488</v>
      </c>
      <c r="D1206" s="1">
        <v>0.86458333333333337</v>
      </c>
      <c r="E1206" t="s">
        <v>182</v>
      </c>
      <c r="F1206" t="s">
        <v>340</v>
      </c>
      <c r="G1206" s="2">
        <v>46024</v>
      </c>
      <c r="H1206" t="s">
        <v>341</v>
      </c>
    </row>
    <row r="1207" spans="1:8" x14ac:dyDescent="0.3">
      <c r="A1207" t="s">
        <v>460</v>
      </c>
      <c r="B1207">
        <v>7</v>
      </c>
      <c r="C1207" t="s">
        <v>489</v>
      </c>
      <c r="D1207" s="1">
        <v>0.5</v>
      </c>
      <c r="E1207" t="s">
        <v>16</v>
      </c>
      <c r="F1207" t="s">
        <v>28</v>
      </c>
      <c r="G1207" t="s">
        <v>54</v>
      </c>
      <c r="H1207" t="s">
        <v>195</v>
      </c>
    </row>
    <row r="1208" spans="1:8" x14ac:dyDescent="0.3">
      <c r="A1208" t="s">
        <v>460</v>
      </c>
      <c r="B1208">
        <v>7</v>
      </c>
      <c r="C1208" t="s">
        <v>489</v>
      </c>
      <c r="D1208" s="1">
        <v>0.67708333333333337</v>
      </c>
      <c r="E1208" t="s">
        <v>25</v>
      </c>
      <c r="F1208" t="s">
        <v>187</v>
      </c>
      <c r="G1208" s="2">
        <v>46023</v>
      </c>
      <c r="H1208" t="s">
        <v>205</v>
      </c>
    </row>
    <row r="1209" spans="1:8" x14ac:dyDescent="0.3">
      <c r="A1209" t="s">
        <v>460</v>
      </c>
      <c r="B1209">
        <v>7</v>
      </c>
      <c r="C1209" t="s">
        <v>489</v>
      </c>
      <c r="D1209" s="1">
        <v>0.77083333333333337</v>
      </c>
      <c r="E1209" t="s">
        <v>36</v>
      </c>
      <c r="F1209" t="s">
        <v>34</v>
      </c>
      <c r="G1209" t="s">
        <v>41</v>
      </c>
      <c r="H1209" t="s">
        <v>467</v>
      </c>
    </row>
    <row r="1210" spans="1:8" x14ac:dyDescent="0.3">
      <c r="A1210" t="s">
        <v>460</v>
      </c>
      <c r="B1210">
        <v>7</v>
      </c>
      <c r="C1210" t="s">
        <v>489</v>
      </c>
      <c r="D1210" s="1">
        <v>0.77083333333333337</v>
      </c>
      <c r="E1210" t="s">
        <v>17</v>
      </c>
      <c r="F1210" t="s">
        <v>15</v>
      </c>
      <c r="G1210" s="2">
        <v>46024</v>
      </c>
      <c r="H1210" t="s">
        <v>184</v>
      </c>
    </row>
    <row r="1211" spans="1:8" x14ac:dyDescent="0.3">
      <c r="A1211" t="s">
        <v>460</v>
      </c>
      <c r="B1211">
        <v>7</v>
      </c>
      <c r="C1211" t="s">
        <v>489</v>
      </c>
      <c r="D1211" s="1">
        <v>0.86458333333333337</v>
      </c>
      <c r="E1211" t="s">
        <v>35</v>
      </c>
      <c r="F1211" t="s">
        <v>20</v>
      </c>
      <c r="G1211" s="2">
        <v>46085</v>
      </c>
      <c r="H1211" t="s">
        <v>183</v>
      </c>
    </row>
    <row r="1212" spans="1:8" x14ac:dyDescent="0.3">
      <c r="A1212" t="s">
        <v>460</v>
      </c>
      <c r="B1212">
        <v>8</v>
      </c>
      <c r="C1212" t="s">
        <v>490</v>
      </c>
      <c r="D1212" s="1">
        <v>0.86458333333333337</v>
      </c>
      <c r="E1212" t="s">
        <v>338</v>
      </c>
      <c r="F1212" t="s">
        <v>36</v>
      </c>
      <c r="G1212" t="s">
        <v>41</v>
      </c>
      <c r="H1212" t="s">
        <v>191</v>
      </c>
    </row>
    <row r="1213" spans="1:8" x14ac:dyDescent="0.3">
      <c r="A1213" t="s">
        <v>460</v>
      </c>
      <c r="B1213">
        <v>8</v>
      </c>
      <c r="C1213" t="s">
        <v>491</v>
      </c>
      <c r="D1213" s="1">
        <v>0.54166666666666663</v>
      </c>
      <c r="E1213" t="s">
        <v>466</v>
      </c>
      <c r="F1213" t="s">
        <v>27</v>
      </c>
      <c r="G1213" s="2">
        <v>46083</v>
      </c>
      <c r="H1213" t="s">
        <v>471</v>
      </c>
    </row>
    <row r="1214" spans="1:8" x14ac:dyDescent="0.3">
      <c r="A1214" t="s">
        <v>460</v>
      </c>
      <c r="B1214">
        <v>8</v>
      </c>
      <c r="C1214" t="s">
        <v>491</v>
      </c>
      <c r="D1214" s="1">
        <v>0.67708333333333337</v>
      </c>
      <c r="E1214" t="s">
        <v>20</v>
      </c>
      <c r="F1214" t="s">
        <v>182</v>
      </c>
      <c r="G1214" t="s">
        <v>88</v>
      </c>
      <c r="H1214" t="s">
        <v>345</v>
      </c>
    </row>
    <row r="1215" spans="1:8" x14ac:dyDescent="0.3">
      <c r="A1215" t="s">
        <v>460</v>
      </c>
      <c r="B1215">
        <v>8</v>
      </c>
      <c r="C1215" t="s">
        <v>491</v>
      </c>
      <c r="D1215" s="1">
        <v>0.77083333333333337</v>
      </c>
      <c r="E1215" t="s">
        <v>28</v>
      </c>
      <c r="F1215" t="s">
        <v>24</v>
      </c>
      <c r="G1215" s="2">
        <v>46029</v>
      </c>
      <c r="H1215" t="s">
        <v>341</v>
      </c>
    </row>
    <row r="1216" spans="1:8" x14ac:dyDescent="0.3">
      <c r="A1216" t="s">
        <v>460</v>
      </c>
      <c r="B1216">
        <v>8</v>
      </c>
      <c r="C1216" t="s">
        <v>491</v>
      </c>
      <c r="D1216" s="1">
        <v>0.86458333333333337</v>
      </c>
      <c r="E1216" t="s">
        <v>26</v>
      </c>
      <c r="F1216" t="s">
        <v>25</v>
      </c>
      <c r="G1216" s="2">
        <v>46174</v>
      </c>
      <c r="H1216" t="s">
        <v>194</v>
      </c>
    </row>
    <row r="1217" spans="1:8" x14ac:dyDescent="0.3">
      <c r="A1217" t="s">
        <v>460</v>
      </c>
      <c r="B1217">
        <v>8</v>
      </c>
      <c r="C1217" t="s">
        <v>492</v>
      </c>
      <c r="D1217" s="1">
        <v>0.5</v>
      </c>
      <c r="E1217" t="s">
        <v>464</v>
      </c>
      <c r="F1217" t="s">
        <v>17</v>
      </c>
      <c r="G1217" s="2">
        <v>46023</v>
      </c>
      <c r="H1217" t="s">
        <v>185</v>
      </c>
    </row>
    <row r="1218" spans="1:8" x14ac:dyDescent="0.3">
      <c r="A1218" t="s">
        <v>460</v>
      </c>
      <c r="B1218">
        <v>8</v>
      </c>
      <c r="C1218" t="s">
        <v>492</v>
      </c>
      <c r="D1218" s="1">
        <v>0.67708333333333337</v>
      </c>
      <c r="E1218" t="s">
        <v>15</v>
      </c>
      <c r="F1218" t="s">
        <v>10</v>
      </c>
      <c r="G1218" s="2">
        <v>46056</v>
      </c>
      <c r="H1218" t="s">
        <v>206</v>
      </c>
    </row>
    <row r="1219" spans="1:8" x14ac:dyDescent="0.3">
      <c r="A1219" t="s">
        <v>460</v>
      </c>
      <c r="B1219">
        <v>8</v>
      </c>
      <c r="C1219" t="s">
        <v>492</v>
      </c>
      <c r="D1219" s="1">
        <v>0.77083333333333337</v>
      </c>
      <c r="E1219" t="s">
        <v>340</v>
      </c>
      <c r="F1219" t="s">
        <v>16</v>
      </c>
      <c r="G1219" s="2">
        <v>46054</v>
      </c>
      <c r="H1219" t="s">
        <v>467</v>
      </c>
    </row>
    <row r="1220" spans="1:8" x14ac:dyDescent="0.3">
      <c r="A1220" t="s">
        <v>460</v>
      </c>
      <c r="B1220">
        <v>8</v>
      </c>
      <c r="C1220" t="s">
        <v>492</v>
      </c>
      <c r="D1220" s="1">
        <v>0.86458333333333337</v>
      </c>
      <c r="E1220" t="s">
        <v>34</v>
      </c>
      <c r="F1220" t="s">
        <v>35</v>
      </c>
      <c r="G1220" t="s">
        <v>40</v>
      </c>
      <c r="H1220" t="s">
        <v>198</v>
      </c>
    </row>
    <row r="1221" spans="1:8" x14ac:dyDescent="0.3">
      <c r="A1221" t="s">
        <v>460</v>
      </c>
      <c r="B1221">
        <v>8</v>
      </c>
      <c r="C1221" t="s">
        <v>493</v>
      </c>
      <c r="D1221" s="1">
        <v>0.86458333333333337</v>
      </c>
      <c r="E1221" t="s">
        <v>187</v>
      </c>
      <c r="F1221" t="s">
        <v>23</v>
      </c>
      <c r="G1221" s="2">
        <v>46083</v>
      </c>
      <c r="H1221" t="s">
        <v>190</v>
      </c>
    </row>
    <row r="1222" spans="1:8" x14ac:dyDescent="0.3">
      <c r="A1222" t="s">
        <v>460</v>
      </c>
      <c r="B1222">
        <v>9</v>
      </c>
      <c r="C1222" t="s">
        <v>494</v>
      </c>
      <c r="D1222" s="1">
        <v>0.86458333333333337</v>
      </c>
      <c r="E1222" t="s">
        <v>23</v>
      </c>
      <c r="F1222" t="s">
        <v>26</v>
      </c>
      <c r="G1222" s="2">
        <v>46054</v>
      </c>
      <c r="H1222" t="s">
        <v>184</v>
      </c>
    </row>
    <row r="1223" spans="1:8" x14ac:dyDescent="0.3">
      <c r="A1223" t="s">
        <v>460</v>
      </c>
      <c r="B1223">
        <v>9</v>
      </c>
      <c r="C1223" t="s">
        <v>495</v>
      </c>
      <c r="D1223" s="1">
        <v>0.54166666666666663</v>
      </c>
      <c r="E1223" t="s">
        <v>36</v>
      </c>
      <c r="F1223" t="s">
        <v>187</v>
      </c>
      <c r="G1223" s="2">
        <v>46084</v>
      </c>
      <c r="H1223" t="s">
        <v>194</v>
      </c>
    </row>
    <row r="1224" spans="1:8" x14ac:dyDescent="0.3">
      <c r="A1224" t="s">
        <v>460</v>
      </c>
      <c r="B1224">
        <v>9</v>
      </c>
      <c r="C1224" t="s">
        <v>495</v>
      </c>
      <c r="D1224" s="1">
        <v>0.67708333333333337</v>
      </c>
      <c r="E1224" t="s">
        <v>16</v>
      </c>
      <c r="F1224" t="s">
        <v>20</v>
      </c>
      <c r="G1224" s="2">
        <v>46083</v>
      </c>
      <c r="H1224" t="s">
        <v>73</v>
      </c>
    </row>
    <row r="1225" spans="1:8" x14ac:dyDescent="0.3">
      <c r="A1225" t="s">
        <v>460</v>
      </c>
      <c r="B1225">
        <v>9</v>
      </c>
      <c r="C1225" t="s">
        <v>495</v>
      </c>
      <c r="D1225" s="1">
        <v>0.77083333333333337</v>
      </c>
      <c r="E1225" t="s">
        <v>10</v>
      </c>
      <c r="F1225" t="s">
        <v>464</v>
      </c>
      <c r="G1225" t="s">
        <v>32</v>
      </c>
      <c r="H1225" t="s">
        <v>195</v>
      </c>
    </row>
    <row r="1226" spans="1:8" x14ac:dyDescent="0.3">
      <c r="A1226" t="s">
        <v>460</v>
      </c>
      <c r="B1226">
        <v>9</v>
      </c>
      <c r="C1226" t="s">
        <v>495</v>
      </c>
      <c r="D1226" s="1">
        <v>0.86458333333333337</v>
      </c>
      <c r="E1226" t="s">
        <v>24</v>
      </c>
      <c r="F1226" t="s">
        <v>340</v>
      </c>
      <c r="G1226" t="s">
        <v>41</v>
      </c>
      <c r="H1226" t="s">
        <v>183</v>
      </c>
    </row>
    <row r="1227" spans="1:8" x14ac:dyDescent="0.3">
      <c r="A1227" t="s">
        <v>460</v>
      </c>
      <c r="B1227">
        <v>9</v>
      </c>
      <c r="C1227" t="s">
        <v>496</v>
      </c>
      <c r="D1227" s="1">
        <v>0.5</v>
      </c>
      <c r="E1227" t="s">
        <v>35</v>
      </c>
      <c r="F1227" t="s">
        <v>182</v>
      </c>
      <c r="G1227" s="2">
        <v>46026</v>
      </c>
      <c r="H1227" t="s">
        <v>188</v>
      </c>
    </row>
    <row r="1228" spans="1:8" x14ac:dyDescent="0.3">
      <c r="A1228" t="s">
        <v>460</v>
      </c>
      <c r="B1228">
        <v>9</v>
      </c>
      <c r="C1228" t="s">
        <v>496</v>
      </c>
      <c r="D1228" s="1">
        <v>0.67708333333333337</v>
      </c>
      <c r="E1228" t="s">
        <v>27</v>
      </c>
      <c r="F1228" t="s">
        <v>28</v>
      </c>
      <c r="G1228" t="s">
        <v>18</v>
      </c>
      <c r="H1228" t="s">
        <v>205</v>
      </c>
    </row>
    <row r="1229" spans="1:8" x14ac:dyDescent="0.3">
      <c r="A1229" t="s">
        <v>460</v>
      </c>
      <c r="B1229">
        <v>9</v>
      </c>
      <c r="C1229" t="s">
        <v>496</v>
      </c>
      <c r="D1229" s="1">
        <v>0.77083333333333337</v>
      </c>
      <c r="E1229" t="s">
        <v>17</v>
      </c>
      <c r="F1229" t="s">
        <v>466</v>
      </c>
      <c r="G1229" t="s">
        <v>88</v>
      </c>
      <c r="H1229" t="s">
        <v>475</v>
      </c>
    </row>
    <row r="1230" spans="1:8" x14ac:dyDescent="0.3">
      <c r="A1230" t="s">
        <v>460</v>
      </c>
      <c r="B1230">
        <v>9</v>
      </c>
      <c r="C1230" t="s">
        <v>496</v>
      </c>
      <c r="D1230" s="1">
        <v>0.77083333333333337</v>
      </c>
      <c r="E1230" t="s">
        <v>34</v>
      </c>
      <c r="F1230" t="s">
        <v>338</v>
      </c>
      <c r="G1230" s="2">
        <v>46024</v>
      </c>
      <c r="H1230" t="s">
        <v>197</v>
      </c>
    </row>
    <row r="1231" spans="1:8" x14ac:dyDescent="0.3">
      <c r="A1231" t="s">
        <v>460</v>
      </c>
      <c r="B1231">
        <v>9</v>
      </c>
      <c r="C1231" t="s">
        <v>496</v>
      </c>
      <c r="D1231" s="1">
        <v>0.86458333333333337</v>
      </c>
      <c r="E1231" t="s">
        <v>25</v>
      </c>
      <c r="F1231" t="s">
        <v>15</v>
      </c>
      <c r="G1231" s="2">
        <v>46024</v>
      </c>
      <c r="H1231" t="s">
        <v>207</v>
      </c>
    </row>
    <row r="1232" spans="1:8" x14ac:dyDescent="0.3">
      <c r="A1232" t="s">
        <v>460</v>
      </c>
      <c r="B1232">
        <v>10</v>
      </c>
      <c r="C1232" t="s">
        <v>497</v>
      </c>
      <c r="D1232" s="1">
        <v>0.86458333333333337</v>
      </c>
      <c r="E1232" t="s">
        <v>466</v>
      </c>
      <c r="F1232" t="s">
        <v>10</v>
      </c>
      <c r="G1232" t="s">
        <v>54</v>
      </c>
      <c r="H1232" t="s">
        <v>185</v>
      </c>
    </row>
    <row r="1233" spans="1:8" x14ac:dyDescent="0.3">
      <c r="A1233" t="s">
        <v>460</v>
      </c>
      <c r="B1233">
        <v>10</v>
      </c>
      <c r="C1233" t="s">
        <v>498</v>
      </c>
      <c r="D1233" s="1">
        <v>0.54166666666666663</v>
      </c>
      <c r="E1233" t="s">
        <v>340</v>
      </c>
      <c r="F1233" t="s">
        <v>27</v>
      </c>
      <c r="G1233" s="2">
        <v>46023</v>
      </c>
      <c r="H1233" t="s">
        <v>207</v>
      </c>
    </row>
    <row r="1234" spans="1:8" x14ac:dyDescent="0.3">
      <c r="A1234" t="s">
        <v>460</v>
      </c>
      <c r="B1234">
        <v>10</v>
      </c>
      <c r="C1234" t="s">
        <v>498</v>
      </c>
      <c r="D1234" s="1">
        <v>0.67708333333333337</v>
      </c>
      <c r="E1234" t="s">
        <v>464</v>
      </c>
      <c r="F1234" t="s">
        <v>25</v>
      </c>
      <c r="G1234" s="2">
        <v>46113</v>
      </c>
      <c r="H1234" t="s">
        <v>345</v>
      </c>
    </row>
    <row r="1235" spans="1:8" x14ac:dyDescent="0.3">
      <c r="A1235" t="s">
        <v>460</v>
      </c>
      <c r="B1235">
        <v>10</v>
      </c>
      <c r="C1235" t="s">
        <v>498</v>
      </c>
      <c r="D1235" s="1">
        <v>0.77083333333333337</v>
      </c>
      <c r="E1235" t="s">
        <v>28</v>
      </c>
      <c r="F1235" t="s">
        <v>17</v>
      </c>
      <c r="G1235" s="2">
        <v>46057</v>
      </c>
      <c r="H1235" t="s">
        <v>198</v>
      </c>
    </row>
    <row r="1236" spans="1:8" x14ac:dyDescent="0.3">
      <c r="A1236" t="s">
        <v>460</v>
      </c>
      <c r="B1236">
        <v>10</v>
      </c>
      <c r="C1236" t="s">
        <v>498</v>
      </c>
      <c r="D1236" s="1">
        <v>0.86458333333333337</v>
      </c>
      <c r="E1236" t="s">
        <v>20</v>
      </c>
      <c r="F1236" t="s">
        <v>24</v>
      </c>
      <c r="G1236" t="s">
        <v>18</v>
      </c>
      <c r="H1236" t="s">
        <v>205</v>
      </c>
    </row>
    <row r="1237" spans="1:8" x14ac:dyDescent="0.3">
      <c r="A1237" t="s">
        <v>460</v>
      </c>
      <c r="B1237">
        <v>10</v>
      </c>
      <c r="C1237" t="s">
        <v>499</v>
      </c>
      <c r="D1237" s="1">
        <v>0.5</v>
      </c>
      <c r="E1237" t="s">
        <v>187</v>
      </c>
      <c r="F1237" t="s">
        <v>34</v>
      </c>
      <c r="G1237" s="2">
        <v>46024</v>
      </c>
      <c r="H1237" t="s">
        <v>191</v>
      </c>
    </row>
    <row r="1238" spans="1:8" x14ac:dyDescent="0.3">
      <c r="A1238" t="s">
        <v>460</v>
      </c>
      <c r="B1238">
        <v>10</v>
      </c>
      <c r="C1238" t="s">
        <v>499</v>
      </c>
      <c r="D1238" s="1">
        <v>0.67708333333333337</v>
      </c>
      <c r="E1238" t="s">
        <v>15</v>
      </c>
      <c r="F1238" t="s">
        <v>23</v>
      </c>
      <c r="G1238" s="2">
        <v>46023</v>
      </c>
      <c r="H1238" t="s">
        <v>467</v>
      </c>
    </row>
    <row r="1239" spans="1:8" x14ac:dyDescent="0.3">
      <c r="A1239" t="s">
        <v>460</v>
      </c>
      <c r="B1239">
        <v>10</v>
      </c>
      <c r="C1239" t="s">
        <v>499</v>
      </c>
      <c r="D1239" s="1">
        <v>0.77083333333333337</v>
      </c>
      <c r="E1239" t="s">
        <v>26</v>
      </c>
      <c r="F1239" t="s">
        <v>36</v>
      </c>
      <c r="G1239" t="s">
        <v>42</v>
      </c>
      <c r="H1239" t="s">
        <v>341</v>
      </c>
    </row>
    <row r="1240" spans="1:8" x14ac:dyDescent="0.3">
      <c r="A1240" t="s">
        <v>460</v>
      </c>
      <c r="B1240">
        <v>10</v>
      </c>
      <c r="C1240" t="s">
        <v>499</v>
      </c>
      <c r="D1240" s="1">
        <v>0.86458333333333337</v>
      </c>
      <c r="E1240" t="s">
        <v>338</v>
      </c>
      <c r="F1240" t="s">
        <v>35</v>
      </c>
      <c r="G1240" s="2">
        <v>46084</v>
      </c>
      <c r="H1240" t="s">
        <v>190</v>
      </c>
    </row>
    <row r="1241" spans="1:8" x14ac:dyDescent="0.3">
      <c r="A1241" t="s">
        <v>460</v>
      </c>
      <c r="B1241">
        <v>10</v>
      </c>
      <c r="C1241" t="s">
        <v>500</v>
      </c>
      <c r="D1241" s="1">
        <v>0.86458333333333337</v>
      </c>
      <c r="E1241" t="s">
        <v>182</v>
      </c>
      <c r="F1241" t="s">
        <v>16</v>
      </c>
      <c r="G1241" s="2">
        <v>46023</v>
      </c>
      <c r="H1241" t="s">
        <v>206</v>
      </c>
    </row>
    <row r="1242" spans="1:8" x14ac:dyDescent="0.3">
      <c r="A1242" t="s">
        <v>460</v>
      </c>
      <c r="B1242">
        <v>11</v>
      </c>
      <c r="C1242" t="s">
        <v>501</v>
      </c>
      <c r="D1242" s="1">
        <v>0.86458333333333337</v>
      </c>
      <c r="E1242" t="s">
        <v>17</v>
      </c>
      <c r="F1242" t="s">
        <v>340</v>
      </c>
      <c r="G1242" s="2">
        <v>46056</v>
      </c>
      <c r="H1242" t="s">
        <v>194</v>
      </c>
    </row>
    <row r="1243" spans="1:8" x14ac:dyDescent="0.3">
      <c r="A1243" t="s">
        <v>460</v>
      </c>
      <c r="B1243">
        <v>11</v>
      </c>
      <c r="C1243" t="s">
        <v>502</v>
      </c>
      <c r="D1243" s="1">
        <v>0.54166666666666663</v>
      </c>
      <c r="E1243" t="s">
        <v>24</v>
      </c>
      <c r="F1243" t="s">
        <v>182</v>
      </c>
      <c r="G1243" s="2">
        <v>46023</v>
      </c>
      <c r="H1243" t="s">
        <v>73</v>
      </c>
    </row>
    <row r="1244" spans="1:8" x14ac:dyDescent="0.3">
      <c r="A1244" t="s">
        <v>460</v>
      </c>
      <c r="B1244">
        <v>11</v>
      </c>
      <c r="C1244" t="s">
        <v>502</v>
      </c>
      <c r="D1244" s="1">
        <v>0.67708333333333337</v>
      </c>
      <c r="E1244" t="s">
        <v>10</v>
      </c>
      <c r="F1244" t="s">
        <v>28</v>
      </c>
      <c r="G1244" t="s">
        <v>12</v>
      </c>
      <c r="H1244" t="s">
        <v>188</v>
      </c>
    </row>
    <row r="1245" spans="1:8" x14ac:dyDescent="0.3">
      <c r="A1245" t="s">
        <v>460</v>
      </c>
      <c r="B1245">
        <v>11</v>
      </c>
      <c r="C1245" t="s">
        <v>502</v>
      </c>
      <c r="D1245" s="1">
        <v>0.77083333333333337</v>
      </c>
      <c r="E1245" t="s">
        <v>23</v>
      </c>
      <c r="F1245" t="s">
        <v>464</v>
      </c>
      <c r="G1245" t="s">
        <v>42</v>
      </c>
      <c r="H1245" t="s">
        <v>471</v>
      </c>
    </row>
    <row r="1246" spans="1:8" x14ac:dyDescent="0.3">
      <c r="A1246" t="s">
        <v>460</v>
      </c>
      <c r="B1246">
        <v>11</v>
      </c>
      <c r="C1246" t="s">
        <v>502</v>
      </c>
      <c r="D1246" s="1">
        <v>0.86458333333333337</v>
      </c>
      <c r="E1246" t="s">
        <v>338</v>
      </c>
      <c r="F1246" t="s">
        <v>187</v>
      </c>
      <c r="G1246" t="s">
        <v>18</v>
      </c>
      <c r="H1246" t="s">
        <v>184</v>
      </c>
    </row>
    <row r="1247" spans="1:8" x14ac:dyDescent="0.3">
      <c r="A1247" t="s">
        <v>460</v>
      </c>
      <c r="B1247">
        <v>11</v>
      </c>
      <c r="C1247" t="s">
        <v>503</v>
      </c>
      <c r="D1247" s="1">
        <v>0.5</v>
      </c>
      <c r="E1247" t="s">
        <v>25</v>
      </c>
      <c r="F1247" t="s">
        <v>466</v>
      </c>
      <c r="G1247" t="s">
        <v>32</v>
      </c>
      <c r="H1247" t="s">
        <v>181</v>
      </c>
    </row>
    <row r="1248" spans="1:8" x14ac:dyDescent="0.3">
      <c r="A1248" t="s">
        <v>460</v>
      </c>
      <c r="B1248">
        <v>11</v>
      </c>
      <c r="C1248" t="s">
        <v>503</v>
      </c>
      <c r="D1248" s="1">
        <v>0.67708333333333337</v>
      </c>
      <c r="E1248" t="s">
        <v>35</v>
      </c>
      <c r="F1248" t="s">
        <v>16</v>
      </c>
      <c r="G1248" s="2">
        <v>46024</v>
      </c>
      <c r="H1248" t="s">
        <v>195</v>
      </c>
    </row>
    <row r="1249" spans="1:8" x14ac:dyDescent="0.3">
      <c r="A1249" t="s">
        <v>460</v>
      </c>
      <c r="B1249">
        <v>11</v>
      </c>
      <c r="C1249" t="s">
        <v>503</v>
      </c>
      <c r="D1249" s="1">
        <v>0.67708333333333337</v>
      </c>
      <c r="E1249" t="s">
        <v>36</v>
      </c>
      <c r="F1249" t="s">
        <v>15</v>
      </c>
      <c r="G1249" t="s">
        <v>41</v>
      </c>
      <c r="H1249" t="s">
        <v>475</v>
      </c>
    </row>
    <row r="1250" spans="1:8" x14ac:dyDescent="0.3">
      <c r="A1250" t="s">
        <v>460</v>
      </c>
      <c r="B1250">
        <v>11</v>
      </c>
      <c r="C1250" t="s">
        <v>503</v>
      </c>
      <c r="D1250" s="1">
        <v>0.77083333333333337</v>
      </c>
      <c r="E1250" t="s">
        <v>34</v>
      </c>
      <c r="F1250" t="s">
        <v>26</v>
      </c>
      <c r="G1250" t="s">
        <v>12</v>
      </c>
      <c r="H1250" t="s">
        <v>183</v>
      </c>
    </row>
    <row r="1251" spans="1:8" x14ac:dyDescent="0.3">
      <c r="A1251" t="s">
        <v>460</v>
      </c>
      <c r="B1251">
        <v>11</v>
      </c>
      <c r="C1251" t="s">
        <v>503</v>
      </c>
      <c r="D1251" s="1">
        <v>0.86458333333333337</v>
      </c>
      <c r="E1251" t="s">
        <v>27</v>
      </c>
      <c r="F1251" t="s">
        <v>20</v>
      </c>
      <c r="G1251" s="2">
        <v>46054</v>
      </c>
      <c r="H1251" t="s">
        <v>197</v>
      </c>
    </row>
    <row r="1252" spans="1:8" x14ac:dyDescent="0.3">
      <c r="A1252" t="s">
        <v>460</v>
      </c>
      <c r="B1252">
        <v>12</v>
      </c>
      <c r="C1252" t="s">
        <v>504</v>
      </c>
      <c r="D1252" s="1">
        <v>0.86458333333333337</v>
      </c>
      <c r="E1252" t="s">
        <v>26</v>
      </c>
      <c r="F1252" t="s">
        <v>338</v>
      </c>
      <c r="G1252" t="s">
        <v>12</v>
      </c>
      <c r="H1252" t="s">
        <v>206</v>
      </c>
    </row>
    <row r="1253" spans="1:8" x14ac:dyDescent="0.3">
      <c r="A1253" t="s">
        <v>460</v>
      </c>
      <c r="B1253">
        <v>12</v>
      </c>
      <c r="C1253" t="s">
        <v>505</v>
      </c>
      <c r="D1253" s="1">
        <v>0.54166666666666663</v>
      </c>
      <c r="E1253" t="s">
        <v>182</v>
      </c>
      <c r="F1253" t="s">
        <v>27</v>
      </c>
      <c r="G1253" s="2">
        <v>46083</v>
      </c>
      <c r="H1253" t="s">
        <v>181</v>
      </c>
    </row>
    <row r="1254" spans="1:8" x14ac:dyDescent="0.3">
      <c r="A1254" t="s">
        <v>460</v>
      </c>
      <c r="B1254">
        <v>12</v>
      </c>
      <c r="C1254" t="s">
        <v>505</v>
      </c>
      <c r="D1254" s="1">
        <v>0.67708333333333337</v>
      </c>
      <c r="E1254" t="s">
        <v>20</v>
      </c>
      <c r="F1254" t="s">
        <v>17</v>
      </c>
      <c r="G1254" t="s">
        <v>41</v>
      </c>
      <c r="H1254" t="s">
        <v>341</v>
      </c>
    </row>
    <row r="1255" spans="1:8" x14ac:dyDescent="0.3">
      <c r="A1255" t="s">
        <v>460</v>
      </c>
      <c r="B1255">
        <v>12</v>
      </c>
      <c r="C1255" t="s">
        <v>505</v>
      </c>
      <c r="D1255" s="1">
        <v>0.77083333333333337</v>
      </c>
      <c r="E1255" t="s">
        <v>187</v>
      </c>
      <c r="F1255" t="s">
        <v>35</v>
      </c>
      <c r="G1255" t="s">
        <v>18</v>
      </c>
      <c r="H1255" t="s">
        <v>467</v>
      </c>
    </row>
    <row r="1256" spans="1:8" x14ac:dyDescent="0.3">
      <c r="A1256" t="s">
        <v>460</v>
      </c>
      <c r="B1256">
        <v>12</v>
      </c>
      <c r="C1256" t="s">
        <v>505</v>
      </c>
      <c r="D1256" s="1">
        <v>0.86458333333333337</v>
      </c>
      <c r="E1256" t="s">
        <v>28</v>
      </c>
      <c r="F1256" t="s">
        <v>25</v>
      </c>
      <c r="G1256" t="s">
        <v>46</v>
      </c>
      <c r="H1256" t="s">
        <v>191</v>
      </c>
    </row>
    <row r="1257" spans="1:8" x14ac:dyDescent="0.3">
      <c r="A1257" t="s">
        <v>460</v>
      </c>
      <c r="B1257">
        <v>12</v>
      </c>
      <c r="C1257" t="s">
        <v>506</v>
      </c>
      <c r="D1257" s="1">
        <v>0.5</v>
      </c>
      <c r="E1257" t="s">
        <v>464</v>
      </c>
      <c r="F1257" t="s">
        <v>36</v>
      </c>
      <c r="G1257" t="s">
        <v>42</v>
      </c>
      <c r="H1257" t="s">
        <v>190</v>
      </c>
    </row>
    <row r="1258" spans="1:8" x14ac:dyDescent="0.3">
      <c r="A1258" t="s">
        <v>460</v>
      </c>
      <c r="B1258">
        <v>12</v>
      </c>
      <c r="C1258" t="s">
        <v>506</v>
      </c>
      <c r="D1258" s="1">
        <v>0.67708333333333337</v>
      </c>
      <c r="E1258" t="s">
        <v>16</v>
      </c>
      <c r="F1258" t="s">
        <v>24</v>
      </c>
      <c r="G1258" s="2">
        <v>46023</v>
      </c>
      <c r="H1258" t="s">
        <v>185</v>
      </c>
    </row>
    <row r="1259" spans="1:8" x14ac:dyDescent="0.3">
      <c r="A1259" t="s">
        <v>460</v>
      </c>
      <c r="B1259">
        <v>12</v>
      </c>
      <c r="C1259" t="s">
        <v>506</v>
      </c>
      <c r="D1259" s="1">
        <v>0.77083333333333337</v>
      </c>
      <c r="E1259" t="s">
        <v>340</v>
      </c>
      <c r="F1259" t="s">
        <v>10</v>
      </c>
      <c r="G1259" s="2">
        <v>46082</v>
      </c>
      <c r="H1259" t="s">
        <v>205</v>
      </c>
    </row>
    <row r="1260" spans="1:8" x14ac:dyDescent="0.3">
      <c r="A1260" t="s">
        <v>460</v>
      </c>
      <c r="B1260">
        <v>12</v>
      </c>
      <c r="C1260" t="s">
        <v>506</v>
      </c>
      <c r="D1260" s="1">
        <v>0.86458333333333337</v>
      </c>
      <c r="E1260" t="s">
        <v>15</v>
      </c>
      <c r="F1260" t="s">
        <v>34</v>
      </c>
      <c r="G1260" t="s">
        <v>18</v>
      </c>
      <c r="H1260" t="s">
        <v>345</v>
      </c>
    </row>
    <row r="1261" spans="1:8" x14ac:dyDescent="0.3">
      <c r="A1261" t="s">
        <v>460</v>
      </c>
      <c r="B1261">
        <v>12</v>
      </c>
      <c r="C1261" t="s">
        <v>507</v>
      </c>
      <c r="D1261" s="1">
        <v>0.86458333333333337</v>
      </c>
      <c r="E1261" t="s">
        <v>466</v>
      </c>
      <c r="F1261" t="s">
        <v>23</v>
      </c>
      <c r="G1261" t="s">
        <v>12</v>
      </c>
      <c r="H1261" t="s">
        <v>207</v>
      </c>
    </row>
    <row r="1262" spans="1:8" x14ac:dyDescent="0.3">
      <c r="A1262" t="s">
        <v>460</v>
      </c>
      <c r="B1262">
        <v>13</v>
      </c>
      <c r="C1262" t="s">
        <v>508</v>
      </c>
      <c r="D1262" s="1">
        <v>0.86458333333333337</v>
      </c>
      <c r="E1262" t="s">
        <v>187</v>
      </c>
      <c r="F1262" t="s">
        <v>26</v>
      </c>
      <c r="G1262" s="2">
        <v>46025</v>
      </c>
      <c r="H1262" t="s">
        <v>471</v>
      </c>
    </row>
    <row r="1263" spans="1:8" x14ac:dyDescent="0.3">
      <c r="A1263" t="s">
        <v>460</v>
      </c>
      <c r="B1263">
        <v>13</v>
      </c>
      <c r="C1263" t="s">
        <v>509</v>
      </c>
      <c r="D1263" s="1">
        <v>0.54166666666666663</v>
      </c>
      <c r="E1263" t="s">
        <v>17</v>
      </c>
      <c r="F1263" t="s">
        <v>182</v>
      </c>
      <c r="G1263" s="2">
        <v>46085</v>
      </c>
      <c r="H1263" t="s">
        <v>183</v>
      </c>
    </row>
    <row r="1264" spans="1:8" x14ac:dyDescent="0.3">
      <c r="A1264" t="s">
        <v>460</v>
      </c>
      <c r="B1264">
        <v>13</v>
      </c>
      <c r="C1264" t="s">
        <v>509</v>
      </c>
      <c r="D1264" s="1">
        <v>0.67708333333333337</v>
      </c>
      <c r="E1264" t="s">
        <v>25</v>
      </c>
      <c r="F1264" t="s">
        <v>340</v>
      </c>
      <c r="G1264" s="2">
        <v>46024</v>
      </c>
      <c r="H1264" t="s">
        <v>185</v>
      </c>
    </row>
    <row r="1265" spans="1:8" x14ac:dyDescent="0.3">
      <c r="A1265" t="s">
        <v>460</v>
      </c>
      <c r="B1265">
        <v>13</v>
      </c>
      <c r="C1265" t="s">
        <v>509</v>
      </c>
      <c r="D1265" s="1">
        <v>0.77083333333333337</v>
      </c>
      <c r="E1265" t="s">
        <v>36</v>
      </c>
      <c r="F1265" t="s">
        <v>466</v>
      </c>
      <c r="G1265" t="s">
        <v>32</v>
      </c>
      <c r="H1265" t="s">
        <v>205</v>
      </c>
    </row>
    <row r="1266" spans="1:8" x14ac:dyDescent="0.3">
      <c r="A1266" t="s">
        <v>460</v>
      </c>
      <c r="B1266">
        <v>13</v>
      </c>
      <c r="C1266" t="s">
        <v>509</v>
      </c>
      <c r="D1266" s="1">
        <v>0.86458333333333337</v>
      </c>
      <c r="E1266" t="s">
        <v>27</v>
      </c>
      <c r="F1266" t="s">
        <v>16</v>
      </c>
      <c r="G1266" s="2">
        <v>46024</v>
      </c>
      <c r="H1266" t="s">
        <v>184</v>
      </c>
    </row>
    <row r="1267" spans="1:8" x14ac:dyDescent="0.3">
      <c r="A1267" t="s">
        <v>460</v>
      </c>
      <c r="B1267">
        <v>13</v>
      </c>
      <c r="C1267" t="s">
        <v>510</v>
      </c>
      <c r="D1267" s="1">
        <v>0.5</v>
      </c>
      <c r="E1267" t="s">
        <v>34</v>
      </c>
      <c r="F1267" t="s">
        <v>464</v>
      </c>
      <c r="G1267" t="s">
        <v>54</v>
      </c>
      <c r="H1267" t="s">
        <v>73</v>
      </c>
    </row>
    <row r="1268" spans="1:8" x14ac:dyDescent="0.3">
      <c r="A1268" t="s">
        <v>460</v>
      </c>
      <c r="B1268">
        <v>13</v>
      </c>
      <c r="C1268" t="s">
        <v>510</v>
      </c>
      <c r="D1268" s="1">
        <v>0.67708333333333337</v>
      </c>
      <c r="E1268" t="s">
        <v>23</v>
      </c>
      <c r="F1268" t="s">
        <v>28</v>
      </c>
      <c r="G1268" t="s">
        <v>46</v>
      </c>
      <c r="H1268" t="s">
        <v>181</v>
      </c>
    </row>
    <row r="1269" spans="1:8" x14ac:dyDescent="0.3">
      <c r="A1269" t="s">
        <v>460</v>
      </c>
      <c r="B1269">
        <v>13</v>
      </c>
      <c r="C1269" t="s">
        <v>510</v>
      </c>
      <c r="D1269" s="1">
        <v>0.77083333333333337</v>
      </c>
      <c r="E1269" t="s">
        <v>35</v>
      </c>
      <c r="F1269" t="s">
        <v>24</v>
      </c>
      <c r="G1269" s="2">
        <v>46025</v>
      </c>
      <c r="H1269" t="s">
        <v>475</v>
      </c>
    </row>
    <row r="1270" spans="1:8" x14ac:dyDescent="0.3">
      <c r="A1270" t="s">
        <v>460</v>
      </c>
      <c r="B1270">
        <v>13</v>
      </c>
      <c r="C1270" t="s">
        <v>510</v>
      </c>
      <c r="D1270" s="1">
        <v>0.86458333333333337</v>
      </c>
      <c r="E1270" t="s">
        <v>10</v>
      </c>
      <c r="F1270" t="s">
        <v>20</v>
      </c>
      <c r="G1270" s="2">
        <v>46023</v>
      </c>
      <c r="H1270" t="s">
        <v>194</v>
      </c>
    </row>
    <row r="1271" spans="1:8" x14ac:dyDescent="0.3">
      <c r="A1271" t="s">
        <v>460</v>
      </c>
      <c r="B1271">
        <v>13</v>
      </c>
      <c r="C1271" t="s">
        <v>511</v>
      </c>
      <c r="D1271" s="1">
        <v>0.86458333333333337</v>
      </c>
      <c r="E1271" t="s">
        <v>338</v>
      </c>
      <c r="F1271" t="s">
        <v>15</v>
      </c>
      <c r="G1271" s="2">
        <v>46025</v>
      </c>
      <c r="H1271" t="s">
        <v>188</v>
      </c>
    </row>
    <row r="1272" spans="1:8" x14ac:dyDescent="0.3">
      <c r="A1272" t="s">
        <v>460</v>
      </c>
      <c r="B1272">
        <v>14</v>
      </c>
      <c r="C1272" t="s">
        <v>512</v>
      </c>
      <c r="D1272" s="1">
        <v>0.54166666666666663</v>
      </c>
      <c r="E1272" t="s">
        <v>24</v>
      </c>
      <c r="F1272" t="s">
        <v>27</v>
      </c>
      <c r="G1272" s="2">
        <v>46024</v>
      </c>
      <c r="H1272" t="s">
        <v>206</v>
      </c>
    </row>
    <row r="1273" spans="1:8" x14ac:dyDescent="0.3">
      <c r="A1273" t="s">
        <v>460</v>
      </c>
      <c r="B1273">
        <v>14</v>
      </c>
      <c r="C1273" t="s">
        <v>512</v>
      </c>
      <c r="D1273" s="1">
        <v>0.67708333333333337</v>
      </c>
      <c r="E1273" t="s">
        <v>20</v>
      </c>
      <c r="F1273" t="s">
        <v>25</v>
      </c>
      <c r="G1273" s="2">
        <v>46023</v>
      </c>
      <c r="H1273" t="s">
        <v>195</v>
      </c>
    </row>
    <row r="1274" spans="1:8" x14ac:dyDescent="0.3">
      <c r="A1274" t="s">
        <v>460</v>
      </c>
      <c r="B1274">
        <v>14</v>
      </c>
      <c r="C1274" t="s">
        <v>512</v>
      </c>
      <c r="D1274" s="1">
        <v>0.77083333333333337</v>
      </c>
      <c r="E1274" t="s">
        <v>466</v>
      </c>
      <c r="F1274" t="s">
        <v>34</v>
      </c>
      <c r="G1274" t="s">
        <v>41</v>
      </c>
      <c r="H1274" t="s">
        <v>190</v>
      </c>
    </row>
    <row r="1275" spans="1:8" x14ac:dyDescent="0.3">
      <c r="A1275" t="s">
        <v>460</v>
      </c>
      <c r="B1275">
        <v>14</v>
      </c>
      <c r="C1275" t="s">
        <v>512</v>
      </c>
      <c r="D1275" s="1">
        <v>0.86458333333333337</v>
      </c>
      <c r="E1275" t="s">
        <v>28</v>
      </c>
      <c r="F1275" t="s">
        <v>36</v>
      </c>
      <c r="G1275" t="s">
        <v>41</v>
      </c>
      <c r="H1275" t="s">
        <v>197</v>
      </c>
    </row>
    <row r="1276" spans="1:8" x14ac:dyDescent="0.3">
      <c r="A1276" t="s">
        <v>460</v>
      </c>
      <c r="B1276">
        <v>14</v>
      </c>
      <c r="C1276" t="s">
        <v>513</v>
      </c>
      <c r="D1276" s="1">
        <v>0.5</v>
      </c>
      <c r="E1276" t="s">
        <v>26</v>
      </c>
      <c r="F1276" t="s">
        <v>35</v>
      </c>
      <c r="G1276" s="2">
        <v>46084</v>
      </c>
      <c r="H1276" t="s">
        <v>345</v>
      </c>
    </row>
    <row r="1277" spans="1:8" x14ac:dyDescent="0.3">
      <c r="A1277" t="s">
        <v>460</v>
      </c>
      <c r="B1277">
        <v>14</v>
      </c>
      <c r="C1277" t="s">
        <v>513</v>
      </c>
      <c r="D1277" s="1">
        <v>0.67708333333333337</v>
      </c>
      <c r="E1277" t="s">
        <v>15</v>
      </c>
      <c r="F1277" t="s">
        <v>187</v>
      </c>
      <c r="G1277" s="2">
        <v>46025</v>
      </c>
      <c r="H1277" t="s">
        <v>198</v>
      </c>
    </row>
    <row r="1278" spans="1:8" x14ac:dyDescent="0.3">
      <c r="A1278" t="s">
        <v>460</v>
      </c>
      <c r="B1278">
        <v>14</v>
      </c>
      <c r="C1278" t="s">
        <v>513</v>
      </c>
      <c r="D1278" s="1">
        <v>0.77083333333333337</v>
      </c>
      <c r="E1278" t="s">
        <v>464</v>
      </c>
      <c r="F1278" t="s">
        <v>338</v>
      </c>
      <c r="G1278" s="2">
        <v>46023</v>
      </c>
      <c r="H1278" t="s">
        <v>191</v>
      </c>
    </row>
    <row r="1279" spans="1:8" x14ac:dyDescent="0.3">
      <c r="A1279" t="s">
        <v>460</v>
      </c>
      <c r="B1279">
        <v>14</v>
      </c>
      <c r="C1279" t="s">
        <v>513</v>
      </c>
      <c r="D1279" s="1">
        <v>0.77083333333333337</v>
      </c>
      <c r="E1279" t="s">
        <v>340</v>
      </c>
      <c r="F1279" t="s">
        <v>23</v>
      </c>
      <c r="G1279" s="2">
        <v>46025</v>
      </c>
      <c r="H1279" t="s">
        <v>341</v>
      </c>
    </row>
    <row r="1280" spans="1:8" x14ac:dyDescent="0.3">
      <c r="A1280" t="s">
        <v>460</v>
      </c>
      <c r="B1280">
        <v>14</v>
      </c>
      <c r="C1280" t="s">
        <v>513</v>
      </c>
      <c r="D1280" s="1">
        <v>0.86458333333333337</v>
      </c>
      <c r="E1280" t="s">
        <v>16</v>
      </c>
      <c r="F1280" t="s">
        <v>17</v>
      </c>
      <c r="G1280" s="2">
        <v>46055</v>
      </c>
      <c r="H1280" t="s">
        <v>207</v>
      </c>
    </row>
    <row r="1281" spans="1:8" x14ac:dyDescent="0.3">
      <c r="A1281" t="s">
        <v>460</v>
      </c>
      <c r="B1281">
        <v>14</v>
      </c>
      <c r="C1281" t="s">
        <v>514</v>
      </c>
      <c r="D1281" s="1">
        <v>0.86458333333333337</v>
      </c>
      <c r="E1281" t="s">
        <v>182</v>
      </c>
      <c r="F1281" t="s">
        <v>10</v>
      </c>
      <c r="G1281" s="2">
        <v>46027</v>
      </c>
      <c r="H1281" t="s">
        <v>467</v>
      </c>
    </row>
    <row r="1282" spans="1:8" x14ac:dyDescent="0.3">
      <c r="A1282" t="s">
        <v>460</v>
      </c>
      <c r="B1282">
        <v>15</v>
      </c>
      <c r="C1282" t="s">
        <v>515</v>
      </c>
      <c r="D1282" s="1">
        <v>0.86458333333333337</v>
      </c>
      <c r="E1282" t="s">
        <v>17</v>
      </c>
      <c r="F1282" t="s">
        <v>24</v>
      </c>
      <c r="G1282" s="2">
        <v>46023</v>
      </c>
      <c r="H1282" t="s">
        <v>188</v>
      </c>
    </row>
    <row r="1283" spans="1:8" x14ac:dyDescent="0.3">
      <c r="A1283" t="s">
        <v>460</v>
      </c>
      <c r="B1283">
        <v>15</v>
      </c>
      <c r="C1283" t="s">
        <v>516</v>
      </c>
      <c r="D1283" s="1">
        <v>0.54166666666666663</v>
      </c>
      <c r="E1283" t="s">
        <v>23</v>
      </c>
      <c r="F1283" t="s">
        <v>20</v>
      </c>
      <c r="G1283" t="s">
        <v>46</v>
      </c>
      <c r="H1283" t="s">
        <v>205</v>
      </c>
    </row>
    <row r="1284" spans="1:8" x14ac:dyDescent="0.3">
      <c r="A1284" t="s">
        <v>460</v>
      </c>
      <c r="B1284">
        <v>15</v>
      </c>
      <c r="C1284" t="s">
        <v>516</v>
      </c>
      <c r="D1284" s="1">
        <v>0.67708333333333337</v>
      </c>
      <c r="E1284" t="s">
        <v>10</v>
      </c>
      <c r="F1284" t="s">
        <v>16</v>
      </c>
      <c r="G1284" s="2">
        <v>46056</v>
      </c>
      <c r="H1284" t="s">
        <v>198</v>
      </c>
    </row>
    <row r="1285" spans="1:8" x14ac:dyDescent="0.3">
      <c r="A1285" t="s">
        <v>460</v>
      </c>
      <c r="B1285">
        <v>15</v>
      </c>
      <c r="C1285" t="s">
        <v>516</v>
      </c>
      <c r="D1285" s="1">
        <v>0.77083333333333337</v>
      </c>
      <c r="E1285" t="s">
        <v>338</v>
      </c>
      <c r="F1285" t="s">
        <v>466</v>
      </c>
      <c r="G1285" s="2">
        <v>46023</v>
      </c>
      <c r="H1285" t="s">
        <v>194</v>
      </c>
    </row>
    <row r="1286" spans="1:8" x14ac:dyDescent="0.3">
      <c r="A1286" t="s">
        <v>460</v>
      </c>
      <c r="B1286">
        <v>15</v>
      </c>
      <c r="C1286" t="s">
        <v>516</v>
      </c>
      <c r="D1286" s="1">
        <v>0.86458333333333337</v>
      </c>
      <c r="E1286" t="s">
        <v>25</v>
      </c>
      <c r="F1286" t="s">
        <v>182</v>
      </c>
      <c r="G1286" s="2">
        <v>46056</v>
      </c>
      <c r="H1286" t="s">
        <v>197</v>
      </c>
    </row>
    <row r="1287" spans="1:8" x14ac:dyDescent="0.3">
      <c r="A1287" t="s">
        <v>460</v>
      </c>
      <c r="B1287">
        <v>15</v>
      </c>
      <c r="C1287" t="s">
        <v>517</v>
      </c>
      <c r="D1287" s="1">
        <v>0.5</v>
      </c>
      <c r="E1287" t="s">
        <v>187</v>
      </c>
      <c r="F1287" t="s">
        <v>464</v>
      </c>
      <c r="G1287" t="s">
        <v>41</v>
      </c>
      <c r="H1287" t="s">
        <v>475</v>
      </c>
    </row>
    <row r="1288" spans="1:8" x14ac:dyDescent="0.3">
      <c r="A1288" t="s">
        <v>460</v>
      </c>
      <c r="B1288">
        <v>15</v>
      </c>
      <c r="C1288" t="s">
        <v>517</v>
      </c>
      <c r="D1288" s="1">
        <v>0.67708333333333337</v>
      </c>
      <c r="E1288" t="s">
        <v>35</v>
      </c>
      <c r="F1288" t="s">
        <v>27</v>
      </c>
      <c r="G1288" t="s">
        <v>46</v>
      </c>
      <c r="H1288" t="s">
        <v>73</v>
      </c>
    </row>
    <row r="1289" spans="1:8" x14ac:dyDescent="0.3">
      <c r="A1289" t="s">
        <v>460</v>
      </c>
      <c r="B1289">
        <v>15</v>
      </c>
      <c r="C1289" t="s">
        <v>517</v>
      </c>
      <c r="D1289" s="1">
        <v>0.77083333333333337</v>
      </c>
      <c r="E1289" t="s">
        <v>36</v>
      </c>
      <c r="F1289" t="s">
        <v>340</v>
      </c>
      <c r="G1289" s="2">
        <v>46024</v>
      </c>
      <c r="H1289" t="s">
        <v>184</v>
      </c>
    </row>
    <row r="1290" spans="1:8" x14ac:dyDescent="0.3">
      <c r="A1290" t="s">
        <v>460</v>
      </c>
      <c r="B1290">
        <v>15</v>
      </c>
      <c r="C1290" t="s">
        <v>517</v>
      </c>
      <c r="D1290" s="1">
        <v>0.86458333333333337</v>
      </c>
      <c r="E1290" t="s">
        <v>26</v>
      </c>
      <c r="F1290" t="s">
        <v>15</v>
      </c>
      <c r="G1290" t="s">
        <v>18</v>
      </c>
      <c r="H1290" t="s">
        <v>181</v>
      </c>
    </row>
    <row r="1291" spans="1:8" x14ac:dyDescent="0.3">
      <c r="A1291" t="s">
        <v>460</v>
      </c>
      <c r="B1291">
        <v>15</v>
      </c>
      <c r="C1291" t="s">
        <v>518</v>
      </c>
      <c r="D1291" s="1">
        <v>0.86458333333333337</v>
      </c>
      <c r="E1291" t="s">
        <v>34</v>
      </c>
      <c r="F1291" t="s">
        <v>28</v>
      </c>
      <c r="G1291" t="s">
        <v>32</v>
      </c>
      <c r="H1291" t="s">
        <v>185</v>
      </c>
    </row>
    <row r="1292" spans="1:8" x14ac:dyDescent="0.3">
      <c r="A1292" t="s">
        <v>460</v>
      </c>
      <c r="B1292">
        <v>16</v>
      </c>
      <c r="C1292" t="s">
        <v>519</v>
      </c>
      <c r="D1292" s="1">
        <v>0.86458333333333337</v>
      </c>
      <c r="E1292" t="s">
        <v>464</v>
      </c>
      <c r="F1292" t="s">
        <v>26</v>
      </c>
      <c r="G1292" t="s">
        <v>18</v>
      </c>
      <c r="H1292" t="s">
        <v>207</v>
      </c>
    </row>
    <row r="1293" spans="1:8" x14ac:dyDescent="0.3">
      <c r="A1293" t="s">
        <v>460</v>
      </c>
      <c r="B1293">
        <v>16</v>
      </c>
      <c r="C1293" t="s">
        <v>520</v>
      </c>
      <c r="D1293" s="1">
        <v>0.54166666666666663</v>
      </c>
      <c r="E1293" t="s">
        <v>340</v>
      </c>
      <c r="F1293" t="s">
        <v>34</v>
      </c>
      <c r="G1293" s="2">
        <v>46082</v>
      </c>
      <c r="H1293" t="s">
        <v>183</v>
      </c>
    </row>
    <row r="1294" spans="1:8" x14ac:dyDescent="0.3">
      <c r="A1294" t="s">
        <v>460</v>
      </c>
      <c r="B1294">
        <v>16</v>
      </c>
      <c r="C1294" t="s">
        <v>520</v>
      </c>
      <c r="D1294" s="1">
        <v>0.67708333333333337</v>
      </c>
      <c r="E1294" t="s">
        <v>28</v>
      </c>
      <c r="F1294" t="s">
        <v>338</v>
      </c>
      <c r="G1294" t="s">
        <v>18</v>
      </c>
      <c r="H1294" t="s">
        <v>190</v>
      </c>
    </row>
    <row r="1295" spans="1:8" x14ac:dyDescent="0.3">
      <c r="A1295" t="s">
        <v>460</v>
      </c>
      <c r="B1295">
        <v>16</v>
      </c>
      <c r="C1295" t="s">
        <v>520</v>
      </c>
      <c r="D1295" s="1">
        <v>0.77083333333333337</v>
      </c>
      <c r="E1295" t="s">
        <v>24</v>
      </c>
      <c r="F1295" t="s">
        <v>10</v>
      </c>
      <c r="G1295" t="s">
        <v>54</v>
      </c>
      <c r="H1295" t="s">
        <v>471</v>
      </c>
    </row>
    <row r="1296" spans="1:8" x14ac:dyDescent="0.3">
      <c r="A1296" t="s">
        <v>460</v>
      </c>
      <c r="B1296">
        <v>16</v>
      </c>
      <c r="C1296" t="s">
        <v>520</v>
      </c>
      <c r="D1296" s="1">
        <v>0.86458333333333337</v>
      </c>
      <c r="E1296" t="s">
        <v>27</v>
      </c>
      <c r="F1296" t="s">
        <v>17</v>
      </c>
      <c r="G1296" s="2">
        <v>46026</v>
      </c>
      <c r="H1296" t="s">
        <v>195</v>
      </c>
    </row>
    <row r="1297" spans="1:8" x14ac:dyDescent="0.3">
      <c r="A1297" t="s">
        <v>460</v>
      </c>
      <c r="B1297">
        <v>16</v>
      </c>
      <c r="C1297" t="s">
        <v>521</v>
      </c>
      <c r="D1297" s="1">
        <v>0.67708333333333337</v>
      </c>
      <c r="E1297" t="s">
        <v>466</v>
      </c>
      <c r="F1297" t="s">
        <v>187</v>
      </c>
      <c r="G1297" s="2">
        <v>46023</v>
      </c>
      <c r="H1297" t="s">
        <v>206</v>
      </c>
    </row>
    <row r="1298" spans="1:8" x14ac:dyDescent="0.3">
      <c r="A1298" t="s">
        <v>460</v>
      </c>
      <c r="B1298">
        <v>16</v>
      </c>
      <c r="C1298" t="s">
        <v>521</v>
      </c>
      <c r="D1298" s="1">
        <v>0.77083333333333337</v>
      </c>
      <c r="E1298" t="s">
        <v>182</v>
      </c>
      <c r="F1298" t="s">
        <v>23</v>
      </c>
      <c r="G1298" t="s">
        <v>12</v>
      </c>
      <c r="H1298" t="s">
        <v>345</v>
      </c>
    </row>
    <row r="1299" spans="1:8" x14ac:dyDescent="0.3">
      <c r="A1299" t="s">
        <v>460</v>
      </c>
      <c r="B1299">
        <v>16</v>
      </c>
      <c r="C1299" t="s">
        <v>521</v>
      </c>
      <c r="D1299" s="1">
        <v>0.86458333333333337</v>
      </c>
      <c r="E1299" t="s">
        <v>20</v>
      </c>
      <c r="F1299" t="s">
        <v>36</v>
      </c>
      <c r="G1299" s="2">
        <v>46026</v>
      </c>
      <c r="H1299" t="s">
        <v>181</v>
      </c>
    </row>
    <row r="1300" spans="1:8" x14ac:dyDescent="0.3">
      <c r="A1300" t="s">
        <v>460</v>
      </c>
      <c r="B1300">
        <v>16</v>
      </c>
      <c r="C1300" t="s">
        <v>522</v>
      </c>
      <c r="D1300" s="1">
        <v>0.86458333333333337</v>
      </c>
      <c r="E1300" t="s">
        <v>15</v>
      </c>
      <c r="F1300" t="s">
        <v>35</v>
      </c>
      <c r="G1300" s="2">
        <v>46024</v>
      </c>
      <c r="H1300" t="s">
        <v>205</v>
      </c>
    </row>
    <row r="1301" spans="1:8" x14ac:dyDescent="0.3">
      <c r="A1301" t="s">
        <v>460</v>
      </c>
      <c r="B1301">
        <v>16</v>
      </c>
      <c r="C1301" t="s">
        <v>523</v>
      </c>
      <c r="D1301" s="1">
        <v>0.78125</v>
      </c>
      <c r="E1301" t="s">
        <v>16</v>
      </c>
      <c r="F1301" t="s">
        <v>25</v>
      </c>
      <c r="G1301" s="2">
        <v>46024</v>
      </c>
      <c r="H1301" t="s">
        <v>341</v>
      </c>
    </row>
    <row r="1302" spans="1:8" x14ac:dyDescent="0.3">
      <c r="A1302" t="s">
        <v>460</v>
      </c>
      <c r="B1302">
        <v>17</v>
      </c>
      <c r="C1302" t="s">
        <v>524</v>
      </c>
      <c r="D1302" s="1">
        <v>0.86458333333333337</v>
      </c>
      <c r="E1302" t="s">
        <v>36</v>
      </c>
      <c r="F1302" t="s">
        <v>182</v>
      </c>
      <c r="G1302" s="2">
        <v>46023</v>
      </c>
      <c r="H1302" t="s">
        <v>341</v>
      </c>
    </row>
    <row r="1303" spans="1:8" x14ac:dyDescent="0.3">
      <c r="A1303" t="s">
        <v>460</v>
      </c>
      <c r="B1303">
        <v>17</v>
      </c>
      <c r="C1303" t="s">
        <v>525</v>
      </c>
      <c r="D1303" s="1">
        <v>0.54166666666666663</v>
      </c>
      <c r="E1303" t="s">
        <v>25</v>
      </c>
      <c r="F1303" t="s">
        <v>24</v>
      </c>
      <c r="G1303" t="s">
        <v>40</v>
      </c>
      <c r="H1303" t="s">
        <v>183</v>
      </c>
    </row>
    <row r="1304" spans="1:8" x14ac:dyDescent="0.3">
      <c r="A1304" t="s">
        <v>460</v>
      </c>
      <c r="B1304">
        <v>17</v>
      </c>
      <c r="C1304" t="s">
        <v>525</v>
      </c>
      <c r="D1304" s="1">
        <v>0.67708333333333337</v>
      </c>
      <c r="E1304" t="s">
        <v>187</v>
      </c>
      <c r="F1304" t="s">
        <v>28</v>
      </c>
      <c r="G1304" t="s">
        <v>54</v>
      </c>
      <c r="H1304" t="s">
        <v>194</v>
      </c>
    </row>
    <row r="1305" spans="1:8" x14ac:dyDescent="0.3">
      <c r="A1305" t="s">
        <v>460</v>
      </c>
      <c r="B1305">
        <v>17</v>
      </c>
      <c r="C1305" t="s">
        <v>525</v>
      </c>
      <c r="D1305" s="1">
        <v>0.77083333333333337</v>
      </c>
      <c r="E1305" t="s">
        <v>338</v>
      </c>
      <c r="F1305" t="s">
        <v>340</v>
      </c>
      <c r="G1305" t="s">
        <v>18</v>
      </c>
      <c r="H1305" t="s">
        <v>467</v>
      </c>
    </row>
    <row r="1306" spans="1:8" x14ac:dyDescent="0.3">
      <c r="A1306" t="s">
        <v>460</v>
      </c>
      <c r="B1306">
        <v>17</v>
      </c>
      <c r="C1306" t="s">
        <v>525</v>
      </c>
      <c r="D1306" s="1">
        <v>0.86458333333333337</v>
      </c>
      <c r="E1306" t="s">
        <v>10</v>
      </c>
      <c r="F1306" t="s">
        <v>27</v>
      </c>
      <c r="G1306" t="s">
        <v>53</v>
      </c>
      <c r="H1306" t="s">
        <v>205</v>
      </c>
    </row>
    <row r="1307" spans="1:8" x14ac:dyDescent="0.3">
      <c r="A1307" t="s">
        <v>460</v>
      </c>
      <c r="B1307">
        <v>17</v>
      </c>
      <c r="C1307" t="s">
        <v>526</v>
      </c>
      <c r="D1307" s="1">
        <v>0.5</v>
      </c>
      <c r="E1307" t="s">
        <v>15</v>
      </c>
      <c r="F1307" t="s">
        <v>464</v>
      </c>
      <c r="G1307" t="s">
        <v>41</v>
      </c>
      <c r="H1307" t="s">
        <v>184</v>
      </c>
    </row>
    <row r="1308" spans="1:8" x14ac:dyDescent="0.3">
      <c r="A1308" t="s">
        <v>460</v>
      </c>
      <c r="B1308">
        <v>17</v>
      </c>
      <c r="C1308" t="s">
        <v>526</v>
      </c>
      <c r="D1308" s="1">
        <v>0.67708333333333337</v>
      </c>
      <c r="E1308" t="s">
        <v>26</v>
      </c>
      <c r="F1308" t="s">
        <v>466</v>
      </c>
      <c r="G1308" t="s">
        <v>12</v>
      </c>
      <c r="H1308" t="s">
        <v>198</v>
      </c>
    </row>
    <row r="1309" spans="1:8" x14ac:dyDescent="0.3">
      <c r="A1309" t="s">
        <v>460</v>
      </c>
      <c r="B1309">
        <v>17</v>
      </c>
      <c r="C1309" t="s">
        <v>526</v>
      </c>
      <c r="D1309" s="1">
        <v>0.77083333333333337</v>
      </c>
      <c r="E1309" t="s">
        <v>35</v>
      </c>
      <c r="F1309" t="s">
        <v>17</v>
      </c>
      <c r="G1309" s="2">
        <v>46025</v>
      </c>
      <c r="H1309" t="s">
        <v>206</v>
      </c>
    </row>
    <row r="1310" spans="1:8" x14ac:dyDescent="0.3">
      <c r="A1310" t="s">
        <v>460</v>
      </c>
      <c r="B1310">
        <v>17</v>
      </c>
      <c r="C1310" t="s">
        <v>526</v>
      </c>
      <c r="D1310" s="1">
        <v>0.86458333333333337</v>
      </c>
      <c r="E1310" t="s">
        <v>34</v>
      </c>
      <c r="F1310" t="s">
        <v>20</v>
      </c>
      <c r="G1310" s="2">
        <v>46023</v>
      </c>
      <c r="H1310" t="s">
        <v>207</v>
      </c>
    </row>
    <row r="1311" spans="1:8" x14ac:dyDescent="0.3">
      <c r="A1311" t="s">
        <v>460</v>
      </c>
      <c r="B1311">
        <v>17</v>
      </c>
      <c r="C1311" t="s">
        <v>527</v>
      </c>
      <c r="D1311" s="1">
        <v>0.86458333333333337</v>
      </c>
      <c r="E1311" t="s">
        <v>23</v>
      </c>
      <c r="F1311" t="s">
        <v>16</v>
      </c>
      <c r="G1311" s="2">
        <v>46084</v>
      </c>
      <c r="H1311" t="s">
        <v>188</v>
      </c>
    </row>
    <row r="1312" spans="1:8" x14ac:dyDescent="0.3">
      <c r="A1312" t="s">
        <v>460</v>
      </c>
      <c r="B1312">
        <v>18</v>
      </c>
      <c r="C1312" t="s">
        <v>528</v>
      </c>
      <c r="D1312" s="1">
        <v>0.54166666666666663</v>
      </c>
      <c r="E1312" t="s">
        <v>466</v>
      </c>
      <c r="F1312" t="s">
        <v>15</v>
      </c>
      <c r="G1312" t="s">
        <v>41</v>
      </c>
      <c r="H1312" t="s">
        <v>197</v>
      </c>
    </row>
    <row r="1313" spans="1:8" x14ac:dyDescent="0.3">
      <c r="A1313" t="s">
        <v>460</v>
      </c>
      <c r="B1313">
        <v>18</v>
      </c>
      <c r="C1313" t="s">
        <v>528</v>
      </c>
      <c r="D1313" s="1">
        <v>0.67708333333333337</v>
      </c>
      <c r="E1313" t="s">
        <v>20</v>
      </c>
      <c r="F1313" t="s">
        <v>338</v>
      </c>
      <c r="G1313" t="s">
        <v>40</v>
      </c>
      <c r="H1313" t="s">
        <v>73</v>
      </c>
    </row>
    <row r="1314" spans="1:8" x14ac:dyDescent="0.3">
      <c r="A1314" t="s">
        <v>460</v>
      </c>
      <c r="B1314">
        <v>18</v>
      </c>
      <c r="C1314" t="s">
        <v>528</v>
      </c>
      <c r="D1314" s="1">
        <v>0.77083333333333337</v>
      </c>
      <c r="E1314" t="s">
        <v>28</v>
      </c>
      <c r="F1314" t="s">
        <v>26</v>
      </c>
      <c r="G1314" t="s">
        <v>18</v>
      </c>
      <c r="H1314" t="s">
        <v>195</v>
      </c>
    </row>
    <row r="1315" spans="1:8" x14ac:dyDescent="0.3">
      <c r="A1315" t="s">
        <v>460</v>
      </c>
      <c r="B1315">
        <v>18</v>
      </c>
      <c r="C1315" t="s">
        <v>528</v>
      </c>
      <c r="D1315" s="1">
        <v>0.86458333333333337</v>
      </c>
      <c r="E1315" t="s">
        <v>182</v>
      </c>
      <c r="F1315" t="s">
        <v>34</v>
      </c>
      <c r="G1315" t="s">
        <v>41</v>
      </c>
      <c r="H1315" t="s">
        <v>471</v>
      </c>
    </row>
    <row r="1316" spans="1:8" x14ac:dyDescent="0.3">
      <c r="A1316" t="s">
        <v>460</v>
      </c>
      <c r="B1316">
        <v>18</v>
      </c>
      <c r="C1316" t="s">
        <v>529</v>
      </c>
      <c r="D1316" s="1">
        <v>0.5</v>
      </c>
      <c r="E1316" t="s">
        <v>16</v>
      </c>
      <c r="F1316" t="s">
        <v>36</v>
      </c>
      <c r="G1316" s="2">
        <v>46024</v>
      </c>
      <c r="H1316" t="s">
        <v>345</v>
      </c>
    </row>
    <row r="1317" spans="1:8" x14ac:dyDescent="0.3">
      <c r="A1317" t="s">
        <v>460</v>
      </c>
      <c r="B1317">
        <v>18</v>
      </c>
      <c r="C1317" t="s">
        <v>529</v>
      </c>
      <c r="D1317" s="1">
        <v>0.67708333333333337</v>
      </c>
      <c r="E1317" t="s">
        <v>35</v>
      </c>
      <c r="F1317" t="s">
        <v>464</v>
      </c>
      <c r="G1317" t="s">
        <v>18</v>
      </c>
      <c r="H1317" t="s">
        <v>190</v>
      </c>
    </row>
    <row r="1318" spans="1:8" x14ac:dyDescent="0.3">
      <c r="A1318" t="s">
        <v>460</v>
      </c>
      <c r="B1318">
        <v>18</v>
      </c>
      <c r="C1318" t="s">
        <v>529</v>
      </c>
      <c r="D1318" s="1">
        <v>0.77083333333333337</v>
      </c>
      <c r="E1318" t="s">
        <v>24</v>
      </c>
      <c r="F1318" t="s">
        <v>23</v>
      </c>
      <c r="G1318" s="2">
        <v>46023</v>
      </c>
      <c r="H1318" t="s">
        <v>475</v>
      </c>
    </row>
    <row r="1319" spans="1:8" x14ac:dyDescent="0.3">
      <c r="A1319" t="s">
        <v>460</v>
      </c>
      <c r="B1319">
        <v>18</v>
      </c>
      <c r="C1319" t="s">
        <v>529</v>
      </c>
      <c r="D1319" s="1">
        <v>0.77083333333333337</v>
      </c>
      <c r="E1319" t="s">
        <v>340</v>
      </c>
      <c r="F1319" t="s">
        <v>187</v>
      </c>
      <c r="G1319" s="2">
        <v>46083</v>
      </c>
      <c r="H1319" t="s">
        <v>191</v>
      </c>
    </row>
    <row r="1320" spans="1:8" x14ac:dyDescent="0.3">
      <c r="A1320" t="s">
        <v>460</v>
      </c>
      <c r="B1320">
        <v>18</v>
      </c>
      <c r="C1320" t="s">
        <v>529</v>
      </c>
      <c r="D1320" s="1">
        <v>0.86458333333333337</v>
      </c>
      <c r="E1320" t="s">
        <v>27</v>
      </c>
      <c r="F1320" t="s">
        <v>25</v>
      </c>
      <c r="G1320" s="2">
        <v>46024</v>
      </c>
      <c r="H1320" t="s">
        <v>185</v>
      </c>
    </row>
    <row r="1321" spans="1:8" x14ac:dyDescent="0.3">
      <c r="A1321" t="s">
        <v>460</v>
      </c>
      <c r="B1321">
        <v>18</v>
      </c>
      <c r="C1321" t="s">
        <v>530</v>
      </c>
      <c r="D1321" s="1">
        <v>0.86458333333333337</v>
      </c>
      <c r="E1321" t="s">
        <v>17</v>
      </c>
      <c r="F1321" t="s">
        <v>10</v>
      </c>
      <c r="G1321" t="s">
        <v>54</v>
      </c>
      <c r="H1321" t="s">
        <v>181</v>
      </c>
    </row>
    <row r="1322" spans="1:8" x14ac:dyDescent="0.3">
      <c r="A1322" t="s">
        <v>460</v>
      </c>
      <c r="B1322">
        <v>19</v>
      </c>
      <c r="C1322" t="s">
        <v>531</v>
      </c>
      <c r="D1322" s="1">
        <v>0.86458333333333337</v>
      </c>
      <c r="E1322" t="s">
        <v>338</v>
      </c>
      <c r="F1322" t="s">
        <v>182</v>
      </c>
      <c r="G1322" s="2">
        <v>46023</v>
      </c>
      <c r="H1322" t="s">
        <v>191</v>
      </c>
    </row>
    <row r="1323" spans="1:8" x14ac:dyDescent="0.3">
      <c r="A1323" t="s">
        <v>460</v>
      </c>
      <c r="B1323">
        <v>19</v>
      </c>
      <c r="C1323" t="s">
        <v>532</v>
      </c>
      <c r="D1323" s="1">
        <v>0.54166666666666663</v>
      </c>
      <c r="E1323" t="s">
        <v>36</v>
      </c>
      <c r="F1323" t="s">
        <v>24</v>
      </c>
      <c r="G1323" s="2">
        <v>46025</v>
      </c>
      <c r="H1323" t="s">
        <v>195</v>
      </c>
    </row>
    <row r="1324" spans="1:8" x14ac:dyDescent="0.3">
      <c r="A1324" t="s">
        <v>460</v>
      </c>
      <c r="B1324">
        <v>19</v>
      </c>
      <c r="C1324" t="s">
        <v>532</v>
      </c>
      <c r="D1324" s="1">
        <v>0.67708333333333337</v>
      </c>
      <c r="E1324" t="s">
        <v>25</v>
      </c>
      <c r="F1324" t="s">
        <v>17</v>
      </c>
      <c r="G1324" s="2">
        <v>46024</v>
      </c>
      <c r="H1324" t="s">
        <v>194</v>
      </c>
    </row>
    <row r="1325" spans="1:8" x14ac:dyDescent="0.3">
      <c r="A1325" t="s">
        <v>460</v>
      </c>
      <c r="B1325">
        <v>19</v>
      </c>
      <c r="C1325" t="s">
        <v>532</v>
      </c>
      <c r="D1325" s="1">
        <v>0.77083333333333337</v>
      </c>
      <c r="E1325" t="s">
        <v>464</v>
      </c>
      <c r="F1325" t="s">
        <v>466</v>
      </c>
      <c r="G1325" s="2">
        <v>46055</v>
      </c>
      <c r="H1325" t="s">
        <v>467</v>
      </c>
    </row>
    <row r="1326" spans="1:8" x14ac:dyDescent="0.3">
      <c r="A1326" t="s">
        <v>460</v>
      </c>
      <c r="B1326">
        <v>19</v>
      </c>
      <c r="C1326" t="s">
        <v>532</v>
      </c>
      <c r="D1326" s="1">
        <v>0.86458333333333337</v>
      </c>
      <c r="E1326" t="s">
        <v>34</v>
      </c>
      <c r="F1326" t="s">
        <v>16</v>
      </c>
      <c r="G1326" t="s">
        <v>54</v>
      </c>
      <c r="H1326" t="s">
        <v>206</v>
      </c>
    </row>
    <row r="1327" spans="1:8" x14ac:dyDescent="0.3">
      <c r="A1327" t="s">
        <v>460</v>
      </c>
      <c r="B1327">
        <v>19</v>
      </c>
      <c r="C1327" t="s">
        <v>533</v>
      </c>
      <c r="D1327" s="1">
        <v>0.5</v>
      </c>
      <c r="E1327" t="s">
        <v>23</v>
      </c>
      <c r="F1327" t="s">
        <v>27</v>
      </c>
      <c r="G1327" s="2">
        <v>46115</v>
      </c>
      <c r="H1327" t="s">
        <v>198</v>
      </c>
    </row>
    <row r="1328" spans="1:8" x14ac:dyDescent="0.3">
      <c r="A1328" t="s">
        <v>460</v>
      </c>
      <c r="B1328">
        <v>19</v>
      </c>
      <c r="C1328" t="s">
        <v>533</v>
      </c>
      <c r="D1328" s="1">
        <v>0.67708333333333337</v>
      </c>
      <c r="E1328" t="s">
        <v>15</v>
      </c>
      <c r="F1328" t="s">
        <v>28</v>
      </c>
      <c r="G1328" s="2">
        <v>46055</v>
      </c>
      <c r="H1328" t="s">
        <v>207</v>
      </c>
    </row>
    <row r="1329" spans="1:8" x14ac:dyDescent="0.3">
      <c r="A1329" t="s">
        <v>460</v>
      </c>
      <c r="B1329">
        <v>19</v>
      </c>
      <c r="C1329" t="s">
        <v>533</v>
      </c>
      <c r="D1329" s="1">
        <v>0.77083333333333337</v>
      </c>
      <c r="E1329" t="s">
        <v>26</v>
      </c>
      <c r="F1329" t="s">
        <v>340</v>
      </c>
      <c r="G1329" t="s">
        <v>41</v>
      </c>
      <c r="H1329" t="s">
        <v>73</v>
      </c>
    </row>
    <row r="1330" spans="1:8" x14ac:dyDescent="0.3">
      <c r="A1330" t="s">
        <v>460</v>
      </c>
      <c r="B1330">
        <v>19</v>
      </c>
      <c r="C1330" t="s">
        <v>533</v>
      </c>
      <c r="D1330" s="1">
        <v>0.77083333333333337</v>
      </c>
      <c r="E1330" t="s">
        <v>10</v>
      </c>
      <c r="F1330" t="s">
        <v>35</v>
      </c>
      <c r="G1330" t="s">
        <v>18</v>
      </c>
      <c r="H1330" t="s">
        <v>184</v>
      </c>
    </row>
    <row r="1331" spans="1:8" x14ac:dyDescent="0.3">
      <c r="A1331" t="s">
        <v>460</v>
      </c>
      <c r="B1331">
        <v>19</v>
      </c>
      <c r="C1331" t="s">
        <v>533</v>
      </c>
      <c r="D1331" s="1">
        <v>0.86458333333333337</v>
      </c>
      <c r="E1331" t="s">
        <v>187</v>
      </c>
      <c r="F1331" t="s">
        <v>20</v>
      </c>
      <c r="G1331" t="s">
        <v>53</v>
      </c>
      <c r="H1331" t="s">
        <v>345</v>
      </c>
    </row>
    <row r="1332" spans="1:8" x14ac:dyDescent="0.3">
      <c r="A1332" t="s">
        <v>460</v>
      </c>
      <c r="B1332">
        <v>20</v>
      </c>
      <c r="C1332" t="s">
        <v>534</v>
      </c>
      <c r="D1332" s="1">
        <v>0.86458333333333337</v>
      </c>
      <c r="E1332" t="s">
        <v>23</v>
      </c>
      <c r="F1332" t="s">
        <v>17</v>
      </c>
      <c r="G1332" s="2">
        <v>46023</v>
      </c>
      <c r="H1332" t="s">
        <v>341</v>
      </c>
    </row>
    <row r="1333" spans="1:8" x14ac:dyDescent="0.3">
      <c r="A1333" t="s">
        <v>460</v>
      </c>
      <c r="B1333">
        <v>20</v>
      </c>
      <c r="C1333" t="s">
        <v>535</v>
      </c>
      <c r="D1333" s="1">
        <v>0.54166666666666663</v>
      </c>
      <c r="E1333" t="s">
        <v>34</v>
      </c>
      <c r="F1333" t="s">
        <v>24</v>
      </c>
      <c r="G1333" t="s">
        <v>12</v>
      </c>
      <c r="H1333" t="s">
        <v>188</v>
      </c>
    </row>
    <row r="1334" spans="1:8" x14ac:dyDescent="0.3">
      <c r="A1334" t="s">
        <v>460</v>
      </c>
      <c r="B1334">
        <v>20</v>
      </c>
      <c r="C1334" t="s">
        <v>535</v>
      </c>
      <c r="D1334" s="1">
        <v>0.67708333333333337</v>
      </c>
      <c r="E1334" t="s">
        <v>464</v>
      </c>
      <c r="F1334" t="s">
        <v>28</v>
      </c>
      <c r="G1334" t="s">
        <v>41</v>
      </c>
      <c r="H1334" t="s">
        <v>471</v>
      </c>
    </row>
    <row r="1335" spans="1:8" x14ac:dyDescent="0.3">
      <c r="A1335" t="s">
        <v>460</v>
      </c>
      <c r="B1335">
        <v>20</v>
      </c>
      <c r="C1335" t="s">
        <v>535</v>
      </c>
      <c r="D1335" s="1">
        <v>0.77083333333333337</v>
      </c>
      <c r="E1335" t="s">
        <v>187</v>
      </c>
      <c r="F1335" t="s">
        <v>182</v>
      </c>
      <c r="G1335" s="2">
        <v>46025</v>
      </c>
      <c r="H1335" t="s">
        <v>205</v>
      </c>
    </row>
    <row r="1336" spans="1:8" x14ac:dyDescent="0.3">
      <c r="A1336" t="s">
        <v>460</v>
      </c>
      <c r="B1336">
        <v>20</v>
      </c>
      <c r="C1336" t="s">
        <v>535</v>
      </c>
      <c r="D1336" s="1">
        <v>0.86458333333333337</v>
      </c>
      <c r="E1336" t="s">
        <v>466</v>
      </c>
      <c r="F1336" t="s">
        <v>35</v>
      </c>
      <c r="G1336" t="s">
        <v>54</v>
      </c>
      <c r="H1336" t="s">
        <v>475</v>
      </c>
    </row>
    <row r="1337" spans="1:8" x14ac:dyDescent="0.3">
      <c r="A1337" t="s">
        <v>460</v>
      </c>
      <c r="B1337">
        <v>20</v>
      </c>
      <c r="C1337" t="s">
        <v>536</v>
      </c>
      <c r="D1337" s="1">
        <v>0.5</v>
      </c>
      <c r="E1337" t="s">
        <v>26</v>
      </c>
      <c r="F1337" t="s">
        <v>20</v>
      </c>
      <c r="G1337" s="2">
        <v>46023</v>
      </c>
      <c r="H1337" t="s">
        <v>185</v>
      </c>
    </row>
    <row r="1338" spans="1:8" x14ac:dyDescent="0.3">
      <c r="A1338" t="s">
        <v>460</v>
      </c>
      <c r="B1338">
        <v>20</v>
      </c>
      <c r="C1338" t="s">
        <v>536</v>
      </c>
      <c r="D1338" s="1">
        <v>0.67708333333333337</v>
      </c>
      <c r="E1338" t="s">
        <v>36</v>
      </c>
      <c r="F1338" t="s">
        <v>27</v>
      </c>
      <c r="G1338" s="2">
        <v>46025</v>
      </c>
      <c r="H1338" t="s">
        <v>183</v>
      </c>
    </row>
    <row r="1339" spans="1:8" x14ac:dyDescent="0.3">
      <c r="A1339" t="s">
        <v>460</v>
      </c>
      <c r="B1339">
        <v>20</v>
      </c>
      <c r="C1339" t="s">
        <v>536</v>
      </c>
      <c r="D1339" s="1">
        <v>0.77083333333333337</v>
      </c>
      <c r="E1339" t="s">
        <v>15</v>
      </c>
      <c r="F1339" t="s">
        <v>340</v>
      </c>
      <c r="G1339" s="2">
        <v>46024</v>
      </c>
      <c r="H1339" t="s">
        <v>195</v>
      </c>
    </row>
    <row r="1340" spans="1:8" x14ac:dyDescent="0.3">
      <c r="A1340" t="s">
        <v>460</v>
      </c>
      <c r="B1340">
        <v>20</v>
      </c>
      <c r="C1340" t="s">
        <v>536</v>
      </c>
      <c r="D1340" s="1">
        <v>0.86458333333333337</v>
      </c>
      <c r="E1340" t="s">
        <v>25</v>
      </c>
      <c r="F1340" t="s">
        <v>10</v>
      </c>
      <c r="G1340" t="s">
        <v>32</v>
      </c>
      <c r="H1340" t="s">
        <v>190</v>
      </c>
    </row>
    <row r="1341" spans="1:8" x14ac:dyDescent="0.3">
      <c r="A1341" t="s">
        <v>460</v>
      </c>
      <c r="B1341">
        <v>20</v>
      </c>
      <c r="C1341" t="s">
        <v>537</v>
      </c>
      <c r="D1341" s="1">
        <v>0.86458333333333337</v>
      </c>
      <c r="E1341" t="s">
        <v>338</v>
      </c>
      <c r="F1341" t="s">
        <v>16</v>
      </c>
      <c r="G1341" s="2">
        <v>46025</v>
      </c>
      <c r="H1341" t="s">
        <v>197</v>
      </c>
    </row>
    <row r="1342" spans="1:8" x14ac:dyDescent="0.3">
      <c r="A1342" t="s">
        <v>460</v>
      </c>
      <c r="B1342">
        <v>21</v>
      </c>
      <c r="C1342" t="s">
        <v>538</v>
      </c>
      <c r="D1342" s="1">
        <v>0.54166666666666663</v>
      </c>
      <c r="E1342" t="s">
        <v>17</v>
      </c>
      <c r="F1342" t="s">
        <v>36</v>
      </c>
      <c r="G1342" t="s">
        <v>42</v>
      </c>
      <c r="H1342" t="s">
        <v>471</v>
      </c>
    </row>
    <row r="1343" spans="1:8" x14ac:dyDescent="0.3">
      <c r="A1343" t="s">
        <v>460</v>
      </c>
      <c r="B1343">
        <v>21</v>
      </c>
      <c r="C1343" t="s">
        <v>538</v>
      </c>
      <c r="D1343" s="1">
        <v>0.67708333333333337</v>
      </c>
      <c r="E1343" t="s">
        <v>20</v>
      </c>
      <c r="F1343" t="s">
        <v>15</v>
      </c>
      <c r="G1343" t="s">
        <v>32</v>
      </c>
      <c r="H1343" t="s">
        <v>206</v>
      </c>
    </row>
    <row r="1344" spans="1:8" x14ac:dyDescent="0.3">
      <c r="A1344" t="s">
        <v>460</v>
      </c>
      <c r="B1344">
        <v>21</v>
      </c>
      <c r="C1344" t="s">
        <v>538</v>
      </c>
      <c r="D1344" s="1">
        <v>0.77083333333333337</v>
      </c>
      <c r="E1344" t="s">
        <v>28</v>
      </c>
      <c r="F1344" t="s">
        <v>466</v>
      </c>
      <c r="G1344" t="s">
        <v>12</v>
      </c>
      <c r="H1344" t="s">
        <v>345</v>
      </c>
    </row>
    <row r="1345" spans="1:8" x14ac:dyDescent="0.3">
      <c r="A1345" t="s">
        <v>460</v>
      </c>
      <c r="B1345">
        <v>21</v>
      </c>
      <c r="C1345" t="s">
        <v>538</v>
      </c>
      <c r="D1345" s="1">
        <v>0.86458333333333337</v>
      </c>
      <c r="E1345" t="s">
        <v>16</v>
      </c>
      <c r="F1345" t="s">
        <v>187</v>
      </c>
      <c r="G1345" t="s">
        <v>53</v>
      </c>
      <c r="H1345" t="s">
        <v>467</v>
      </c>
    </row>
    <row r="1346" spans="1:8" x14ac:dyDescent="0.3">
      <c r="A1346" t="s">
        <v>460</v>
      </c>
      <c r="B1346">
        <v>21</v>
      </c>
      <c r="C1346" t="s">
        <v>539</v>
      </c>
      <c r="D1346" s="1">
        <v>0.5</v>
      </c>
      <c r="E1346" t="s">
        <v>27</v>
      </c>
      <c r="F1346" t="s">
        <v>34</v>
      </c>
      <c r="G1346" t="s">
        <v>41</v>
      </c>
      <c r="H1346" t="s">
        <v>73</v>
      </c>
    </row>
    <row r="1347" spans="1:8" x14ac:dyDescent="0.3">
      <c r="A1347" t="s">
        <v>460</v>
      </c>
      <c r="B1347">
        <v>21</v>
      </c>
      <c r="C1347" t="s">
        <v>539</v>
      </c>
      <c r="D1347" s="1">
        <v>0.67708333333333337</v>
      </c>
      <c r="E1347" t="s">
        <v>340</v>
      </c>
      <c r="F1347" t="s">
        <v>464</v>
      </c>
      <c r="G1347" s="2">
        <v>46114</v>
      </c>
      <c r="H1347" t="s">
        <v>194</v>
      </c>
    </row>
    <row r="1348" spans="1:8" x14ac:dyDescent="0.3">
      <c r="A1348" t="s">
        <v>460</v>
      </c>
      <c r="B1348">
        <v>21</v>
      </c>
      <c r="C1348" t="s">
        <v>539</v>
      </c>
      <c r="D1348" s="1">
        <v>0.77083333333333337</v>
      </c>
      <c r="E1348" t="s">
        <v>10</v>
      </c>
      <c r="F1348" t="s">
        <v>23</v>
      </c>
      <c r="G1348" s="2">
        <v>46056</v>
      </c>
      <c r="H1348" t="s">
        <v>197</v>
      </c>
    </row>
    <row r="1349" spans="1:8" x14ac:dyDescent="0.3">
      <c r="A1349" t="s">
        <v>460</v>
      </c>
      <c r="B1349">
        <v>21</v>
      </c>
      <c r="C1349" t="s">
        <v>540</v>
      </c>
      <c r="D1349" s="1">
        <v>0.86458333333333337</v>
      </c>
      <c r="E1349" t="s">
        <v>24</v>
      </c>
      <c r="F1349" t="s">
        <v>338</v>
      </c>
      <c r="G1349" t="s">
        <v>18</v>
      </c>
      <c r="H1349" t="s">
        <v>184</v>
      </c>
    </row>
    <row r="1350" spans="1:8" x14ac:dyDescent="0.3">
      <c r="A1350" t="s">
        <v>460</v>
      </c>
      <c r="B1350">
        <v>21</v>
      </c>
      <c r="C1350" t="s">
        <v>541</v>
      </c>
      <c r="D1350" s="1">
        <v>0.78125</v>
      </c>
      <c r="E1350" t="s">
        <v>182</v>
      </c>
      <c r="F1350" t="s">
        <v>26</v>
      </c>
      <c r="G1350" s="2">
        <v>46023</v>
      </c>
      <c r="H1350" t="s">
        <v>188</v>
      </c>
    </row>
    <row r="1351" spans="1:8" x14ac:dyDescent="0.3">
      <c r="A1351" t="s">
        <v>460</v>
      </c>
      <c r="B1351">
        <v>21</v>
      </c>
      <c r="C1351" t="s">
        <v>542</v>
      </c>
      <c r="D1351" s="1">
        <v>0.875</v>
      </c>
      <c r="E1351" t="s">
        <v>35</v>
      </c>
      <c r="F1351" t="s">
        <v>25</v>
      </c>
      <c r="G1351" s="2">
        <v>46113</v>
      </c>
      <c r="H1351" t="s">
        <v>205</v>
      </c>
    </row>
    <row r="1352" spans="1:8" x14ac:dyDescent="0.3">
      <c r="A1352" t="s">
        <v>460</v>
      </c>
      <c r="B1352">
        <v>22</v>
      </c>
      <c r="C1352" t="s">
        <v>543</v>
      </c>
      <c r="D1352" s="1">
        <v>0.86458333333333337</v>
      </c>
      <c r="E1352" t="s">
        <v>36</v>
      </c>
      <c r="F1352" t="s">
        <v>10</v>
      </c>
      <c r="G1352" s="2">
        <v>46054</v>
      </c>
      <c r="H1352" t="s">
        <v>191</v>
      </c>
    </row>
    <row r="1353" spans="1:8" x14ac:dyDescent="0.3">
      <c r="A1353" t="s">
        <v>460</v>
      </c>
      <c r="B1353">
        <v>22</v>
      </c>
      <c r="C1353" t="s">
        <v>544</v>
      </c>
      <c r="D1353" s="1">
        <v>0.54166666666666663</v>
      </c>
      <c r="E1353" t="s">
        <v>26</v>
      </c>
      <c r="F1353" t="s">
        <v>16</v>
      </c>
      <c r="G1353" t="s">
        <v>41</v>
      </c>
      <c r="H1353" t="s">
        <v>475</v>
      </c>
    </row>
    <row r="1354" spans="1:8" x14ac:dyDescent="0.3">
      <c r="A1354" t="s">
        <v>460</v>
      </c>
      <c r="B1354">
        <v>22</v>
      </c>
      <c r="C1354" t="s">
        <v>544</v>
      </c>
      <c r="D1354" s="1">
        <v>0.67708333333333337</v>
      </c>
      <c r="E1354" t="s">
        <v>464</v>
      </c>
      <c r="F1354" t="s">
        <v>20</v>
      </c>
      <c r="G1354" t="s">
        <v>269</v>
      </c>
      <c r="H1354" t="s">
        <v>195</v>
      </c>
    </row>
    <row r="1355" spans="1:8" x14ac:dyDescent="0.3">
      <c r="A1355" t="s">
        <v>460</v>
      </c>
      <c r="B1355">
        <v>22</v>
      </c>
      <c r="C1355" t="s">
        <v>544</v>
      </c>
      <c r="D1355" s="1">
        <v>0.77083333333333337</v>
      </c>
      <c r="E1355" t="s">
        <v>15</v>
      </c>
      <c r="F1355" t="s">
        <v>182</v>
      </c>
      <c r="G1355" s="2">
        <v>46024</v>
      </c>
      <c r="H1355" t="s">
        <v>190</v>
      </c>
    </row>
    <row r="1356" spans="1:8" x14ac:dyDescent="0.3">
      <c r="A1356" t="s">
        <v>460</v>
      </c>
      <c r="B1356">
        <v>22</v>
      </c>
      <c r="C1356" t="s">
        <v>544</v>
      </c>
      <c r="D1356" s="1">
        <v>0.86458333333333337</v>
      </c>
      <c r="E1356" t="s">
        <v>23</v>
      </c>
      <c r="F1356" t="s">
        <v>25</v>
      </c>
      <c r="G1356" s="2">
        <v>46082</v>
      </c>
      <c r="H1356" t="s">
        <v>207</v>
      </c>
    </row>
    <row r="1357" spans="1:8" x14ac:dyDescent="0.3">
      <c r="A1357" t="s">
        <v>460</v>
      </c>
      <c r="B1357">
        <v>22</v>
      </c>
      <c r="C1357" t="s">
        <v>545</v>
      </c>
      <c r="D1357" s="1">
        <v>0.5</v>
      </c>
      <c r="E1357" t="s">
        <v>34</v>
      </c>
      <c r="F1357" t="s">
        <v>17</v>
      </c>
      <c r="G1357" s="2">
        <v>46023</v>
      </c>
      <c r="H1357" t="s">
        <v>183</v>
      </c>
    </row>
    <row r="1358" spans="1:8" x14ac:dyDescent="0.3">
      <c r="A1358" t="s">
        <v>460</v>
      </c>
      <c r="B1358">
        <v>22</v>
      </c>
      <c r="C1358" t="s">
        <v>545</v>
      </c>
      <c r="D1358" s="1">
        <v>0.67708333333333337</v>
      </c>
      <c r="E1358" t="s">
        <v>466</v>
      </c>
      <c r="F1358" t="s">
        <v>340</v>
      </c>
      <c r="G1358" t="s">
        <v>54</v>
      </c>
      <c r="H1358" t="s">
        <v>198</v>
      </c>
    </row>
    <row r="1359" spans="1:8" x14ac:dyDescent="0.3">
      <c r="A1359" t="s">
        <v>460</v>
      </c>
      <c r="B1359">
        <v>22</v>
      </c>
      <c r="C1359" t="s">
        <v>545</v>
      </c>
      <c r="D1359" s="1">
        <v>0.77083333333333337</v>
      </c>
      <c r="E1359" t="s">
        <v>338</v>
      </c>
      <c r="F1359" t="s">
        <v>27</v>
      </c>
      <c r="G1359" t="s">
        <v>42</v>
      </c>
      <c r="H1359" t="s">
        <v>341</v>
      </c>
    </row>
    <row r="1360" spans="1:8" x14ac:dyDescent="0.3">
      <c r="A1360" t="s">
        <v>460</v>
      </c>
      <c r="B1360">
        <v>22</v>
      </c>
      <c r="C1360" t="s">
        <v>545</v>
      </c>
      <c r="D1360" s="1">
        <v>0.86458333333333337</v>
      </c>
      <c r="E1360" t="s">
        <v>28</v>
      </c>
      <c r="F1360" t="s">
        <v>35</v>
      </c>
      <c r="G1360" s="2">
        <v>46056</v>
      </c>
      <c r="H1360" t="s">
        <v>185</v>
      </c>
    </row>
    <row r="1361" spans="1:8" x14ac:dyDescent="0.3">
      <c r="A1361" t="s">
        <v>460</v>
      </c>
      <c r="B1361">
        <v>22</v>
      </c>
      <c r="C1361" t="s">
        <v>546</v>
      </c>
      <c r="D1361" s="1">
        <v>0.86458333333333337</v>
      </c>
      <c r="E1361" t="s">
        <v>187</v>
      </c>
      <c r="F1361" t="s">
        <v>24</v>
      </c>
      <c r="G1361" t="s">
        <v>88</v>
      </c>
      <c r="H1361" t="s">
        <v>181</v>
      </c>
    </row>
    <row r="1362" spans="1:8" x14ac:dyDescent="0.3">
      <c r="A1362" t="s">
        <v>460</v>
      </c>
      <c r="B1362">
        <v>23</v>
      </c>
      <c r="C1362" t="s">
        <v>547</v>
      </c>
      <c r="D1362" s="1">
        <v>0.86458333333333337</v>
      </c>
      <c r="E1362" t="s">
        <v>24</v>
      </c>
      <c r="F1362" t="s">
        <v>26</v>
      </c>
      <c r="G1362" s="2">
        <v>46026</v>
      </c>
      <c r="H1362" t="s">
        <v>471</v>
      </c>
    </row>
    <row r="1363" spans="1:8" x14ac:dyDescent="0.3">
      <c r="A1363" t="s">
        <v>460</v>
      </c>
      <c r="B1363">
        <v>23</v>
      </c>
      <c r="C1363" t="s">
        <v>548</v>
      </c>
      <c r="D1363" s="1">
        <v>0.54166666666666663</v>
      </c>
      <c r="E1363" t="s">
        <v>340</v>
      </c>
      <c r="F1363" t="s">
        <v>28</v>
      </c>
      <c r="G1363" s="2">
        <v>46113</v>
      </c>
      <c r="H1363" t="s">
        <v>206</v>
      </c>
    </row>
    <row r="1364" spans="1:8" x14ac:dyDescent="0.3">
      <c r="A1364" t="s">
        <v>460</v>
      </c>
      <c r="B1364">
        <v>23</v>
      </c>
      <c r="C1364" t="s">
        <v>548</v>
      </c>
      <c r="D1364" s="1">
        <v>0.67708333333333337</v>
      </c>
      <c r="E1364" t="s">
        <v>25</v>
      </c>
      <c r="F1364" t="s">
        <v>36</v>
      </c>
      <c r="G1364" t="s">
        <v>12</v>
      </c>
      <c r="H1364" t="s">
        <v>73</v>
      </c>
    </row>
    <row r="1365" spans="1:8" x14ac:dyDescent="0.3">
      <c r="A1365" t="s">
        <v>460</v>
      </c>
      <c r="B1365">
        <v>23</v>
      </c>
      <c r="C1365" t="s">
        <v>548</v>
      </c>
      <c r="D1365" s="1">
        <v>0.77083333333333337</v>
      </c>
      <c r="E1365" t="s">
        <v>182</v>
      </c>
      <c r="F1365" t="s">
        <v>464</v>
      </c>
      <c r="G1365" t="s">
        <v>42</v>
      </c>
      <c r="H1365" t="s">
        <v>197</v>
      </c>
    </row>
    <row r="1366" spans="1:8" x14ac:dyDescent="0.3">
      <c r="A1366" t="s">
        <v>460</v>
      </c>
      <c r="B1366">
        <v>23</v>
      </c>
      <c r="C1366" t="s">
        <v>548</v>
      </c>
      <c r="D1366" s="1">
        <v>0.86458333333333337</v>
      </c>
      <c r="E1366" t="s">
        <v>27</v>
      </c>
      <c r="F1366" t="s">
        <v>187</v>
      </c>
      <c r="G1366" t="s">
        <v>12</v>
      </c>
      <c r="H1366" t="s">
        <v>188</v>
      </c>
    </row>
    <row r="1367" spans="1:8" x14ac:dyDescent="0.3">
      <c r="A1367" t="s">
        <v>460</v>
      </c>
      <c r="B1367">
        <v>23</v>
      </c>
      <c r="C1367" t="s">
        <v>549</v>
      </c>
      <c r="D1367" s="1">
        <v>0.5</v>
      </c>
      <c r="E1367" t="s">
        <v>10</v>
      </c>
      <c r="F1367" t="s">
        <v>34</v>
      </c>
      <c r="G1367" t="s">
        <v>42</v>
      </c>
      <c r="H1367" t="s">
        <v>185</v>
      </c>
    </row>
    <row r="1368" spans="1:8" x14ac:dyDescent="0.3">
      <c r="A1368" t="s">
        <v>460</v>
      </c>
      <c r="B1368">
        <v>23</v>
      </c>
      <c r="C1368" t="s">
        <v>549</v>
      </c>
      <c r="D1368" s="1">
        <v>0.67708333333333337</v>
      </c>
      <c r="E1368" t="s">
        <v>16</v>
      </c>
      <c r="F1368" t="s">
        <v>15</v>
      </c>
      <c r="G1368" t="s">
        <v>12</v>
      </c>
      <c r="H1368" t="s">
        <v>191</v>
      </c>
    </row>
    <row r="1369" spans="1:8" x14ac:dyDescent="0.3">
      <c r="A1369" t="s">
        <v>460</v>
      </c>
      <c r="B1369">
        <v>23</v>
      </c>
      <c r="C1369" t="s">
        <v>549</v>
      </c>
      <c r="D1369" s="1">
        <v>0.77083333333333337</v>
      </c>
      <c r="E1369" t="s">
        <v>35</v>
      </c>
      <c r="F1369" t="s">
        <v>23</v>
      </c>
      <c r="G1369" t="s">
        <v>32</v>
      </c>
      <c r="H1369" t="s">
        <v>183</v>
      </c>
    </row>
    <row r="1370" spans="1:8" x14ac:dyDescent="0.3">
      <c r="A1370" t="s">
        <v>460</v>
      </c>
      <c r="B1370">
        <v>23</v>
      </c>
      <c r="C1370" t="s">
        <v>549</v>
      </c>
      <c r="D1370" s="1">
        <v>0.86458333333333337</v>
      </c>
      <c r="E1370" t="s">
        <v>20</v>
      </c>
      <c r="F1370" t="s">
        <v>466</v>
      </c>
      <c r="G1370" s="2">
        <v>46024</v>
      </c>
      <c r="H1370" t="s">
        <v>207</v>
      </c>
    </row>
    <row r="1371" spans="1:8" x14ac:dyDescent="0.3">
      <c r="A1371" t="s">
        <v>460</v>
      </c>
      <c r="B1371">
        <v>23</v>
      </c>
      <c r="C1371" t="s">
        <v>550</v>
      </c>
      <c r="D1371" s="1">
        <v>0.86458333333333337</v>
      </c>
      <c r="E1371" t="s">
        <v>17</v>
      </c>
      <c r="F1371" t="s">
        <v>338</v>
      </c>
      <c r="G1371" s="2">
        <v>46024</v>
      </c>
      <c r="H1371" t="s">
        <v>345</v>
      </c>
    </row>
    <row r="1372" spans="1:8" x14ac:dyDescent="0.3">
      <c r="A1372" t="s">
        <v>460</v>
      </c>
      <c r="B1372">
        <v>24</v>
      </c>
      <c r="C1372" t="s">
        <v>551</v>
      </c>
      <c r="D1372" s="1">
        <v>0.86458333333333337</v>
      </c>
      <c r="E1372" t="s">
        <v>338</v>
      </c>
      <c r="F1372" t="s">
        <v>10</v>
      </c>
      <c r="G1372" t="s">
        <v>42</v>
      </c>
      <c r="H1372" t="s">
        <v>205</v>
      </c>
    </row>
    <row r="1373" spans="1:8" x14ac:dyDescent="0.3">
      <c r="A1373" t="s">
        <v>460</v>
      </c>
      <c r="B1373">
        <v>24</v>
      </c>
      <c r="C1373" t="s">
        <v>552</v>
      </c>
      <c r="D1373" s="1">
        <v>0.54166666666666663</v>
      </c>
      <c r="E1373" t="s">
        <v>464</v>
      </c>
      <c r="F1373" t="s">
        <v>16</v>
      </c>
      <c r="G1373" s="2">
        <v>46024</v>
      </c>
      <c r="H1373" t="s">
        <v>190</v>
      </c>
    </row>
    <row r="1374" spans="1:8" x14ac:dyDescent="0.3">
      <c r="A1374" t="s">
        <v>460</v>
      </c>
      <c r="B1374">
        <v>24</v>
      </c>
      <c r="C1374" t="s">
        <v>552</v>
      </c>
      <c r="D1374" s="1">
        <v>0.67708333333333337</v>
      </c>
      <c r="E1374" t="s">
        <v>26</v>
      </c>
      <c r="F1374" t="s">
        <v>27</v>
      </c>
      <c r="G1374" s="2">
        <v>46054</v>
      </c>
      <c r="H1374" t="s">
        <v>184</v>
      </c>
    </row>
    <row r="1375" spans="1:8" x14ac:dyDescent="0.3">
      <c r="A1375" t="s">
        <v>460</v>
      </c>
      <c r="B1375">
        <v>24</v>
      </c>
      <c r="C1375" t="s">
        <v>552</v>
      </c>
      <c r="D1375" s="1">
        <v>0.77083333333333337</v>
      </c>
      <c r="E1375" t="s">
        <v>466</v>
      </c>
      <c r="F1375" t="s">
        <v>182</v>
      </c>
      <c r="G1375" t="s">
        <v>88</v>
      </c>
      <c r="H1375" t="s">
        <v>467</v>
      </c>
    </row>
    <row r="1376" spans="1:8" x14ac:dyDescent="0.3">
      <c r="A1376" t="s">
        <v>460</v>
      </c>
      <c r="B1376">
        <v>24</v>
      </c>
      <c r="C1376" t="s">
        <v>552</v>
      </c>
      <c r="D1376" s="1">
        <v>0.86458333333333337</v>
      </c>
      <c r="E1376" t="s">
        <v>187</v>
      </c>
      <c r="F1376" t="s">
        <v>17</v>
      </c>
      <c r="G1376" t="s">
        <v>32</v>
      </c>
      <c r="H1376" t="s">
        <v>198</v>
      </c>
    </row>
    <row r="1377" spans="1:8" x14ac:dyDescent="0.3">
      <c r="A1377" t="s">
        <v>460</v>
      </c>
      <c r="B1377">
        <v>24</v>
      </c>
      <c r="C1377" t="s">
        <v>553</v>
      </c>
      <c r="D1377" s="1">
        <v>0.5</v>
      </c>
      <c r="E1377" t="s">
        <v>36</v>
      </c>
      <c r="F1377" t="s">
        <v>23</v>
      </c>
      <c r="G1377" t="s">
        <v>32</v>
      </c>
      <c r="H1377" t="s">
        <v>195</v>
      </c>
    </row>
    <row r="1378" spans="1:8" x14ac:dyDescent="0.3">
      <c r="A1378" t="s">
        <v>460</v>
      </c>
      <c r="B1378">
        <v>24</v>
      </c>
      <c r="C1378" t="s">
        <v>553</v>
      </c>
      <c r="D1378" s="1">
        <v>0.67708333333333337</v>
      </c>
      <c r="E1378" t="s">
        <v>28</v>
      </c>
      <c r="F1378" t="s">
        <v>20</v>
      </c>
      <c r="G1378" s="2">
        <v>46054</v>
      </c>
      <c r="H1378" t="s">
        <v>181</v>
      </c>
    </row>
    <row r="1379" spans="1:8" x14ac:dyDescent="0.3">
      <c r="A1379" t="s">
        <v>460</v>
      </c>
      <c r="B1379">
        <v>24</v>
      </c>
      <c r="C1379" t="s">
        <v>553</v>
      </c>
      <c r="D1379" s="1">
        <v>0.77083333333333337</v>
      </c>
      <c r="E1379" t="s">
        <v>15</v>
      </c>
      <c r="F1379" t="s">
        <v>24</v>
      </c>
      <c r="G1379" s="2">
        <v>46025</v>
      </c>
      <c r="H1379" t="s">
        <v>475</v>
      </c>
    </row>
    <row r="1380" spans="1:8" x14ac:dyDescent="0.3">
      <c r="A1380" t="s">
        <v>460</v>
      </c>
      <c r="B1380">
        <v>24</v>
      </c>
      <c r="C1380" t="s">
        <v>553</v>
      </c>
      <c r="D1380" s="1">
        <v>0.77083333333333337</v>
      </c>
      <c r="E1380" t="s">
        <v>340</v>
      </c>
      <c r="F1380" t="s">
        <v>35</v>
      </c>
      <c r="G1380" s="2">
        <v>46023</v>
      </c>
      <c r="H1380" t="s">
        <v>341</v>
      </c>
    </row>
    <row r="1381" spans="1:8" x14ac:dyDescent="0.3">
      <c r="A1381" t="s">
        <v>460</v>
      </c>
      <c r="B1381">
        <v>24</v>
      </c>
      <c r="C1381" t="s">
        <v>553</v>
      </c>
      <c r="D1381" s="1">
        <v>0.86458333333333337</v>
      </c>
      <c r="E1381" t="s">
        <v>34</v>
      </c>
      <c r="F1381" t="s">
        <v>25</v>
      </c>
      <c r="G1381" s="2">
        <v>46083</v>
      </c>
      <c r="H1381" t="s">
        <v>194</v>
      </c>
    </row>
    <row r="1382" spans="1:8" x14ac:dyDescent="0.3">
      <c r="A1382" t="s">
        <v>460</v>
      </c>
      <c r="B1382">
        <v>25</v>
      </c>
      <c r="C1382" t="s">
        <v>554</v>
      </c>
      <c r="D1382" s="1">
        <v>0.8125</v>
      </c>
      <c r="E1382" t="s">
        <v>10</v>
      </c>
      <c r="F1382" t="s">
        <v>187</v>
      </c>
      <c r="G1382" s="2">
        <v>46055</v>
      </c>
      <c r="H1382" t="s">
        <v>73</v>
      </c>
    </row>
    <row r="1383" spans="1:8" x14ac:dyDescent="0.3">
      <c r="A1383" t="s">
        <v>460</v>
      </c>
      <c r="B1383">
        <v>25</v>
      </c>
      <c r="C1383" t="s">
        <v>554</v>
      </c>
      <c r="D1383" s="1">
        <v>0.89583333333333337</v>
      </c>
      <c r="E1383" t="s">
        <v>17</v>
      </c>
      <c r="F1383" t="s">
        <v>26</v>
      </c>
      <c r="G1383" s="2">
        <v>46054</v>
      </c>
      <c r="H1383" t="s">
        <v>185</v>
      </c>
    </row>
    <row r="1384" spans="1:8" x14ac:dyDescent="0.3">
      <c r="A1384" t="s">
        <v>460</v>
      </c>
      <c r="B1384">
        <v>25</v>
      </c>
      <c r="C1384" t="s">
        <v>554</v>
      </c>
      <c r="D1384" s="1">
        <v>0.89583333333333337</v>
      </c>
      <c r="E1384" t="s">
        <v>16</v>
      </c>
      <c r="F1384" t="s">
        <v>466</v>
      </c>
      <c r="G1384" t="s">
        <v>18</v>
      </c>
      <c r="H1384" t="s">
        <v>183</v>
      </c>
    </row>
    <row r="1385" spans="1:8" x14ac:dyDescent="0.3">
      <c r="A1385" t="s">
        <v>460</v>
      </c>
      <c r="B1385">
        <v>25</v>
      </c>
      <c r="C1385" t="s">
        <v>555</v>
      </c>
      <c r="D1385" s="1">
        <v>0.8125</v>
      </c>
      <c r="E1385" t="s">
        <v>20</v>
      </c>
      <c r="F1385" t="s">
        <v>340</v>
      </c>
      <c r="G1385" s="2">
        <v>46028</v>
      </c>
      <c r="H1385" t="s">
        <v>345</v>
      </c>
    </row>
    <row r="1386" spans="1:8" x14ac:dyDescent="0.3">
      <c r="A1386" t="s">
        <v>460</v>
      </c>
      <c r="B1386">
        <v>25</v>
      </c>
      <c r="C1386" t="s">
        <v>555</v>
      </c>
      <c r="D1386" s="1">
        <v>0.8125</v>
      </c>
      <c r="E1386" t="s">
        <v>23</v>
      </c>
      <c r="F1386" t="s">
        <v>34</v>
      </c>
      <c r="G1386" s="2">
        <v>46113</v>
      </c>
      <c r="H1386" t="s">
        <v>206</v>
      </c>
    </row>
    <row r="1387" spans="1:8" x14ac:dyDescent="0.3">
      <c r="A1387" t="s">
        <v>460</v>
      </c>
      <c r="B1387">
        <v>25</v>
      </c>
      <c r="C1387" t="s">
        <v>555</v>
      </c>
      <c r="D1387" s="1">
        <v>0.89583333333333337</v>
      </c>
      <c r="E1387" t="s">
        <v>35</v>
      </c>
      <c r="F1387" t="s">
        <v>36</v>
      </c>
      <c r="G1387" s="2">
        <v>46055</v>
      </c>
      <c r="H1387" t="s">
        <v>197</v>
      </c>
    </row>
    <row r="1388" spans="1:8" x14ac:dyDescent="0.3">
      <c r="A1388" t="s">
        <v>460</v>
      </c>
      <c r="B1388">
        <v>25</v>
      </c>
      <c r="C1388" t="s">
        <v>555</v>
      </c>
      <c r="D1388" s="1">
        <v>0.89583333333333337</v>
      </c>
      <c r="E1388" t="s">
        <v>24</v>
      </c>
      <c r="F1388" t="s">
        <v>464</v>
      </c>
      <c r="G1388" s="2">
        <v>46024</v>
      </c>
      <c r="H1388" t="s">
        <v>207</v>
      </c>
    </row>
    <row r="1389" spans="1:8" x14ac:dyDescent="0.3">
      <c r="A1389" t="s">
        <v>460</v>
      </c>
      <c r="B1389">
        <v>25</v>
      </c>
      <c r="C1389" t="s">
        <v>555</v>
      </c>
      <c r="D1389" s="1">
        <v>0.89583333333333337</v>
      </c>
      <c r="E1389" t="s">
        <v>25</v>
      </c>
      <c r="F1389" t="s">
        <v>338</v>
      </c>
      <c r="G1389" s="2">
        <v>46084</v>
      </c>
      <c r="H1389" t="s">
        <v>191</v>
      </c>
    </row>
    <row r="1390" spans="1:8" x14ac:dyDescent="0.3">
      <c r="A1390" t="s">
        <v>460</v>
      </c>
      <c r="B1390">
        <v>25</v>
      </c>
      <c r="C1390" t="s">
        <v>556</v>
      </c>
      <c r="D1390" s="1">
        <v>0.86458333333333337</v>
      </c>
      <c r="E1390" t="s">
        <v>182</v>
      </c>
      <c r="F1390" t="s">
        <v>28</v>
      </c>
      <c r="G1390" s="2">
        <v>46023</v>
      </c>
      <c r="H1390" t="s">
        <v>195</v>
      </c>
    </row>
    <row r="1391" spans="1:8" x14ac:dyDescent="0.3">
      <c r="A1391" t="s">
        <v>460</v>
      </c>
      <c r="B1391">
        <v>25</v>
      </c>
      <c r="C1391" t="s">
        <v>556</v>
      </c>
      <c r="D1391" s="1">
        <v>0.89583333333333337</v>
      </c>
      <c r="E1391" t="s">
        <v>27</v>
      </c>
      <c r="F1391" t="s">
        <v>15</v>
      </c>
      <c r="G1391" t="s">
        <v>18</v>
      </c>
      <c r="H1391" t="s">
        <v>471</v>
      </c>
    </row>
    <row r="1392" spans="1:8" x14ac:dyDescent="0.3">
      <c r="A1392" t="s">
        <v>460</v>
      </c>
      <c r="B1392">
        <v>26</v>
      </c>
      <c r="C1392" t="s">
        <v>557</v>
      </c>
      <c r="D1392" s="1">
        <v>0.86458333333333337</v>
      </c>
      <c r="E1392" t="s">
        <v>26</v>
      </c>
      <c r="F1392" t="s">
        <v>10</v>
      </c>
      <c r="G1392" s="2">
        <v>46083</v>
      </c>
      <c r="H1392" t="s">
        <v>207</v>
      </c>
    </row>
    <row r="1393" spans="1:8" x14ac:dyDescent="0.3">
      <c r="A1393" t="s">
        <v>460</v>
      </c>
      <c r="B1393">
        <v>26</v>
      </c>
      <c r="C1393" t="s">
        <v>558</v>
      </c>
      <c r="D1393" s="1">
        <v>0.54166666666666663</v>
      </c>
      <c r="E1393" t="s">
        <v>466</v>
      </c>
      <c r="F1393" t="s">
        <v>24</v>
      </c>
      <c r="G1393" t="s">
        <v>18</v>
      </c>
      <c r="H1393" t="s">
        <v>205</v>
      </c>
    </row>
    <row r="1394" spans="1:8" x14ac:dyDescent="0.3">
      <c r="A1394" t="s">
        <v>460</v>
      </c>
      <c r="B1394">
        <v>26</v>
      </c>
      <c r="C1394" t="s">
        <v>558</v>
      </c>
      <c r="D1394" s="1">
        <v>0.67708333333333337</v>
      </c>
      <c r="E1394" t="s">
        <v>187</v>
      </c>
      <c r="F1394" t="s">
        <v>25</v>
      </c>
      <c r="G1394" s="2">
        <v>46113</v>
      </c>
      <c r="H1394" t="s">
        <v>206</v>
      </c>
    </row>
    <row r="1395" spans="1:8" x14ac:dyDescent="0.3">
      <c r="A1395" t="s">
        <v>460</v>
      </c>
      <c r="B1395">
        <v>26</v>
      </c>
      <c r="C1395" t="s">
        <v>558</v>
      </c>
      <c r="D1395" s="1">
        <v>0.77083333333333337</v>
      </c>
      <c r="E1395" t="s">
        <v>34</v>
      </c>
      <c r="F1395" t="s">
        <v>36</v>
      </c>
      <c r="G1395" t="s">
        <v>12</v>
      </c>
      <c r="H1395" t="s">
        <v>341</v>
      </c>
    </row>
    <row r="1396" spans="1:8" x14ac:dyDescent="0.3">
      <c r="A1396" t="s">
        <v>460</v>
      </c>
      <c r="B1396">
        <v>26</v>
      </c>
      <c r="C1396" t="s">
        <v>558</v>
      </c>
      <c r="D1396" s="1">
        <v>0.86458333333333337</v>
      </c>
      <c r="E1396" t="s">
        <v>20</v>
      </c>
      <c r="F1396" t="s">
        <v>35</v>
      </c>
      <c r="G1396" t="s">
        <v>40</v>
      </c>
      <c r="H1396" t="s">
        <v>194</v>
      </c>
    </row>
    <row r="1397" spans="1:8" x14ac:dyDescent="0.3">
      <c r="A1397" t="s">
        <v>460</v>
      </c>
      <c r="B1397">
        <v>26</v>
      </c>
      <c r="C1397" t="s">
        <v>559</v>
      </c>
      <c r="D1397" s="1">
        <v>0.5</v>
      </c>
      <c r="E1397" t="s">
        <v>340</v>
      </c>
      <c r="F1397" t="s">
        <v>182</v>
      </c>
      <c r="G1397" t="s">
        <v>42</v>
      </c>
      <c r="H1397" t="s">
        <v>181</v>
      </c>
    </row>
    <row r="1398" spans="1:8" x14ac:dyDescent="0.3">
      <c r="A1398" t="s">
        <v>460</v>
      </c>
      <c r="B1398">
        <v>26</v>
      </c>
      <c r="C1398" t="s">
        <v>559</v>
      </c>
      <c r="D1398" s="1">
        <v>0.67708333333333337</v>
      </c>
      <c r="E1398" t="s">
        <v>28</v>
      </c>
      <c r="F1398" t="s">
        <v>16</v>
      </c>
      <c r="G1398" t="s">
        <v>32</v>
      </c>
      <c r="H1398" t="s">
        <v>198</v>
      </c>
    </row>
    <row r="1399" spans="1:8" x14ac:dyDescent="0.3">
      <c r="A1399" t="s">
        <v>460</v>
      </c>
      <c r="B1399">
        <v>26</v>
      </c>
      <c r="C1399" t="s">
        <v>559</v>
      </c>
      <c r="D1399" s="1">
        <v>0.77083333333333337</v>
      </c>
      <c r="E1399" t="s">
        <v>338</v>
      </c>
      <c r="F1399" t="s">
        <v>23</v>
      </c>
      <c r="G1399" s="2">
        <v>46058</v>
      </c>
      <c r="H1399" t="s">
        <v>184</v>
      </c>
    </row>
    <row r="1400" spans="1:8" x14ac:dyDescent="0.3">
      <c r="A1400" t="s">
        <v>460</v>
      </c>
      <c r="B1400">
        <v>26</v>
      </c>
      <c r="C1400" t="s">
        <v>559</v>
      </c>
      <c r="D1400" s="1">
        <v>0.86458333333333337</v>
      </c>
      <c r="E1400" t="s">
        <v>15</v>
      </c>
      <c r="F1400" t="s">
        <v>17</v>
      </c>
      <c r="G1400" t="s">
        <v>18</v>
      </c>
      <c r="H1400" t="s">
        <v>188</v>
      </c>
    </row>
    <row r="1401" spans="1:8" x14ac:dyDescent="0.3">
      <c r="A1401" t="s">
        <v>460</v>
      </c>
      <c r="B1401">
        <v>26</v>
      </c>
      <c r="C1401" t="s">
        <v>560</v>
      </c>
      <c r="D1401" s="1">
        <v>0.86458333333333337</v>
      </c>
      <c r="E1401" t="s">
        <v>464</v>
      </c>
      <c r="F1401" t="s">
        <v>27</v>
      </c>
      <c r="G1401" s="2">
        <v>46023</v>
      </c>
      <c r="H1401" t="s">
        <v>475</v>
      </c>
    </row>
    <row r="1402" spans="1:8" x14ac:dyDescent="0.3">
      <c r="A1402" t="s">
        <v>460</v>
      </c>
      <c r="B1402">
        <v>27</v>
      </c>
      <c r="C1402" t="s">
        <v>561</v>
      </c>
      <c r="D1402" s="1">
        <v>0.86458333333333337</v>
      </c>
      <c r="E1402" t="s">
        <v>36</v>
      </c>
      <c r="F1402" t="s">
        <v>338</v>
      </c>
      <c r="G1402" s="2">
        <v>46085</v>
      </c>
      <c r="H1402" t="s">
        <v>467</v>
      </c>
    </row>
    <row r="1403" spans="1:8" x14ac:dyDescent="0.3">
      <c r="A1403" t="s">
        <v>460</v>
      </c>
      <c r="B1403">
        <v>27</v>
      </c>
      <c r="C1403" t="s">
        <v>562</v>
      </c>
      <c r="D1403" s="1">
        <v>0.54166666666666663</v>
      </c>
      <c r="E1403" t="s">
        <v>16</v>
      </c>
      <c r="F1403" t="s">
        <v>340</v>
      </c>
      <c r="G1403" s="2">
        <v>46023</v>
      </c>
      <c r="H1403" t="s">
        <v>188</v>
      </c>
    </row>
    <row r="1404" spans="1:8" x14ac:dyDescent="0.3">
      <c r="A1404" t="s">
        <v>460</v>
      </c>
      <c r="B1404">
        <v>27</v>
      </c>
      <c r="C1404" t="s">
        <v>562</v>
      </c>
      <c r="D1404" s="1">
        <v>0.67708333333333337</v>
      </c>
      <c r="E1404" t="s">
        <v>27</v>
      </c>
      <c r="F1404" t="s">
        <v>466</v>
      </c>
      <c r="G1404" s="2">
        <v>46023</v>
      </c>
      <c r="H1404" t="s">
        <v>206</v>
      </c>
    </row>
    <row r="1405" spans="1:8" x14ac:dyDescent="0.3">
      <c r="A1405" t="s">
        <v>460</v>
      </c>
      <c r="B1405">
        <v>27</v>
      </c>
      <c r="C1405" t="s">
        <v>562</v>
      </c>
      <c r="D1405" s="1">
        <v>0.77083333333333337</v>
      </c>
      <c r="E1405" t="s">
        <v>17</v>
      </c>
      <c r="F1405" t="s">
        <v>464</v>
      </c>
      <c r="G1405" s="2">
        <v>46054</v>
      </c>
      <c r="H1405" t="s">
        <v>73</v>
      </c>
    </row>
    <row r="1406" spans="1:8" x14ac:dyDescent="0.3">
      <c r="A1406" t="s">
        <v>460</v>
      </c>
      <c r="B1406">
        <v>27</v>
      </c>
      <c r="C1406" t="s">
        <v>562</v>
      </c>
      <c r="D1406" s="1">
        <v>0.86458333333333337</v>
      </c>
      <c r="E1406" t="s">
        <v>24</v>
      </c>
      <c r="F1406" t="s">
        <v>28</v>
      </c>
      <c r="G1406" t="s">
        <v>42</v>
      </c>
      <c r="H1406" t="s">
        <v>185</v>
      </c>
    </row>
    <row r="1407" spans="1:8" x14ac:dyDescent="0.3">
      <c r="A1407" t="s">
        <v>460</v>
      </c>
      <c r="B1407">
        <v>27</v>
      </c>
      <c r="C1407" t="s">
        <v>563</v>
      </c>
      <c r="D1407" s="1">
        <v>0.5</v>
      </c>
      <c r="E1407" t="s">
        <v>10</v>
      </c>
      <c r="F1407" t="s">
        <v>15</v>
      </c>
      <c r="G1407" t="s">
        <v>54</v>
      </c>
      <c r="H1407" t="s">
        <v>345</v>
      </c>
    </row>
    <row r="1408" spans="1:8" x14ac:dyDescent="0.3">
      <c r="A1408" t="s">
        <v>460</v>
      </c>
      <c r="B1408">
        <v>27</v>
      </c>
      <c r="C1408" t="s">
        <v>563</v>
      </c>
      <c r="D1408" s="1">
        <v>0.67708333333333337</v>
      </c>
      <c r="E1408" t="s">
        <v>182</v>
      </c>
      <c r="F1408" t="s">
        <v>20</v>
      </c>
      <c r="G1408" s="2">
        <v>46024</v>
      </c>
      <c r="H1408" t="s">
        <v>191</v>
      </c>
    </row>
    <row r="1409" spans="1:8" x14ac:dyDescent="0.3">
      <c r="A1409" t="s">
        <v>460</v>
      </c>
      <c r="B1409">
        <v>27</v>
      </c>
      <c r="C1409" t="s">
        <v>563</v>
      </c>
      <c r="D1409" s="1">
        <v>0.77083333333333337</v>
      </c>
      <c r="E1409" t="s">
        <v>35</v>
      </c>
      <c r="F1409" t="s">
        <v>34</v>
      </c>
      <c r="G1409" t="s">
        <v>42</v>
      </c>
      <c r="H1409" t="s">
        <v>190</v>
      </c>
    </row>
    <row r="1410" spans="1:8" x14ac:dyDescent="0.3">
      <c r="A1410" t="s">
        <v>460</v>
      </c>
      <c r="B1410">
        <v>27</v>
      </c>
      <c r="C1410" t="s">
        <v>563</v>
      </c>
      <c r="D1410" s="1">
        <v>0.86458333333333337</v>
      </c>
      <c r="E1410" t="s">
        <v>25</v>
      </c>
      <c r="F1410" t="s">
        <v>26</v>
      </c>
      <c r="G1410" s="2">
        <v>46024</v>
      </c>
      <c r="H1410" t="s">
        <v>181</v>
      </c>
    </row>
    <row r="1411" spans="1:8" x14ac:dyDescent="0.3">
      <c r="A1411" t="s">
        <v>460</v>
      </c>
      <c r="B1411">
        <v>27</v>
      </c>
      <c r="C1411" t="s">
        <v>564</v>
      </c>
      <c r="D1411" s="1">
        <v>0.86458333333333337</v>
      </c>
      <c r="E1411" t="s">
        <v>23</v>
      </c>
      <c r="F1411" t="s">
        <v>187</v>
      </c>
      <c r="G1411" s="2">
        <v>46023</v>
      </c>
      <c r="H1411" t="s">
        <v>197</v>
      </c>
    </row>
    <row r="1412" spans="1:8" x14ac:dyDescent="0.3">
      <c r="A1412" t="s">
        <v>460</v>
      </c>
      <c r="B1412">
        <v>28</v>
      </c>
      <c r="C1412" t="s">
        <v>565</v>
      </c>
      <c r="D1412" s="1">
        <v>0.86458333333333337</v>
      </c>
      <c r="E1412" t="s">
        <v>338</v>
      </c>
      <c r="F1412" t="s">
        <v>34</v>
      </c>
      <c r="G1412" t="s">
        <v>18</v>
      </c>
      <c r="H1412" t="s">
        <v>183</v>
      </c>
    </row>
    <row r="1413" spans="1:8" x14ac:dyDescent="0.3">
      <c r="A1413" t="s">
        <v>460</v>
      </c>
      <c r="B1413">
        <v>28</v>
      </c>
      <c r="C1413" t="s">
        <v>566</v>
      </c>
      <c r="D1413" s="1">
        <v>0.54166666666666663</v>
      </c>
      <c r="E1413" t="s">
        <v>187</v>
      </c>
      <c r="F1413" t="s">
        <v>36</v>
      </c>
      <c r="G1413" s="2">
        <v>46023</v>
      </c>
      <c r="H1413" t="s">
        <v>191</v>
      </c>
    </row>
    <row r="1414" spans="1:8" x14ac:dyDescent="0.3">
      <c r="A1414" t="s">
        <v>460</v>
      </c>
      <c r="B1414">
        <v>28</v>
      </c>
      <c r="C1414" t="s">
        <v>566</v>
      </c>
      <c r="D1414" s="1">
        <v>0.67708333333333337</v>
      </c>
      <c r="E1414" t="s">
        <v>15</v>
      </c>
      <c r="F1414" t="s">
        <v>25</v>
      </c>
      <c r="G1414" s="2">
        <v>46054</v>
      </c>
      <c r="H1414" t="s">
        <v>197</v>
      </c>
    </row>
    <row r="1415" spans="1:8" x14ac:dyDescent="0.3">
      <c r="A1415" t="s">
        <v>460</v>
      </c>
      <c r="B1415">
        <v>28</v>
      </c>
      <c r="C1415" t="s">
        <v>566</v>
      </c>
      <c r="D1415" s="1">
        <v>0.77083333333333337</v>
      </c>
      <c r="E1415" t="s">
        <v>464</v>
      </c>
      <c r="F1415" t="s">
        <v>10</v>
      </c>
      <c r="G1415" t="s">
        <v>18</v>
      </c>
      <c r="H1415" t="s">
        <v>184</v>
      </c>
    </row>
    <row r="1416" spans="1:8" x14ac:dyDescent="0.3">
      <c r="A1416" t="s">
        <v>460</v>
      </c>
      <c r="B1416">
        <v>28</v>
      </c>
      <c r="C1416" t="s">
        <v>566</v>
      </c>
      <c r="D1416" s="1">
        <v>0.86458333333333337</v>
      </c>
      <c r="E1416" t="s">
        <v>26</v>
      </c>
      <c r="F1416" t="s">
        <v>23</v>
      </c>
      <c r="G1416" t="s">
        <v>12</v>
      </c>
      <c r="H1416" t="s">
        <v>188</v>
      </c>
    </row>
    <row r="1417" spans="1:8" x14ac:dyDescent="0.3">
      <c r="A1417" t="s">
        <v>460</v>
      </c>
      <c r="B1417">
        <v>28</v>
      </c>
      <c r="C1417" t="s">
        <v>567</v>
      </c>
      <c r="D1417" s="1">
        <v>0.5</v>
      </c>
      <c r="E1417" t="s">
        <v>466</v>
      </c>
      <c r="F1417" t="s">
        <v>17</v>
      </c>
      <c r="G1417" t="s">
        <v>41</v>
      </c>
      <c r="H1417" t="s">
        <v>181</v>
      </c>
    </row>
    <row r="1418" spans="1:8" x14ac:dyDescent="0.3">
      <c r="A1418" t="s">
        <v>460</v>
      </c>
      <c r="B1418">
        <v>28</v>
      </c>
      <c r="C1418" t="s">
        <v>567</v>
      </c>
      <c r="D1418" s="1">
        <v>0.67708333333333337</v>
      </c>
      <c r="E1418" t="s">
        <v>28</v>
      </c>
      <c r="F1418" t="s">
        <v>27</v>
      </c>
      <c r="G1418" s="2">
        <v>46025</v>
      </c>
      <c r="H1418" t="s">
        <v>194</v>
      </c>
    </row>
    <row r="1419" spans="1:8" x14ac:dyDescent="0.3">
      <c r="A1419" t="s">
        <v>460</v>
      </c>
      <c r="B1419">
        <v>28</v>
      </c>
      <c r="C1419" t="s">
        <v>567</v>
      </c>
      <c r="D1419" s="1">
        <v>0.77083333333333337</v>
      </c>
      <c r="E1419" t="s">
        <v>182</v>
      </c>
      <c r="F1419" t="s">
        <v>35</v>
      </c>
      <c r="G1419" t="s">
        <v>42</v>
      </c>
      <c r="H1419" t="s">
        <v>205</v>
      </c>
    </row>
    <row r="1420" spans="1:8" x14ac:dyDescent="0.3">
      <c r="A1420" t="s">
        <v>460</v>
      </c>
      <c r="B1420">
        <v>28</v>
      </c>
      <c r="C1420" t="s">
        <v>567</v>
      </c>
      <c r="D1420" s="1">
        <v>0.77083333333333337</v>
      </c>
      <c r="E1420" t="s">
        <v>340</v>
      </c>
      <c r="F1420" t="s">
        <v>24</v>
      </c>
      <c r="G1420" s="2">
        <v>46025</v>
      </c>
      <c r="H1420" t="s">
        <v>198</v>
      </c>
    </row>
    <row r="1421" spans="1:8" x14ac:dyDescent="0.3">
      <c r="A1421" t="s">
        <v>460</v>
      </c>
      <c r="B1421">
        <v>28</v>
      </c>
      <c r="C1421" t="s">
        <v>567</v>
      </c>
      <c r="D1421" s="1">
        <v>0.86458333333333337</v>
      </c>
      <c r="E1421" t="s">
        <v>20</v>
      </c>
      <c r="F1421" t="s">
        <v>16</v>
      </c>
      <c r="G1421" s="2">
        <v>46057</v>
      </c>
      <c r="H1421" t="s">
        <v>185</v>
      </c>
    </row>
    <row r="1422" spans="1:8" x14ac:dyDescent="0.3">
      <c r="A1422" t="s">
        <v>460</v>
      </c>
      <c r="B1422">
        <v>29</v>
      </c>
      <c r="C1422" t="s">
        <v>568</v>
      </c>
      <c r="D1422" s="1">
        <v>0.86458333333333337</v>
      </c>
      <c r="E1422" t="s">
        <v>36</v>
      </c>
      <c r="F1422" t="s">
        <v>26</v>
      </c>
      <c r="G1422" s="2">
        <v>46024</v>
      </c>
      <c r="H1422" t="s">
        <v>206</v>
      </c>
    </row>
    <row r="1423" spans="1:8" x14ac:dyDescent="0.3">
      <c r="A1423" t="s">
        <v>460</v>
      </c>
      <c r="B1423">
        <v>29</v>
      </c>
      <c r="C1423" t="s">
        <v>569</v>
      </c>
      <c r="D1423" s="1">
        <v>0.54166666666666663</v>
      </c>
      <c r="E1423" t="s">
        <v>34</v>
      </c>
      <c r="F1423" t="s">
        <v>187</v>
      </c>
      <c r="G1423" s="2">
        <v>46083</v>
      </c>
      <c r="H1423" t="s">
        <v>471</v>
      </c>
    </row>
    <row r="1424" spans="1:8" x14ac:dyDescent="0.3">
      <c r="A1424" t="s">
        <v>460</v>
      </c>
      <c r="B1424">
        <v>29</v>
      </c>
      <c r="C1424" t="s">
        <v>569</v>
      </c>
      <c r="D1424" s="1">
        <v>0.67708333333333337</v>
      </c>
      <c r="E1424" t="s">
        <v>23</v>
      </c>
      <c r="F1424" t="s">
        <v>15</v>
      </c>
      <c r="G1424" s="2">
        <v>46054</v>
      </c>
      <c r="H1424" t="s">
        <v>467</v>
      </c>
    </row>
    <row r="1425" spans="1:8" x14ac:dyDescent="0.3">
      <c r="A1425" t="s">
        <v>460</v>
      </c>
      <c r="B1425">
        <v>29</v>
      </c>
      <c r="C1425" t="s">
        <v>569</v>
      </c>
      <c r="D1425" s="1">
        <v>0.77083333333333337</v>
      </c>
      <c r="E1425" t="s">
        <v>10</v>
      </c>
      <c r="F1425" t="s">
        <v>466</v>
      </c>
      <c r="G1425" s="2">
        <v>46023</v>
      </c>
      <c r="H1425" t="s">
        <v>190</v>
      </c>
    </row>
    <row r="1426" spans="1:8" x14ac:dyDescent="0.3">
      <c r="A1426" t="s">
        <v>460</v>
      </c>
      <c r="B1426">
        <v>29</v>
      </c>
      <c r="C1426" t="s">
        <v>569</v>
      </c>
      <c r="D1426" s="1">
        <v>0.86458333333333337</v>
      </c>
      <c r="E1426" t="s">
        <v>17</v>
      </c>
      <c r="F1426" t="s">
        <v>28</v>
      </c>
      <c r="G1426" t="s">
        <v>54</v>
      </c>
      <c r="H1426" t="s">
        <v>475</v>
      </c>
    </row>
    <row r="1427" spans="1:8" x14ac:dyDescent="0.3">
      <c r="A1427" t="s">
        <v>460</v>
      </c>
      <c r="B1427">
        <v>29</v>
      </c>
      <c r="C1427" t="s">
        <v>570</v>
      </c>
      <c r="D1427" s="1">
        <v>0.5</v>
      </c>
      <c r="E1427" t="s">
        <v>27</v>
      </c>
      <c r="F1427" t="s">
        <v>340</v>
      </c>
      <c r="G1427" t="s">
        <v>41</v>
      </c>
      <c r="H1427" t="s">
        <v>183</v>
      </c>
    </row>
    <row r="1428" spans="1:8" x14ac:dyDescent="0.3">
      <c r="A1428" t="s">
        <v>460</v>
      </c>
      <c r="B1428">
        <v>29</v>
      </c>
      <c r="C1428" t="s">
        <v>570</v>
      </c>
      <c r="D1428" s="1">
        <v>0.67708333333333337</v>
      </c>
      <c r="E1428" t="s">
        <v>25</v>
      </c>
      <c r="F1428" t="s">
        <v>464</v>
      </c>
      <c r="G1428" t="s">
        <v>32</v>
      </c>
      <c r="H1428" t="s">
        <v>345</v>
      </c>
    </row>
    <row r="1429" spans="1:8" x14ac:dyDescent="0.3">
      <c r="A1429" t="s">
        <v>460</v>
      </c>
      <c r="B1429">
        <v>29</v>
      </c>
      <c r="C1429" t="s">
        <v>570</v>
      </c>
      <c r="D1429" s="1">
        <v>0.77083333333333337</v>
      </c>
      <c r="E1429" t="s">
        <v>16</v>
      </c>
      <c r="F1429" t="s">
        <v>182</v>
      </c>
      <c r="G1429" t="s">
        <v>32</v>
      </c>
      <c r="H1429" t="s">
        <v>341</v>
      </c>
    </row>
    <row r="1430" spans="1:8" x14ac:dyDescent="0.3">
      <c r="A1430" t="s">
        <v>460</v>
      </c>
      <c r="B1430">
        <v>29</v>
      </c>
      <c r="C1430" t="s">
        <v>570</v>
      </c>
      <c r="D1430" s="1">
        <v>0.86458333333333337</v>
      </c>
      <c r="E1430" t="s">
        <v>24</v>
      </c>
      <c r="F1430" t="s">
        <v>20</v>
      </c>
      <c r="G1430" s="2">
        <v>46113</v>
      </c>
      <c r="H1430" t="s">
        <v>197</v>
      </c>
    </row>
    <row r="1431" spans="1:8" x14ac:dyDescent="0.3">
      <c r="A1431" t="s">
        <v>460</v>
      </c>
      <c r="B1431">
        <v>29</v>
      </c>
      <c r="C1431" t="s">
        <v>571</v>
      </c>
      <c r="D1431" s="1">
        <v>0.86458333333333337</v>
      </c>
      <c r="E1431" t="s">
        <v>35</v>
      </c>
      <c r="F1431" t="s">
        <v>338</v>
      </c>
      <c r="G1431" s="2">
        <v>46025</v>
      </c>
      <c r="H1431" t="s">
        <v>195</v>
      </c>
    </row>
    <row r="1432" spans="1:8" x14ac:dyDescent="0.3">
      <c r="A1432" t="s">
        <v>460</v>
      </c>
      <c r="B1432">
        <v>30</v>
      </c>
      <c r="C1432" t="s">
        <v>572</v>
      </c>
      <c r="D1432" s="1">
        <v>0.8125</v>
      </c>
      <c r="E1432" t="s">
        <v>15</v>
      </c>
      <c r="F1432" t="s">
        <v>36</v>
      </c>
      <c r="G1432" t="s">
        <v>12</v>
      </c>
      <c r="H1432" t="s">
        <v>205</v>
      </c>
    </row>
    <row r="1433" spans="1:8" x14ac:dyDescent="0.3">
      <c r="A1433" t="s">
        <v>460</v>
      </c>
      <c r="B1433">
        <v>30</v>
      </c>
      <c r="C1433" t="s">
        <v>572</v>
      </c>
      <c r="D1433" s="1">
        <v>0.89583333333333337</v>
      </c>
      <c r="E1433" t="s">
        <v>28</v>
      </c>
      <c r="F1433" t="s">
        <v>10</v>
      </c>
      <c r="G1433" t="s">
        <v>18</v>
      </c>
      <c r="H1433" t="s">
        <v>73</v>
      </c>
    </row>
    <row r="1434" spans="1:8" x14ac:dyDescent="0.3">
      <c r="A1434" t="s">
        <v>460</v>
      </c>
      <c r="B1434">
        <v>30</v>
      </c>
      <c r="C1434" t="s">
        <v>572</v>
      </c>
      <c r="D1434" s="1">
        <v>0.89583333333333337</v>
      </c>
      <c r="E1434" t="s">
        <v>26</v>
      </c>
      <c r="F1434" t="s">
        <v>34</v>
      </c>
      <c r="G1434" t="s">
        <v>42</v>
      </c>
      <c r="H1434" t="s">
        <v>194</v>
      </c>
    </row>
    <row r="1435" spans="1:8" x14ac:dyDescent="0.3">
      <c r="A1435" t="s">
        <v>460</v>
      </c>
      <c r="B1435">
        <v>30</v>
      </c>
      <c r="C1435" t="s">
        <v>573</v>
      </c>
      <c r="D1435" s="1">
        <v>0.8125</v>
      </c>
      <c r="E1435" t="s">
        <v>20</v>
      </c>
      <c r="F1435" t="s">
        <v>27</v>
      </c>
      <c r="G1435" t="s">
        <v>32</v>
      </c>
      <c r="H1435" t="s">
        <v>195</v>
      </c>
    </row>
    <row r="1436" spans="1:8" x14ac:dyDescent="0.3">
      <c r="A1436" t="s">
        <v>460</v>
      </c>
      <c r="B1436">
        <v>30</v>
      </c>
      <c r="C1436" t="s">
        <v>573</v>
      </c>
      <c r="D1436" s="1">
        <v>0.85416666666666663</v>
      </c>
      <c r="E1436" t="s">
        <v>464</v>
      </c>
      <c r="F1436" t="s">
        <v>23</v>
      </c>
      <c r="G1436" t="s">
        <v>42</v>
      </c>
      <c r="H1436" t="s">
        <v>198</v>
      </c>
    </row>
    <row r="1437" spans="1:8" x14ac:dyDescent="0.3">
      <c r="A1437" t="s">
        <v>460</v>
      </c>
      <c r="B1437">
        <v>30</v>
      </c>
      <c r="C1437" t="s">
        <v>573</v>
      </c>
      <c r="D1437" s="1">
        <v>0.85416666666666663</v>
      </c>
      <c r="E1437" t="s">
        <v>182</v>
      </c>
      <c r="F1437" t="s">
        <v>24</v>
      </c>
      <c r="G1437" t="s">
        <v>41</v>
      </c>
      <c r="H1437" t="s">
        <v>184</v>
      </c>
    </row>
    <row r="1438" spans="1:8" x14ac:dyDescent="0.3">
      <c r="A1438" t="s">
        <v>460</v>
      </c>
      <c r="B1438">
        <v>30</v>
      </c>
      <c r="C1438" t="s">
        <v>573</v>
      </c>
      <c r="D1438" s="1">
        <v>0.85416666666666663</v>
      </c>
      <c r="E1438" t="s">
        <v>340</v>
      </c>
      <c r="F1438" t="s">
        <v>17</v>
      </c>
      <c r="G1438" t="s">
        <v>42</v>
      </c>
      <c r="H1438" t="s">
        <v>345</v>
      </c>
    </row>
    <row r="1439" spans="1:8" x14ac:dyDescent="0.3">
      <c r="A1439" t="s">
        <v>460</v>
      </c>
      <c r="B1439">
        <v>30</v>
      </c>
      <c r="C1439" t="s">
        <v>573</v>
      </c>
      <c r="D1439" s="1">
        <v>0.89583333333333337</v>
      </c>
      <c r="E1439" t="s">
        <v>466</v>
      </c>
      <c r="F1439" t="s">
        <v>25</v>
      </c>
      <c r="G1439" s="2">
        <v>46114</v>
      </c>
      <c r="H1439" t="s">
        <v>188</v>
      </c>
    </row>
    <row r="1440" spans="1:8" x14ac:dyDescent="0.3">
      <c r="A1440" t="s">
        <v>460</v>
      </c>
      <c r="B1440">
        <v>30</v>
      </c>
      <c r="C1440" t="s">
        <v>574</v>
      </c>
      <c r="D1440" s="1">
        <v>0.8125</v>
      </c>
      <c r="E1440" t="s">
        <v>187</v>
      </c>
      <c r="F1440" t="s">
        <v>338</v>
      </c>
      <c r="G1440" s="2">
        <v>46025</v>
      </c>
      <c r="H1440" t="s">
        <v>207</v>
      </c>
    </row>
    <row r="1441" spans="1:8" x14ac:dyDescent="0.3">
      <c r="A1441" t="s">
        <v>460</v>
      </c>
      <c r="B1441">
        <v>30</v>
      </c>
      <c r="C1441" t="s">
        <v>574</v>
      </c>
      <c r="D1441" s="1">
        <v>0.89583333333333337</v>
      </c>
      <c r="E1441" t="s">
        <v>16</v>
      </c>
      <c r="F1441" t="s">
        <v>35</v>
      </c>
      <c r="G1441" s="2">
        <v>46056</v>
      </c>
      <c r="H1441" t="s">
        <v>191</v>
      </c>
    </row>
    <row r="1442" spans="1:8" x14ac:dyDescent="0.3">
      <c r="A1442" t="s">
        <v>460</v>
      </c>
      <c r="B1442">
        <v>31</v>
      </c>
      <c r="C1442" t="s">
        <v>575</v>
      </c>
      <c r="D1442" s="1">
        <v>0.86458333333333337</v>
      </c>
      <c r="E1442" t="s">
        <v>34</v>
      </c>
      <c r="F1442" t="s">
        <v>15</v>
      </c>
      <c r="G1442" s="2">
        <v>46025</v>
      </c>
      <c r="H1442" t="s">
        <v>475</v>
      </c>
    </row>
    <row r="1443" spans="1:8" x14ac:dyDescent="0.3">
      <c r="A1443" t="s">
        <v>460</v>
      </c>
      <c r="B1443">
        <v>31</v>
      </c>
      <c r="C1443" t="s">
        <v>576</v>
      </c>
      <c r="D1443" s="1">
        <v>0.54166666666666663</v>
      </c>
      <c r="E1443" t="s">
        <v>36</v>
      </c>
      <c r="F1443" t="s">
        <v>464</v>
      </c>
      <c r="G1443" t="s">
        <v>18</v>
      </c>
      <c r="H1443" t="s">
        <v>190</v>
      </c>
    </row>
    <row r="1444" spans="1:8" x14ac:dyDescent="0.3">
      <c r="A1444" t="s">
        <v>460</v>
      </c>
      <c r="B1444">
        <v>31</v>
      </c>
      <c r="C1444" t="s">
        <v>576</v>
      </c>
      <c r="D1444" s="1">
        <v>0.67708333333333337</v>
      </c>
      <c r="E1444" t="s">
        <v>25</v>
      </c>
      <c r="F1444" t="s">
        <v>28</v>
      </c>
      <c r="G1444" s="2">
        <v>46023</v>
      </c>
      <c r="H1444" t="s">
        <v>341</v>
      </c>
    </row>
    <row r="1445" spans="1:8" x14ac:dyDescent="0.3">
      <c r="A1445" t="s">
        <v>460</v>
      </c>
      <c r="B1445">
        <v>31</v>
      </c>
      <c r="C1445" t="s">
        <v>576</v>
      </c>
      <c r="D1445" s="1">
        <v>0.77083333333333337</v>
      </c>
      <c r="E1445" t="s">
        <v>27</v>
      </c>
      <c r="F1445" t="s">
        <v>182</v>
      </c>
      <c r="G1445" s="2">
        <v>46057</v>
      </c>
      <c r="H1445" t="s">
        <v>197</v>
      </c>
    </row>
    <row r="1446" spans="1:8" x14ac:dyDescent="0.3">
      <c r="A1446" t="s">
        <v>460</v>
      </c>
      <c r="B1446">
        <v>31</v>
      </c>
      <c r="C1446" t="s">
        <v>576</v>
      </c>
      <c r="D1446" s="1">
        <v>0.86458333333333337</v>
      </c>
      <c r="E1446" t="s">
        <v>17</v>
      </c>
      <c r="F1446" t="s">
        <v>20</v>
      </c>
      <c r="G1446" t="s">
        <v>12</v>
      </c>
      <c r="H1446" t="s">
        <v>194</v>
      </c>
    </row>
    <row r="1447" spans="1:8" x14ac:dyDescent="0.3">
      <c r="A1447" t="s">
        <v>460</v>
      </c>
      <c r="B1447">
        <v>31</v>
      </c>
      <c r="C1447" t="s">
        <v>577</v>
      </c>
      <c r="D1447" s="1">
        <v>0.5</v>
      </c>
      <c r="E1447" t="s">
        <v>24</v>
      </c>
      <c r="F1447" t="s">
        <v>16</v>
      </c>
      <c r="G1447" s="2">
        <v>46082</v>
      </c>
      <c r="H1447" t="s">
        <v>183</v>
      </c>
    </row>
    <row r="1448" spans="1:8" x14ac:dyDescent="0.3">
      <c r="A1448" t="s">
        <v>460</v>
      </c>
      <c r="B1448">
        <v>31</v>
      </c>
      <c r="C1448" t="s">
        <v>577</v>
      </c>
      <c r="D1448" s="1">
        <v>0.67708333333333337</v>
      </c>
      <c r="E1448" t="s">
        <v>35</v>
      </c>
      <c r="F1448" t="s">
        <v>187</v>
      </c>
      <c r="G1448" t="s">
        <v>54</v>
      </c>
      <c r="H1448" t="s">
        <v>467</v>
      </c>
    </row>
    <row r="1449" spans="1:8" x14ac:dyDescent="0.3">
      <c r="A1449" t="s">
        <v>460</v>
      </c>
      <c r="B1449">
        <v>31</v>
      </c>
      <c r="C1449" t="s">
        <v>577</v>
      </c>
      <c r="D1449" s="1">
        <v>0.77083333333333337</v>
      </c>
      <c r="E1449" t="s">
        <v>23</v>
      </c>
      <c r="F1449" t="s">
        <v>466</v>
      </c>
      <c r="G1449" s="2">
        <v>46024</v>
      </c>
      <c r="H1449" t="s">
        <v>471</v>
      </c>
    </row>
    <row r="1450" spans="1:8" x14ac:dyDescent="0.3">
      <c r="A1450" t="s">
        <v>460</v>
      </c>
      <c r="B1450">
        <v>31</v>
      </c>
      <c r="C1450" t="s">
        <v>577</v>
      </c>
      <c r="D1450" s="1">
        <v>0.86458333333333337</v>
      </c>
      <c r="E1450" t="s">
        <v>338</v>
      </c>
      <c r="F1450" t="s">
        <v>26</v>
      </c>
      <c r="G1450" s="2">
        <v>46026</v>
      </c>
      <c r="H1450" t="s">
        <v>345</v>
      </c>
    </row>
    <row r="1451" spans="1:8" x14ac:dyDescent="0.3">
      <c r="A1451" t="s">
        <v>460</v>
      </c>
      <c r="B1451">
        <v>31</v>
      </c>
      <c r="C1451" t="s">
        <v>578</v>
      </c>
      <c r="D1451" s="1">
        <v>0.86458333333333337</v>
      </c>
      <c r="E1451" t="s">
        <v>10</v>
      </c>
      <c r="F1451" t="s">
        <v>340</v>
      </c>
      <c r="G1451" s="2">
        <v>46025</v>
      </c>
      <c r="H1451" t="s">
        <v>206</v>
      </c>
    </row>
    <row r="1452" spans="1:8" x14ac:dyDescent="0.3">
      <c r="A1452" t="s">
        <v>460</v>
      </c>
      <c r="B1452">
        <v>32</v>
      </c>
      <c r="C1452" t="s">
        <v>579</v>
      </c>
      <c r="D1452" s="1">
        <v>0.86458333333333337</v>
      </c>
      <c r="E1452" t="s">
        <v>15</v>
      </c>
      <c r="F1452" t="s">
        <v>338</v>
      </c>
      <c r="G1452" s="2">
        <v>46027</v>
      </c>
      <c r="H1452" t="s">
        <v>198</v>
      </c>
    </row>
    <row r="1453" spans="1:8" x14ac:dyDescent="0.3">
      <c r="A1453" t="s">
        <v>460</v>
      </c>
      <c r="B1453">
        <v>32</v>
      </c>
      <c r="C1453" t="s">
        <v>580</v>
      </c>
      <c r="D1453" s="1">
        <v>0.54166666666666663</v>
      </c>
      <c r="E1453" t="s">
        <v>182</v>
      </c>
      <c r="F1453" t="s">
        <v>17</v>
      </c>
      <c r="G1453" t="s">
        <v>12</v>
      </c>
      <c r="H1453" t="s">
        <v>73</v>
      </c>
    </row>
    <row r="1454" spans="1:8" x14ac:dyDescent="0.3">
      <c r="A1454" t="s">
        <v>460</v>
      </c>
      <c r="B1454">
        <v>32</v>
      </c>
      <c r="C1454" t="s">
        <v>580</v>
      </c>
      <c r="D1454" s="1">
        <v>0.67708333333333337</v>
      </c>
      <c r="E1454" t="s">
        <v>340</v>
      </c>
      <c r="F1454" t="s">
        <v>25</v>
      </c>
      <c r="G1454" s="2">
        <v>46083</v>
      </c>
      <c r="H1454" t="s">
        <v>191</v>
      </c>
    </row>
    <row r="1455" spans="1:8" x14ac:dyDescent="0.3">
      <c r="A1455" t="s">
        <v>460</v>
      </c>
      <c r="B1455">
        <v>32</v>
      </c>
      <c r="C1455" t="s">
        <v>580</v>
      </c>
      <c r="D1455" s="1">
        <v>0.77083333333333337</v>
      </c>
      <c r="E1455" t="s">
        <v>28</v>
      </c>
      <c r="F1455" t="s">
        <v>23</v>
      </c>
      <c r="G1455" t="s">
        <v>32</v>
      </c>
      <c r="H1455" t="s">
        <v>190</v>
      </c>
    </row>
    <row r="1456" spans="1:8" x14ac:dyDescent="0.3">
      <c r="A1456" t="s">
        <v>460</v>
      </c>
      <c r="B1456">
        <v>32</v>
      </c>
      <c r="C1456" t="s">
        <v>580</v>
      </c>
      <c r="D1456" s="1">
        <v>0.86458333333333337</v>
      </c>
      <c r="E1456" t="s">
        <v>20</v>
      </c>
      <c r="F1456" t="s">
        <v>10</v>
      </c>
      <c r="G1456" s="2">
        <v>46056</v>
      </c>
      <c r="H1456" t="s">
        <v>205</v>
      </c>
    </row>
    <row r="1457" spans="1:8" x14ac:dyDescent="0.3">
      <c r="A1457" t="s">
        <v>460</v>
      </c>
      <c r="B1457">
        <v>32</v>
      </c>
      <c r="C1457" t="s">
        <v>581</v>
      </c>
      <c r="D1457" s="1">
        <v>0.5</v>
      </c>
      <c r="E1457" t="s">
        <v>466</v>
      </c>
      <c r="F1457" t="s">
        <v>36</v>
      </c>
      <c r="G1457" t="s">
        <v>42</v>
      </c>
      <c r="H1457" t="s">
        <v>195</v>
      </c>
    </row>
    <row r="1458" spans="1:8" x14ac:dyDescent="0.3">
      <c r="A1458" t="s">
        <v>460</v>
      </c>
      <c r="B1458">
        <v>32</v>
      </c>
      <c r="C1458" t="s">
        <v>581</v>
      </c>
      <c r="D1458" s="1">
        <v>0.67708333333333337</v>
      </c>
      <c r="E1458" t="s">
        <v>16</v>
      </c>
      <c r="F1458" t="s">
        <v>27</v>
      </c>
      <c r="G1458" t="s">
        <v>41</v>
      </c>
      <c r="H1458" t="s">
        <v>206</v>
      </c>
    </row>
    <row r="1459" spans="1:8" x14ac:dyDescent="0.3">
      <c r="A1459" t="s">
        <v>460</v>
      </c>
      <c r="B1459">
        <v>32</v>
      </c>
      <c r="C1459" t="s">
        <v>581</v>
      </c>
      <c r="D1459" s="1">
        <v>0.77083333333333337</v>
      </c>
      <c r="E1459" t="s">
        <v>26</v>
      </c>
      <c r="F1459" t="s">
        <v>187</v>
      </c>
      <c r="G1459" t="s">
        <v>12</v>
      </c>
      <c r="H1459" t="s">
        <v>181</v>
      </c>
    </row>
    <row r="1460" spans="1:8" x14ac:dyDescent="0.3">
      <c r="A1460" t="s">
        <v>460</v>
      </c>
      <c r="B1460">
        <v>32</v>
      </c>
      <c r="C1460" t="s">
        <v>581</v>
      </c>
      <c r="D1460" s="1">
        <v>0.86458333333333337</v>
      </c>
      <c r="E1460" t="s">
        <v>24</v>
      </c>
      <c r="F1460" t="s">
        <v>35</v>
      </c>
      <c r="G1460" t="s">
        <v>46</v>
      </c>
      <c r="H1460" t="s">
        <v>345</v>
      </c>
    </row>
    <row r="1461" spans="1:8" x14ac:dyDescent="0.3">
      <c r="A1461" t="s">
        <v>460</v>
      </c>
      <c r="B1461">
        <v>32</v>
      </c>
      <c r="C1461" t="s">
        <v>582</v>
      </c>
      <c r="D1461" s="1">
        <v>0.86458333333333337</v>
      </c>
      <c r="E1461" t="s">
        <v>464</v>
      </c>
      <c r="F1461" t="s">
        <v>34</v>
      </c>
      <c r="G1461" s="2">
        <v>46024</v>
      </c>
      <c r="H1461" t="s">
        <v>188</v>
      </c>
    </row>
    <row r="1462" spans="1:8" x14ac:dyDescent="0.3">
      <c r="A1462" t="s">
        <v>460</v>
      </c>
      <c r="B1462">
        <v>33</v>
      </c>
      <c r="C1462" t="s">
        <v>583</v>
      </c>
      <c r="D1462" s="1">
        <v>0.875</v>
      </c>
      <c r="E1462" t="s">
        <v>27</v>
      </c>
      <c r="F1462" t="s">
        <v>24</v>
      </c>
      <c r="G1462" t="s">
        <v>12</v>
      </c>
      <c r="H1462" t="s">
        <v>475</v>
      </c>
    </row>
    <row r="1463" spans="1:8" x14ac:dyDescent="0.3">
      <c r="A1463" t="s">
        <v>460</v>
      </c>
      <c r="B1463">
        <v>33</v>
      </c>
      <c r="C1463" t="s">
        <v>584</v>
      </c>
      <c r="D1463" s="1">
        <v>0.54166666666666663</v>
      </c>
      <c r="E1463" t="s">
        <v>17</v>
      </c>
      <c r="F1463" t="s">
        <v>16</v>
      </c>
      <c r="G1463" t="s">
        <v>12</v>
      </c>
      <c r="H1463" t="s">
        <v>207</v>
      </c>
    </row>
    <row r="1464" spans="1:8" x14ac:dyDescent="0.3">
      <c r="A1464" t="s">
        <v>460</v>
      </c>
      <c r="B1464">
        <v>33</v>
      </c>
      <c r="C1464" t="s">
        <v>584</v>
      </c>
      <c r="D1464" s="1">
        <v>0.67708333333333337</v>
      </c>
      <c r="E1464" t="s">
        <v>34</v>
      </c>
      <c r="F1464" t="s">
        <v>466</v>
      </c>
      <c r="G1464" s="2">
        <v>46024</v>
      </c>
      <c r="H1464" t="s">
        <v>197</v>
      </c>
    </row>
    <row r="1465" spans="1:8" x14ac:dyDescent="0.3">
      <c r="A1465" t="s">
        <v>460</v>
      </c>
      <c r="B1465">
        <v>33</v>
      </c>
      <c r="C1465" t="s">
        <v>584</v>
      </c>
      <c r="D1465" s="1">
        <v>0.77083333333333337</v>
      </c>
      <c r="E1465" t="s">
        <v>23</v>
      </c>
      <c r="F1465" t="s">
        <v>340</v>
      </c>
      <c r="G1465" s="2">
        <v>46055</v>
      </c>
      <c r="H1465" t="s">
        <v>194</v>
      </c>
    </row>
    <row r="1466" spans="1:8" x14ac:dyDescent="0.3">
      <c r="A1466" t="s">
        <v>460</v>
      </c>
      <c r="B1466">
        <v>33</v>
      </c>
      <c r="C1466" t="s">
        <v>584</v>
      </c>
      <c r="D1466" s="1">
        <v>0.86458333333333337</v>
      </c>
      <c r="E1466" t="s">
        <v>36</v>
      </c>
      <c r="F1466" t="s">
        <v>28</v>
      </c>
      <c r="G1466" t="s">
        <v>42</v>
      </c>
      <c r="H1466" t="s">
        <v>183</v>
      </c>
    </row>
    <row r="1467" spans="1:8" x14ac:dyDescent="0.3">
      <c r="A1467" t="s">
        <v>460</v>
      </c>
      <c r="B1467">
        <v>33</v>
      </c>
      <c r="C1467" t="s">
        <v>585</v>
      </c>
      <c r="D1467" s="1">
        <v>0.5</v>
      </c>
      <c r="E1467" t="s">
        <v>10</v>
      </c>
      <c r="F1467" t="s">
        <v>182</v>
      </c>
      <c r="G1467" t="s">
        <v>18</v>
      </c>
      <c r="H1467" t="s">
        <v>471</v>
      </c>
    </row>
    <row r="1468" spans="1:8" x14ac:dyDescent="0.3">
      <c r="A1468" t="s">
        <v>460</v>
      </c>
      <c r="B1468">
        <v>33</v>
      </c>
      <c r="C1468" t="s">
        <v>585</v>
      </c>
      <c r="D1468" s="1">
        <v>0.67708333333333337</v>
      </c>
      <c r="E1468" t="s">
        <v>35</v>
      </c>
      <c r="F1468" t="s">
        <v>26</v>
      </c>
      <c r="G1468" t="s">
        <v>42</v>
      </c>
      <c r="H1468" t="s">
        <v>341</v>
      </c>
    </row>
    <row r="1469" spans="1:8" x14ac:dyDescent="0.3">
      <c r="A1469" t="s">
        <v>460</v>
      </c>
      <c r="B1469">
        <v>33</v>
      </c>
      <c r="C1469" t="s">
        <v>585</v>
      </c>
      <c r="D1469" s="1">
        <v>0.77083333333333337</v>
      </c>
      <c r="E1469" t="s">
        <v>338</v>
      </c>
      <c r="F1469" t="s">
        <v>464</v>
      </c>
      <c r="G1469" s="2">
        <v>46023</v>
      </c>
      <c r="H1469" t="s">
        <v>467</v>
      </c>
    </row>
    <row r="1470" spans="1:8" x14ac:dyDescent="0.3">
      <c r="A1470" t="s">
        <v>460</v>
      </c>
      <c r="B1470">
        <v>33</v>
      </c>
      <c r="C1470" t="s">
        <v>585</v>
      </c>
      <c r="D1470" s="1">
        <v>0.86458333333333337</v>
      </c>
      <c r="E1470" t="s">
        <v>25</v>
      </c>
      <c r="F1470" t="s">
        <v>20</v>
      </c>
      <c r="G1470" s="2">
        <v>46083</v>
      </c>
      <c r="H1470" t="s">
        <v>185</v>
      </c>
    </row>
    <row r="1471" spans="1:8" x14ac:dyDescent="0.3">
      <c r="A1471" t="s">
        <v>460</v>
      </c>
      <c r="B1471">
        <v>33</v>
      </c>
      <c r="C1471" t="s">
        <v>586</v>
      </c>
      <c r="D1471" s="1">
        <v>0.86458333333333337</v>
      </c>
      <c r="E1471" t="s">
        <v>187</v>
      </c>
      <c r="F1471" t="s">
        <v>15</v>
      </c>
      <c r="G1471" t="s">
        <v>42</v>
      </c>
      <c r="H1471" t="s">
        <v>184</v>
      </c>
    </row>
    <row r="1472" spans="1:8" x14ac:dyDescent="0.3">
      <c r="A1472" t="s">
        <v>460</v>
      </c>
      <c r="B1472">
        <v>34</v>
      </c>
      <c r="C1472" t="s">
        <v>587</v>
      </c>
      <c r="D1472" s="1">
        <v>0.8125</v>
      </c>
      <c r="E1472" t="s">
        <v>340</v>
      </c>
      <c r="F1472" t="s">
        <v>36</v>
      </c>
      <c r="G1472" s="2">
        <v>46023</v>
      </c>
      <c r="H1472" t="s">
        <v>190</v>
      </c>
    </row>
    <row r="1473" spans="1:8" x14ac:dyDescent="0.3">
      <c r="A1473" t="s">
        <v>460</v>
      </c>
      <c r="B1473">
        <v>34</v>
      </c>
      <c r="C1473" t="s">
        <v>587</v>
      </c>
      <c r="D1473" s="1">
        <v>0.85416666666666663</v>
      </c>
      <c r="E1473" t="s">
        <v>24</v>
      </c>
      <c r="F1473" t="s">
        <v>17</v>
      </c>
      <c r="G1473" t="s">
        <v>54</v>
      </c>
      <c r="H1473" t="s">
        <v>195</v>
      </c>
    </row>
    <row r="1474" spans="1:8" x14ac:dyDescent="0.3">
      <c r="A1474" t="s">
        <v>460</v>
      </c>
      <c r="B1474">
        <v>34</v>
      </c>
      <c r="C1474" t="s">
        <v>587</v>
      </c>
      <c r="D1474" s="1">
        <v>0.89583333333333337</v>
      </c>
      <c r="E1474" t="s">
        <v>28</v>
      </c>
      <c r="F1474" t="s">
        <v>34</v>
      </c>
      <c r="G1474" t="s">
        <v>42</v>
      </c>
      <c r="H1474" t="s">
        <v>207</v>
      </c>
    </row>
    <row r="1475" spans="1:8" x14ac:dyDescent="0.3">
      <c r="A1475" t="s">
        <v>460</v>
      </c>
      <c r="B1475">
        <v>34</v>
      </c>
      <c r="C1475" t="s">
        <v>588</v>
      </c>
      <c r="D1475" s="1">
        <v>0.8125</v>
      </c>
      <c r="E1475" t="s">
        <v>20</v>
      </c>
      <c r="F1475" t="s">
        <v>23</v>
      </c>
      <c r="G1475" s="2">
        <v>46029</v>
      </c>
      <c r="H1475" t="s">
        <v>467</v>
      </c>
    </row>
    <row r="1476" spans="1:8" x14ac:dyDescent="0.3">
      <c r="A1476" t="s">
        <v>460</v>
      </c>
      <c r="B1476">
        <v>34</v>
      </c>
      <c r="C1476" t="s">
        <v>588</v>
      </c>
      <c r="D1476" s="1">
        <v>0.85416666666666663</v>
      </c>
      <c r="E1476" t="s">
        <v>16</v>
      </c>
      <c r="F1476" t="s">
        <v>10</v>
      </c>
      <c r="G1476" s="2">
        <v>46083</v>
      </c>
      <c r="H1476" t="s">
        <v>184</v>
      </c>
    </row>
    <row r="1477" spans="1:8" x14ac:dyDescent="0.3">
      <c r="A1477" t="s">
        <v>460</v>
      </c>
      <c r="B1477">
        <v>34</v>
      </c>
      <c r="C1477" t="s">
        <v>588</v>
      </c>
      <c r="D1477" s="1">
        <v>0.85416666666666663</v>
      </c>
      <c r="E1477" t="s">
        <v>466</v>
      </c>
      <c r="F1477" t="s">
        <v>338</v>
      </c>
      <c r="G1477" t="s">
        <v>32</v>
      </c>
      <c r="H1477" t="s">
        <v>183</v>
      </c>
    </row>
    <row r="1478" spans="1:8" x14ac:dyDescent="0.3">
      <c r="A1478" t="s">
        <v>460</v>
      </c>
      <c r="B1478">
        <v>34</v>
      </c>
      <c r="C1478" t="s">
        <v>588</v>
      </c>
      <c r="D1478" s="1">
        <v>0.89583333333333337</v>
      </c>
      <c r="E1478" t="s">
        <v>182</v>
      </c>
      <c r="F1478" t="s">
        <v>25</v>
      </c>
      <c r="G1478" s="2">
        <v>46175</v>
      </c>
      <c r="H1478" t="s">
        <v>345</v>
      </c>
    </row>
    <row r="1479" spans="1:8" x14ac:dyDescent="0.3">
      <c r="A1479" t="s">
        <v>460</v>
      </c>
      <c r="B1479">
        <v>34</v>
      </c>
      <c r="C1479" t="s">
        <v>589</v>
      </c>
      <c r="D1479" s="1">
        <v>0.8125</v>
      </c>
      <c r="E1479" t="s">
        <v>464</v>
      </c>
      <c r="F1479" t="s">
        <v>187</v>
      </c>
      <c r="G1479" t="s">
        <v>41</v>
      </c>
      <c r="H1479" t="s">
        <v>475</v>
      </c>
    </row>
    <row r="1480" spans="1:8" x14ac:dyDescent="0.3">
      <c r="A1480" t="s">
        <v>460</v>
      </c>
      <c r="B1480">
        <v>34</v>
      </c>
      <c r="C1480" t="s">
        <v>589</v>
      </c>
      <c r="D1480" s="1">
        <v>0.85416666666666663</v>
      </c>
      <c r="E1480" t="s">
        <v>27</v>
      </c>
      <c r="F1480" t="s">
        <v>35</v>
      </c>
      <c r="G1480" s="2">
        <v>46024</v>
      </c>
      <c r="H1480" t="s">
        <v>194</v>
      </c>
    </row>
    <row r="1481" spans="1:8" x14ac:dyDescent="0.3">
      <c r="A1481" t="s">
        <v>460</v>
      </c>
      <c r="B1481">
        <v>34</v>
      </c>
      <c r="C1481" t="s">
        <v>589</v>
      </c>
      <c r="D1481" s="1">
        <v>0.89583333333333337</v>
      </c>
      <c r="E1481" t="s">
        <v>15</v>
      </c>
      <c r="F1481" t="s">
        <v>26</v>
      </c>
      <c r="G1481" s="2">
        <v>46024</v>
      </c>
      <c r="H1481" t="s">
        <v>206</v>
      </c>
    </row>
    <row r="1482" spans="1:8" x14ac:dyDescent="0.3">
      <c r="A1482" t="s">
        <v>460</v>
      </c>
      <c r="B1482">
        <v>35</v>
      </c>
      <c r="C1482" t="s">
        <v>590</v>
      </c>
      <c r="D1482" s="1">
        <v>0.86458333333333337</v>
      </c>
      <c r="E1482" t="s">
        <v>34</v>
      </c>
      <c r="F1482" t="s">
        <v>340</v>
      </c>
      <c r="G1482" s="2">
        <v>46025</v>
      </c>
      <c r="H1482" t="s">
        <v>198</v>
      </c>
    </row>
    <row r="1483" spans="1:8" x14ac:dyDescent="0.3">
      <c r="A1483" t="s">
        <v>460</v>
      </c>
      <c r="B1483">
        <v>35</v>
      </c>
      <c r="C1483" t="s">
        <v>591</v>
      </c>
      <c r="D1483" s="1">
        <v>0.54166666666666663</v>
      </c>
      <c r="E1483" t="s">
        <v>10</v>
      </c>
      <c r="F1483" t="s">
        <v>24</v>
      </c>
      <c r="G1483" s="2">
        <v>46024</v>
      </c>
      <c r="H1483" t="s">
        <v>181</v>
      </c>
    </row>
    <row r="1484" spans="1:8" x14ac:dyDescent="0.3">
      <c r="A1484" t="s">
        <v>460</v>
      </c>
      <c r="B1484">
        <v>35</v>
      </c>
      <c r="C1484" t="s">
        <v>591</v>
      </c>
      <c r="D1484" s="1">
        <v>0.67708333333333337</v>
      </c>
      <c r="E1484" t="s">
        <v>25</v>
      </c>
      <c r="F1484" t="s">
        <v>16</v>
      </c>
      <c r="G1484" s="2">
        <v>46024</v>
      </c>
      <c r="H1484" t="s">
        <v>194</v>
      </c>
    </row>
    <row r="1485" spans="1:8" x14ac:dyDescent="0.3">
      <c r="A1485" t="s">
        <v>460</v>
      </c>
      <c r="B1485">
        <v>35</v>
      </c>
      <c r="C1485" t="s">
        <v>591</v>
      </c>
      <c r="D1485" s="1">
        <v>0.77083333333333337</v>
      </c>
      <c r="E1485" t="s">
        <v>338</v>
      </c>
      <c r="F1485" t="s">
        <v>28</v>
      </c>
      <c r="G1485" t="s">
        <v>72</v>
      </c>
      <c r="H1485" t="s">
        <v>341</v>
      </c>
    </row>
    <row r="1486" spans="1:8" x14ac:dyDescent="0.3">
      <c r="A1486" t="s">
        <v>460</v>
      </c>
      <c r="B1486">
        <v>35</v>
      </c>
      <c r="C1486" t="s">
        <v>591</v>
      </c>
      <c r="D1486" s="1">
        <v>0.86458333333333337</v>
      </c>
      <c r="E1486" t="s">
        <v>36</v>
      </c>
      <c r="F1486" t="s">
        <v>20</v>
      </c>
      <c r="G1486" t="s">
        <v>46</v>
      </c>
      <c r="H1486" t="s">
        <v>73</v>
      </c>
    </row>
    <row r="1487" spans="1:8" x14ac:dyDescent="0.3">
      <c r="A1487" t="s">
        <v>460</v>
      </c>
      <c r="B1487">
        <v>35</v>
      </c>
      <c r="C1487" t="s">
        <v>592</v>
      </c>
      <c r="D1487" s="1">
        <v>0.5</v>
      </c>
      <c r="E1487" t="s">
        <v>23</v>
      </c>
      <c r="F1487" t="s">
        <v>182</v>
      </c>
      <c r="G1487" s="2">
        <v>46055</v>
      </c>
      <c r="H1487" t="s">
        <v>185</v>
      </c>
    </row>
    <row r="1488" spans="1:8" x14ac:dyDescent="0.3">
      <c r="A1488" t="s">
        <v>460</v>
      </c>
      <c r="B1488">
        <v>35</v>
      </c>
      <c r="C1488" t="s">
        <v>592</v>
      </c>
      <c r="D1488" s="1">
        <v>0.67708333333333337</v>
      </c>
      <c r="E1488" t="s">
        <v>26</v>
      </c>
      <c r="F1488" t="s">
        <v>464</v>
      </c>
      <c r="G1488" s="2">
        <v>46113</v>
      </c>
      <c r="H1488" t="s">
        <v>471</v>
      </c>
    </row>
    <row r="1489" spans="1:8" x14ac:dyDescent="0.3">
      <c r="A1489" t="s">
        <v>460</v>
      </c>
      <c r="B1489">
        <v>35</v>
      </c>
      <c r="C1489" t="s">
        <v>592</v>
      </c>
      <c r="D1489" s="1">
        <v>0.77083333333333337</v>
      </c>
      <c r="E1489" t="s">
        <v>187</v>
      </c>
      <c r="F1489" t="s">
        <v>466</v>
      </c>
      <c r="G1489" t="s">
        <v>12</v>
      </c>
      <c r="H1489" t="s">
        <v>188</v>
      </c>
    </row>
    <row r="1490" spans="1:8" x14ac:dyDescent="0.3">
      <c r="A1490" t="s">
        <v>460</v>
      </c>
      <c r="B1490">
        <v>35</v>
      </c>
      <c r="C1490" t="s">
        <v>592</v>
      </c>
      <c r="D1490" s="1">
        <v>0.86458333333333337</v>
      </c>
      <c r="E1490" t="s">
        <v>35</v>
      </c>
      <c r="F1490" t="s">
        <v>15</v>
      </c>
      <c r="G1490" t="s">
        <v>46</v>
      </c>
      <c r="H1490" t="s">
        <v>191</v>
      </c>
    </row>
    <row r="1491" spans="1:8" x14ac:dyDescent="0.3">
      <c r="A1491" t="s">
        <v>460</v>
      </c>
      <c r="B1491">
        <v>35</v>
      </c>
      <c r="C1491" t="s">
        <v>593</v>
      </c>
      <c r="D1491" s="1">
        <v>0.875</v>
      </c>
      <c r="E1491" t="s">
        <v>17</v>
      </c>
      <c r="F1491" t="s">
        <v>27</v>
      </c>
      <c r="G1491" s="2">
        <v>46057</v>
      </c>
      <c r="H1491" t="s">
        <v>205</v>
      </c>
    </row>
    <row r="1492" spans="1:8" x14ac:dyDescent="0.3">
      <c r="A1492" t="s">
        <v>460</v>
      </c>
      <c r="B1492">
        <v>36</v>
      </c>
      <c r="C1492" t="s">
        <v>594</v>
      </c>
      <c r="D1492" s="1">
        <v>0.875</v>
      </c>
      <c r="E1492" t="s">
        <v>27</v>
      </c>
      <c r="F1492" t="s">
        <v>10</v>
      </c>
      <c r="G1492" s="2">
        <v>46023</v>
      </c>
      <c r="H1492" t="s">
        <v>206</v>
      </c>
    </row>
    <row r="1493" spans="1:8" x14ac:dyDescent="0.3">
      <c r="A1493" t="s">
        <v>460</v>
      </c>
      <c r="B1493">
        <v>36</v>
      </c>
      <c r="C1493" t="s">
        <v>595</v>
      </c>
      <c r="D1493" s="1">
        <v>0.54166666666666663</v>
      </c>
      <c r="E1493" t="s">
        <v>340</v>
      </c>
      <c r="F1493" t="s">
        <v>338</v>
      </c>
      <c r="G1493" t="s">
        <v>18</v>
      </c>
      <c r="H1493" t="s">
        <v>197</v>
      </c>
    </row>
    <row r="1494" spans="1:8" x14ac:dyDescent="0.3">
      <c r="A1494" t="s">
        <v>460</v>
      </c>
      <c r="B1494">
        <v>36</v>
      </c>
      <c r="C1494" t="s">
        <v>595</v>
      </c>
      <c r="D1494" s="1">
        <v>0.67708333333333337</v>
      </c>
      <c r="E1494" t="s">
        <v>28</v>
      </c>
      <c r="F1494" t="s">
        <v>187</v>
      </c>
      <c r="G1494" t="s">
        <v>18</v>
      </c>
      <c r="H1494" t="s">
        <v>191</v>
      </c>
    </row>
    <row r="1495" spans="1:8" x14ac:dyDescent="0.3">
      <c r="A1495" t="s">
        <v>460</v>
      </c>
      <c r="B1495">
        <v>36</v>
      </c>
      <c r="C1495" t="s">
        <v>595</v>
      </c>
      <c r="D1495" s="1">
        <v>0.77083333333333337</v>
      </c>
      <c r="E1495" t="s">
        <v>20</v>
      </c>
      <c r="F1495" t="s">
        <v>34</v>
      </c>
      <c r="G1495" s="2">
        <v>46026</v>
      </c>
      <c r="H1495" t="s">
        <v>345</v>
      </c>
    </row>
    <row r="1496" spans="1:8" x14ac:dyDescent="0.3">
      <c r="A1496" t="s">
        <v>460</v>
      </c>
      <c r="B1496">
        <v>36</v>
      </c>
      <c r="C1496" t="s">
        <v>595</v>
      </c>
      <c r="D1496" s="1">
        <v>0.86458333333333337</v>
      </c>
      <c r="E1496" t="s">
        <v>24</v>
      </c>
      <c r="F1496" t="s">
        <v>25</v>
      </c>
      <c r="G1496" t="s">
        <v>53</v>
      </c>
      <c r="H1496" t="s">
        <v>207</v>
      </c>
    </row>
    <row r="1497" spans="1:8" x14ac:dyDescent="0.3">
      <c r="A1497" t="s">
        <v>460</v>
      </c>
      <c r="B1497">
        <v>36</v>
      </c>
      <c r="C1497" t="s">
        <v>596</v>
      </c>
      <c r="D1497" s="1">
        <v>0.5</v>
      </c>
      <c r="E1497" t="s">
        <v>464</v>
      </c>
      <c r="F1497" t="s">
        <v>15</v>
      </c>
      <c r="G1497" t="s">
        <v>18</v>
      </c>
      <c r="H1497" t="s">
        <v>205</v>
      </c>
    </row>
    <row r="1498" spans="1:8" x14ac:dyDescent="0.3">
      <c r="A1498" t="s">
        <v>460</v>
      </c>
      <c r="B1498">
        <v>36</v>
      </c>
      <c r="C1498" t="s">
        <v>596</v>
      </c>
      <c r="D1498" s="1">
        <v>0.67708333333333337</v>
      </c>
      <c r="E1498" t="s">
        <v>16</v>
      </c>
      <c r="F1498" t="s">
        <v>23</v>
      </c>
      <c r="G1498" s="2">
        <v>46026</v>
      </c>
      <c r="H1498" t="s">
        <v>195</v>
      </c>
    </row>
    <row r="1499" spans="1:8" x14ac:dyDescent="0.3">
      <c r="A1499" t="s">
        <v>460</v>
      </c>
      <c r="B1499">
        <v>36</v>
      </c>
      <c r="C1499" t="s">
        <v>596</v>
      </c>
      <c r="D1499" s="1">
        <v>0.77083333333333337</v>
      </c>
      <c r="E1499" t="s">
        <v>182</v>
      </c>
      <c r="F1499" t="s">
        <v>36</v>
      </c>
      <c r="G1499" s="2">
        <v>46054</v>
      </c>
      <c r="H1499" t="s">
        <v>181</v>
      </c>
    </row>
    <row r="1500" spans="1:8" x14ac:dyDescent="0.3">
      <c r="A1500" t="s">
        <v>460</v>
      </c>
      <c r="B1500">
        <v>36</v>
      </c>
      <c r="C1500" t="s">
        <v>596</v>
      </c>
      <c r="D1500" s="1">
        <v>0.86458333333333337</v>
      </c>
      <c r="E1500" t="s">
        <v>17</v>
      </c>
      <c r="F1500" t="s">
        <v>35</v>
      </c>
      <c r="G1500" t="s">
        <v>32</v>
      </c>
      <c r="H1500" t="s">
        <v>184</v>
      </c>
    </row>
    <row r="1501" spans="1:8" x14ac:dyDescent="0.3">
      <c r="A1501" t="s">
        <v>460</v>
      </c>
      <c r="B1501">
        <v>36</v>
      </c>
      <c r="C1501" t="s">
        <v>597</v>
      </c>
      <c r="D1501" s="1">
        <v>0.86458333333333337</v>
      </c>
      <c r="E1501" t="s">
        <v>466</v>
      </c>
      <c r="F1501" t="s">
        <v>26</v>
      </c>
      <c r="G1501" t="s">
        <v>88</v>
      </c>
      <c r="H1501" t="s">
        <v>475</v>
      </c>
    </row>
    <row r="1502" spans="1:8" x14ac:dyDescent="0.3">
      <c r="A1502" t="s">
        <v>460</v>
      </c>
      <c r="B1502">
        <v>37</v>
      </c>
      <c r="C1502" t="s">
        <v>598</v>
      </c>
      <c r="D1502" s="1">
        <v>0.66666666666666663</v>
      </c>
      <c r="E1502" t="s">
        <v>36</v>
      </c>
      <c r="F1502" t="s">
        <v>16</v>
      </c>
      <c r="G1502" t="s">
        <v>42</v>
      </c>
      <c r="H1502" t="s">
        <v>471</v>
      </c>
    </row>
    <row r="1503" spans="1:8" x14ac:dyDescent="0.3">
      <c r="A1503" t="s">
        <v>460</v>
      </c>
      <c r="B1503">
        <v>37</v>
      </c>
      <c r="C1503" t="s">
        <v>598</v>
      </c>
      <c r="D1503" s="1">
        <v>0.77083333333333337</v>
      </c>
      <c r="E1503" t="s">
        <v>23</v>
      </c>
      <c r="F1503" t="s">
        <v>24</v>
      </c>
      <c r="G1503" s="2">
        <v>46024</v>
      </c>
      <c r="H1503" t="s">
        <v>183</v>
      </c>
    </row>
    <row r="1504" spans="1:8" x14ac:dyDescent="0.3">
      <c r="A1504" t="s">
        <v>460</v>
      </c>
      <c r="B1504">
        <v>37</v>
      </c>
      <c r="C1504" t="s">
        <v>599</v>
      </c>
      <c r="D1504" s="1">
        <v>0.66666666666666663</v>
      </c>
      <c r="E1504" t="s">
        <v>464</v>
      </c>
      <c r="F1504" t="s">
        <v>35</v>
      </c>
      <c r="G1504" s="2">
        <v>46025</v>
      </c>
      <c r="H1504" t="s">
        <v>467</v>
      </c>
    </row>
    <row r="1505" spans="1:8" x14ac:dyDescent="0.3">
      <c r="A1505" t="s">
        <v>460</v>
      </c>
      <c r="B1505">
        <v>37</v>
      </c>
      <c r="C1505" t="s">
        <v>599</v>
      </c>
      <c r="D1505" s="1">
        <v>0.83333333333333337</v>
      </c>
      <c r="E1505" t="s">
        <v>15</v>
      </c>
      <c r="F1505" t="s">
        <v>466</v>
      </c>
      <c r="G1505" s="2">
        <v>46023</v>
      </c>
      <c r="H1505" t="s">
        <v>191</v>
      </c>
    </row>
    <row r="1506" spans="1:8" x14ac:dyDescent="0.3">
      <c r="A1506" t="s">
        <v>460</v>
      </c>
      <c r="B1506">
        <v>37</v>
      </c>
      <c r="C1506" t="s">
        <v>599</v>
      </c>
      <c r="D1506" s="1">
        <v>0.83333333333333337</v>
      </c>
      <c r="E1506" t="s">
        <v>26</v>
      </c>
      <c r="F1506" t="s">
        <v>28</v>
      </c>
      <c r="G1506" s="2">
        <v>46023</v>
      </c>
      <c r="H1506" t="s">
        <v>188</v>
      </c>
    </row>
    <row r="1507" spans="1:8" x14ac:dyDescent="0.3">
      <c r="A1507" t="s">
        <v>460</v>
      </c>
      <c r="B1507">
        <v>37</v>
      </c>
      <c r="C1507" t="s">
        <v>599</v>
      </c>
      <c r="D1507" s="1">
        <v>0.83333333333333337</v>
      </c>
      <c r="E1507" t="s">
        <v>25</v>
      </c>
      <c r="F1507" t="s">
        <v>27</v>
      </c>
      <c r="G1507" s="2">
        <v>46026</v>
      </c>
      <c r="H1507" t="s">
        <v>73</v>
      </c>
    </row>
    <row r="1508" spans="1:8" x14ac:dyDescent="0.3">
      <c r="A1508" t="s">
        <v>460</v>
      </c>
      <c r="B1508">
        <v>37</v>
      </c>
      <c r="C1508" t="s">
        <v>599</v>
      </c>
      <c r="D1508" s="1">
        <v>0.83333333333333337</v>
      </c>
      <c r="E1508" t="s">
        <v>10</v>
      </c>
      <c r="F1508" t="s">
        <v>17</v>
      </c>
      <c r="G1508" s="2">
        <v>46055</v>
      </c>
      <c r="H1508" t="s">
        <v>197</v>
      </c>
    </row>
    <row r="1509" spans="1:8" x14ac:dyDescent="0.3">
      <c r="A1509" t="s">
        <v>460</v>
      </c>
      <c r="B1509">
        <v>37</v>
      </c>
      <c r="C1509" t="s">
        <v>599</v>
      </c>
      <c r="D1509" s="1">
        <v>0.83333333333333337</v>
      </c>
      <c r="E1509" t="s">
        <v>34</v>
      </c>
      <c r="F1509" t="s">
        <v>182</v>
      </c>
      <c r="G1509" t="s">
        <v>41</v>
      </c>
      <c r="H1509" t="s">
        <v>194</v>
      </c>
    </row>
    <row r="1510" spans="1:8" x14ac:dyDescent="0.3">
      <c r="A1510" t="s">
        <v>460</v>
      </c>
      <c r="B1510">
        <v>37</v>
      </c>
      <c r="C1510" t="s">
        <v>599</v>
      </c>
      <c r="D1510" s="1">
        <v>0.83333333333333337</v>
      </c>
      <c r="E1510" t="s">
        <v>187</v>
      </c>
      <c r="F1510" t="s">
        <v>340</v>
      </c>
      <c r="G1510" t="s">
        <v>42</v>
      </c>
      <c r="H1510" t="s">
        <v>205</v>
      </c>
    </row>
    <row r="1511" spans="1:8" x14ac:dyDescent="0.3">
      <c r="A1511" t="s">
        <v>460</v>
      </c>
      <c r="B1511">
        <v>37</v>
      </c>
      <c r="C1511" t="s">
        <v>599</v>
      </c>
      <c r="D1511" s="1">
        <v>0.83333333333333337</v>
      </c>
      <c r="E1511" t="s">
        <v>338</v>
      </c>
      <c r="F1511" t="s">
        <v>20</v>
      </c>
      <c r="G1511" s="2">
        <v>46113</v>
      </c>
      <c r="H1511" t="s">
        <v>206</v>
      </c>
    </row>
    <row r="1512" spans="1:8" x14ac:dyDescent="0.3">
      <c r="A1512" t="s">
        <v>460</v>
      </c>
      <c r="B1512">
        <v>38</v>
      </c>
      <c r="C1512" t="s">
        <v>600</v>
      </c>
      <c r="D1512" s="1">
        <v>0.86458333333333337</v>
      </c>
      <c r="E1512" t="s">
        <v>24</v>
      </c>
      <c r="F1512" t="s">
        <v>36</v>
      </c>
      <c r="G1512" s="2">
        <v>46054</v>
      </c>
      <c r="H1512" t="s">
        <v>195</v>
      </c>
    </row>
    <row r="1513" spans="1:8" x14ac:dyDescent="0.3">
      <c r="A1513" t="s">
        <v>460</v>
      </c>
      <c r="B1513">
        <v>38</v>
      </c>
      <c r="C1513" t="s">
        <v>601</v>
      </c>
      <c r="D1513" s="1">
        <v>0.70833333333333337</v>
      </c>
      <c r="E1513" t="s">
        <v>340</v>
      </c>
      <c r="F1513" t="s">
        <v>26</v>
      </c>
      <c r="G1513" s="2">
        <v>46055</v>
      </c>
      <c r="H1513" t="s">
        <v>207</v>
      </c>
    </row>
    <row r="1514" spans="1:8" x14ac:dyDescent="0.3">
      <c r="A1514" t="s">
        <v>460</v>
      </c>
      <c r="B1514">
        <v>38</v>
      </c>
      <c r="C1514" t="s">
        <v>601</v>
      </c>
      <c r="D1514" s="1">
        <v>0.79166666666666663</v>
      </c>
      <c r="E1514" t="s">
        <v>182</v>
      </c>
      <c r="F1514" t="s">
        <v>338</v>
      </c>
      <c r="G1514" t="s">
        <v>32</v>
      </c>
      <c r="H1514" t="s">
        <v>190</v>
      </c>
    </row>
    <row r="1515" spans="1:8" x14ac:dyDescent="0.3">
      <c r="A1515" t="s">
        <v>460</v>
      </c>
      <c r="B1515">
        <v>38</v>
      </c>
      <c r="C1515" t="s">
        <v>601</v>
      </c>
      <c r="D1515" s="1">
        <v>0.79166666666666663</v>
      </c>
      <c r="E1515" t="s">
        <v>466</v>
      </c>
      <c r="F1515" t="s">
        <v>464</v>
      </c>
      <c r="G1515" s="2">
        <v>46023</v>
      </c>
      <c r="H1515" t="s">
        <v>206</v>
      </c>
    </row>
    <row r="1516" spans="1:8" x14ac:dyDescent="0.3">
      <c r="A1516" t="s">
        <v>460</v>
      </c>
      <c r="B1516">
        <v>38</v>
      </c>
      <c r="C1516" t="s">
        <v>601</v>
      </c>
      <c r="D1516" s="1">
        <v>0.875</v>
      </c>
      <c r="E1516" t="s">
        <v>27</v>
      </c>
      <c r="F1516" t="s">
        <v>23</v>
      </c>
      <c r="G1516" t="s">
        <v>40</v>
      </c>
      <c r="H1516" t="s">
        <v>184</v>
      </c>
    </row>
    <row r="1517" spans="1:8" x14ac:dyDescent="0.3">
      <c r="A1517" t="s">
        <v>460</v>
      </c>
      <c r="B1517">
        <v>38</v>
      </c>
      <c r="C1517" t="s">
        <v>602</v>
      </c>
      <c r="D1517" s="1">
        <v>0.69791666666666663</v>
      </c>
      <c r="E1517" t="s">
        <v>28</v>
      </c>
      <c r="F1517" t="s">
        <v>15</v>
      </c>
      <c r="G1517" s="2">
        <v>46025</v>
      </c>
      <c r="H1517" t="s">
        <v>198</v>
      </c>
    </row>
    <row r="1518" spans="1:8" x14ac:dyDescent="0.3">
      <c r="A1518" t="s">
        <v>460</v>
      </c>
      <c r="B1518">
        <v>38</v>
      </c>
      <c r="C1518" t="s">
        <v>602</v>
      </c>
      <c r="D1518" s="1">
        <v>0.69791666666666663</v>
      </c>
      <c r="E1518" t="s">
        <v>35</v>
      </c>
      <c r="F1518" t="s">
        <v>10</v>
      </c>
      <c r="G1518" s="2">
        <v>46055</v>
      </c>
      <c r="H1518" t="s">
        <v>345</v>
      </c>
    </row>
    <row r="1519" spans="1:8" x14ac:dyDescent="0.3">
      <c r="A1519" t="s">
        <v>460</v>
      </c>
      <c r="B1519">
        <v>38</v>
      </c>
      <c r="C1519" t="s">
        <v>602</v>
      </c>
      <c r="D1519" s="1">
        <v>0.69791666666666663</v>
      </c>
      <c r="E1519" t="s">
        <v>16</v>
      </c>
      <c r="F1519" t="s">
        <v>34</v>
      </c>
      <c r="G1519" s="2">
        <v>46082</v>
      </c>
      <c r="H1519" t="s">
        <v>191</v>
      </c>
    </row>
    <row r="1520" spans="1:8" x14ac:dyDescent="0.3">
      <c r="A1520" t="s">
        <v>460</v>
      </c>
      <c r="B1520">
        <v>38</v>
      </c>
      <c r="C1520" t="s">
        <v>602</v>
      </c>
      <c r="D1520" s="1">
        <v>0.83333333333333337</v>
      </c>
      <c r="E1520" t="s">
        <v>20</v>
      </c>
      <c r="F1520" t="s">
        <v>187</v>
      </c>
      <c r="G1520" s="2">
        <v>46057</v>
      </c>
      <c r="H1520" t="s">
        <v>185</v>
      </c>
    </row>
    <row r="1521" spans="1:8" x14ac:dyDescent="0.3">
      <c r="A1521" t="s">
        <v>460</v>
      </c>
      <c r="B1521">
        <v>38</v>
      </c>
      <c r="C1521" t="s">
        <v>602</v>
      </c>
      <c r="D1521" s="1">
        <v>0.83333333333333337</v>
      </c>
      <c r="E1521" t="s">
        <v>17</v>
      </c>
      <c r="F1521" t="s">
        <v>25</v>
      </c>
      <c r="G1521" t="s">
        <v>54</v>
      </c>
      <c r="H1521" t="s">
        <v>341</v>
      </c>
    </row>
    <row r="1522" spans="1:8" x14ac:dyDescent="0.3">
      <c r="A1522" t="s">
        <v>603</v>
      </c>
      <c r="B1522">
        <v>1</v>
      </c>
      <c r="C1522" t="s">
        <v>604</v>
      </c>
      <c r="D1522" s="1">
        <v>0.84375</v>
      </c>
      <c r="E1522" t="s">
        <v>466</v>
      </c>
      <c r="F1522" t="s">
        <v>464</v>
      </c>
      <c r="G1522" t="s">
        <v>18</v>
      </c>
      <c r="H1522" t="s">
        <v>467</v>
      </c>
    </row>
    <row r="1523" spans="1:8" x14ac:dyDescent="0.3">
      <c r="A1523" t="s">
        <v>603</v>
      </c>
      <c r="B1523">
        <v>1</v>
      </c>
      <c r="C1523" t="s">
        <v>604</v>
      </c>
      <c r="D1523" s="1">
        <v>0.92708333333333337</v>
      </c>
      <c r="E1523" t="s">
        <v>16</v>
      </c>
      <c r="F1523" t="s">
        <v>338</v>
      </c>
      <c r="G1523" t="s">
        <v>18</v>
      </c>
      <c r="H1523" t="s">
        <v>194</v>
      </c>
    </row>
    <row r="1524" spans="1:8" x14ac:dyDescent="0.3">
      <c r="A1524" t="s">
        <v>603</v>
      </c>
      <c r="B1524">
        <v>1</v>
      </c>
      <c r="C1524" t="s">
        <v>605</v>
      </c>
      <c r="D1524" s="1">
        <v>0.76041666666666663</v>
      </c>
      <c r="E1524" t="s">
        <v>35</v>
      </c>
      <c r="F1524" t="s">
        <v>10</v>
      </c>
      <c r="G1524" s="2">
        <v>46083</v>
      </c>
      <c r="H1524" t="s">
        <v>181</v>
      </c>
    </row>
    <row r="1525" spans="1:8" x14ac:dyDescent="0.3">
      <c r="A1525" t="s">
        <v>603</v>
      </c>
      <c r="B1525">
        <v>1</v>
      </c>
      <c r="C1525" t="s">
        <v>605</v>
      </c>
      <c r="D1525" s="1">
        <v>0.84375</v>
      </c>
      <c r="E1525" t="s">
        <v>606</v>
      </c>
      <c r="F1525" t="s">
        <v>28</v>
      </c>
      <c r="G1525" s="2">
        <v>46055</v>
      </c>
      <c r="H1525" t="s">
        <v>205</v>
      </c>
    </row>
    <row r="1526" spans="1:8" x14ac:dyDescent="0.3">
      <c r="A1526" t="s">
        <v>603</v>
      </c>
      <c r="B1526">
        <v>1</v>
      </c>
      <c r="C1526" t="s">
        <v>605</v>
      </c>
      <c r="D1526" s="1">
        <v>0.92708333333333337</v>
      </c>
      <c r="E1526" t="s">
        <v>27</v>
      </c>
      <c r="F1526" t="s">
        <v>36</v>
      </c>
      <c r="G1526" s="2">
        <v>46023</v>
      </c>
      <c r="H1526" t="s">
        <v>185</v>
      </c>
    </row>
    <row r="1527" spans="1:8" x14ac:dyDescent="0.3">
      <c r="A1527" t="s">
        <v>603</v>
      </c>
      <c r="B1527">
        <v>1</v>
      </c>
      <c r="C1527" t="s">
        <v>607</v>
      </c>
      <c r="D1527" s="1">
        <v>0.76041666666666663</v>
      </c>
      <c r="E1527" t="s">
        <v>15</v>
      </c>
      <c r="F1527" t="s">
        <v>11</v>
      </c>
      <c r="G1527" t="s">
        <v>41</v>
      </c>
      <c r="H1527" t="s">
        <v>190</v>
      </c>
    </row>
    <row r="1528" spans="1:8" x14ac:dyDescent="0.3">
      <c r="A1528" t="s">
        <v>603</v>
      </c>
      <c r="B1528">
        <v>1</v>
      </c>
      <c r="C1528" t="s">
        <v>607</v>
      </c>
      <c r="D1528" s="1">
        <v>0.84375</v>
      </c>
      <c r="E1528" t="s">
        <v>20</v>
      </c>
      <c r="F1528" t="s">
        <v>26</v>
      </c>
      <c r="G1528" t="s">
        <v>12</v>
      </c>
      <c r="H1528" t="s">
        <v>475</v>
      </c>
    </row>
    <row r="1529" spans="1:8" x14ac:dyDescent="0.3">
      <c r="A1529" t="s">
        <v>603</v>
      </c>
      <c r="B1529">
        <v>1</v>
      </c>
      <c r="C1529" t="s">
        <v>607</v>
      </c>
      <c r="D1529" s="1">
        <v>0.92708333333333337</v>
      </c>
      <c r="E1529" t="s">
        <v>182</v>
      </c>
      <c r="F1529" t="s">
        <v>25</v>
      </c>
      <c r="G1529" t="s">
        <v>46</v>
      </c>
      <c r="H1529" t="s">
        <v>206</v>
      </c>
    </row>
    <row r="1530" spans="1:8" x14ac:dyDescent="0.3">
      <c r="A1530" t="s">
        <v>603</v>
      </c>
      <c r="B1530">
        <v>1</v>
      </c>
      <c r="C1530" t="s">
        <v>608</v>
      </c>
      <c r="D1530" s="1">
        <v>0.84375</v>
      </c>
      <c r="E1530" t="s">
        <v>21</v>
      </c>
      <c r="F1530" t="s">
        <v>34</v>
      </c>
      <c r="G1530" t="s">
        <v>18</v>
      </c>
      <c r="H1530" t="s">
        <v>188</v>
      </c>
    </row>
    <row r="1531" spans="1:8" x14ac:dyDescent="0.3">
      <c r="A1531" t="s">
        <v>603</v>
      </c>
      <c r="B1531">
        <v>1</v>
      </c>
      <c r="C1531" t="s">
        <v>608</v>
      </c>
      <c r="D1531" s="1">
        <v>0.91666666666666663</v>
      </c>
      <c r="E1531" t="s">
        <v>17</v>
      </c>
      <c r="F1531" t="s">
        <v>187</v>
      </c>
      <c r="G1531" t="s">
        <v>42</v>
      </c>
      <c r="H1531" t="s">
        <v>609</v>
      </c>
    </row>
    <row r="1532" spans="1:8" x14ac:dyDescent="0.3">
      <c r="A1532" t="s">
        <v>603</v>
      </c>
      <c r="B1532">
        <v>2</v>
      </c>
      <c r="C1532" t="s">
        <v>610</v>
      </c>
      <c r="D1532" s="1">
        <v>0.84375</v>
      </c>
      <c r="E1532" t="s">
        <v>10</v>
      </c>
      <c r="F1532" t="s">
        <v>34</v>
      </c>
      <c r="G1532" t="s">
        <v>32</v>
      </c>
      <c r="H1532" t="s">
        <v>198</v>
      </c>
    </row>
    <row r="1533" spans="1:8" x14ac:dyDescent="0.3">
      <c r="A1533" t="s">
        <v>603</v>
      </c>
      <c r="B1533">
        <v>2</v>
      </c>
      <c r="C1533" t="s">
        <v>610</v>
      </c>
      <c r="D1533" s="1">
        <v>0.91666666666666663</v>
      </c>
      <c r="E1533" t="s">
        <v>26</v>
      </c>
      <c r="F1533" t="s">
        <v>35</v>
      </c>
      <c r="G1533" s="2">
        <v>46024</v>
      </c>
      <c r="H1533" t="s">
        <v>341</v>
      </c>
    </row>
    <row r="1534" spans="1:8" x14ac:dyDescent="0.3">
      <c r="A1534" t="s">
        <v>603</v>
      </c>
      <c r="B1534">
        <v>2</v>
      </c>
      <c r="C1534" t="s">
        <v>611</v>
      </c>
      <c r="D1534" s="1">
        <v>0.76041666666666663</v>
      </c>
      <c r="E1534" t="s">
        <v>464</v>
      </c>
      <c r="F1534" t="s">
        <v>20</v>
      </c>
      <c r="G1534" t="s">
        <v>54</v>
      </c>
      <c r="H1534" t="s">
        <v>184</v>
      </c>
    </row>
    <row r="1535" spans="1:8" x14ac:dyDescent="0.3">
      <c r="A1535" t="s">
        <v>603</v>
      </c>
      <c r="B1535">
        <v>2</v>
      </c>
      <c r="C1535" t="s">
        <v>611</v>
      </c>
      <c r="D1535" s="1">
        <v>0.84375</v>
      </c>
      <c r="E1535" t="s">
        <v>21</v>
      </c>
      <c r="F1535" t="s">
        <v>182</v>
      </c>
      <c r="G1535" s="2">
        <v>46055</v>
      </c>
      <c r="H1535" t="s">
        <v>612</v>
      </c>
    </row>
    <row r="1536" spans="1:8" x14ac:dyDescent="0.3">
      <c r="A1536" t="s">
        <v>603</v>
      </c>
      <c r="B1536">
        <v>2</v>
      </c>
      <c r="C1536" t="s">
        <v>611</v>
      </c>
      <c r="D1536" s="1">
        <v>0.84375</v>
      </c>
      <c r="E1536" t="s">
        <v>606</v>
      </c>
      <c r="F1536" t="s">
        <v>17</v>
      </c>
      <c r="G1536" t="s">
        <v>18</v>
      </c>
      <c r="H1536" t="s">
        <v>197</v>
      </c>
    </row>
    <row r="1537" spans="1:8" x14ac:dyDescent="0.3">
      <c r="A1537" t="s">
        <v>603</v>
      </c>
      <c r="B1537">
        <v>2</v>
      </c>
      <c r="C1537" t="s">
        <v>611</v>
      </c>
      <c r="D1537" s="1">
        <v>0.92708333333333337</v>
      </c>
      <c r="E1537" t="s">
        <v>338</v>
      </c>
      <c r="F1537" t="s">
        <v>28</v>
      </c>
      <c r="G1537" s="2">
        <v>46143</v>
      </c>
      <c r="H1537" t="s">
        <v>207</v>
      </c>
    </row>
    <row r="1538" spans="1:8" x14ac:dyDescent="0.3">
      <c r="A1538" t="s">
        <v>603</v>
      </c>
      <c r="B1538">
        <v>2</v>
      </c>
      <c r="C1538" t="s">
        <v>613</v>
      </c>
      <c r="D1538" s="1">
        <v>0.76041666666666663</v>
      </c>
      <c r="E1538" t="s">
        <v>36</v>
      </c>
      <c r="F1538" t="s">
        <v>466</v>
      </c>
      <c r="G1538" t="s">
        <v>42</v>
      </c>
      <c r="H1538" t="s">
        <v>614</v>
      </c>
    </row>
    <row r="1539" spans="1:8" x14ac:dyDescent="0.3">
      <c r="A1539" t="s">
        <v>603</v>
      </c>
      <c r="B1539">
        <v>2</v>
      </c>
      <c r="C1539" t="s">
        <v>613</v>
      </c>
      <c r="D1539" s="1">
        <v>0.76041666666666663</v>
      </c>
      <c r="E1539" t="s">
        <v>187</v>
      </c>
      <c r="F1539" t="s">
        <v>15</v>
      </c>
      <c r="G1539" t="s">
        <v>42</v>
      </c>
      <c r="H1539" t="s">
        <v>345</v>
      </c>
    </row>
    <row r="1540" spans="1:8" x14ac:dyDescent="0.3">
      <c r="A1540" t="s">
        <v>603</v>
      </c>
      <c r="B1540">
        <v>2</v>
      </c>
      <c r="C1540" t="s">
        <v>613</v>
      </c>
      <c r="D1540" s="1">
        <v>0.84375</v>
      </c>
      <c r="E1540" t="s">
        <v>11</v>
      </c>
      <c r="F1540" t="s">
        <v>27</v>
      </c>
      <c r="G1540" t="s">
        <v>42</v>
      </c>
      <c r="H1540" t="s">
        <v>73</v>
      </c>
    </row>
    <row r="1541" spans="1:8" x14ac:dyDescent="0.3">
      <c r="A1541" t="s">
        <v>603</v>
      </c>
      <c r="B1541">
        <v>2</v>
      </c>
      <c r="C1541" t="s">
        <v>613</v>
      </c>
      <c r="D1541" s="1">
        <v>0.92708333333333337</v>
      </c>
      <c r="E1541" t="s">
        <v>25</v>
      </c>
      <c r="F1541" t="s">
        <v>16</v>
      </c>
      <c r="G1541" s="2">
        <v>46055</v>
      </c>
      <c r="H1541" t="s">
        <v>191</v>
      </c>
    </row>
    <row r="1542" spans="1:8" x14ac:dyDescent="0.3">
      <c r="A1542" t="s">
        <v>603</v>
      </c>
      <c r="B1542">
        <v>3</v>
      </c>
      <c r="C1542" t="s">
        <v>615</v>
      </c>
      <c r="D1542" s="1">
        <v>0.875</v>
      </c>
      <c r="E1542" t="s">
        <v>466</v>
      </c>
      <c r="F1542" t="s">
        <v>11</v>
      </c>
      <c r="G1542" s="2">
        <v>46054</v>
      </c>
      <c r="H1542" t="s">
        <v>188</v>
      </c>
    </row>
    <row r="1543" spans="1:8" x14ac:dyDescent="0.3">
      <c r="A1543" t="s">
        <v>603</v>
      </c>
      <c r="B1543">
        <v>3</v>
      </c>
      <c r="C1543" t="s">
        <v>616</v>
      </c>
      <c r="D1543" s="1">
        <v>0.54166666666666663</v>
      </c>
      <c r="E1543" t="s">
        <v>25</v>
      </c>
      <c r="F1543" t="s">
        <v>21</v>
      </c>
      <c r="G1543" s="2">
        <v>46023</v>
      </c>
      <c r="H1543" t="s">
        <v>185</v>
      </c>
    </row>
    <row r="1544" spans="1:8" x14ac:dyDescent="0.3">
      <c r="A1544" t="s">
        <v>603</v>
      </c>
      <c r="B1544">
        <v>3</v>
      </c>
      <c r="C1544" t="s">
        <v>616</v>
      </c>
      <c r="D1544" s="1">
        <v>0.67708333333333337</v>
      </c>
      <c r="E1544" t="s">
        <v>16</v>
      </c>
      <c r="F1544" t="s">
        <v>28</v>
      </c>
      <c r="G1544" t="s">
        <v>41</v>
      </c>
      <c r="H1544" t="s">
        <v>206</v>
      </c>
    </row>
    <row r="1545" spans="1:8" x14ac:dyDescent="0.3">
      <c r="A1545" t="s">
        <v>603</v>
      </c>
      <c r="B1545">
        <v>3</v>
      </c>
      <c r="C1545" t="s">
        <v>616</v>
      </c>
      <c r="D1545" s="1">
        <v>0.77083333333333337</v>
      </c>
      <c r="E1545" t="s">
        <v>27</v>
      </c>
      <c r="F1545" t="s">
        <v>187</v>
      </c>
      <c r="G1545" t="s">
        <v>32</v>
      </c>
      <c r="H1545" t="s">
        <v>181</v>
      </c>
    </row>
    <row r="1546" spans="1:8" x14ac:dyDescent="0.3">
      <c r="A1546" t="s">
        <v>603</v>
      </c>
      <c r="B1546">
        <v>3</v>
      </c>
      <c r="C1546" t="s">
        <v>616</v>
      </c>
      <c r="D1546" s="1">
        <v>0.86458333333333337</v>
      </c>
      <c r="E1546" t="s">
        <v>20</v>
      </c>
      <c r="F1546" t="s">
        <v>36</v>
      </c>
      <c r="G1546" t="s">
        <v>40</v>
      </c>
      <c r="H1546" t="s">
        <v>194</v>
      </c>
    </row>
    <row r="1547" spans="1:8" x14ac:dyDescent="0.3">
      <c r="A1547" t="s">
        <v>603</v>
      </c>
      <c r="B1547">
        <v>3</v>
      </c>
      <c r="C1547" t="s">
        <v>617</v>
      </c>
      <c r="D1547" s="1">
        <v>0.5</v>
      </c>
      <c r="E1547" t="s">
        <v>182</v>
      </c>
      <c r="F1547" t="s">
        <v>10</v>
      </c>
      <c r="G1547" s="2">
        <v>46114</v>
      </c>
      <c r="H1547" t="s">
        <v>467</v>
      </c>
    </row>
    <row r="1548" spans="1:8" x14ac:dyDescent="0.3">
      <c r="A1548" t="s">
        <v>603</v>
      </c>
      <c r="B1548">
        <v>3</v>
      </c>
      <c r="C1548" t="s">
        <v>617</v>
      </c>
      <c r="D1548" s="1">
        <v>0.67708333333333337</v>
      </c>
      <c r="E1548" t="s">
        <v>15</v>
      </c>
      <c r="F1548" t="s">
        <v>606</v>
      </c>
      <c r="G1548" t="s">
        <v>12</v>
      </c>
      <c r="H1548" t="s">
        <v>475</v>
      </c>
    </row>
    <row r="1549" spans="1:8" x14ac:dyDescent="0.3">
      <c r="A1549" t="s">
        <v>603</v>
      </c>
      <c r="B1549">
        <v>3</v>
      </c>
      <c r="C1549" t="s">
        <v>617</v>
      </c>
      <c r="D1549" s="1">
        <v>0.77083333333333337</v>
      </c>
      <c r="E1549" t="s">
        <v>35</v>
      </c>
      <c r="F1549" t="s">
        <v>464</v>
      </c>
      <c r="G1549" t="s">
        <v>18</v>
      </c>
      <c r="H1549" t="s">
        <v>190</v>
      </c>
    </row>
    <row r="1550" spans="1:8" x14ac:dyDescent="0.3">
      <c r="A1550" t="s">
        <v>603</v>
      </c>
      <c r="B1550">
        <v>3</v>
      </c>
      <c r="C1550" t="s">
        <v>617</v>
      </c>
      <c r="D1550" s="1">
        <v>0.86458333333333337</v>
      </c>
      <c r="E1550" t="s">
        <v>34</v>
      </c>
      <c r="F1550" t="s">
        <v>26</v>
      </c>
      <c r="G1550" s="2">
        <v>46025</v>
      </c>
      <c r="H1550" t="s">
        <v>609</v>
      </c>
    </row>
    <row r="1551" spans="1:8" x14ac:dyDescent="0.3">
      <c r="A1551" t="s">
        <v>603</v>
      </c>
      <c r="B1551">
        <v>3</v>
      </c>
      <c r="C1551" t="s">
        <v>618</v>
      </c>
      <c r="D1551" s="1">
        <v>0.875</v>
      </c>
      <c r="E1551" t="s">
        <v>17</v>
      </c>
      <c r="F1551" t="s">
        <v>338</v>
      </c>
      <c r="G1551" s="2">
        <v>46082</v>
      </c>
      <c r="H1551" t="s">
        <v>198</v>
      </c>
    </row>
    <row r="1552" spans="1:8" x14ac:dyDescent="0.3">
      <c r="A1552" t="s">
        <v>603</v>
      </c>
      <c r="B1552">
        <v>4</v>
      </c>
      <c r="C1552" t="s">
        <v>619</v>
      </c>
      <c r="D1552" s="1">
        <v>0.875</v>
      </c>
      <c r="E1552" t="s">
        <v>187</v>
      </c>
      <c r="F1552" t="s">
        <v>466</v>
      </c>
      <c r="G1552" t="s">
        <v>18</v>
      </c>
      <c r="H1552" t="s">
        <v>205</v>
      </c>
    </row>
    <row r="1553" spans="1:8" x14ac:dyDescent="0.3">
      <c r="A1553" t="s">
        <v>603</v>
      </c>
      <c r="B1553">
        <v>4</v>
      </c>
      <c r="C1553" t="s">
        <v>620</v>
      </c>
      <c r="D1553" s="1">
        <v>0.54166666666666663</v>
      </c>
      <c r="E1553" t="s">
        <v>21</v>
      </c>
      <c r="F1553" t="s">
        <v>16</v>
      </c>
      <c r="G1553" s="2">
        <v>46023</v>
      </c>
      <c r="H1553" t="s">
        <v>184</v>
      </c>
    </row>
    <row r="1554" spans="1:8" x14ac:dyDescent="0.3">
      <c r="A1554" t="s">
        <v>603</v>
      </c>
      <c r="B1554">
        <v>4</v>
      </c>
      <c r="C1554" t="s">
        <v>620</v>
      </c>
      <c r="D1554" s="1">
        <v>0.67708333333333337</v>
      </c>
      <c r="E1554" t="s">
        <v>11</v>
      </c>
      <c r="F1554" t="s">
        <v>20</v>
      </c>
      <c r="G1554" s="2">
        <v>46054</v>
      </c>
      <c r="H1554" t="s">
        <v>191</v>
      </c>
    </row>
    <row r="1555" spans="1:8" x14ac:dyDescent="0.3">
      <c r="A1555" t="s">
        <v>603</v>
      </c>
      <c r="B1555">
        <v>4</v>
      </c>
      <c r="C1555" t="s">
        <v>620</v>
      </c>
      <c r="D1555" s="1">
        <v>0.77083333333333337</v>
      </c>
      <c r="E1555" t="s">
        <v>26</v>
      </c>
      <c r="F1555" t="s">
        <v>182</v>
      </c>
      <c r="G1555" s="2">
        <v>46024</v>
      </c>
      <c r="H1555" t="s">
        <v>73</v>
      </c>
    </row>
    <row r="1556" spans="1:8" x14ac:dyDescent="0.3">
      <c r="A1556" t="s">
        <v>603</v>
      </c>
      <c r="B1556">
        <v>4</v>
      </c>
      <c r="C1556" t="s">
        <v>620</v>
      </c>
      <c r="D1556" s="1">
        <v>0.86458333333333337</v>
      </c>
      <c r="E1556" t="s">
        <v>28</v>
      </c>
      <c r="F1556" t="s">
        <v>17</v>
      </c>
      <c r="G1556" t="s">
        <v>18</v>
      </c>
      <c r="H1556" t="s">
        <v>345</v>
      </c>
    </row>
    <row r="1557" spans="1:8" x14ac:dyDescent="0.3">
      <c r="A1557" t="s">
        <v>603</v>
      </c>
      <c r="B1557">
        <v>4</v>
      </c>
      <c r="C1557" t="s">
        <v>621</v>
      </c>
      <c r="D1557" s="1">
        <v>0.5</v>
      </c>
      <c r="E1557" t="s">
        <v>464</v>
      </c>
      <c r="F1557" t="s">
        <v>34</v>
      </c>
      <c r="G1557" t="s">
        <v>46</v>
      </c>
      <c r="H1557" t="s">
        <v>197</v>
      </c>
    </row>
    <row r="1558" spans="1:8" x14ac:dyDescent="0.3">
      <c r="A1558" t="s">
        <v>603</v>
      </c>
      <c r="B1558">
        <v>4</v>
      </c>
      <c r="C1558" t="s">
        <v>621</v>
      </c>
      <c r="D1558" s="1">
        <v>0.67708333333333337</v>
      </c>
      <c r="E1558" t="s">
        <v>606</v>
      </c>
      <c r="F1558" t="s">
        <v>27</v>
      </c>
      <c r="G1558" t="s">
        <v>42</v>
      </c>
      <c r="H1558" t="s">
        <v>341</v>
      </c>
    </row>
    <row r="1559" spans="1:8" x14ac:dyDescent="0.3">
      <c r="A1559" t="s">
        <v>603</v>
      </c>
      <c r="B1559">
        <v>4</v>
      </c>
      <c r="C1559" t="s">
        <v>621</v>
      </c>
      <c r="D1559" s="1">
        <v>0.77083333333333337</v>
      </c>
      <c r="E1559" t="s">
        <v>338</v>
      </c>
      <c r="F1559" t="s">
        <v>15</v>
      </c>
      <c r="G1559" t="s">
        <v>18</v>
      </c>
      <c r="H1559" t="s">
        <v>614</v>
      </c>
    </row>
    <row r="1560" spans="1:8" x14ac:dyDescent="0.3">
      <c r="A1560" t="s">
        <v>603</v>
      </c>
      <c r="B1560">
        <v>4</v>
      </c>
      <c r="C1560" t="s">
        <v>621</v>
      </c>
      <c r="D1560" s="1">
        <v>0.86458333333333337</v>
      </c>
      <c r="E1560" t="s">
        <v>10</v>
      </c>
      <c r="F1560" t="s">
        <v>25</v>
      </c>
      <c r="G1560" s="2">
        <v>46082</v>
      </c>
      <c r="H1560" t="s">
        <v>207</v>
      </c>
    </row>
    <row r="1561" spans="1:8" x14ac:dyDescent="0.3">
      <c r="A1561" t="s">
        <v>603</v>
      </c>
      <c r="B1561">
        <v>4</v>
      </c>
      <c r="C1561" t="s">
        <v>622</v>
      </c>
      <c r="D1561" s="1">
        <v>0.875</v>
      </c>
      <c r="E1561" t="s">
        <v>36</v>
      </c>
      <c r="F1561" t="s">
        <v>35</v>
      </c>
      <c r="G1561" s="2">
        <v>46024</v>
      </c>
      <c r="H1561" t="s">
        <v>612</v>
      </c>
    </row>
    <row r="1562" spans="1:8" x14ac:dyDescent="0.3">
      <c r="A1562" t="s">
        <v>603</v>
      </c>
      <c r="B1562">
        <v>5</v>
      </c>
      <c r="C1562" t="s">
        <v>623</v>
      </c>
      <c r="D1562" s="1">
        <v>0.83333333333333337</v>
      </c>
      <c r="E1562" t="s">
        <v>16</v>
      </c>
      <c r="F1562" t="s">
        <v>17</v>
      </c>
      <c r="G1562" t="s">
        <v>40</v>
      </c>
      <c r="H1562" t="s">
        <v>188</v>
      </c>
    </row>
    <row r="1563" spans="1:8" x14ac:dyDescent="0.3">
      <c r="A1563" t="s">
        <v>603</v>
      </c>
      <c r="B1563">
        <v>5</v>
      </c>
      <c r="C1563" t="s">
        <v>623</v>
      </c>
      <c r="D1563" s="1">
        <v>0.91666666666666663</v>
      </c>
      <c r="E1563" t="s">
        <v>20</v>
      </c>
      <c r="F1563" t="s">
        <v>187</v>
      </c>
      <c r="G1563" s="2">
        <v>46028</v>
      </c>
      <c r="H1563" t="s">
        <v>185</v>
      </c>
    </row>
    <row r="1564" spans="1:8" x14ac:dyDescent="0.3">
      <c r="A1564" t="s">
        <v>603</v>
      </c>
      <c r="B1564">
        <v>5</v>
      </c>
      <c r="C1564" t="s">
        <v>624</v>
      </c>
      <c r="D1564" s="1">
        <v>0.83333333333333337</v>
      </c>
      <c r="E1564" t="s">
        <v>15</v>
      </c>
      <c r="F1564" t="s">
        <v>28</v>
      </c>
      <c r="G1564" s="2">
        <v>46054</v>
      </c>
      <c r="H1564" t="s">
        <v>198</v>
      </c>
    </row>
    <row r="1565" spans="1:8" x14ac:dyDescent="0.3">
      <c r="A1565" t="s">
        <v>603</v>
      </c>
      <c r="B1565">
        <v>5</v>
      </c>
      <c r="C1565" t="s">
        <v>624</v>
      </c>
      <c r="D1565" s="1">
        <v>0.83333333333333337</v>
      </c>
      <c r="E1565" t="s">
        <v>466</v>
      </c>
      <c r="F1565" t="s">
        <v>606</v>
      </c>
      <c r="G1565" t="s">
        <v>41</v>
      </c>
      <c r="H1565" t="s">
        <v>190</v>
      </c>
    </row>
    <row r="1566" spans="1:8" x14ac:dyDescent="0.3">
      <c r="A1566" t="s">
        <v>603</v>
      </c>
      <c r="B1566">
        <v>5</v>
      </c>
      <c r="C1566" t="s">
        <v>624</v>
      </c>
      <c r="D1566" s="1">
        <v>0.875</v>
      </c>
      <c r="E1566" t="s">
        <v>182</v>
      </c>
      <c r="F1566" t="s">
        <v>464</v>
      </c>
      <c r="G1566" t="s">
        <v>18</v>
      </c>
      <c r="H1566" t="s">
        <v>609</v>
      </c>
    </row>
    <row r="1567" spans="1:8" x14ac:dyDescent="0.3">
      <c r="A1567" t="s">
        <v>603</v>
      </c>
      <c r="B1567">
        <v>5</v>
      </c>
      <c r="C1567" t="s">
        <v>624</v>
      </c>
      <c r="D1567" s="1">
        <v>0.91666666666666663</v>
      </c>
      <c r="E1567" t="s">
        <v>25</v>
      </c>
      <c r="F1567" t="s">
        <v>26</v>
      </c>
      <c r="G1567" t="s">
        <v>42</v>
      </c>
      <c r="H1567" t="s">
        <v>181</v>
      </c>
    </row>
    <row r="1568" spans="1:8" x14ac:dyDescent="0.3">
      <c r="A1568" t="s">
        <v>603</v>
      </c>
      <c r="B1568">
        <v>5</v>
      </c>
      <c r="C1568" t="s">
        <v>624</v>
      </c>
      <c r="D1568" s="1">
        <v>0.91666666666666663</v>
      </c>
      <c r="E1568" t="s">
        <v>27</v>
      </c>
      <c r="F1568" t="s">
        <v>338</v>
      </c>
      <c r="G1568" t="s">
        <v>18</v>
      </c>
      <c r="H1568" t="s">
        <v>206</v>
      </c>
    </row>
    <row r="1569" spans="1:8" x14ac:dyDescent="0.3">
      <c r="A1569" t="s">
        <v>603</v>
      </c>
      <c r="B1569">
        <v>5</v>
      </c>
      <c r="C1569" t="s">
        <v>625</v>
      </c>
      <c r="D1569" s="1">
        <v>0.83333333333333337</v>
      </c>
      <c r="E1569" t="s">
        <v>34</v>
      </c>
      <c r="F1569" t="s">
        <v>36</v>
      </c>
      <c r="G1569" t="s">
        <v>41</v>
      </c>
      <c r="H1569" t="s">
        <v>467</v>
      </c>
    </row>
    <row r="1570" spans="1:8" x14ac:dyDescent="0.3">
      <c r="A1570" t="s">
        <v>603</v>
      </c>
      <c r="B1570">
        <v>5</v>
      </c>
      <c r="C1570" t="s">
        <v>625</v>
      </c>
      <c r="D1570" s="1">
        <v>0.875</v>
      </c>
      <c r="E1570" t="s">
        <v>35</v>
      </c>
      <c r="F1570" t="s">
        <v>11</v>
      </c>
      <c r="G1570" s="2">
        <v>46023</v>
      </c>
      <c r="H1570" t="s">
        <v>475</v>
      </c>
    </row>
    <row r="1571" spans="1:8" x14ac:dyDescent="0.3">
      <c r="A1571" t="s">
        <v>603</v>
      </c>
      <c r="B1571">
        <v>5</v>
      </c>
      <c r="C1571" t="s">
        <v>625</v>
      </c>
      <c r="D1571" s="1">
        <v>0.91666666666666663</v>
      </c>
      <c r="E1571" t="s">
        <v>21</v>
      </c>
      <c r="F1571" t="s">
        <v>10</v>
      </c>
      <c r="G1571" t="s">
        <v>32</v>
      </c>
      <c r="H1571" t="s">
        <v>194</v>
      </c>
    </row>
    <row r="1572" spans="1:8" x14ac:dyDescent="0.3">
      <c r="A1572" t="s">
        <v>603</v>
      </c>
      <c r="B1572">
        <v>6</v>
      </c>
      <c r="C1572" t="s">
        <v>626</v>
      </c>
      <c r="D1572" s="1">
        <v>0.54166666666666663</v>
      </c>
      <c r="E1572" t="s">
        <v>28</v>
      </c>
      <c r="F1572" t="s">
        <v>27</v>
      </c>
      <c r="G1572" t="s">
        <v>12</v>
      </c>
      <c r="H1572" t="s">
        <v>205</v>
      </c>
    </row>
    <row r="1573" spans="1:8" x14ac:dyDescent="0.3">
      <c r="A1573" t="s">
        <v>603</v>
      </c>
      <c r="B1573">
        <v>6</v>
      </c>
      <c r="C1573" t="s">
        <v>626</v>
      </c>
      <c r="D1573" s="1">
        <v>0.67708333333333337</v>
      </c>
      <c r="E1573" t="s">
        <v>464</v>
      </c>
      <c r="F1573" t="s">
        <v>25</v>
      </c>
      <c r="G1573" s="2">
        <v>46054</v>
      </c>
      <c r="H1573" t="s">
        <v>73</v>
      </c>
    </row>
    <row r="1574" spans="1:8" x14ac:dyDescent="0.3">
      <c r="A1574" t="s">
        <v>603</v>
      </c>
      <c r="B1574">
        <v>6</v>
      </c>
      <c r="C1574" t="s">
        <v>626</v>
      </c>
      <c r="D1574" s="1">
        <v>0.77083333333333337</v>
      </c>
      <c r="E1574" t="s">
        <v>17</v>
      </c>
      <c r="F1574" t="s">
        <v>15</v>
      </c>
      <c r="G1574" s="2">
        <v>46084</v>
      </c>
      <c r="H1574" t="s">
        <v>184</v>
      </c>
    </row>
    <row r="1575" spans="1:8" x14ac:dyDescent="0.3">
      <c r="A1575" t="s">
        <v>603</v>
      </c>
      <c r="B1575">
        <v>6</v>
      </c>
      <c r="C1575" t="s">
        <v>626</v>
      </c>
      <c r="D1575" s="1">
        <v>0.86458333333333337</v>
      </c>
      <c r="E1575" t="s">
        <v>606</v>
      </c>
      <c r="F1575" t="s">
        <v>20</v>
      </c>
      <c r="G1575" t="s">
        <v>46</v>
      </c>
      <c r="H1575" t="s">
        <v>345</v>
      </c>
    </row>
    <row r="1576" spans="1:8" x14ac:dyDescent="0.3">
      <c r="A1576" t="s">
        <v>603</v>
      </c>
      <c r="B1576">
        <v>6</v>
      </c>
      <c r="C1576" t="s">
        <v>627</v>
      </c>
      <c r="D1576" s="1">
        <v>0.5</v>
      </c>
      <c r="E1576" t="s">
        <v>36</v>
      </c>
      <c r="F1576" t="s">
        <v>182</v>
      </c>
      <c r="G1576" s="2">
        <v>46026</v>
      </c>
      <c r="H1576" t="s">
        <v>341</v>
      </c>
    </row>
    <row r="1577" spans="1:8" x14ac:dyDescent="0.3">
      <c r="A1577" t="s">
        <v>603</v>
      </c>
      <c r="B1577">
        <v>6</v>
      </c>
      <c r="C1577" t="s">
        <v>627</v>
      </c>
      <c r="D1577" s="1">
        <v>0.67708333333333337</v>
      </c>
      <c r="E1577" t="s">
        <v>11</v>
      </c>
      <c r="F1577" t="s">
        <v>34</v>
      </c>
      <c r="G1577" t="s">
        <v>88</v>
      </c>
      <c r="H1577" t="s">
        <v>207</v>
      </c>
    </row>
    <row r="1578" spans="1:8" x14ac:dyDescent="0.3">
      <c r="A1578" t="s">
        <v>603</v>
      </c>
      <c r="B1578">
        <v>6</v>
      </c>
      <c r="C1578" t="s">
        <v>627</v>
      </c>
      <c r="D1578" s="1">
        <v>0.77083333333333337</v>
      </c>
      <c r="E1578" t="s">
        <v>187</v>
      </c>
      <c r="F1578" t="s">
        <v>35</v>
      </c>
      <c r="G1578" t="s">
        <v>53</v>
      </c>
      <c r="H1578" t="s">
        <v>191</v>
      </c>
    </row>
    <row r="1579" spans="1:8" x14ac:dyDescent="0.3">
      <c r="A1579" t="s">
        <v>603</v>
      </c>
      <c r="B1579">
        <v>6</v>
      </c>
      <c r="C1579" t="s">
        <v>627</v>
      </c>
      <c r="D1579" s="1">
        <v>0.77083333333333337</v>
      </c>
      <c r="E1579" t="s">
        <v>338</v>
      </c>
      <c r="F1579" t="s">
        <v>466</v>
      </c>
      <c r="G1579" t="s">
        <v>54</v>
      </c>
      <c r="H1579" t="s">
        <v>612</v>
      </c>
    </row>
    <row r="1580" spans="1:8" x14ac:dyDescent="0.3">
      <c r="A1580" t="s">
        <v>603</v>
      </c>
      <c r="B1580">
        <v>6</v>
      </c>
      <c r="C1580" t="s">
        <v>627</v>
      </c>
      <c r="D1580" s="1">
        <v>0.86458333333333337</v>
      </c>
      <c r="E1580" t="s">
        <v>10</v>
      </c>
      <c r="F1580" t="s">
        <v>16</v>
      </c>
      <c r="G1580" s="2">
        <v>46083</v>
      </c>
      <c r="H1580" t="s">
        <v>197</v>
      </c>
    </row>
    <row r="1581" spans="1:8" x14ac:dyDescent="0.3">
      <c r="A1581" t="s">
        <v>603</v>
      </c>
      <c r="B1581">
        <v>6</v>
      </c>
      <c r="C1581" t="s">
        <v>628</v>
      </c>
      <c r="D1581" s="1">
        <v>0.875</v>
      </c>
      <c r="E1581" t="s">
        <v>26</v>
      </c>
      <c r="F1581" t="s">
        <v>21</v>
      </c>
      <c r="G1581" t="s">
        <v>88</v>
      </c>
      <c r="H1581" t="s">
        <v>614</v>
      </c>
    </row>
    <row r="1582" spans="1:8" x14ac:dyDescent="0.3">
      <c r="A1582" t="s">
        <v>603</v>
      </c>
      <c r="B1582">
        <v>7</v>
      </c>
      <c r="C1582" t="s">
        <v>629</v>
      </c>
      <c r="D1582" s="1">
        <v>0.875</v>
      </c>
      <c r="E1582" t="s">
        <v>35</v>
      </c>
      <c r="F1582" t="s">
        <v>606</v>
      </c>
      <c r="G1582" s="2">
        <v>46084</v>
      </c>
      <c r="H1582" t="s">
        <v>614</v>
      </c>
    </row>
    <row r="1583" spans="1:8" x14ac:dyDescent="0.3">
      <c r="A1583" t="s">
        <v>603</v>
      </c>
      <c r="B1583">
        <v>7</v>
      </c>
      <c r="C1583" t="s">
        <v>630</v>
      </c>
      <c r="D1583" s="1">
        <v>0.54166666666666663</v>
      </c>
      <c r="E1583" t="s">
        <v>182</v>
      </c>
      <c r="F1583" t="s">
        <v>11</v>
      </c>
      <c r="G1583" s="2">
        <v>46024</v>
      </c>
      <c r="H1583" t="s">
        <v>198</v>
      </c>
    </row>
    <row r="1584" spans="1:8" x14ac:dyDescent="0.3">
      <c r="A1584" t="s">
        <v>603</v>
      </c>
      <c r="B1584">
        <v>7</v>
      </c>
      <c r="C1584" t="s">
        <v>630</v>
      </c>
      <c r="D1584" s="1">
        <v>0.67708333333333337</v>
      </c>
      <c r="E1584" t="s">
        <v>27</v>
      </c>
      <c r="F1584" t="s">
        <v>17</v>
      </c>
      <c r="G1584" t="s">
        <v>12</v>
      </c>
      <c r="H1584" t="s">
        <v>475</v>
      </c>
    </row>
    <row r="1585" spans="1:8" x14ac:dyDescent="0.3">
      <c r="A1585" t="s">
        <v>603</v>
      </c>
      <c r="B1585">
        <v>7</v>
      </c>
      <c r="C1585" t="s">
        <v>630</v>
      </c>
      <c r="D1585" s="1">
        <v>0.77083333333333337</v>
      </c>
      <c r="E1585" t="s">
        <v>21</v>
      </c>
      <c r="F1585" t="s">
        <v>464</v>
      </c>
      <c r="G1585" t="s">
        <v>54</v>
      </c>
      <c r="H1585" t="s">
        <v>191</v>
      </c>
    </row>
    <row r="1586" spans="1:8" x14ac:dyDescent="0.3">
      <c r="A1586" t="s">
        <v>603</v>
      </c>
      <c r="B1586">
        <v>7</v>
      </c>
      <c r="C1586" t="s">
        <v>630</v>
      </c>
      <c r="D1586" s="1">
        <v>0.86458333333333337</v>
      </c>
      <c r="E1586" t="s">
        <v>466</v>
      </c>
      <c r="F1586" t="s">
        <v>28</v>
      </c>
      <c r="G1586" t="s">
        <v>41</v>
      </c>
      <c r="H1586" t="s">
        <v>194</v>
      </c>
    </row>
    <row r="1587" spans="1:8" x14ac:dyDescent="0.3">
      <c r="A1587" t="s">
        <v>603</v>
      </c>
      <c r="B1587">
        <v>7</v>
      </c>
      <c r="C1587" t="s">
        <v>631</v>
      </c>
      <c r="D1587" s="1">
        <v>0.5</v>
      </c>
      <c r="E1587" t="s">
        <v>10</v>
      </c>
      <c r="F1587" t="s">
        <v>26</v>
      </c>
      <c r="G1587" s="2">
        <v>46116</v>
      </c>
      <c r="H1587" t="s">
        <v>188</v>
      </c>
    </row>
    <row r="1588" spans="1:8" x14ac:dyDescent="0.3">
      <c r="A1588" t="s">
        <v>603</v>
      </c>
      <c r="B1588">
        <v>7</v>
      </c>
      <c r="C1588" t="s">
        <v>631</v>
      </c>
      <c r="D1588" s="1">
        <v>0.67708333333333337</v>
      </c>
      <c r="E1588" t="s">
        <v>20</v>
      </c>
      <c r="F1588" t="s">
        <v>338</v>
      </c>
      <c r="G1588" t="s">
        <v>32</v>
      </c>
      <c r="H1588" t="s">
        <v>467</v>
      </c>
    </row>
    <row r="1589" spans="1:8" x14ac:dyDescent="0.3">
      <c r="A1589" t="s">
        <v>603</v>
      </c>
      <c r="B1589">
        <v>7</v>
      </c>
      <c r="C1589" t="s">
        <v>631</v>
      </c>
      <c r="D1589" s="1">
        <v>0.77083333333333337</v>
      </c>
      <c r="E1589" t="s">
        <v>16</v>
      </c>
      <c r="F1589" t="s">
        <v>15</v>
      </c>
      <c r="G1589" s="2">
        <v>46056</v>
      </c>
      <c r="H1589" t="s">
        <v>185</v>
      </c>
    </row>
    <row r="1590" spans="1:8" x14ac:dyDescent="0.3">
      <c r="A1590" t="s">
        <v>603</v>
      </c>
      <c r="B1590">
        <v>7</v>
      </c>
      <c r="C1590" t="s">
        <v>631</v>
      </c>
      <c r="D1590" s="1">
        <v>0.77083333333333337</v>
      </c>
      <c r="E1590" t="s">
        <v>34</v>
      </c>
      <c r="F1590" t="s">
        <v>187</v>
      </c>
      <c r="G1590" t="s">
        <v>32</v>
      </c>
      <c r="H1590" t="s">
        <v>190</v>
      </c>
    </row>
    <row r="1591" spans="1:8" x14ac:dyDescent="0.3">
      <c r="A1591" t="s">
        <v>603</v>
      </c>
      <c r="B1591">
        <v>7</v>
      </c>
      <c r="C1591" t="s">
        <v>631</v>
      </c>
      <c r="D1591" s="1">
        <v>0.86458333333333337</v>
      </c>
      <c r="E1591" t="s">
        <v>25</v>
      </c>
      <c r="F1591" t="s">
        <v>36</v>
      </c>
      <c r="G1591" t="s">
        <v>12</v>
      </c>
      <c r="H1591" t="s">
        <v>206</v>
      </c>
    </row>
    <row r="1592" spans="1:8" x14ac:dyDescent="0.3">
      <c r="A1592" t="s">
        <v>603</v>
      </c>
      <c r="B1592">
        <v>8</v>
      </c>
      <c r="C1592" t="s">
        <v>632</v>
      </c>
      <c r="D1592" s="1">
        <v>0.875</v>
      </c>
      <c r="E1592" t="s">
        <v>36</v>
      </c>
      <c r="F1592" t="s">
        <v>21</v>
      </c>
      <c r="G1592" t="s">
        <v>41</v>
      </c>
      <c r="H1592" t="s">
        <v>73</v>
      </c>
    </row>
    <row r="1593" spans="1:8" x14ac:dyDescent="0.3">
      <c r="A1593" t="s">
        <v>603</v>
      </c>
      <c r="B1593">
        <v>8</v>
      </c>
      <c r="C1593" t="s">
        <v>633</v>
      </c>
      <c r="D1593" s="1">
        <v>0.54166666666666663</v>
      </c>
      <c r="E1593" t="s">
        <v>15</v>
      </c>
      <c r="F1593" t="s">
        <v>27</v>
      </c>
      <c r="G1593" t="s">
        <v>18</v>
      </c>
      <c r="H1593" t="s">
        <v>207</v>
      </c>
    </row>
    <row r="1594" spans="1:8" x14ac:dyDescent="0.3">
      <c r="A1594" t="s">
        <v>603</v>
      </c>
      <c r="B1594">
        <v>8</v>
      </c>
      <c r="C1594" t="s">
        <v>633</v>
      </c>
      <c r="D1594" s="1">
        <v>0.67708333333333337</v>
      </c>
      <c r="E1594" t="s">
        <v>11</v>
      </c>
      <c r="F1594" t="s">
        <v>25</v>
      </c>
      <c r="G1594" s="2">
        <v>46054</v>
      </c>
      <c r="H1594" t="s">
        <v>205</v>
      </c>
    </row>
    <row r="1595" spans="1:8" x14ac:dyDescent="0.3">
      <c r="A1595" t="s">
        <v>603</v>
      </c>
      <c r="B1595">
        <v>8</v>
      </c>
      <c r="C1595" t="s">
        <v>633</v>
      </c>
      <c r="D1595" s="1">
        <v>0.77083333333333337</v>
      </c>
      <c r="E1595" t="s">
        <v>464</v>
      </c>
      <c r="F1595" t="s">
        <v>10</v>
      </c>
      <c r="G1595" t="s">
        <v>54</v>
      </c>
      <c r="H1595" t="s">
        <v>612</v>
      </c>
    </row>
    <row r="1596" spans="1:8" x14ac:dyDescent="0.3">
      <c r="A1596" t="s">
        <v>603</v>
      </c>
      <c r="B1596">
        <v>8</v>
      </c>
      <c r="C1596" t="s">
        <v>633</v>
      </c>
      <c r="D1596" s="1">
        <v>0.86458333333333337</v>
      </c>
      <c r="E1596" t="s">
        <v>28</v>
      </c>
      <c r="F1596" t="s">
        <v>20</v>
      </c>
      <c r="G1596" s="2">
        <v>46023</v>
      </c>
      <c r="H1596" t="s">
        <v>181</v>
      </c>
    </row>
    <row r="1597" spans="1:8" x14ac:dyDescent="0.3">
      <c r="A1597" t="s">
        <v>603</v>
      </c>
      <c r="B1597">
        <v>8</v>
      </c>
      <c r="C1597" t="s">
        <v>634</v>
      </c>
      <c r="D1597" s="1">
        <v>0.5</v>
      </c>
      <c r="E1597" t="s">
        <v>187</v>
      </c>
      <c r="F1597" t="s">
        <v>182</v>
      </c>
      <c r="G1597" t="s">
        <v>41</v>
      </c>
      <c r="H1597" t="s">
        <v>197</v>
      </c>
    </row>
    <row r="1598" spans="1:8" x14ac:dyDescent="0.3">
      <c r="A1598" t="s">
        <v>603</v>
      </c>
      <c r="B1598">
        <v>8</v>
      </c>
      <c r="C1598" t="s">
        <v>634</v>
      </c>
      <c r="D1598" s="1">
        <v>0.67708333333333337</v>
      </c>
      <c r="E1598" t="s">
        <v>606</v>
      </c>
      <c r="F1598" t="s">
        <v>34</v>
      </c>
      <c r="G1598" s="2">
        <v>46054</v>
      </c>
      <c r="H1598" t="s">
        <v>184</v>
      </c>
    </row>
    <row r="1599" spans="1:8" x14ac:dyDescent="0.3">
      <c r="A1599" t="s">
        <v>603</v>
      </c>
      <c r="B1599">
        <v>8</v>
      </c>
      <c r="C1599" t="s">
        <v>634</v>
      </c>
      <c r="D1599" s="1">
        <v>0.77083333333333337</v>
      </c>
      <c r="E1599" t="s">
        <v>17</v>
      </c>
      <c r="F1599" t="s">
        <v>466</v>
      </c>
      <c r="G1599" t="s">
        <v>54</v>
      </c>
      <c r="H1599" t="s">
        <v>206</v>
      </c>
    </row>
    <row r="1600" spans="1:8" x14ac:dyDescent="0.3">
      <c r="A1600" t="s">
        <v>603</v>
      </c>
      <c r="B1600">
        <v>8</v>
      </c>
      <c r="C1600" t="s">
        <v>634</v>
      </c>
      <c r="D1600" s="1">
        <v>0.86458333333333337</v>
      </c>
      <c r="E1600" t="s">
        <v>26</v>
      </c>
      <c r="F1600" t="s">
        <v>16</v>
      </c>
      <c r="G1600" s="2">
        <v>46176</v>
      </c>
      <c r="H1600" t="s">
        <v>345</v>
      </c>
    </row>
    <row r="1601" spans="1:8" x14ac:dyDescent="0.3">
      <c r="A1601" t="s">
        <v>603</v>
      </c>
      <c r="B1601">
        <v>8</v>
      </c>
      <c r="C1601" t="s">
        <v>635</v>
      </c>
      <c r="D1601" s="1">
        <v>0.875</v>
      </c>
      <c r="E1601" t="s">
        <v>338</v>
      </c>
      <c r="F1601" t="s">
        <v>35</v>
      </c>
      <c r="G1601" s="2">
        <v>46144</v>
      </c>
      <c r="H1601" t="s">
        <v>609</v>
      </c>
    </row>
    <row r="1602" spans="1:8" x14ac:dyDescent="0.3">
      <c r="A1602" t="s">
        <v>603</v>
      </c>
      <c r="B1602">
        <v>9</v>
      </c>
      <c r="C1602" t="s">
        <v>636</v>
      </c>
      <c r="D1602" s="1">
        <v>0.54166666666666663</v>
      </c>
      <c r="E1602" t="s">
        <v>21</v>
      </c>
      <c r="F1602" t="s">
        <v>11</v>
      </c>
      <c r="G1602" s="2">
        <v>46023</v>
      </c>
      <c r="H1602" t="s">
        <v>341</v>
      </c>
    </row>
    <row r="1603" spans="1:8" x14ac:dyDescent="0.3">
      <c r="A1603" t="s">
        <v>603</v>
      </c>
      <c r="B1603">
        <v>9</v>
      </c>
      <c r="C1603" t="s">
        <v>636</v>
      </c>
      <c r="D1603" s="1">
        <v>0.67708333333333337</v>
      </c>
      <c r="E1603" t="s">
        <v>26</v>
      </c>
      <c r="F1603" t="s">
        <v>464</v>
      </c>
      <c r="G1603" t="s">
        <v>12</v>
      </c>
      <c r="H1603" t="s">
        <v>475</v>
      </c>
    </row>
    <row r="1604" spans="1:8" x14ac:dyDescent="0.3">
      <c r="A1604" t="s">
        <v>603</v>
      </c>
      <c r="B1604">
        <v>9</v>
      </c>
      <c r="C1604" t="s">
        <v>636</v>
      </c>
      <c r="D1604" s="1">
        <v>0.77083333333333337</v>
      </c>
      <c r="E1604" t="s">
        <v>16</v>
      </c>
      <c r="F1604" t="s">
        <v>27</v>
      </c>
      <c r="G1604" t="s">
        <v>88</v>
      </c>
      <c r="H1604" t="s">
        <v>198</v>
      </c>
    </row>
    <row r="1605" spans="1:8" x14ac:dyDescent="0.3">
      <c r="A1605" t="s">
        <v>603</v>
      </c>
      <c r="B1605">
        <v>9</v>
      </c>
      <c r="C1605" t="s">
        <v>636</v>
      </c>
      <c r="D1605" s="1">
        <v>0.86458333333333337</v>
      </c>
      <c r="E1605" t="s">
        <v>20</v>
      </c>
      <c r="F1605" t="s">
        <v>17</v>
      </c>
      <c r="G1605" t="s">
        <v>12</v>
      </c>
      <c r="H1605" t="s">
        <v>614</v>
      </c>
    </row>
    <row r="1606" spans="1:8" x14ac:dyDescent="0.3">
      <c r="A1606" t="s">
        <v>603</v>
      </c>
      <c r="B1606">
        <v>9</v>
      </c>
      <c r="C1606" t="s">
        <v>637</v>
      </c>
      <c r="D1606" s="1">
        <v>0.5</v>
      </c>
      <c r="E1606" t="s">
        <v>34</v>
      </c>
      <c r="F1606" t="s">
        <v>338</v>
      </c>
      <c r="G1606" t="s">
        <v>88</v>
      </c>
      <c r="H1606" t="s">
        <v>191</v>
      </c>
    </row>
    <row r="1607" spans="1:8" x14ac:dyDescent="0.3">
      <c r="A1607" t="s">
        <v>603</v>
      </c>
      <c r="B1607">
        <v>9</v>
      </c>
      <c r="C1607" t="s">
        <v>637</v>
      </c>
      <c r="D1607" s="1">
        <v>0.67708333333333337</v>
      </c>
      <c r="E1607" t="s">
        <v>35</v>
      </c>
      <c r="F1607" t="s">
        <v>28</v>
      </c>
      <c r="G1607" t="s">
        <v>42</v>
      </c>
      <c r="H1607" t="s">
        <v>467</v>
      </c>
    </row>
    <row r="1608" spans="1:8" x14ac:dyDescent="0.3">
      <c r="A1608" t="s">
        <v>603</v>
      </c>
      <c r="B1608">
        <v>9</v>
      </c>
      <c r="C1608" t="s">
        <v>637</v>
      </c>
      <c r="D1608" s="1">
        <v>0.77083333333333337</v>
      </c>
      <c r="E1608" t="s">
        <v>466</v>
      </c>
      <c r="F1608" t="s">
        <v>15</v>
      </c>
      <c r="G1608" t="s">
        <v>18</v>
      </c>
      <c r="H1608" t="s">
        <v>181</v>
      </c>
    </row>
    <row r="1609" spans="1:8" x14ac:dyDescent="0.3">
      <c r="A1609" t="s">
        <v>603</v>
      </c>
      <c r="B1609">
        <v>9</v>
      </c>
      <c r="C1609" t="s">
        <v>637</v>
      </c>
      <c r="D1609" s="1">
        <v>0.86458333333333337</v>
      </c>
      <c r="E1609" t="s">
        <v>25</v>
      </c>
      <c r="F1609" t="s">
        <v>187</v>
      </c>
      <c r="G1609" t="s">
        <v>32</v>
      </c>
      <c r="H1609" t="s">
        <v>188</v>
      </c>
    </row>
    <row r="1610" spans="1:8" x14ac:dyDescent="0.3">
      <c r="A1610" t="s">
        <v>603</v>
      </c>
      <c r="B1610">
        <v>9</v>
      </c>
      <c r="C1610" t="s">
        <v>638</v>
      </c>
      <c r="D1610" s="1">
        <v>0.83333333333333337</v>
      </c>
      <c r="E1610" t="s">
        <v>10</v>
      </c>
      <c r="F1610" t="s">
        <v>36</v>
      </c>
      <c r="G1610" s="2">
        <v>46023</v>
      </c>
      <c r="H1610" t="s">
        <v>190</v>
      </c>
    </row>
    <row r="1611" spans="1:8" x14ac:dyDescent="0.3">
      <c r="A1611" t="s">
        <v>603</v>
      </c>
      <c r="B1611">
        <v>9</v>
      </c>
      <c r="C1611" t="s">
        <v>638</v>
      </c>
      <c r="D1611" s="1">
        <v>0.875</v>
      </c>
      <c r="E1611" t="s">
        <v>182</v>
      </c>
      <c r="F1611" t="s">
        <v>606</v>
      </c>
      <c r="G1611" s="2">
        <v>46054</v>
      </c>
      <c r="H1611" t="s">
        <v>194</v>
      </c>
    </row>
    <row r="1612" spans="1:8" x14ac:dyDescent="0.3">
      <c r="A1612" t="s">
        <v>603</v>
      </c>
      <c r="B1612">
        <v>10</v>
      </c>
      <c r="C1612" t="s">
        <v>639</v>
      </c>
      <c r="D1612" s="1">
        <v>0.54166666666666663</v>
      </c>
      <c r="E1612" t="s">
        <v>464</v>
      </c>
      <c r="F1612" t="s">
        <v>16</v>
      </c>
      <c r="G1612" s="2">
        <v>46054</v>
      </c>
      <c r="H1612" t="s">
        <v>206</v>
      </c>
    </row>
    <row r="1613" spans="1:8" x14ac:dyDescent="0.3">
      <c r="A1613" t="s">
        <v>603</v>
      </c>
      <c r="B1613">
        <v>10</v>
      </c>
      <c r="C1613" t="s">
        <v>639</v>
      </c>
      <c r="D1613" s="1">
        <v>0.77083333333333337</v>
      </c>
      <c r="E1613" t="s">
        <v>28</v>
      </c>
      <c r="F1613" t="s">
        <v>34</v>
      </c>
      <c r="G1613" s="2">
        <v>46023</v>
      </c>
      <c r="H1613" t="s">
        <v>73</v>
      </c>
    </row>
    <row r="1614" spans="1:8" x14ac:dyDescent="0.3">
      <c r="A1614" t="s">
        <v>603</v>
      </c>
      <c r="B1614">
        <v>10</v>
      </c>
      <c r="C1614" t="s">
        <v>639</v>
      </c>
      <c r="D1614" s="1">
        <v>0.86458333333333337</v>
      </c>
      <c r="E1614" t="s">
        <v>15</v>
      </c>
      <c r="F1614" t="s">
        <v>20</v>
      </c>
      <c r="G1614" t="s">
        <v>54</v>
      </c>
      <c r="H1614" t="s">
        <v>205</v>
      </c>
    </row>
    <row r="1615" spans="1:8" x14ac:dyDescent="0.3">
      <c r="A1615" t="s">
        <v>603</v>
      </c>
      <c r="B1615">
        <v>10</v>
      </c>
      <c r="C1615" t="s">
        <v>639</v>
      </c>
      <c r="D1615" s="1">
        <v>0.9375</v>
      </c>
      <c r="E1615" t="s">
        <v>27</v>
      </c>
      <c r="F1615" t="s">
        <v>466</v>
      </c>
      <c r="G1615" s="2">
        <v>46024</v>
      </c>
      <c r="H1615" t="s">
        <v>609</v>
      </c>
    </row>
    <row r="1616" spans="1:8" x14ac:dyDescent="0.3">
      <c r="A1616" t="s">
        <v>603</v>
      </c>
      <c r="B1616">
        <v>10</v>
      </c>
      <c r="C1616" t="s">
        <v>640</v>
      </c>
      <c r="D1616" s="1">
        <v>0.5</v>
      </c>
      <c r="E1616" t="s">
        <v>11</v>
      </c>
      <c r="F1616" t="s">
        <v>10</v>
      </c>
      <c r="G1616" s="2">
        <v>46024</v>
      </c>
      <c r="H1616" t="s">
        <v>345</v>
      </c>
    </row>
    <row r="1617" spans="1:8" x14ac:dyDescent="0.3">
      <c r="A1617" t="s">
        <v>603</v>
      </c>
      <c r="B1617">
        <v>10</v>
      </c>
      <c r="C1617" t="s">
        <v>640</v>
      </c>
      <c r="D1617" s="1">
        <v>0.67708333333333337</v>
      </c>
      <c r="E1617" t="s">
        <v>606</v>
      </c>
      <c r="F1617" t="s">
        <v>25</v>
      </c>
      <c r="G1617" s="2">
        <v>46024</v>
      </c>
      <c r="H1617" t="s">
        <v>185</v>
      </c>
    </row>
    <row r="1618" spans="1:8" x14ac:dyDescent="0.3">
      <c r="A1618" t="s">
        <v>603</v>
      </c>
      <c r="B1618">
        <v>10</v>
      </c>
      <c r="C1618" t="s">
        <v>640</v>
      </c>
      <c r="D1618" s="1">
        <v>0.77083333333333337</v>
      </c>
      <c r="E1618" t="s">
        <v>187</v>
      </c>
      <c r="F1618" t="s">
        <v>21</v>
      </c>
      <c r="G1618" s="2">
        <v>46055</v>
      </c>
      <c r="H1618" t="s">
        <v>612</v>
      </c>
    </row>
    <row r="1619" spans="1:8" x14ac:dyDescent="0.3">
      <c r="A1619" t="s">
        <v>603</v>
      </c>
      <c r="B1619">
        <v>10</v>
      </c>
      <c r="C1619" t="s">
        <v>640</v>
      </c>
      <c r="D1619" s="1">
        <v>0.86458333333333337</v>
      </c>
      <c r="E1619" t="s">
        <v>17</v>
      </c>
      <c r="F1619" t="s">
        <v>35</v>
      </c>
      <c r="G1619" s="2">
        <v>46024</v>
      </c>
      <c r="H1619" t="s">
        <v>197</v>
      </c>
    </row>
    <row r="1620" spans="1:8" x14ac:dyDescent="0.3">
      <c r="A1620" t="s">
        <v>603</v>
      </c>
      <c r="B1620">
        <v>10</v>
      </c>
      <c r="C1620" t="s">
        <v>641</v>
      </c>
      <c r="D1620" s="1">
        <v>0.875</v>
      </c>
      <c r="E1620" t="s">
        <v>36</v>
      </c>
      <c r="F1620" t="s">
        <v>26</v>
      </c>
      <c r="G1620" t="s">
        <v>18</v>
      </c>
      <c r="H1620" t="s">
        <v>207</v>
      </c>
    </row>
    <row r="1621" spans="1:8" x14ac:dyDescent="0.3">
      <c r="A1621" t="s">
        <v>603</v>
      </c>
      <c r="B1621">
        <v>10</v>
      </c>
      <c r="C1621" t="s">
        <v>641</v>
      </c>
      <c r="D1621" s="1">
        <v>0.875</v>
      </c>
      <c r="E1621" t="s">
        <v>338</v>
      </c>
      <c r="F1621" t="s">
        <v>182</v>
      </c>
      <c r="G1621" s="2">
        <v>46082</v>
      </c>
      <c r="H1621" t="s">
        <v>184</v>
      </c>
    </row>
    <row r="1622" spans="1:8" x14ac:dyDescent="0.3">
      <c r="A1622" t="s">
        <v>603</v>
      </c>
      <c r="B1622">
        <v>11</v>
      </c>
      <c r="C1622" t="s">
        <v>642</v>
      </c>
      <c r="D1622" s="1">
        <v>0.875</v>
      </c>
      <c r="E1622" t="s">
        <v>26</v>
      </c>
      <c r="F1622" t="s">
        <v>11</v>
      </c>
      <c r="G1622" s="2">
        <v>46055</v>
      </c>
      <c r="H1622" t="s">
        <v>181</v>
      </c>
    </row>
    <row r="1623" spans="1:8" x14ac:dyDescent="0.3">
      <c r="A1623" t="s">
        <v>603</v>
      </c>
      <c r="B1623">
        <v>11</v>
      </c>
      <c r="C1623" t="s">
        <v>643</v>
      </c>
      <c r="D1623" s="1">
        <v>0.54166666666666663</v>
      </c>
      <c r="E1623" t="s">
        <v>16</v>
      </c>
      <c r="F1623" t="s">
        <v>466</v>
      </c>
      <c r="G1623" t="s">
        <v>32</v>
      </c>
      <c r="H1623" t="s">
        <v>341</v>
      </c>
    </row>
    <row r="1624" spans="1:8" x14ac:dyDescent="0.3">
      <c r="A1624" t="s">
        <v>603</v>
      </c>
      <c r="B1624">
        <v>11</v>
      </c>
      <c r="C1624" t="s">
        <v>643</v>
      </c>
      <c r="D1624" s="1">
        <v>0.67708333333333337</v>
      </c>
      <c r="E1624" t="s">
        <v>182</v>
      </c>
      <c r="F1624" t="s">
        <v>28</v>
      </c>
      <c r="G1624" t="s">
        <v>42</v>
      </c>
      <c r="H1624" t="s">
        <v>188</v>
      </c>
    </row>
    <row r="1625" spans="1:8" x14ac:dyDescent="0.3">
      <c r="A1625" t="s">
        <v>603</v>
      </c>
      <c r="B1625">
        <v>11</v>
      </c>
      <c r="C1625" t="s">
        <v>643</v>
      </c>
      <c r="D1625" s="1">
        <v>0.77083333333333337</v>
      </c>
      <c r="E1625" t="s">
        <v>464</v>
      </c>
      <c r="F1625" t="s">
        <v>36</v>
      </c>
      <c r="G1625" t="s">
        <v>18</v>
      </c>
      <c r="H1625" t="s">
        <v>614</v>
      </c>
    </row>
    <row r="1626" spans="1:8" x14ac:dyDescent="0.3">
      <c r="A1626" t="s">
        <v>603</v>
      </c>
      <c r="B1626">
        <v>11</v>
      </c>
      <c r="C1626" t="s">
        <v>643</v>
      </c>
      <c r="D1626" s="1">
        <v>0.86458333333333337</v>
      </c>
      <c r="E1626" t="s">
        <v>20</v>
      </c>
      <c r="F1626" t="s">
        <v>27</v>
      </c>
      <c r="G1626" s="2">
        <v>46024</v>
      </c>
      <c r="H1626" t="s">
        <v>206</v>
      </c>
    </row>
    <row r="1627" spans="1:8" x14ac:dyDescent="0.3">
      <c r="A1627" t="s">
        <v>603</v>
      </c>
      <c r="B1627">
        <v>11</v>
      </c>
      <c r="C1627" t="s">
        <v>644</v>
      </c>
      <c r="D1627" s="1">
        <v>0.5</v>
      </c>
      <c r="E1627" t="s">
        <v>21</v>
      </c>
      <c r="F1627" t="s">
        <v>606</v>
      </c>
      <c r="G1627" s="2">
        <v>46054</v>
      </c>
      <c r="H1627" t="s">
        <v>467</v>
      </c>
    </row>
    <row r="1628" spans="1:8" x14ac:dyDescent="0.3">
      <c r="A1628" t="s">
        <v>603</v>
      </c>
      <c r="B1628">
        <v>11</v>
      </c>
      <c r="C1628" t="s">
        <v>644</v>
      </c>
      <c r="D1628" s="1">
        <v>0.67708333333333337</v>
      </c>
      <c r="E1628" t="s">
        <v>35</v>
      </c>
      <c r="F1628" t="s">
        <v>15</v>
      </c>
      <c r="G1628" s="2">
        <v>46025</v>
      </c>
      <c r="H1628" t="s">
        <v>194</v>
      </c>
    </row>
    <row r="1629" spans="1:8" x14ac:dyDescent="0.3">
      <c r="A1629" t="s">
        <v>603</v>
      </c>
      <c r="B1629">
        <v>11</v>
      </c>
      <c r="C1629" t="s">
        <v>644</v>
      </c>
      <c r="D1629" s="1">
        <v>0.77083333333333337</v>
      </c>
      <c r="E1629" t="s">
        <v>10</v>
      </c>
      <c r="F1629" t="s">
        <v>187</v>
      </c>
      <c r="G1629" s="2">
        <v>46025</v>
      </c>
      <c r="H1629" t="s">
        <v>475</v>
      </c>
    </row>
    <row r="1630" spans="1:8" x14ac:dyDescent="0.3">
      <c r="A1630" t="s">
        <v>603</v>
      </c>
      <c r="B1630">
        <v>11</v>
      </c>
      <c r="C1630" t="s">
        <v>644</v>
      </c>
      <c r="D1630" s="1">
        <v>0.77083333333333337</v>
      </c>
      <c r="E1630" t="s">
        <v>34</v>
      </c>
      <c r="F1630" t="s">
        <v>17</v>
      </c>
      <c r="G1630" t="s">
        <v>12</v>
      </c>
      <c r="H1630" t="s">
        <v>198</v>
      </c>
    </row>
    <row r="1631" spans="1:8" x14ac:dyDescent="0.3">
      <c r="A1631" t="s">
        <v>603</v>
      </c>
      <c r="B1631">
        <v>11</v>
      </c>
      <c r="C1631" t="s">
        <v>644</v>
      </c>
      <c r="D1631" s="1">
        <v>0.86458333333333337</v>
      </c>
      <c r="E1631" t="s">
        <v>25</v>
      </c>
      <c r="F1631" t="s">
        <v>338</v>
      </c>
      <c r="G1631" t="s">
        <v>32</v>
      </c>
      <c r="H1631" t="s">
        <v>345</v>
      </c>
    </row>
    <row r="1632" spans="1:8" x14ac:dyDescent="0.3">
      <c r="A1632" t="s">
        <v>603</v>
      </c>
      <c r="B1632">
        <v>12</v>
      </c>
      <c r="C1632" t="s">
        <v>645</v>
      </c>
      <c r="D1632" s="1">
        <v>0.875</v>
      </c>
      <c r="E1632" t="s">
        <v>606</v>
      </c>
      <c r="F1632" t="s">
        <v>10</v>
      </c>
      <c r="G1632" s="2">
        <v>46023</v>
      </c>
      <c r="H1632" t="s">
        <v>207</v>
      </c>
    </row>
    <row r="1633" spans="1:8" x14ac:dyDescent="0.3">
      <c r="A1633" t="s">
        <v>603</v>
      </c>
      <c r="B1633">
        <v>12</v>
      </c>
      <c r="C1633" t="s">
        <v>646</v>
      </c>
      <c r="D1633" s="1">
        <v>0.54166666666666663</v>
      </c>
      <c r="E1633" t="s">
        <v>11</v>
      </c>
      <c r="F1633" t="s">
        <v>464</v>
      </c>
      <c r="G1633" s="2">
        <v>46026</v>
      </c>
      <c r="H1633" t="s">
        <v>197</v>
      </c>
    </row>
    <row r="1634" spans="1:8" x14ac:dyDescent="0.3">
      <c r="A1634" t="s">
        <v>603</v>
      </c>
      <c r="B1634">
        <v>12</v>
      </c>
      <c r="C1634" t="s">
        <v>646</v>
      </c>
      <c r="D1634" s="1">
        <v>0.67708333333333337</v>
      </c>
      <c r="E1634" t="s">
        <v>466</v>
      </c>
      <c r="F1634" t="s">
        <v>20</v>
      </c>
      <c r="G1634" t="s">
        <v>46</v>
      </c>
      <c r="H1634" t="s">
        <v>73</v>
      </c>
    </row>
    <row r="1635" spans="1:8" x14ac:dyDescent="0.3">
      <c r="A1635" t="s">
        <v>603</v>
      </c>
      <c r="B1635">
        <v>12</v>
      </c>
      <c r="C1635" t="s">
        <v>646</v>
      </c>
      <c r="D1635" s="1">
        <v>0.77083333333333337</v>
      </c>
      <c r="E1635" t="s">
        <v>27</v>
      </c>
      <c r="F1635" t="s">
        <v>35</v>
      </c>
      <c r="G1635" s="2">
        <v>46024</v>
      </c>
      <c r="H1635" t="s">
        <v>184</v>
      </c>
    </row>
    <row r="1636" spans="1:8" x14ac:dyDescent="0.3">
      <c r="A1636" t="s">
        <v>603</v>
      </c>
      <c r="B1636">
        <v>12</v>
      </c>
      <c r="C1636" t="s">
        <v>646</v>
      </c>
      <c r="D1636" s="1">
        <v>0.86458333333333337</v>
      </c>
      <c r="E1636" t="s">
        <v>28</v>
      </c>
      <c r="F1636" t="s">
        <v>25</v>
      </c>
      <c r="G1636" t="s">
        <v>41</v>
      </c>
      <c r="H1636" t="s">
        <v>191</v>
      </c>
    </row>
    <row r="1637" spans="1:8" x14ac:dyDescent="0.3">
      <c r="A1637" t="s">
        <v>603</v>
      </c>
      <c r="B1637">
        <v>12</v>
      </c>
      <c r="C1637" t="s">
        <v>647</v>
      </c>
      <c r="D1637" s="1">
        <v>0.5</v>
      </c>
      <c r="E1637" t="s">
        <v>17</v>
      </c>
      <c r="F1637" t="s">
        <v>182</v>
      </c>
      <c r="G1637" s="2">
        <v>46056</v>
      </c>
      <c r="H1637" t="s">
        <v>205</v>
      </c>
    </row>
    <row r="1638" spans="1:8" x14ac:dyDescent="0.3">
      <c r="A1638" t="s">
        <v>603</v>
      </c>
      <c r="B1638">
        <v>12</v>
      </c>
      <c r="C1638" t="s">
        <v>647</v>
      </c>
      <c r="D1638" s="1">
        <v>0.67708333333333337</v>
      </c>
      <c r="E1638" t="s">
        <v>36</v>
      </c>
      <c r="F1638" t="s">
        <v>16</v>
      </c>
      <c r="G1638" t="s">
        <v>54</v>
      </c>
      <c r="H1638" t="s">
        <v>185</v>
      </c>
    </row>
    <row r="1639" spans="1:8" x14ac:dyDescent="0.3">
      <c r="A1639" t="s">
        <v>603</v>
      </c>
      <c r="B1639">
        <v>12</v>
      </c>
      <c r="C1639" t="s">
        <v>647</v>
      </c>
      <c r="D1639" s="1">
        <v>0.77083333333333337</v>
      </c>
      <c r="E1639" t="s">
        <v>338</v>
      </c>
      <c r="F1639" t="s">
        <v>21</v>
      </c>
      <c r="G1639" t="s">
        <v>54</v>
      </c>
      <c r="H1639" t="s">
        <v>190</v>
      </c>
    </row>
    <row r="1640" spans="1:8" x14ac:dyDescent="0.3">
      <c r="A1640" t="s">
        <v>603</v>
      </c>
      <c r="B1640">
        <v>12</v>
      </c>
      <c r="C1640" t="s">
        <v>647</v>
      </c>
      <c r="D1640" s="1">
        <v>0.86458333333333337</v>
      </c>
      <c r="E1640" t="s">
        <v>15</v>
      </c>
      <c r="F1640" t="s">
        <v>34</v>
      </c>
      <c r="G1640" s="2">
        <v>46023</v>
      </c>
      <c r="H1640" t="s">
        <v>609</v>
      </c>
    </row>
    <row r="1641" spans="1:8" x14ac:dyDescent="0.3">
      <c r="A1641" t="s">
        <v>603</v>
      </c>
      <c r="B1641">
        <v>12</v>
      </c>
      <c r="C1641" t="s">
        <v>648</v>
      </c>
      <c r="D1641" s="1">
        <v>0.875</v>
      </c>
      <c r="E1641" t="s">
        <v>187</v>
      </c>
      <c r="F1641" t="s">
        <v>26</v>
      </c>
      <c r="G1641" t="s">
        <v>40</v>
      </c>
      <c r="H1641" t="s">
        <v>206</v>
      </c>
    </row>
    <row r="1642" spans="1:8" x14ac:dyDescent="0.3">
      <c r="A1642" t="s">
        <v>603</v>
      </c>
      <c r="B1642">
        <v>13</v>
      </c>
      <c r="C1642" t="s">
        <v>649</v>
      </c>
      <c r="D1642" s="1">
        <v>0.875</v>
      </c>
      <c r="E1642" t="s">
        <v>35</v>
      </c>
      <c r="F1642" t="s">
        <v>466</v>
      </c>
      <c r="G1642" t="s">
        <v>18</v>
      </c>
      <c r="H1642" t="s">
        <v>185</v>
      </c>
    </row>
    <row r="1643" spans="1:8" x14ac:dyDescent="0.3">
      <c r="A1643" t="s">
        <v>603</v>
      </c>
      <c r="B1643">
        <v>13</v>
      </c>
      <c r="C1643" t="s">
        <v>650</v>
      </c>
      <c r="D1643" s="1">
        <v>0.54166666666666663</v>
      </c>
      <c r="E1643" t="s">
        <v>464</v>
      </c>
      <c r="F1643" t="s">
        <v>187</v>
      </c>
      <c r="G1643" s="2">
        <v>46054</v>
      </c>
      <c r="H1643" t="s">
        <v>467</v>
      </c>
    </row>
    <row r="1644" spans="1:8" x14ac:dyDescent="0.3">
      <c r="A1644" t="s">
        <v>603</v>
      </c>
      <c r="B1644">
        <v>13</v>
      </c>
      <c r="C1644" t="s">
        <v>650</v>
      </c>
      <c r="D1644" s="1">
        <v>0.67708333333333337</v>
      </c>
      <c r="E1644" t="s">
        <v>25</v>
      </c>
      <c r="F1644" t="s">
        <v>17</v>
      </c>
      <c r="G1644" s="2">
        <v>46056</v>
      </c>
      <c r="H1644" t="s">
        <v>194</v>
      </c>
    </row>
    <row r="1645" spans="1:8" x14ac:dyDescent="0.3">
      <c r="A1645" t="s">
        <v>603</v>
      </c>
      <c r="B1645">
        <v>13</v>
      </c>
      <c r="C1645" t="s">
        <v>650</v>
      </c>
      <c r="D1645" s="1">
        <v>0.77083333333333337</v>
      </c>
      <c r="E1645" t="s">
        <v>26</v>
      </c>
      <c r="F1645" t="s">
        <v>606</v>
      </c>
      <c r="G1645" s="2">
        <v>46055</v>
      </c>
      <c r="H1645" t="s">
        <v>184</v>
      </c>
    </row>
    <row r="1646" spans="1:8" x14ac:dyDescent="0.3">
      <c r="A1646" t="s">
        <v>603</v>
      </c>
      <c r="B1646">
        <v>13</v>
      </c>
      <c r="C1646" t="s">
        <v>650</v>
      </c>
      <c r="D1646" s="1">
        <v>0.86458333333333337</v>
      </c>
      <c r="E1646" t="s">
        <v>21</v>
      </c>
      <c r="F1646" t="s">
        <v>28</v>
      </c>
      <c r="G1646" t="s">
        <v>72</v>
      </c>
      <c r="H1646" t="s">
        <v>475</v>
      </c>
    </row>
    <row r="1647" spans="1:8" x14ac:dyDescent="0.3">
      <c r="A1647" t="s">
        <v>603</v>
      </c>
      <c r="B1647">
        <v>13</v>
      </c>
      <c r="C1647" t="s">
        <v>651</v>
      </c>
      <c r="D1647" s="1">
        <v>0.5</v>
      </c>
      <c r="E1647" t="s">
        <v>182</v>
      </c>
      <c r="F1647" t="s">
        <v>15</v>
      </c>
      <c r="G1647" s="2">
        <v>46055</v>
      </c>
      <c r="H1647" t="s">
        <v>206</v>
      </c>
    </row>
    <row r="1648" spans="1:8" x14ac:dyDescent="0.3">
      <c r="A1648" t="s">
        <v>603</v>
      </c>
      <c r="B1648">
        <v>13</v>
      </c>
      <c r="C1648" t="s">
        <v>651</v>
      </c>
      <c r="D1648" s="1">
        <v>0.67708333333333337</v>
      </c>
      <c r="E1648" t="s">
        <v>10</v>
      </c>
      <c r="F1648" t="s">
        <v>338</v>
      </c>
      <c r="G1648" s="2">
        <v>46055</v>
      </c>
      <c r="H1648" t="s">
        <v>614</v>
      </c>
    </row>
    <row r="1649" spans="1:8" x14ac:dyDescent="0.3">
      <c r="A1649" t="s">
        <v>603</v>
      </c>
      <c r="B1649">
        <v>13</v>
      </c>
      <c r="C1649" t="s">
        <v>651</v>
      </c>
      <c r="D1649" s="1">
        <v>0.77083333333333337</v>
      </c>
      <c r="E1649" t="s">
        <v>34</v>
      </c>
      <c r="F1649" t="s">
        <v>27</v>
      </c>
      <c r="G1649" s="2">
        <v>46083</v>
      </c>
      <c r="H1649" t="s">
        <v>612</v>
      </c>
    </row>
    <row r="1650" spans="1:8" x14ac:dyDescent="0.3">
      <c r="A1650" t="s">
        <v>603</v>
      </c>
      <c r="B1650">
        <v>13</v>
      </c>
      <c r="C1650" t="s">
        <v>651</v>
      </c>
      <c r="D1650" s="1">
        <v>0.86458333333333337</v>
      </c>
      <c r="E1650" t="s">
        <v>16</v>
      </c>
      <c r="F1650" t="s">
        <v>20</v>
      </c>
      <c r="G1650" s="2">
        <v>46023</v>
      </c>
      <c r="H1650" t="s">
        <v>207</v>
      </c>
    </row>
    <row r="1651" spans="1:8" x14ac:dyDescent="0.3">
      <c r="A1651" t="s">
        <v>603</v>
      </c>
      <c r="B1651">
        <v>13</v>
      </c>
      <c r="C1651" t="s">
        <v>652</v>
      </c>
      <c r="D1651" s="1">
        <v>0.875</v>
      </c>
      <c r="E1651" t="s">
        <v>36</v>
      </c>
      <c r="F1651" t="s">
        <v>11</v>
      </c>
      <c r="G1651" t="s">
        <v>18</v>
      </c>
      <c r="H1651" t="s">
        <v>205</v>
      </c>
    </row>
    <row r="1652" spans="1:8" x14ac:dyDescent="0.3">
      <c r="A1652" t="s">
        <v>603</v>
      </c>
      <c r="B1652">
        <v>14</v>
      </c>
      <c r="C1652" t="s">
        <v>653</v>
      </c>
      <c r="D1652" s="1">
        <v>0.875</v>
      </c>
      <c r="E1652" t="s">
        <v>17</v>
      </c>
      <c r="F1652" t="s">
        <v>21</v>
      </c>
      <c r="G1652" t="s">
        <v>41</v>
      </c>
      <c r="H1652" t="s">
        <v>341</v>
      </c>
    </row>
    <row r="1653" spans="1:8" x14ac:dyDescent="0.3">
      <c r="A1653" t="s">
        <v>603</v>
      </c>
      <c r="B1653">
        <v>14</v>
      </c>
      <c r="C1653" t="s">
        <v>654</v>
      </c>
      <c r="D1653" s="1">
        <v>0.54166666666666663</v>
      </c>
      <c r="E1653" t="s">
        <v>20</v>
      </c>
      <c r="F1653" t="s">
        <v>35</v>
      </c>
      <c r="G1653" s="2">
        <v>46055</v>
      </c>
      <c r="H1653" t="s">
        <v>190</v>
      </c>
    </row>
    <row r="1654" spans="1:8" x14ac:dyDescent="0.3">
      <c r="A1654" t="s">
        <v>603</v>
      </c>
      <c r="B1654">
        <v>14</v>
      </c>
      <c r="C1654" t="s">
        <v>654</v>
      </c>
      <c r="D1654" s="1">
        <v>0.67708333333333337</v>
      </c>
      <c r="E1654" t="s">
        <v>28</v>
      </c>
      <c r="F1654" t="s">
        <v>10</v>
      </c>
      <c r="G1654" s="2">
        <v>46024</v>
      </c>
      <c r="H1654" t="s">
        <v>197</v>
      </c>
    </row>
    <row r="1655" spans="1:8" x14ac:dyDescent="0.3">
      <c r="A1655" t="s">
        <v>603</v>
      </c>
      <c r="B1655">
        <v>14</v>
      </c>
      <c r="C1655" t="s">
        <v>654</v>
      </c>
      <c r="D1655" s="1">
        <v>0.77083333333333337</v>
      </c>
      <c r="E1655" t="s">
        <v>27</v>
      </c>
      <c r="F1655" t="s">
        <v>182</v>
      </c>
      <c r="G1655" t="s">
        <v>12</v>
      </c>
      <c r="H1655" t="s">
        <v>345</v>
      </c>
    </row>
    <row r="1656" spans="1:8" x14ac:dyDescent="0.3">
      <c r="A1656" t="s">
        <v>603</v>
      </c>
      <c r="B1656">
        <v>14</v>
      </c>
      <c r="C1656" t="s">
        <v>654</v>
      </c>
      <c r="D1656" s="1">
        <v>0.86458333333333337</v>
      </c>
      <c r="E1656" t="s">
        <v>15</v>
      </c>
      <c r="F1656" t="s">
        <v>25</v>
      </c>
      <c r="G1656" t="s">
        <v>41</v>
      </c>
      <c r="H1656" t="s">
        <v>181</v>
      </c>
    </row>
    <row r="1657" spans="1:8" x14ac:dyDescent="0.3">
      <c r="A1657" t="s">
        <v>603</v>
      </c>
      <c r="B1657">
        <v>14</v>
      </c>
      <c r="C1657" t="s">
        <v>655</v>
      </c>
      <c r="D1657" s="1">
        <v>0.5</v>
      </c>
      <c r="E1657" t="s">
        <v>466</v>
      </c>
      <c r="F1657" t="s">
        <v>34</v>
      </c>
      <c r="G1657" s="2">
        <v>46025</v>
      </c>
      <c r="H1657" t="s">
        <v>191</v>
      </c>
    </row>
    <row r="1658" spans="1:8" x14ac:dyDescent="0.3">
      <c r="A1658" t="s">
        <v>603</v>
      </c>
      <c r="B1658">
        <v>14</v>
      </c>
      <c r="C1658" t="s">
        <v>655</v>
      </c>
      <c r="D1658" s="1">
        <v>0.67708333333333337</v>
      </c>
      <c r="E1658" t="s">
        <v>11</v>
      </c>
      <c r="F1658" t="s">
        <v>16</v>
      </c>
      <c r="G1658" t="s">
        <v>18</v>
      </c>
      <c r="H1658" t="s">
        <v>609</v>
      </c>
    </row>
    <row r="1659" spans="1:8" x14ac:dyDescent="0.3">
      <c r="A1659" t="s">
        <v>603</v>
      </c>
      <c r="B1659">
        <v>14</v>
      </c>
      <c r="C1659" t="s">
        <v>655</v>
      </c>
      <c r="D1659" s="1">
        <v>0.77083333333333337</v>
      </c>
      <c r="E1659" t="s">
        <v>187</v>
      </c>
      <c r="F1659" t="s">
        <v>36</v>
      </c>
      <c r="G1659" s="2">
        <v>46025</v>
      </c>
      <c r="H1659" t="s">
        <v>73</v>
      </c>
    </row>
    <row r="1660" spans="1:8" x14ac:dyDescent="0.3">
      <c r="A1660" t="s">
        <v>603</v>
      </c>
      <c r="B1660">
        <v>14</v>
      </c>
      <c r="C1660" t="s">
        <v>655</v>
      </c>
      <c r="D1660" s="1">
        <v>0.86458333333333337</v>
      </c>
      <c r="E1660" t="s">
        <v>338</v>
      </c>
      <c r="F1660" t="s">
        <v>26</v>
      </c>
      <c r="G1660" t="s">
        <v>18</v>
      </c>
      <c r="H1660" t="s">
        <v>198</v>
      </c>
    </row>
    <row r="1661" spans="1:8" x14ac:dyDescent="0.3">
      <c r="A1661" t="s">
        <v>603</v>
      </c>
      <c r="B1661">
        <v>14</v>
      </c>
      <c r="C1661" t="s">
        <v>656</v>
      </c>
      <c r="D1661" s="1">
        <v>0.875</v>
      </c>
      <c r="E1661" t="s">
        <v>606</v>
      </c>
      <c r="F1661" t="s">
        <v>464</v>
      </c>
      <c r="G1661" s="2">
        <v>46083</v>
      </c>
      <c r="H1661" t="s">
        <v>612</v>
      </c>
    </row>
    <row r="1662" spans="1:8" x14ac:dyDescent="0.3">
      <c r="A1662" t="s">
        <v>603</v>
      </c>
      <c r="B1662">
        <v>15</v>
      </c>
      <c r="C1662" t="s">
        <v>657</v>
      </c>
      <c r="D1662" s="1">
        <v>0.875</v>
      </c>
      <c r="E1662" t="s">
        <v>464</v>
      </c>
      <c r="F1662" t="s">
        <v>338</v>
      </c>
      <c r="G1662" t="s">
        <v>12</v>
      </c>
      <c r="H1662" t="s">
        <v>609</v>
      </c>
    </row>
    <row r="1663" spans="1:8" x14ac:dyDescent="0.3">
      <c r="A1663" t="s">
        <v>603</v>
      </c>
      <c r="B1663">
        <v>15</v>
      </c>
      <c r="C1663" t="s">
        <v>658</v>
      </c>
      <c r="D1663" s="1">
        <v>0.54166666666666663</v>
      </c>
      <c r="E1663" t="s">
        <v>11</v>
      </c>
      <c r="F1663" t="s">
        <v>187</v>
      </c>
      <c r="G1663" t="s">
        <v>41</v>
      </c>
      <c r="H1663" t="s">
        <v>612</v>
      </c>
    </row>
    <row r="1664" spans="1:8" x14ac:dyDescent="0.3">
      <c r="A1664" t="s">
        <v>603</v>
      </c>
      <c r="B1664">
        <v>15</v>
      </c>
      <c r="C1664" t="s">
        <v>658</v>
      </c>
      <c r="D1664" s="1">
        <v>0.67708333333333337</v>
      </c>
      <c r="E1664" t="s">
        <v>25</v>
      </c>
      <c r="F1664" t="s">
        <v>27</v>
      </c>
      <c r="G1664" t="s">
        <v>40</v>
      </c>
      <c r="H1664" t="s">
        <v>205</v>
      </c>
    </row>
    <row r="1665" spans="1:8" x14ac:dyDescent="0.3">
      <c r="A1665" t="s">
        <v>603</v>
      </c>
      <c r="B1665">
        <v>15</v>
      </c>
      <c r="C1665" t="s">
        <v>658</v>
      </c>
      <c r="D1665" s="1">
        <v>0.77083333333333337</v>
      </c>
      <c r="E1665" t="s">
        <v>182</v>
      </c>
      <c r="F1665" t="s">
        <v>466</v>
      </c>
      <c r="G1665" t="s">
        <v>18</v>
      </c>
      <c r="H1665" t="s">
        <v>190</v>
      </c>
    </row>
    <row r="1666" spans="1:8" x14ac:dyDescent="0.3">
      <c r="A1666" t="s">
        <v>603</v>
      </c>
      <c r="B1666">
        <v>15</v>
      </c>
      <c r="C1666" t="s">
        <v>658</v>
      </c>
      <c r="D1666" s="1">
        <v>0.86458333333333337</v>
      </c>
      <c r="E1666" t="s">
        <v>16</v>
      </c>
      <c r="F1666" t="s">
        <v>35</v>
      </c>
      <c r="G1666" s="2">
        <v>46024</v>
      </c>
      <c r="H1666" t="s">
        <v>467</v>
      </c>
    </row>
    <row r="1667" spans="1:8" x14ac:dyDescent="0.3">
      <c r="A1667" t="s">
        <v>603</v>
      </c>
      <c r="B1667">
        <v>15</v>
      </c>
      <c r="C1667" t="s">
        <v>659</v>
      </c>
      <c r="D1667" s="1">
        <v>0.5</v>
      </c>
      <c r="E1667" t="s">
        <v>10</v>
      </c>
      <c r="F1667" t="s">
        <v>17</v>
      </c>
      <c r="G1667" t="s">
        <v>54</v>
      </c>
      <c r="H1667" t="s">
        <v>184</v>
      </c>
    </row>
    <row r="1668" spans="1:8" x14ac:dyDescent="0.3">
      <c r="A1668" t="s">
        <v>603</v>
      </c>
      <c r="B1668">
        <v>15</v>
      </c>
      <c r="C1668" t="s">
        <v>659</v>
      </c>
      <c r="D1668" s="1">
        <v>0.67708333333333337</v>
      </c>
      <c r="E1668" t="s">
        <v>26</v>
      </c>
      <c r="F1668" t="s">
        <v>28</v>
      </c>
      <c r="G1668" t="s">
        <v>42</v>
      </c>
      <c r="H1668" t="s">
        <v>185</v>
      </c>
    </row>
    <row r="1669" spans="1:8" x14ac:dyDescent="0.3">
      <c r="A1669" t="s">
        <v>603</v>
      </c>
      <c r="B1669">
        <v>15</v>
      </c>
      <c r="C1669" t="s">
        <v>659</v>
      </c>
      <c r="D1669" s="1">
        <v>0.77083333333333337</v>
      </c>
      <c r="E1669" t="s">
        <v>21</v>
      </c>
      <c r="F1669" t="s">
        <v>15</v>
      </c>
      <c r="G1669" s="2">
        <v>46054</v>
      </c>
      <c r="H1669" t="s">
        <v>198</v>
      </c>
    </row>
    <row r="1670" spans="1:8" x14ac:dyDescent="0.3">
      <c r="A1670" t="s">
        <v>603</v>
      </c>
      <c r="B1670">
        <v>15</v>
      </c>
      <c r="C1670" t="s">
        <v>659</v>
      </c>
      <c r="D1670" s="1">
        <v>0.86458333333333337</v>
      </c>
      <c r="E1670" t="s">
        <v>34</v>
      </c>
      <c r="F1670" t="s">
        <v>20</v>
      </c>
      <c r="G1670" t="s">
        <v>54</v>
      </c>
      <c r="H1670" t="s">
        <v>341</v>
      </c>
    </row>
    <row r="1671" spans="1:8" x14ac:dyDescent="0.3">
      <c r="A1671" t="s">
        <v>603</v>
      </c>
      <c r="B1671">
        <v>15</v>
      </c>
      <c r="C1671" t="s">
        <v>660</v>
      </c>
      <c r="D1671" s="1">
        <v>0.875</v>
      </c>
      <c r="E1671" t="s">
        <v>36</v>
      </c>
      <c r="F1671" t="s">
        <v>606</v>
      </c>
      <c r="G1671" t="s">
        <v>42</v>
      </c>
      <c r="H1671" t="s">
        <v>206</v>
      </c>
    </row>
    <row r="1672" spans="1:8" x14ac:dyDescent="0.3">
      <c r="A1672" t="s">
        <v>603</v>
      </c>
      <c r="B1672">
        <v>16</v>
      </c>
      <c r="C1672" t="s">
        <v>661</v>
      </c>
      <c r="D1672" s="1">
        <v>0.875</v>
      </c>
      <c r="E1672" t="s">
        <v>27</v>
      </c>
      <c r="F1672" t="s">
        <v>21</v>
      </c>
      <c r="G1672" t="s">
        <v>41</v>
      </c>
      <c r="H1672" t="s">
        <v>207</v>
      </c>
    </row>
    <row r="1673" spans="1:8" x14ac:dyDescent="0.3">
      <c r="A1673" t="s">
        <v>603</v>
      </c>
      <c r="B1673">
        <v>16</v>
      </c>
      <c r="C1673" t="s">
        <v>662</v>
      </c>
      <c r="D1673" s="1">
        <v>0.67708333333333337</v>
      </c>
      <c r="E1673" t="s">
        <v>15</v>
      </c>
      <c r="F1673" t="s">
        <v>10</v>
      </c>
      <c r="G1673" t="s">
        <v>41</v>
      </c>
      <c r="H1673" t="s">
        <v>191</v>
      </c>
    </row>
    <row r="1674" spans="1:8" x14ac:dyDescent="0.3">
      <c r="A1674" t="s">
        <v>603</v>
      </c>
      <c r="B1674">
        <v>16</v>
      </c>
      <c r="C1674" t="s">
        <v>662</v>
      </c>
      <c r="D1674" s="1">
        <v>0.77083333333333337</v>
      </c>
      <c r="E1674" t="s">
        <v>187</v>
      </c>
      <c r="F1674" t="s">
        <v>16</v>
      </c>
      <c r="G1674" s="2">
        <v>46024</v>
      </c>
      <c r="H1674" t="s">
        <v>614</v>
      </c>
    </row>
    <row r="1675" spans="1:8" x14ac:dyDescent="0.3">
      <c r="A1675" t="s">
        <v>603</v>
      </c>
      <c r="B1675">
        <v>16</v>
      </c>
      <c r="C1675" t="s">
        <v>662</v>
      </c>
      <c r="D1675" s="1">
        <v>0.86458333333333337</v>
      </c>
      <c r="E1675" t="s">
        <v>28</v>
      </c>
      <c r="F1675" t="s">
        <v>464</v>
      </c>
      <c r="G1675" t="s">
        <v>18</v>
      </c>
      <c r="H1675" t="s">
        <v>194</v>
      </c>
    </row>
    <row r="1676" spans="1:8" x14ac:dyDescent="0.3">
      <c r="A1676" t="s">
        <v>603</v>
      </c>
      <c r="B1676">
        <v>16</v>
      </c>
      <c r="C1676" t="s">
        <v>663</v>
      </c>
      <c r="D1676" s="1">
        <v>0.5</v>
      </c>
      <c r="E1676" t="s">
        <v>606</v>
      </c>
      <c r="F1676" t="s">
        <v>11</v>
      </c>
      <c r="G1676" t="s">
        <v>18</v>
      </c>
      <c r="H1676" t="s">
        <v>73</v>
      </c>
    </row>
    <row r="1677" spans="1:8" x14ac:dyDescent="0.3">
      <c r="A1677" t="s">
        <v>603</v>
      </c>
      <c r="B1677">
        <v>16</v>
      </c>
      <c r="C1677" t="s">
        <v>663</v>
      </c>
      <c r="D1677" s="1">
        <v>0.67708333333333337</v>
      </c>
      <c r="E1677" t="s">
        <v>35</v>
      </c>
      <c r="F1677" t="s">
        <v>34</v>
      </c>
      <c r="G1677" t="s">
        <v>42</v>
      </c>
      <c r="H1677" t="s">
        <v>198</v>
      </c>
    </row>
    <row r="1678" spans="1:8" x14ac:dyDescent="0.3">
      <c r="A1678" t="s">
        <v>603</v>
      </c>
      <c r="B1678">
        <v>16</v>
      </c>
      <c r="C1678" t="s">
        <v>663</v>
      </c>
      <c r="D1678" s="1">
        <v>0.77083333333333337</v>
      </c>
      <c r="E1678" t="s">
        <v>338</v>
      </c>
      <c r="F1678" t="s">
        <v>36</v>
      </c>
      <c r="G1678" s="2">
        <v>46055</v>
      </c>
      <c r="H1678" t="s">
        <v>345</v>
      </c>
    </row>
    <row r="1679" spans="1:8" x14ac:dyDescent="0.3">
      <c r="A1679" t="s">
        <v>603</v>
      </c>
      <c r="B1679">
        <v>16</v>
      </c>
      <c r="C1679" t="s">
        <v>663</v>
      </c>
      <c r="D1679" s="1">
        <v>0.86458333333333337</v>
      </c>
      <c r="E1679" t="s">
        <v>20</v>
      </c>
      <c r="F1679" t="s">
        <v>182</v>
      </c>
      <c r="G1679" t="s">
        <v>88</v>
      </c>
      <c r="H1679" t="s">
        <v>181</v>
      </c>
    </row>
    <row r="1680" spans="1:8" x14ac:dyDescent="0.3">
      <c r="A1680" t="s">
        <v>603</v>
      </c>
      <c r="B1680">
        <v>16</v>
      </c>
      <c r="C1680" t="s">
        <v>664</v>
      </c>
      <c r="D1680" s="1">
        <v>0.875</v>
      </c>
      <c r="E1680" t="s">
        <v>17</v>
      </c>
      <c r="F1680" t="s">
        <v>26</v>
      </c>
      <c r="G1680" t="s">
        <v>54</v>
      </c>
      <c r="H1680" t="s">
        <v>612</v>
      </c>
    </row>
    <row r="1681" spans="1:8" x14ac:dyDescent="0.3">
      <c r="A1681" t="s">
        <v>603</v>
      </c>
      <c r="B1681">
        <v>16</v>
      </c>
      <c r="C1681" t="s">
        <v>665</v>
      </c>
      <c r="D1681" s="1">
        <v>0.78125</v>
      </c>
      <c r="E1681" t="s">
        <v>466</v>
      </c>
      <c r="F1681" t="s">
        <v>25</v>
      </c>
      <c r="G1681" s="2">
        <v>46082</v>
      </c>
      <c r="H1681" t="s">
        <v>206</v>
      </c>
    </row>
    <row r="1682" spans="1:8" x14ac:dyDescent="0.3">
      <c r="A1682" t="s">
        <v>603</v>
      </c>
      <c r="B1682">
        <v>17</v>
      </c>
      <c r="C1682" t="s">
        <v>666</v>
      </c>
      <c r="D1682" s="1">
        <v>0.89583333333333337</v>
      </c>
      <c r="E1682" t="s">
        <v>21</v>
      </c>
      <c r="F1682" t="s">
        <v>466</v>
      </c>
      <c r="G1682" t="s">
        <v>41</v>
      </c>
      <c r="H1682" t="s">
        <v>197</v>
      </c>
    </row>
    <row r="1683" spans="1:8" x14ac:dyDescent="0.3">
      <c r="A1683" t="s">
        <v>603</v>
      </c>
      <c r="B1683">
        <v>17</v>
      </c>
      <c r="C1683" t="s">
        <v>667</v>
      </c>
      <c r="D1683" s="1">
        <v>0.8125</v>
      </c>
      <c r="E1683" t="s">
        <v>11</v>
      </c>
      <c r="F1683" t="s">
        <v>338</v>
      </c>
      <c r="G1683" t="s">
        <v>12</v>
      </c>
      <c r="H1683" t="s">
        <v>341</v>
      </c>
    </row>
    <row r="1684" spans="1:8" x14ac:dyDescent="0.3">
      <c r="A1684" t="s">
        <v>603</v>
      </c>
      <c r="B1684">
        <v>17</v>
      </c>
      <c r="C1684" t="s">
        <v>667</v>
      </c>
      <c r="D1684" s="1">
        <v>0.89583333333333337</v>
      </c>
      <c r="E1684" t="s">
        <v>10</v>
      </c>
      <c r="F1684" t="s">
        <v>27</v>
      </c>
      <c r="G1684" s="2">
        <v>46025</v>
      </c>
      <c r="H1684" t="s">
        <v>185</v>
      </c>
    </row>
    <row r="1685" spans="1:8" x14ac:dyDescent="0.3">
      <c r="A1685" t="s">
        <v>603</v>
      </c>
      <c r="B1685">
        <v>17</v>
      </c>
      <c r="C1685" t="s">
        <v>668</v>
      </c>
      <c r="D1685" s="1">
        <v>0.8125</v>
      </c>
      <c r="E1685" t="s">
        <v>187</v>
      </c>
      <c r="F1685" t="s">
        <v>606</v>
      </c>
      <c r="G1685" s="2">
        <v>46026</v>
      </c>
      <c r="H1685" t="s">
        <v>207</v>
      </c>
    </row>
    <row r="1686" spans="1:8" x14ac:dyDescent="0.3">
      <c r="A1686" t="s">
        <v>603</v>
      </c>
      <c r="B1686">
        <v>17</v>
      </c>
      <c r="C1686" t="s">
        <v>668</v>
      </c>
      <c r="D1686" s="1">
        <v>0.89583333333333337</v>
      </c>
      <c r="E1686" t="s">
        <v>464</v>
      </c>
      <c r="F1686" t="s">
        <v>17</v>
      </c>
      <c r="G1686" t="s">
        <v>18</v>
      </c>
      <c r="H1686" t="s">
        <v>188</v>
      </c>
    </row>
    <row r="1687" spans="1:8" x14ac:dyDescent="0.3">
      <c r="A1687" t="s">
        <v>603</v>
      </c>
      <c r="B1687">
        <v>17</v>
      </c>
      <c r="C1687" t="s">
        <v>669</v>
      </c>
      <c r="D1687" s="1">
        <v>0.8125</v>
      </c>
      <c r="E1687" t="s">
        <v>26</v>
      </c>
      <c r="F1687" t="s">
        <v>15</v>
      </c>
      <c r="G1687" t="s">
        <v>54</v>
      </c>
      <c r="H1687" t="s">
        <v>205</v>
      </c>
    </row>
    <row r="1688" spans="1:8" x14ac:dyDescent="0.3">
      <c r="A1688" t="s">
        <v>603</v>
      </c>
      <c r="B1688">
        <v>17</v>
      </c>
      <c r="C1688" t="s">
        <v>669</v>
      </c>
      <c r="D1688" s="1">
        <v>0.89583333333333337</v>
      </c>
      <c r="E1688" t="s">
        <v>36</v>
      </c>
      <c r="F1688" t="s">
        <v>28</v>
      </c>
      <c r="G1688" t="s">
        <v>18</v>
      </c>
      <c r="H1688" t="s">
        <v>190</v>
      </c>
    </row>
    <row r="1689" spans="1:8" x14ac:dyDescent="0.3">
      <c r="A1689" t="s">
        <v>603</v>
      </c>
      <c r="B1689">
        <v>17</v>
      </c>
      <c r="C1689" t="s">
        <v>670</v>
      </c>
      <c r="D1689" s="1">
        <v>0.54166666666666663</v>
      </c>
      <c r="E1689" t="s">
        <v>25</v>
      </c>
      <c r="F1689" t="s">
        <v>20</v>
      </c>
      <c r="G1689" t="s">
        <v>46</v>
      </c>
      <c r="H1689" t="s">
        <v>345</v>
      </c>
    </row>
    <row r="1690" spans="1:8" x14ac:dyDescent="0.3">
      <c r="A1690" t="s">
        <v>603</v>
      </c>
      <c r="B1690">
        <v>17</v>
      </c>
      <c r="C1690" t="s">
        <v>670</v>
      </c>
      <c r="D1690" s="1">
        <v>0.67708333333333337</v>
      </c>
      <c r="E1690" t="s">
        <v>16</v>
      </c>
      <c r="F1690" t="s">
        <v>34</v>
      </c>
      <c r="G1690" t="s">
        <v>42</v>
      </c>
      <c r="H1690" t="s">
        <v>475</v>
      </c>
    </row>
    <row r="1691" spans="1:8" x14ac:dyDescent="0.3">
      <c r="A1691" t="s">
        <v>603</v>
      </c>
      <c r="B1691">
        <v>17</v>
      </c>
      <c r="C1691" t="s">
        <v>670</v>
      </c>
      <c r="D1691" s="1">
        <v>0.77083333333333337</v>
      </c>
      <c r="E1691" t="s">
        <v>182</v>
      </c>
      <c r="F1691" t="s">
        <v>35</v>
      </c>
      <c r="G1691" s="2">
        <v>46082</v>
      </c>
      <c r="H1691" t="s">
        <v>73</v>
      </c>
    </row>
    <row r="1692" spans="1:8" x14ac:dyDescent="0.3">
      <c r="A1692" t="s">
        <v>603</v>
      </c>
      <c r="B1692">
        <v>18</v>
      </c>
      <c r="C1692" t="s">
        <v>671</v>
      </c>
      <c r="D1692" s="1">
        <v>0.54166666666666663</v>
      </c>
      <c r="E1692" t="s">
        <v>28</v>
      </c>
      <c r="F1692" t="s">
        <v>11</v>
      </c>
      <c r="G1692" t="s">
        <v>12</v>
      </c>
      <c r="H1692" t="s">
        <v>467</v>
      </c>
    </row>
    <row r="1693" spans="1:8" x14ac:dyDescent="0.3">
      <c r="A1693" t="s">
        <v>603</v>
      </c>
      <c r="B1693">
        <v>18</v>
      </c>
      <c r="C1693" t="s">
        <v>671</v>
      </c>
      <c r="D1693" s="1">
        <v>0.67708333333333337</v>
      </c>
      <c r="E1693" t="s">
        <v>16</v>
      </c>
      <c r="F1693" t="s">
        <v>606</v>
      </c>
      <c r="G1693" s="2">
        <v>46024</v>
      </c>
      <c r="H1693" t="s">
        <v>191</v>
      </c>
    </row>
    <row r="1694" spans="1:8" x14ac:dyDescent="0.3">
      <c r="A1694" t="s">
        <v>603</v>
      </c>
      <c r="B1694">
        <v>18</v>
      </c>
      <c r="C1694" t="s">
        <v>671</v>
      </c>
      <c r="D1694" s="1">
        <v>0.77083333333333337</v>
      </c>
      <c r="E1694" t="s">
        <v>338</v>
      </c>
      <c r="F1694" t="s">
        <v>187</v>
      </c>
      <c r="G1694" s="2">
        <v>46054</v>
      </c>
      <c r="H1694" t="s">
        <v>206</v>
      </c>
    </row>
    <row r="1695" spans="1:8" x14ac:dyDescent="0.3">
      <c r="A1695" t="s">
        <v>603</v>
      </c>
      <c r="B1695">
        <v>18</v>
      </c>
      <c r="C1695" t="s">
        <v>671</v>
      </c>
      <c r="D1695" s="1">
        <v>0.86458333333333337</v>
      </c>
      <c r="E1695" t="s">
        <v>27</v>
      </c>
      <c r="F1695" t="s">
        <v>26</v>
      </c>
      <c r="G1695" s="2">
        <v>46145</v>
      </c>
      <c r="H1695" t="s">
        <v>194</v>
      </c>
    </row>
    <row r="1696" spans="1:8" x14ac:dyDescent="0.3">
      <c r="A1696" t="s">
        <v>603</v>
      </c>
      <c r="B1696">
        <v>18</v>
      </c>
      <c r="C1696" t="s">
        <v>672</v>
      </c>
      <c r="D1696" s="1">
        <v>0.5</v>
      </c>
      <c r="E1696" t="s">
        <v>466</v>
      </c>
      <c r="F1696" t="s">
        <v>10</v>
      </c>
      <c r="G1696" t="s">
        <v>18</v>
      </c>
      <c r="H1696" t="s">
        <v>198</v>
      </c>
    </row>
    <row r="1697" spans="1:8" x14ac:dyDescent="0.3">
      <c r="A1697" t="s">
        <v>603</v>
      </c>
      <c r="B1697">
        <v>18</v>
      </c>
      <c r="C1697" t="s">
        <v>672</v>
      </c>
      <c r="D1697" s="1">
        <v>0.67708333333333337</v>
      </c>
      <c r="E1697" t="s">
        <v>20</v>
      </c>
      <c r="F1697" t="s">
        <v>21</v>
      </c>
      <c r="G1697" t="s">
        <v>32</v>
      </c>
      <c r="H1697" t="s">
        <v>184</v>
      </c>
    </row>
    <row r="1698" spans="1:8" x14ac:dyDescent="0.3">
      <c r="A1698" t="s">
        <v>603</v>
      </c>
      <c r="B1698">
        <v>18</v>
      </c>
      <c r="C1698" t="s">
        <v>672</v>
      </c>
      <c r="D1698" s="1">
        <v>0.77083333333333337</v>
      </c>
      <c r="E1698" t="s">
        <v>15</v>
      </c>
      <c r="F1698" t="s">
        <v>464</v>
      </c>
      <c r="G1698" t="s">
        <v>12</v>
      </c>
      <c r="H1698" t="s">
        <v>614</v>
      </c>
    </row>
    <row r="1699" spans="1:8" x14ac:dyDescent="0.3">
      <c r="A1699" t="s">
        <v>603</v>
      </c>
      <c r="B1699">
        <v>18</v>
      </c>
      <c r="C1699" t="s">
        <v>672</v>
      </c>
      <c r="D1699" s="1">
        <v>0.77083333333333337</v>
      </c>
      <c r="E1699" t="s">
        <v>34</v>
      </c>
      <c r="F1699" t="s">
        <v>182</v>
      </c>
      <c r="G1699" s="2">
        <v>46023</v>
      </c>
      <c r="H1699" t="s">
        <v>609</v>
      </c>
    </row>
    <row r="1700" spans="1:8" x14ac:dyDescent="0.3">
      <c r="A1700" t="s">
        <v>603</v>
      </c>
      <c r="B1700">
        <v>18</v>
      </c>
      <c r="C1700" t="s">
        <v>672</v>
      </c>
      <c r="D1700" s="1">
        <v>0.86458333333333337</v>
      </c>
      <c r="E1700" t="s">
        <v>35</v>
      </c>
      <c r="F1700" t="s">
        <v>25</v>
      </c>
      <c r="G1700" s="2">
        <v>46055</v>
      </c>
      <c r="H1700" t="s">
        <v>197</v>
      </c>
    </row>
    <row r="1701" spans="1:8" x14ac:dyDescent="0.3">
      <c r="A1701" t="s">
        <v>603</v>
      </c>
      <c r="B1701">
        <v>18</v>
      </c>
      <c r="C1701" t="s">
        <v>673</v>
      </c>
      <c r="D1701" s="1">
        <v>0.875</v>
      </c>
      <c r="E1701" t="s">
        <v>17</v>
      </c>
      <c r="F1701" t="s">
        <v>36</v>
      </c>
      <c r="G1701" t="s">
        <v>42</v>
      </c>
      <c r="H1701" t="s">
        <v>181</v>
      </c>
    </row>
    <row r="1702" spans="1:8" x14ac:dyDescent="0.3">
      <c r="A1702" t="s">
        <v>603</v>
      </c>
      <c r="B1702">
        <v>19</v>
      </c>
      <c r="C1702" t="s">
        <v>674</v>
      </c>
      <c r="D1702" s="1">
        <v>0.875</v>
      </c>
      <c r="E1702" t="s">
        <v>11</v>
      </c>
      <c r="F1702" t="s">
        <v>17</v>
      </c>
      <c r="G1702" t="s">
        <v>18</v>
      </c>
      <c r="H1702" t="s">
        <v>205</v>
      </c>
    </row>
    <row r="1703" spans="1:8" x14ac:dyDescent="0.3">
      <c r="A1703" t="s">
        <v>603</v>
      </c>
      <c r="B1703">
        <v>19</v>
      </c>
      <c r="C1703" t="s">
        <v>675</v>
      </c>
      <c r="D1703" s="1">
        <v>0.54166666666666663</v>
      </c>
      <c r="E1703" t="s">
        <v>606</v>
      </c>
      <c r="F1703" t="s">
        <v>338</v>
      </c>
      <c r="G1703" t="s">
        <v>126</v>
      </c>
      <c r="H1703" t="s">
        <v>190</v>
      </c>
    </row>
    <row r="1704" spans="1:8" x14ac:dyDescent="0.3">
      <c r="A1704" t="s">
        <v>603</v>
      </c>
      <c r="B1704">
        <v>19</v>
      </c>
      <c r="C1704" t="s">
        <v>675</v>
      </c>
      <c r="D1704" s="1">
        <v>0.67708333333333337</v>
      </c>
      <c r="E1704" t="s">
        <v>25</v>
      </c>
      <c r="F1704" t="s">
        <v>34</v>
      </c>
      <c r="G1704" t="s">
        <v>42</v>
      </c>
      <c r="H1704" t="s">
        <v>73</v>
      </c>
    </row>
    <row r="1705" spans="1:8" x14ac:dyDescent="0.3">
      <c r="A1705" t="s">
        <v>603</v>
      </c>
      <c r="B1705">
        <v>19</v>
      </c>
      <c r="C1705" t="s">
        <v>675</v>
      </c>
      <c r="D1705" s="1">
        <v>0.77083333333333337</v>
      </c>
      <c r="E1705" t="s">
        <v>187</v>
      </c>
      <c r="F1705" t="s">
        <v>28</v>
      </c>
      <c r="G1705" t="s">
        <v>42</v>
      </c>
      <c r="H1705" t="s">
        <v>181</v>
      </c>
    </row>
    <row r="1706" spans="1:8" x14ac:dyDescent="0.3">
      <c r="A1706" t="s">
        <v>603</v>
      </c>
      <c r="B1706">
        <v>19</v>
      </c>
      <c r="C1706" t="s">
        <v>675</v>
      </c>
      <c r="D1706" s="1">
        <v>0.86458333333333337</v>
      </c>
      <c r="E1706" t="s">
        <v>182</v>
      </c>
      <c r="F1706" t="s">
        <v>16</v>
      </c>
      <c r="G1706" s="2">
        <v>46054</v>
      </c>
      <c r="H1706" t="s">
        <v>612</v>
      </c>
    </row>
    <row r="1707" spans="1:8" x14ac:dyDescent="0.3">
      <c r="A1707" t="s">
        <v>603</v>
      </c>
      <c r="B1707">
        <v>19</v>
      </c>
      <c r="C1707" t="s">
        <v>676</v>
      </c>
      <c r="D1707" s="1">
        <v>0.5</v>
      </c>
      <c r="E1707" t="s">
        <v>21</v>
      </c>
      <c r="F1707" t="s">
        <v>35</v>
      </c>
      <c r="G1707" t="s">
        <v>42</v>
      </c>
      <c r="H1707" t="s">
        <v>188</v>
      </c>
    </row>
    <row r="1708" spans="1:8" x14ac:dyDescent="0.3">
      <c r="A1708" t="s">
        <v>603</v>
      </c>
      <c r="B1708">
        <v>19</v>
      </c>
      <c r="C1708" t="s">
        <v>676</v>
      </c>
      <c r="D1708" s="1">
        <v>0.67708333333333337</v>
      </c>
      <c r="E1708" t="s">
        <v>464</v>
      </c>
      <c r="F1708" t="s">
        <v>27</v>
      </c>
      <c r="G1708" t="s">
        <v>18</v>
      </c>
      <c r="H1708" t="s">
        <v>345</v>
      </c>
    </row>
    <row r="1709" spans="1:8" x14ac:dyDescent="0.3">
      <c r="A1709" t="s">
        <v>603</v>
      </c>
      <c r="B1709">
        <v>19</v>
      </c>
      <c r="C1709" t="s">
        <v>676</v>
      </c>
      <c r="D1709" s="1">
        <v>0.77083333333333337</v>
      </c>
      <c r="E1709" t="s">
        <v>36</v>
      </c>
      <c r="F1709" t="s">
        <v>15</v>
      </c>
      <c r="G1709" s="2">
        <v>46023</v>
      </c>
      <c r="H1709" t="s">
        <v>475</v>
      </c>
    </row>
    <row r="1710" spans="1:8" x14ac:dyDescent="0.3">
      <c r="A1710" t="s">
        <v>603</v>
      </c>
      <c r="B1710">
        <v>19</v>
      </c>
      <c r="C1710" t="s">
        <v>676</v>
      </c>
      <c r="D1710" s="1">
        <v>0.86458333333333337</v>
      </c>
      <c r="E1710" t="s">
        <v>10</v>
      </c>
      <c r="F1710" t="s">
        <v>20</v>
      </c>
      <c r="G1710" s="2">
        <v>46114</v>
      </c>
      <c r="H1710" t="s">
        <v>206</v>
      </c>
    </row>
    <row r="1711" spans="1:8" x14ac:dyDescent="0.3">
      <c r="A1711" t="s">
        <v>603</v>
      </c>
      <c r="B1711">
        <v>19</v>
      </c>
      <c r="C1711" t="s">
        <v>677</v>
      </c>
      <c r="D1711" s="1">
        <v>0.875</v>
      </c>
      <c r="E1711" t="s">
        <v>26</v>
      </c>
      <c r="F1711" t="s">
        <v>466</v>
      </c>
      <c r="G1711" s="2">
        <v>46056</v>
      </c>
      <c r="H1711" t="s">
        <v>207</v>
      </c>
    </row>
    <row r="1712" spans="1:8" x14ac:dyDescent="0.3">
      <c r="A1712" t="s">
        <v>603</v>
      </c>
      <c r="B1712">
        <v>20</v>
      </c>
      <c r="C1712" t="s">
        <v>678</v>
      </c>
      <c r="D1712" s="1">
        <v>0.875</v>
      </c>
      <c r="E1712" t="s">
        <v>11</v>
      </c>
      <c r="F1712" t="s">
        <v>15</v>
      </c>
      <c r="G1712" s="2">
        <v>46055</v>
      </c>
      <c r="H1712" t="s">
        <v>194</v>
      </c>
    </row>
    <row r="1713" spans="1:8" x14ac:dyDescent="0.3">
      <c r="A1713" t="s">
        <v>603</v>
      </c>
      <c r="B1713">
        <v>20</v>
      </c>
      <c r="C1713" t="s">
        <v>679</v>
      </c>
      <c r="D1713" s="1">
        <v>0.54166666666666663</v>
      </c>
      <c r="E1713" t="s">
        <v>36</v>
      </c>
      <c r="F1713" t="s">
        <v>27</v>
      </c>
      <c r="G1713" t="s">
        <v>46</v>
      </c>
      <c r="H1713" t="s">
        <v>73</v>
      </c>
    </row>
    <row r="1714" spans="1:8" x14ac:dyDescent="0.3">
      <c r="A1714" t="s">
        <v>603</v>
      </c>
      <c r="B1714">
        <v>20</v>
      </c>
      <c r="C1714" t="s">
        <v>679</v>
      </c>
      <c r="D1714" s="1">
        <v>0.67708333333333337</v>
      </c>
      <c r="E1714" t="s">
        <v>28</v>
      </c>
      <c r="F1714" t="s">
        <v>606</v>
      </c>
      <c r="G1714" s="2">
        <v>46023</v>
      </c>
      <c r="H1714" t="s">
        <v>341</v>
      </c>
    </row>
    <row r="1715" spans="1:8" x14ac:dyDescent="0.3">
      <c r="A1715" t="s">
        <v>603</v>
      </c>
      <c r="B1715">
        <v>20</v>
      </c>
      <c r="C1715" t="s">
        <v>679</v>
      </c>
      <c r="D1715" s="1">
        <v>0.77083333333333337</v>
      </c>
      <c r="E1715" t="s">
        <v>34</v>
      </c>
      <c r="F1715" t="s">
        <v>21</v>
      </c>
      <c r="G1715" s="2">
        <v>46024</v>
      </c>
      <c r="H1715" t="s">
        <v>206</v>
      </c>
    </row>
    <row r="1716" spans="1:8" x14ac:dyDescent="0.3">
      <c r="A1716" t="s">
        <v>603</v>
      </c>
      <c r="B1716">
        <v>20</v>
      </c>
      <c r="C1716" t="s">
        <v>679</v>
      </c>
      <c r="D1716" s="1">
        <v>0.86458333333333337</v>
      </c>
      <c r="E1716" t="s">
        <v>338</v>
      </c>
      <c r="F1716" t="s">
        <v>16</v>
      </c>
      <c r="G1716" s="2">
        <v>46024</v>
      </c>
      <c r="H1716" t="s">
        <v>467</v>
      </c>
    </row>
    <row r="1717" spans="1:8" x14ac:dyDescent="0.3">
      <c r="A1717" t="s">
        <v>603</v>
      </c>
      <c r="B1717">
        <v>20</v>
      </c>
      <c r="C1717" t="s">
        <v>680</v>
      </c>
      <c r="D1717" s="1">
        <v>0.5</v>
      </c>
      <c r="E1717" t="s">
        <v>464</v>
      </c>
      <c r="F1717" t="s">
        <v>466</v>
      </c>
      <c r="G1717" s="2">
        <v>46055</v>
      </c>
      <c r="H1717" t="s">
        <v>475</v>
      </c>
    </row>
    <row r="1718" spans="1:8" x14ac:dyDescent="0.3">
      <c r="A1718" t="s">
        <v>603</v>
      </c>
      <c r="B1718">
        <v>20</v>
      </c>
      <c r="C1718" t="s">
        <v>680</v>
      </c>
      <c r="D1718" s="1">
        <v>0.67708333333333337</v>
      </c>
      <c r="E1718" t="s">
        <v>25</v>
      </c>
      <c r="F1718" t="s">
        <v>182</v>
      </c>
      <c r="G1718" s="2">
        <v>46029</v>
      </c>
      <c r="H1718" t="s">
        <v>191</v>
      </c>
    </row>
    <row r="1719" spans="1:8" x14ac:dyDescent="0.3">
      <c r="A1719" t="s">
        <v>603</v>
      </c>
      <c r="B1719">
        <v>20</v>
      </c>
      <c r="C1719" t="s">
        <v>680</v>
      </c>
      <c r="D1719" s="1">
        <v>0.77083333333333337</v>
      </c>
      <c r="E1719" t="s">
        <v>10</v>
      </c>
      <c r="F1719" t="s">
        <v>35</v>
      </c>
      <c r="G1719" s="2">
        <v>46054</v>
      </c>
      <c r="H1719" t="s">
        <v>181</v>
      </c>
    </row>
    <row r="1720" spans="1:8" x14ac:dyDescent="0.3">
      <c r="A1720" t="s">
        <v>603</v>
      </c>
      <c r="B1720">
        <v>20</v>
      </c>
      <c r="C1720" t="s">
        <v>680</v>
      </c>
      <c r="D1720" s="1">
        <v>0.86458333333333337</v>
      </c>
      <c r="E1720" t="s">
        <v>26</v>
      </c>
      <c r="F1720" t="s">
        <v>20</v>
      </c>
      <c r="G1720" t="s">
        <v>72</v>
      </c>
      <c r="H1720" t="s">
        <v>197</v>
      </c>
    </row>
    <row r="1721" spans="1:8" x14ac:dyDescent="0.3">
      <c r="A1721" t="s">
        <v>603</v>
      </c>
      <c r="B1721">
        <v>20</v>
      </c>
      <c r="C1721" t="s">
        <v>681</v>
      </c>
      <c r="D1721" s="1">
        <v>0.875</v>
      </c>
      <c r="E1721" t="s">
        <v>187</v>
      </c>
      <c r="F1721" t="s">
        <v>17</v>
      </c>
      <c r="G1721" s="2">
        <v>46023</v>
      </c>
      <c r="H1721" t="s">
        <v>609</v>
      </c>
    </row>
    <row r="1722" spans="1:8" x14ac:dyDescent="0.3">
      <c r="A1722" t="s">
        <v>603</v>
      </c>
      <c r="B1722">
        <v>21</v>
      </c>
      <c r="C1722" t="s">
        <v>682</v>
      </c>
      <c r="D1722" s="1">
        <v>0.875</v>
      </c>
      <c r="E1722" t="s">
        <v>15</v>
      </c>
      <c r="F1722" t="s">
        <v>187</v>
      </c>
      <c r="G1722" s="2">
        <v>46023</v>
      </c>
      <c r="H1722" t="s">
        <v>190</v>
      </c>
    </row>
    <row r="1723" spans="1:8" x14ac:dyDescent="0.3">
      <c r="A1723" t="s">
        <v>603</v>
      </c>
      <c r="B1723">
        <v>21</v>
      </c>
      <c r="C1723" t="s">
        <v>683</v>
      </c>
      <c r="D1723" s="1">
        <v>0.54166666666666663</v>
      </c>
      <c r="E1723" t="s">
        <v>182</v>
      </c>
      <c r="F1723" t="s">
        <v>21</v>
      </c>
      <c r="G1723" s="2">
        <v>46055</v>
      </c>
      <c r="H1723" t="s">
        <v>614</v>
      </c>
    </row>
    <row r="1724" spans="1:8" x14ac:dyDescent="0.3">
      <c r="A1724" t="s">
        <v>603</v>
      </c>
      <c r="B1724">
        <v>21</v>
      </c>
      <c r="C1724" t="s">
        <v>683</v>
      </c>
      <c r="D1724" s="1">
        <v>0.67708333333333337</v>
      </c>
      <c r="E1724" t="s">
        <v>16</v>
      </c>
      <c r="F1724" t="s">
        <v>25</v>
      </c>
      <c r="G1724" s="2">
        <v>46113</v>
      </c>
      <c r="H1724" t="s">
        <v>198</v>
      </c>
    </row>
    <row r="1725" spans="1:8" x14ac:dyDescent="0.3">
      <c r="A1725" t="s">
        <v>603</v>
      </c>
      <c r="B1725">
        <v>21</v>
      </c>
      <c r="C1725" t="s">
        <v>683</v>
      </c>
      <c r="D1725" s="1">
        <v>0.77083333333333337</v>
      </c>
      <c r="E1725" t="s">
        <v>17</v>
      </c>
      <c r="F1725" t="s">
        <v>606</v>
      </c>
      <c r="G1725" t="s">
        <v>41</v>
      </c>
      <c r="H1725" t="s">
        <v>73</v>
      </c>
    </row>
    <row r="1726" spans="1:8" x14ac:dyDescent="0.3">
      <c r="A1726" t="s">
        <v>603</v>
      </c>
      <c r="B1726">
        <v>21</v>
      </c>
      <c r="C1726" t="s">
        <v>683</v>
      </c>
      <c r="D1726" s="1">
        <v>0.86458333333333337</v>
      </c>
      <c r="E1726" t="s">
        <v>34</v>
      </c>
      <c r="F1726" t="s">
        <v>10</v>
      </c>
      <c r="G1726" s="2">
        <v>46057</v>
      </c>
      <c r="H1726" t="s">
        <v>184</v>
      </c>
    </row>
    <row r="1727" spans="1:8" x14ac:dyDescent="0.3">
      <c r="A1727" t="s">
        <v>603</v>
      </c>
      <c r="B1727">
        <v>21</v>
      </c>
      <c r="C1727" t="s">
        <v>684</v>
      </c>
      <c r="D1727" s="1">
        <v>0.5</v>
      </c>
      <c r="E1727" t="s">
        <v>466</v>
      </c>
      <c r="F1727" t="s">
        <v>36</v>
      </c>
      <c r="G1727" s="2">
        <v>46056</v>
      </c>
      <c r="H1727" t="s">
        <v>205</v>
      </c>
    </row>
    <row r="1728" spans="1:8" x14ac:dyDescent="0.3">
      <c r="A1728" t="s">
        <v>603</v>
      </c>
      <c r="B1728">
        <v>21</v>
      </c>
      <c r="C1728" t="s">
        <v>684</v>
      </c>
      <c r="D1728" s="1">
        <v>0.67708333333333337</v>
      </c>
      <c r="E1728" t="s">
        <v>28</v>
      </c>
      <c r="F1728" t="s">
        <v>338</v>
      </c>
      <c r="G1728" t="s">
        <v>32</v>
      </c>
      <c r="H1728" t="s">
        <v>188</v>
      </c>
    </row>
    <row r="1729" spans="1:8" x14ac:dyDescent="0.3">
      <c r="A1729" t="s">
        <v>603</v>
      </c>
      <c r="B1729">
        <v>21</v>
      </c>
      <c r="C1729" t="s">
        <v>684</v>
      </c>
      <c r="D1729" s="1">
        <v>0.77083333333333337</v>
      </c>
      <c r="E1729" t="s">
        <v>27</v>
      </c>
      <c r="F1729" t="s">
        <v>11</v>
      </c>
      <c r="G1729" s="2">
        <v>46023</v>
      </c>
      <c r="H1729" t="s">
        <v>612</v>
      </c>
    </row>
    <row r="1730" spans="1:8" x14ac:dyDescent="0.3">
      <c r="A1730" t="s">
        <v>603</v>
      </c>
      <c r="B1730">
        <v>21</v>
      </c>
      <c r="C1730" t="s">
        <v>684</v>
      </c>
      <c r="D1730" s="1">
        <v>0.86458333333333337</v>
      </c>
      <c r="E1730" t="s">
        <v>20</v>
      </c>
      <c r="F1730" t="s">
        <v>464</v>
      </c>
      <c r="G1730" s="2">
        <v>46024</v>
      </c>
      <c r="H1730" t="s">
        <v>207</v>
      </c>
    </row>
    <row r="1731" spans="1:8" x14ac:dyDescent="0.3">
      <c r="A1731" t="s">
        <v>603</v>
      </c>
      <c r="B1731">
        <v>21</v>
      </c>
      <c r="C1731" t="s">
        <v>685</v>
      </c>
      <c r="D1731" s="1">
        <v>0.875</v>
      </c>
      <c r="E1731" t="s">
        <v>35</v>
      </c>
      <c r="F1731" t="s">
        <v>26</v>
      </c>
      <c r="G1731" s="2">
        <v>46056</v>
      </c>
      <c r="H1731" t="s">
        <v>345</v>
      </c>
    </row>
    <row r="1732" spans="1:8" x14ac:dyDescent="0.3">
      <c r="A1732" t="s">
        <v>603</v>
      </c>
      <c r="B1732">
        <v>22</v>
      </c>
      <c r="C1732" t="s">
        <v>686</v>
      </c>
      <c r="D1732" s="1">
        <v>0.875</v>
      </c>
      <c r="E1732" t="s">
        <v>10</v>
      </c>
      <c r="F1732" t="s">
        <v>182</v>
      </c>
      <c r="G1732" t="s">
        <v>40</v>
      </c>
      <c r="H1732" t="s">
        <v>73</v>
      </c>
    </row>
    <row r="1733" spans="1:8" x14ac:dyDescent="0.3">
      <c r="A1733" t="s">
        <v>603</v>
      </c>
      <c r="B1733">
        <v>22</v>
      </c>
      <c r="C1733" t="s">
        <v>687</v>
      </c>
      <c r="D1733" s="1">
        <v>0.54166666666666663</v>
      </c>
      <c r="E1733" t="s">
        <v>187</v>
      </c>
      <c r="F1733" t="s">
        <v>27</v>
      </c>
      <c r="G1733" s="2">
        <v>46027</v>
      </c>
      <c r="H1733" t="s">
        <v>475</v>
      </c>
    </row>
    <row r="1734" spans="1:8" x14ac:dyDescent="0.3">
      <c r="A1734" t="s">
        <v>603</v>
      </c>
      <c r="B1734">
        <v>22</v>
      </c>
      <c r="C1734" t="s">
        <v>687</v>
      </c>
      <c r="D1734" s="1">
        <v>0.67708333333333337</v>
      </c>
      <c r="E1734" t="s">
        <v>26</v>
      </c>
      <c r="F1734" t="s">
        <v>34</v>
      </c>
      <c r="G1734" s="2">
        <v>46024</v>
      </c>
      <c r="H1734" t="s">
        <v>612</v>
      </c>
    </row>
    <row r="1735" spans="1:8" x14ac:dyDescent="0.3">
      <c r="A1735" t="s">
        <v>603</v>
      </c>
      <c r="B1735">
        <v>22</v>
      </c>
      <c r="C1735" t="s">
        <v>687</v>
      </c>
      <c r="D1735" s="1">
        <v>0.77083333333333337</v>
      </c>
      <c r="E1735" t="s">
        <v>464</v>
      </c>
      <c r="F1735" t="s">
        <v>35</v>
      </c>
      <c r="G1735" s="2">
        <v>46024</v>
      </c>
      <c r="H1735" t="s">
        <v>205</v>
      </c>
    </row>
    <row r="1736" spans="1:8" x14ac:dyDescent="0.3">
      <c r="A1736" t="s">
        <v>603</v>
      </c>
      <c r="B1736">
        <v>22</v>
      </c>
      <c r="C1736" t="s">
        <v>687</v>
      </c>
      <c r="D1736" s="1">
        <v>0.86458333333333337</v>
      </c>
      <c r="E1736" t="s">
        <v>21</v>
      </c>
      <c r="F1736" t="s">
        <v>25</v>
      </c>
      <c r="G1736" s="2">
        <v>46055</v>
      </c>
      <c r="H1736" t="s">
        <v>190</v>
      </c>
    </row>
    <row r="1737" spans="1:8" x14ac:dyDescent="0.3">
      <c r="A1737" t="s">
        <v>603</v>
      </c>
      <c r="B1737">
        <v>22</v>
      </c>
      <c r="C1737" t="s">
        <v>688</v>
      </c>
      <c r="D1737" s="1">
        <v>0.5</v>
      </c>
      <c r="E1737" t="s">
        <v>11</v>
      </c>
      <c r="F1737" t="s">
        <v>466</v>
      </c>
      <c r="G1737" t="s">
        <v>41</v>
      </c>
      <c r="H1737" t="s">
        <v>188</v>
      </c>
    </row>
    <row r="1738" spans="1:8" x14ac:dyDescent="0.3">
      <c r="A1738" t="s">
        <v>603</v>
      </c>
      <c r="B1738">
        <v>22</v>
      </c>
      <c r="C1738" t="s">
        <v>688</v>
      </c>
      <c r="D1738" s="1">
        <v>0.67708333333333337</v>
      </c>
      <c r="E1738" t="s">
        <v>36</v>
      </c>
      <c r="F1738" t="s">
        <v>20</v>
      </c>
      <c r="G1738" s="2">
        <v>46023</v>
      </c>
      <c r="H1738" t="s">
        <v>194</v>
      </c>
    </row>
    <row r="1739" spans="1:8" x14ac:dyDescent="0.3">
      <c r="A1739" t="s">
        <v>603</v>
      </c>
      <c r="B1739">
        <v>22</v>
      </c>
      <c r="C1739" t="s">
        <v>688</v>
      </c>
      <c r="D1739" s="1">
        <v>0.77083333333333337</v>
      </c>
      <c r="E1739" t="s">
        <v>606</v>
      </c>
      <c r="F1739" t="s">
        <v>15</v>
      </c>
      <c r="G1739" t="s">
        <v>12</v>
      </c>
      <c r="H1739" t="s">
        <v>467</v>
      </c>
    </row>
    <row r="1740" spans="1:8" x14ac:dyDescent="0.3">
      <c r="A1740" t="s">
        <v>603</v>
      </c>
      <c r="B1740">
        <v>22</v>
      </c>
      <c r="C1740" t="s">
        <v>688</v>
      </c>
      <c r="D1740" s="1">
        <v>0.86458333333333337</v>
      </c>
      <c r="E1740" t="s">
        <v>28</v>
      </c>
      <c r="F1740" t="s">
        <v>16</v>
      </c>
      <c r="G1740" t="s">
        <v>18</v>
      </c>
      <c r="H1740" t="s">
        <v>207</v>
      </c>
    </row>
    <row r="1741" spans="1:8" x14ac:dyDescent="0.3">
      <c r="A1741" t="s">
        <v>603</v>
      </c>
      <c r="B1741">
        <v>22</v>
      </c>
      <c r="C1741" t="s">
        <v>689</v>
      </c>
      <c r="D1741" s="1">
        <v>0.875</v>
      </c>
      <c r="E1741" t="s">
        <v>338</v>
      </c>
      <c r="F1741" t="s">
        <v>17</v>
      </c>
      <c r="G1741" t="s">
        <v>18</v>
      </c>
      <c r="H1741" t="s">
        <v>341</v>
      </c>
    </row>
    <row r="1742" spans="1:8" x14ac:dyDescent="0.3">
      <c r="A1742" t="s">
        <v>603</v>
      </c>
      <c r="B1742">
        <v>23</v>
      </c>
      <c r="C1742" t="s">
        <v>690</v>
      </c>
      <c r="D1742" s="1">
        <v>0.875</v>
      </c>
      <c r="E1742" t="s">
        <v>15</v>
      </c>
      <c r="F1742" t="s">
        <v>338</v>
      </c>
      <c r="G1742" t="s">
        <v>41</v>
      </c>
      <c r="H1742" t="s">
        <v>198</v>
      </c>
    </row>
    <row r="1743" spans="1:8" x14ac:dyDescent="0.3">
      <c r="A1743" t="s">
        <v>603</v>
      </c>
      <c r="B1743">
        <v>23</v>
      </c>
      <c r="C1743" t="s">
        <v>691</v>
      </c>
      <c r="D1743" s="1">
        <v>0.54166666666666663</v>
      </c>
      <c r="E1743" t="s">
        <v>34</v>
      </c>
      <c r="F1743" t="s">
        <v>464</v>
      </c>
      <c r="G1743" s="2">
        <v>46054</v>
      </c>
      <c r="H1743" t="s">
        <v>475</v>
      </c>
    </row>
    <row r="1744" spans="1:8" x14ac:dyDescent="0.3">
      <c r="A1744" t="s">
        <v>603</v>
      </c>
      <c r="B1744">
        <v>23</v>
      </c>
      <c r="C1744" t="s">
        <v>691</v>
      </c>
      <c r="D1744" s="1">
        <v>0.67708333333333337</v>
      </c>
      <c r="E1744" t="s">
        <v>17</v>
      </c>
      <c r="F1744" t="s">
        <v>28</v>
      </c>
      <c r="G1744" t="s">
        <v>42</v>
      </c>
      <c r="H1744" t="s">
        <v>345</v>
      </c>
    </row>
    <row r="1745" spans="1:8" x14ac:dyDescent="0.3">
      <c r="A1745" t="s">
        <v>603</v>
      </c>
      <c r="B1745">
        <v>23</v>
      </c>
      <c r="C1745" t="s">
        <v>691</v>
      </c>
      <c r="D1745" s="1">
        <v>0.77083333333333337</v>
      </c>
      <c r="E1745" t="s">
        <v>466</v>
      </c>
      <c r="F1745" t="s">
        <v>187</v>
      </c>
      <c r="G1745" t="s">
        <v>42</v>
      </c>
      <c r="H1745" t="s">
        <v>614</v>
      </c>
    </row>
    <row r="1746" spans="1:8" x14ac:dyDescent="0.3">
      <c r="A1746" t="s">
        <v>603</v>
      </c>
      <c r="B1746">
        <v>23</v>
      </c>
      <c r="C1746" t="s">
        <v>691</v>
      </c>
      <c r="D1746" s="1">
        <v>0.86458333333333337</v>
      </c>
      <c r="E1746" t="s">
        <v>25</v>
      </c>
      <c r="F1746" t="s">
        <v>10</v>
      </c>
      <c r="G1746" s="2">
        <v>46058</v>
      </c>
      <c r="H1746" t="s">
        <v>185</v>
      </c>
    </row>
    <row r="1747" spans="1:8" x14ac:dyDescent="0.3">
      <c r="A1747" t="s">
        <v>603</v>
      </c>
      <c r="B1747">
        <v>23</v>
      </c>
      <c r="C1747" t="s">
        <v>692</v>
      </c>
      <c r="D1747" s="1">
        <v>0.5</v>
      </c>
      <c r="E1747" t="s">
        <v>27</v>
      </c>
      <c r="F1747" t="s">
        <v>606</v>
      </c>
      <c r="G1747" t="s">
        <v>18</v>
      </c>
      <c r="H1747" t="s">
        <v>197</v>
      </c>
    </row>
    <row r="1748" spans="1:8" x14ac:dyDescent="0.3">
      <c r="A1748" t="s">
        <v>603</v>
      </c>
      <c r="B1748">
        <v>23</v>
      </c>
      <c r="C1748" t="s">
        <v>692</v>
      </c>
      <c r="D1748" s="1">
        <v>0.67708333333333337</v>
      </c>
      <c r="E1748" t="s">
        <v>20</v>
      </c>
      <c r="F1748" t="s">
        <v>11</v>
      </c>
      <c r="G1748" t="s">
        <v>41</v>
      </c>
      <c r="H1748" t="s">
        <v>191</v>
      </c>
    </row>
    <row r="1749" spans="1:8" x14ac:dyDescent="0.3">
      <c r="A1749" t="s">
        <v>603</v>
      </c>
      <c r="B1749">
        <v>23</v>
      </c>
      <c r="C1749" t="s">
        <v>692</v>
      </c>
      <c r="D1749" s="1">
        <v>0.77083333333333337</v>
      </c>
      <c r="E1749" t="s">
        <v>35</v>
      </c>
      <c r="F1749" t="s">
        <v>36</v>
      </c>
      <c r="G1749" s="2">
        <v>46055</v>
      </c>
      <c r="H1749" t="s">
        <v>206</v>
      </c>
    </row>
    <row r="1750" spans="1:8" x14ac:dyDescent="0.3">
      <c r="A1750" t="s">
        <v>603</v>
      </c>
      <c r="B1750">
        <v>23</v>
      </c>
      <c r="C1750" t="s">
        <v>692</v>
      </c>
      <c r="D1750" s="1">
        <v>0.86458333333333337</v>
      </c>
      <c r="E1750" t="s">
        <v>16</v>
      </c>
      <c r="F1750" t="s">
        <v>21</v>
      </c>
      <c r="G1750" s="2">
        <v>46025</v>
      </c>
      <c r="H1750" t="s">
        <v>609</v>
      </c>
    </row>
    <row r="1751" spans="1:8" x14ac:dyDescent="0.3">
      <c r="A1751" t="s">
        <v>603</v>
      </c>
      <c r="B1751">
        <v>23</v>
      </c>
      <c r="C1751" t="s">
        <v>693</v>
      </c>
      <c r="D1751" s="1">
        <v>0.875</v>
      </c>
      <c r="E1751" t="s">
        <v>182</v>
      </c>
      <c r="F1751" t="s">
        <v>26</v>
      </c>
      <c r="G1751" t="s">
        <v>42</v>
      </c>
      <c r="H1751" t="s">
        <v>184</v>
      </c>
    </row>
    <row r="1752" spans="1:8" x14ac:dyDescent="0.3">
      <c r="A1752" t="s">
        <v>603</v>
      </c>
      <c r="B1752">
        <v>24</v>
      </c>
      <c r="C1752" t="s">
        <v>694</v>
      </c>
      <c r="D1752" s="1">
        <v>0.875</v>
      </c>
      <c r="E1752" t="s">
        <v>606</v>
      </c>
      <c r="F1752" t="s">
        <v>466</v>
      </c>
      <c r="G1752" t="s">
        <v>32</v>
      </c>
      <c r="H1752" t="s">
        <v>181</v>
      </c>
    </row>
    <row r="1753" spans="1:8" x14ac:dyDescent="0.3">
      <c r="A1753" t="s">
        <v>603</v>
      </c>
      <c r="B1753">
        <v>24</v>
      </c>
      <c r="C1753" t="s">
        <v>695</v>
      </c>
      <c r="D1753" s="1">
        <v>0.54166666666666663</v>
      </c>
      <c r="E1753" t="s">
        <v>338</v>
      </c>
      <c r="F1753" t="s">
        <v>27</v>
      </c>
      <c r="G1753" s="2">
        <v>46054</v>
      </c>
      <c r="H1753" t="s">
        <v>207</v>
      </c>
    </row>
    <row r="1754" spans="1:8" x14ac:dyDescent="0.3">
      <c r="A1754" t="s">
        <v>603</v>
      </c>
      <c r="B1754">
        <v>24</v>
      </c>
      <c r="C1754" t="s">
        <v>695</v>
      </c>
      <c r="D1754" s="1">
        <v>0.67708333333333337</v>
      </c>
      <c r="E1754" t="s">
        <v>187</v>
      </c>
      <c r="F1754" t="s">
        <v>20</v>
      </c>
      <c r="G1754" t="s">
        <v>54</v>
      </c>
      <c r="H1754" t="s">
        <v>185</v>
      </c>
    </row>
    <row r="1755" spans="1:8" x14ac:dyDescent="0.3">
      <c r="A1755" t="s">
        <v>603</v>
      </c>
      <c r="B1755">
        <v>24</v>
      </c>
      <c r="C1755" t="s">
        <v>695</v>
      </c>
      <c r="D1755" s="1">
        <v>0.77083333333333337</v>
      </c>
      <c r="E1755" t="s">
        <v>464</v>
      </c>
      <c r="F1755" t="s">
        <v>182</v>
      </c>
      <c r="G1755" t="s">
        <v>18</v>
      </c>
      <c r="H1755" t="s">
        <v>190</v>
      </c>
    </row>
    <row r="1756" spans="1:8" x14ac:dyDescent="0.3">
      <c r="A1756" t="s">
        <v>603</v>
      </c>
      <c r="B1756">
        <v>24</v>
      </c>
      <c r="C1756" t="s">
        <v>695</v>
      </c>
      <c r="D1756" s="1">
        <v>0.86458333333333337</v>
      </c>
      <c r="E1756" t="s">
        <v>17</v>
      </c>
      <c r="F1756" t="s">
        <v>16</v>
      </c>
      <c r="G1756" s="2">
        <v>46054</v>
      </c>
      <c r="H1756" t="s">
        <v>475</v>
      </c>
    </row>
    <row r="1757" spans="1:8" x14ac:dyDescent="0.3">
      <c r="A1757" t="s">
        <v>603</v>
      </c>
      <c r="B1757">
        <v>24</v>
      </c>
      <c r="C1757" t="s">
        <v>696</v>
      </c>
      <c r="D1757" s="1">
        <v>0.5</v>
      </c>
      <c r="E1757" t="s">
        <v>10</v>
      </c>
      <c r="F1757" t="s">
        <v>21</v>
      </c>
      <c r="G1757" t="s">
        <v>32</v>
      </c>
      <c r="H1757" t="s">
        <v>197</v>
      </c>
    </row>
    <row r="1758" spans="1:8" x14ac:dyDescent="0.3">
      <c r="A1758" t="s">
        <v>603</v>
      </c>
      <c r="B1758">
        <v>24</v>
      </c>
      <c r="C1758" t="s">
        <v>696</v>
      </c>
      <c r="D1758" s="1">
        <v>0.67708333333333337</v>
      </c>
      <c r="E1758" t="s">
        <v>28</v>
      </c>
      <c r="F1758" t="s">
        <v>15</v>
      </c>
      <c r="G1758" t="s">
        <v>12</v>
      </c>
      <c r="H1758" t="s">
        <v>206</v>
      </c>
    </row>
    <row r="1759" spans="1:8" x14ac:dyDescent="0.3">
      <c r="A1759" t="s">
        <v>603</v>
      </c>
      <c r="B1759">
        <v>24</v>
      </c>
      <c r="C1759" t="s">
        <v>696</v>
      </c>
      <c r="D1759" s="1">
        <v>0.77083333333333337</v>
      </c>
      <c r="E1759" t="s">
        <v>36</v>
      </c>
      <c r="F1759" t="s">
        <v>34</v>
      </c>
      <c r="G1759" s="2">
        <v>46023</v>
      </c>
      <c r="H1759" t="s">
        <v>467</v>
      </c>
    </row>
    <row r="1760" spans="1:8" x14ac:dyDescent="0.3">
      <c r="A1760" t="s">
        <v>603</v>
      </c>
      <c r="B1760">
        <v>24</v>
      </c>
      <c r="C1760" t="s">
        <v>696</v>
      </c>
      <c r="D1760" s="1">
        <v>0.86458333333333337</v>
      </c>
      <c r="E1760" t="s">
        <v>26</v>
      </c>
      <c r="F1760" t="s">
        <v>25</v>
      </c>
      <c r="G1760" s="2">
        <v>46145</v>
      </c>
      <c r="H1760" t="s">
        <v>194</v>
      </c>
    </row>
    <row r="1761" spans="1:8" x14ac:dyDescent="0.3">
      <c r="A1761" t="s">
        <v>603</v>
      </c>
      <c r="B1761">
        <v>24</v>
      </c>
      <c r="C1761" t="s">
        <v>697</v>
      </c>
      <c r="D1761" s="1">
        <v>0.875</v>
      </c>
      <c r="E1761" t="s">
        <v>11</v>
      </c>
      <c r="F1761" t="s">
        <v>35</v>
      </c>
      <c r="G1761" t="s">
        <v>32</v>
      </c>
      <c r="H1761" t="s">
        <v>614</v>
      </c>
    </row>
    <row r="1762" spans="1:8" x14ac:dyDescent="0.3">
      <c r="A1762" t="s">
        <v>603</v>
      </c>
      <c r="B1762">
        <v>25</v>
      </c>
      <c r="C1762" t="s">
        <v>698</v>
      </c>
      <c r="D1762" s="1">
        <v>0.875</v>
      </c>
      <c r="E1762" t="s">
        <v>182</v>
      </c>
      <c r="F1762" t="s">
        <v>36</v>
      </c>
      <c r="G1762" t="s">
        <v>41</v>
      </c>
      <c r="H1762" t="s">
        <v>191</v>
      </c>
    </row>
    <row r="1763" spans="1:8" x14ac:dyDescent="0.3">
      <c r="A1763" t="s">
        <v>603</v>
      </c>
      <c r="B1763">
        <v>25</v>
      </c>
      <c r="C1763" t="s">
        <v>699</v>
      </c>
      <c r="D1763" s="1">
        <v>0.54166666666666663</v>
      </c>
      <c r="E1763" t="s">
        <v>35</v>
      </c>
      <c r="F1763" t="s">
        <v>187</v>
      </c>
      <c r="G1763" t="s">
        <v>12</v>
      </c>
      <c r="H1763" t="s">
        <v>184</v>
      </c>
    </row>
    <row r="1764" spans="1:8" x14ac:dyDescent="0.3">
      <c r="A1764" t="s">
        <v>603</v>
      </c>
      <c r="B1764">
        <v>25</v>
      </c>
      <c r="C1764" t="s">
        <v>699</v>
      </c>
      <c r="D1764" s="1">
        <v>0.67708333333333337</v>
      </c>
      <c r="E1764" t="s">
        <v>25</v>
      </c>
      <c r="F1764" t="s">
        <v>464</v>
      </c>
      <c r="G1764" t="s">
        <v>88</v>
      </c>
      <c r="H1764" t="s">
        <v>198</v>
      </c>
    </row>
    <row r="1765" spans="1:8" x14ac:dyDescent="0.3">
      <c r="A1765" t="s">
        <v>603</v>
      </c>
      <c r="B1765">
        <v>25</v>
      </c>
      <c r="C1765" t="s">
        <v>699</v>
      </c>
      <c r="D1765" s="1">
        <v>0.77083333333333337</v>
      </c>
      <c r="E1765" t="s">
        <v>466</v>
      </c>
      <c r="F1765" t="s">
        <v>338</v>
      </c>
      <c r="G1765" t="s">
        <v>41</v>
      </c>
      <c r="H1765" t="s">
        <v>197</v>
      </c>
    </row>
    <row r="1766" spans="1:8" x14ac:dyDescent="0.3">
      <c r="A1766" t="s">
        <v>603</v>
      </c>
      <c r="B1766">
        <v>25</v>
      </c>
      <c r="C1766" t="s">
        <v>699</v>
      </c>
      <c r="D1766" s="1">
        <v>0.86458333333333337</v>
      </c>
      <c r="E1766" t="s">
        <v>20</v>
      </c>
      <c r="F1766" t="s">
        <v>606</v>
      </c>
      <c r="G1766" s="2">
        <v>46028</v>
      </c>
      <c r="H1766" t="s">
        <v>612</v>
      </c>
    </row>
    <row r="1767" spans="1:8" x14ac:dyDescent="0.3">
      <c r="A1767" t="s">
        <v>603</v>
      </c>
      <c r="B1767">
        <v>25</v>
      </c>
      <c r="C1767" t="s">
        <v>700</v>
      </c>
      <c r="D1767" s="1">
        <v>0.5</v>
      </c>
      <c r="E1767" t="s">
        <v>34</v>
      </c>
      <c r="F1767" t="s">
        <v>11</v>
      </c>
      <c r="G1767" t="s">
        <v>18</v>
      </c>
      <c r="H1767" t="s">
        <v>345</v>
      </c>
    </row>
    <row r="1768" spans="1:8" x14ac:dyDescent="0.3">
      <c r="A1768" t="s">
        <v>603</v>
      </c>
      <c r="B1768">
        <v>25</v>
      </c>
      <c r="C1768" t="s">
        <v>700</v>
      </c>
      <c r="D1768" s="1">
        <v>0.67708333333333337</v>
      </c>
      <c r="E1768" t="s">
        <v>15</v>
      </c>
      <c r="F1768" t="s">
        <v>17</v>
      </c>
      <c r="G1768" s="2">
        <v>46024</v>
      </c>
      <c r="H1768" t="s">
        <v>185</v>
      </c>
    </row>
    <row r="1769" spans="1:8" x14ac:dyDescent="0.3">
      <c r="A1769" t="s">
        <v>603</v>
      </c>
      <c r="B1769">
        <v>25</v>
      </c>
      <c r="C1769" t="s">
        <v>700</v>
      </c>
      <c r="D1769" s="1">
        <v>0.77083333333333337</v>
      </c>
      <c r="E1769" t="s">
        <v>16</v>
      </c>
      <c r="F1769" t="s">
        <v>10</v>
      </c>
      <c r="G1769" s="2">
        <v>46024</v>
      </c>
      <c r="H1769" t="s">
        <v>614</v>
      </c>
    </row>
    <row r="1770" spans="1:8" x14ac:dyDescent="0.3">
      <c r="A1770" t="s">
        <v>603</v>
      </c>
      <c r="B1770">
        <v>25</v>
      </c>
      <c r="C1770" t="s">
        <v>700</v>
      </c>
      <c r="D1770" s="1">
        <v>0.86458333333333337</v>
      </c>
      <c r="E1770" t="s">
        <v>27</v>
      </c>
      <c r="F1770" t="s">
        <v>28</v>
      </c>
      <c r="G1770" s="2">
        <v>46144</v>
      </c>
      <c r="H1770" t="s">
        <v>205</v>
      </c>
    </row>
    <row r="1771" spans="1:8" x14ac:dyDescent="0.3">
      <c r="A1771" t="s">
        <v>603</v>
      </c>
      <c r="B1771">
        <v>25</v>
      </c>
      <c r="C1771" t="s">
        <v>701</v>
      </c>
      <c r="D1771" s="1">
        <v>0.875</v>
      </c>
      <c r="E1771" t="s">
        <v>21</v>
      </c>
      <c r="F1771" t="s">
        <v>26</v>
      </c>
      <c r="G1771" t="s">
        <v>54</v>
      </c>
      <c r="H1771" t="s">
        <v>341</v>
      </c>
    </row>
    <row r="1772" spans="1:8" x14ac:dyDescent="0.3">
      <c r="A1772" t="s">
        <v>603</v>
      </c>
      <c r="B1772">
        <v>26</v>
      </c>
      <c r="C1772" t="s">
        <v>702</v>
      </c>
      <c r="D1772" s="1">
        <v>0.83333333333333337</v>
      </c>
      <c r="E1772" t="s">
        <v>36</v>
      </c>
      <c r="F1772" t="s">
        <v>25</v>
      </c>
      <c r="G1772" t="s">
        <v>18</v>
      </c>
      <c r="H1772" t="s">
        <v>345</v>
      </c>
    </row>
    <row r="1773" spans="1:8" x14ac:dyDescent="0.3">
      <c r="A1773" t="s">
        <v>603</v>
      </c>
      <c r="B1773">
        <v>26</v>
      </c>
      <c r="C1773" t="s">
        <v>702</v>
      </c>
      <c r="D1773" s="1">
        <v>0.89583333333333337</v>
      </c>
      <c r="E1773" t="s">
        <v>606</v>
      </c>
      <c r="F1773" t="s">
        <v>35</v>
      </c>
      <c r="G1773" t="s">
        <v>18</v>
      </c>
      <c r="H1773" t="s">
        <v>475</v>
      </c>
    </row>
    <row r="1774" spans="1:8" x14ac:dyDescent="0.3">
      <c r="A1774" t="s">
        <v>603</v>
      </c>
      <c r="B1774">
        <v>26</v>
      </c>
      <c r="C1774" t="s">
        <v>703</v>
      </c>
      <c r="D1774" s="1">
        <v>0.8125</v>
      </c>
      <c r="E1774" t="s">
        <v>15</v>
      </c>
      <c r="F1774" t="s">
        <v>16</v>
      </c>
      <c r="G1774" s="2">
        <v>46023</v>
      </c>
      <c r="H1774" t="s">
        <v>194</v>
      </c>
    </row>
    <row r="1775" spans="1:8" x14ac:dyDescent="0.3">
      <c r="A1775" t="s">
        <v>603</v>
      </c>
      <c r="B1775">
        <v>26</v>
      </c>
      <c r="C1775" t="s">
        <v>703</v>
      </c>
      <c r="D1775" s="1">
        <v>0.8125</v>
      </c>
      <c r="E1775" t="s">
        <v>11</v>
      </c>
      <c r="F1775" t="s">
        <v>182</v>
      </c>
      <c r="G1775" t="s">
        <v>32</v>
      </c>
      <c r="H1775" t="s">
        <v>467</v>
      </c>
    </row>
    <row r="1776" spans="1:8" x14ac:dyDescent="0.3">
      <c r="A1776" t="s">
        <v>603</v>
      </c>
      <c r="B1776">
        <v>26</v>
      </c>
      <c r="C1776" t="s">
        <v>703</v>
      </c>
      <c r="D1776" s="1">
        <v>0.8125</v>
      </c>
      <c r="E1776" t="s">
        <v>17</v>
      </c>
      <c r="F1776" t="s">
        <v>27</v>
      </c>
      <c r="G1776" t="s">
        <v>42</v>
      </c>
      <c r="H1776" t="s">
        <v>184</v>
      </c>
    </row>
    <row r="1777" spans="1:8" x14ac:dyDescent="0.3">
      <c r="A1777" t="s">
        <v>603</v>
      </c>
      <c r="B1777">
        <v>26</v>
      </c>
      <c r="C1777" t="s">
        <v>703</v>
      </c>
      <c r="D1777" s="1">
        <v>0.89583333333333337</v>
      </c>
      <c r="E1777" t="s">
        <v>28</v>
      </c>
      <c r="F1777" t="s">
        <v>466</v>
      </c>
      <c r="G1777" t="s">
        <v>88</v>
      </c>
      <c r="H1777" t="s">
        <v>198</v>
      </c>
    </row>
    <row r="1778" spans="1:8" x14ac:dyDescent="0.3">
      <c r="A1778" t="s">
        <v>603</v>
      </c>
      <c r="B1778">
        <v>26</v>
      </c>
      <c r="C1778" t="s">
        <v>703</v>
      </c>
      <c r="D1778" s="1">
        <v>0.89583333333333337</v>
      </c>
      <c r="E1778" t="s">
        <v>187</v>
      </c>
      <c r="F1778" t="s">
        <v>34</v>
      </c>
      <c r="G1778" t="s">
        <v>18</v>
      </c>
      <c r="H1778" t="s">
        <v>190</v>
      </c>
    </row>
    <row r="1779" spans="1:8" x14ac:dyDescent="0.3">
      <c r="A1779" t="s">
        <v>603</v>
      </c>
      <c r="B1779">
        <v>26</v>
      </c>
      <c r="C1779" t="s">
        <v>704</v>
      </c>
      <c r="D1779" s="1">
        <v>0.8125</v>
      </c>
      <c r="E1779" t="s">
        <v>26</v>
      </c>
      <c r="F1779" t="s">
        <v>10</v>
      </c>
      <c r="G1779" t="s">
        <v>41</v>
      </c>
      <c r="H1779" t="s">
        <v>206</v>
      </c>
    </row>
    <row r="1780" spans="1:8" x14ac:dyDescent="0.3">
      <c r="A1780" t="s">
        <v>603</v>
      </c>
      <c r="B1780">
        <v>26</v>
      </c>
      <c r="C1780" t="s">
        <v>704</v>
      </c>
      <c r="D1780" s="1">
        <v>0.875</v>
      </c>
      <c r="E1780" t="s">
        <v>338</v>
      </c>
      <c r="F1780" t="s">
        <v>20</v>
      </c>
      <c r="G1780" s="2">
        <v>46023</v>
      </c>
      <c r="H1780" t="s">
        <v>181</v>
      </c>
    </row>
    <row r="1781" spans="1:8" x14ac:dyDescent="0.3">
      <c r="A1781" t="s">
        <v>603</v>
      </c>
      <c r="B1781">
        <v>26</v>
      </c>
      <c r="C1781" t="s">
        <v>704</v>
      </c>
      <c r="D1781" s="1">
        <v>0.89583333333333337</v>
      </c>
      <c r="E1781" t="s">
        <v>464</v>
      </c>
      <c r="F1781" t="s">
        <v>21</v>
      </c>
      <c r="G1781" t="s">
        <v>18</v>
      </c>
      <c r="H1781" t="s">
        <v>191</v>
      </c>
    </row>
    <row r="1782" spans="1:8" x14ac:dyDescent="0.3">
      <c r="A1782" t="s">
        <v>603</v>
      </c>
      <c r="B1782">
        <v>27</v>
      </c>
      <c r="C1782" t="s">
        <v>705</v>
      </c>
      <c r="D1782" s="1">
        <v>0.54166666666666663</v>
      </c>
      <c r="E1782" t="s">
        <v>34</v>
      </c>
      <c r="F1782" t="s">
        <v>606</v>
      </c>
      <c r="G1782" t="s">
        <v>54</v>
      </c>
      <c r="H1782" t="s">
        <v>614</v>
      </c>
    </row>
    <row r="1783" spans="1:8" x14ac:dyDescent="0.3">
      <c r="A1783" t="s">
        <v>603</v>
      </c>
      <c r="B1783">
        <v>27</v>
      </c>
      <c r="C1783" t="s">
        <v>705</v>
      </c>
      <c r="D1783" s="1">
        <v>0.67708333333333337</v>
      </c>
      <c r="E1783" t="s">
        <v>27</v>
      </c>
      <c r="F1783" t="s">
        <v>15</v>
      </c>
      <c r="G1783" t="s">
        <v>12</v>
      </c>
      <c r="H1783" t="s">
        <v>73</v>
      </c>
    </row>
    <row r="1784" spans="1:8" x14ac:dyDescent="0.3">
      <c r="A1784" t="s">
        <v>603</v>
      </c>
      <c r="B1784">
        <v>27</v>
      </c>
      <c r="C1784" t="s">
        <v>705</v>
      </c>
      <c r="D1784" s="1">
        <v>0.77083333333333337</v>
      </c>
      <c r="E1784" t="s">
        <v>182</v>
      </c>
      <c r="F1784" t="s">
        <v>187</v>
      </c>
      <c r="G1784" s="2">
        <v>46023</v>
      </c>
      <c r="H1784" t="s">
        <v>197</v>
      </c>
    </row>
    <row r="1785" spans="1:8" x14ac:dyDescent="0.3">
      <c r="A1785" t="s">
        <v>603</v>
      </c>
      <c r="B1785">
        <v>27</v>
      </c>
      <c r="C1785" t="s">
        <v>705</v>
      </c>
      <c r="D1785" s="1">
        <v>0.77083333333333337</v>
      </c>
      <c r="E1785" t="s">
        <v>466</v>
      </c>
      <c r="F1785" t="s">
        <v>17</v>
      </c>
      <c r="G1785" t="s">
        <v>12</v>
      </c>
      <c r="H1785" t="s">
        <v>207</v>
      </c>
    </row>
    <row r="1786" spans="1:8" x14ac:dyDescent="0.3">
      <c r="A1786" t="s">
        <v>603</v>
      </c>
      <c r="B1786">
        <v>27</v>
      </c>
      <c r="C1786" t="s">
        <v>705</v>
      </c>
      <c r="D1786" s="1">
        <v>0.86458333333333337</v>
      </c>
      <c r="E1786" t="s">
        <v>25</v>
      </c>
      <c r="F1786" t="s">
        <v>11</v>
      </c>
      <c r="G1786" s="2">
        <v>46025</v>
      </c>
      <c r="H1786" t="s">
        <v>190</v>
      </c>
    </row>
    <row r="1787" spans="1:8" x14ac:dyDescent="0.3">
      <c r="A1787" t="s">
        <v>603</v>
      </c>
      <c r="B1787">
        <v>27</v>
      </c>
      <c r="C1787" t="s">
        <v>706</v>
      </c>
      <c r="D1787" s="1">
        <v>0.5</v>
      </c>
      <c r="E1787" t="s">
        <v>21</v>
      </c>
      <c r="F1787" t="s">
        <v>36</v>
      </c>
      <c r="G1787" s="2">
        <v>46023</v>
      </c>
      <c r="H1787" t="s">
        <v>612</v>
      </c>
    </row>
    <row r="1788" spans="1:8" x14ac:dyDescent="0.3">
      <c r="A1788" t="s">
        <v>603</v>
      </c>
      <c r="B1788">
        <v>27</v>
      </c>
      <c r="C1788" t="s">
        <v>706</v>
      </c>
      <c r="D1788" s="1">
        <v>0.67708333333333337</v>
      </c>
      <c r="E1788" t="s">
        <v>20</v>
      </c>
      <c r="F1788" t="s">
        <v>28</v>
      </c>
      <c r="G1788" t="s">
        <v>18</v>
      </c>
      <c r="H1788" t="s">
        <v>194</v>
      </c>
    </row>
    <row r="1789" spans="1:8" x14ac:dyDescent="0.3">
      <c r="A1789" t="s">
        <v>603</v>
      </c>
      <c r="B1789">
        <v>27</v>
      </c>
      <c r="C1789" t="s">
        <v>706</v>
      </c>
      <c r="D1789" s="1">
        <v>0.77083333333333337</v>
      </c>
      <c r="E1789" t="s">
        <v>10</v>
      </c>
      <c r="F1789" t="s">
        <v>464</v>
      </c>
      <c r="G1789" s="2">
        <v>46024</v>
      </c>
      <c r="H1789" t="s">
        <v>205</v>
      </c>
    </row>
    <row r="1790" spans="1:8" x14ac:dyDescent="0.3">
      <c r="A1790" t="s">
        <v>603</v>
      </c>
      <c r="B1790">
        <v>27</v>
      </c>
      <c r="C1790" t="s">
        <v>706</v>
      </c>
      <c r="D1790" s="1">
        <v>0.86458333333333337</v>
      </c>
      <c r="E1790" t="s">
        <v>16</v>
      </c>
      <c r="F1790" t="s">
        <v>26</v>
      </c>
      <c r="G1790" t="s">
        <v>12</v>
      </c>
      <c r="H1790" t="s">
        <v>185</v>
      </c>
    </row>
    <row r="1791" spans="1:8" x14ac:dyDescent="0.3">
      <c r="A1791" t="s">
        <v>603</v>
      </c>
      <c r="B1791">
        <v>27</v>
      </c>
      <c r="C1791" t="s">
        <v>707</v>
      </c>
      <c r="D1791" s="1">
        <v>0.875</v>
      </c>
      <c r="E1791" t="s">
        <v>35</v>
      </c>
      <c r="F1791" t="s">
        <v>338</v>
      </c>
      <c r="G1791" s="2">
        <v>46024</v>
      </c>
      <c r="H1791" t="s">
        <v>341</v>
      </c>
    </row>
    <row r="1792" spans="1:8" x14ac:dyDescent="0.3">
      <c r="A1792" t="s">
        <v>603</v>
      </c>
      <c r="B1792">
        <v>28</v>
      </c>
      <c r="C1792" t="s">
        <v>708</v>
      </c>
      <c r="D1792" s="1">
        <v>0.875</v>
      </c>
      <c r="E1792" t="s">
        <v>606</v>
      </c>
      <c r="F1792" t="s">
        <v>182</v>
      </c>
      <c r="G1792" t="s">
        <v>12</v>
      </c>
      <c r="H1792" t="s">
        <v>73</v>
      </c>
    </row>
    <row r="1793" spans="1:8" x14ac:dyDescent="0.3">
      <c r="A1793" t="s">
        <v>603</v>
      </c>
      <c r="B1793">
        <v>28</v>
      </c>
      <c r="C1793" t="s">
        <v>709</v>
      </c>
      <c r="D1793" s="1">
        <v>0.54166666666666663</v>
      </c>
      <c r="E1793" t="s">
        <v>187</v>
      </c>
      <c r="F1793" t="s">
        <v>25</v>
      </c>
      <c r="G1793" s="2">
        <v>46054</v>
      </c>
      <c r="H1793" t="s">
        <v>467</v>
      </c>
    </row>
    <row r="1794" spans="1:8" x14ac:dyDescent="0.3">
      <c r="A1794" t="s">
        <v>603</v>
      </c>
      <c r="B1794">
        <v>28</v>
      </c>
      <c r="C1794" t="s">
        <v>709</v>
      </c>
      <c r="D1794" s="1">
        <v>0.67708333333333337</v>
      </c>
      <c r="E1794" t="s">
        <v>27</v>
      </c>
      <c r="F1794" t="s">
        <v>16</v>
      </c>
      <c r="G1794" t="s">
        <v>54</v>
      </c>
      <c r="H1794" t="s">
        <v>341</v>
      </c>
    </row>
    <row r="1795" spans="1:8" x14ac:dyDescent="0.3">
      <c r="A1795" t="s">
        <v>603</v>
      </c>
      <c r="B1795">
        <v>28</v>
      </c>
      <c r="C1795" t="s">
        <v>709</v>
      </c>
      <c r="D1795" s="1">
        <v>0.77083333333333337</v>
      </c>
      <c r="E1795" t="s">
        <v>11</v>
      </c>
      <c r="F1795" t="s">
        <v>21</v>
      </c>
      <c r="G1795" t="s">
        <v>42</v>
      </c>
      <c r="H1795" t="s">
        <v>475</v>
      </c>
    </row>
    <row r="1796" spans="1:8" x14ac:dyDescent="0.3">
      <c r="A1796" t="s">
        <v>603</v>
      </c>
      <c r="B1796">
        <v>28</v>
      </c>
      <c r="C1796" t="s">
        <v>709</v>
      </c>
      <c r="D1796" s="1">
        <v>0.86458333333333337</v>
      </c>
      <c r="E1796" t="s">
        <v>17</v>
      </c>
      <c r="F1796" t="s">
        <v>20</v>
      </c>
      <c r="G1796" t="s">
        <v>54</v>
      </c>
      <c r="H1796" t="s">
        <v>205</v>
      </c>
    </row>
    <row r="1797" spans="1:8" x14ac:dyDescent="0.3">
      <c r="A1797" t="s">
        <v>603</v>
      </c>
      <c r="B1797">
        <v>28</v>
      </c>
      <c r="C1797" t="s">
        <v>710</v>
      </c>
      <c r="D1797" s="1">
        <v>0.5</v>
      </c>
      <c r="E1797" t="s">
        <v>36</v>
      </c>
      <c r="F1797" t="s">
        <v>10</v>
      </c>
      <c r="G1797" s="2">
        <v>46024</v>
      </c>
      <c r="H1797" t="s">
        <v>181</v>
      </c>
    </row>
    <row r="1798" spans="1:8" x14ac:dyDescent="0.3">
      <c r="A1798" t="s">
        <v>603</v>
      </c>
      <c r="B1798">
        <v>28</v>
      </c>
      <c r="C1798" t="s">
        <v>710</v>
      </c>
      <c r="D1798" s="1">
        <v>0.67708333333333337</v>
      </c>
      <c r="E1798" t="s">
        <v>28</v>
      </c>
      <c r="F1798" t="s">
        <v>35</v>
      </c>
      <c r="G1798" t="s">
        <v>32</v>
      </c>
      <c r="H1798" t="s">
        <v>612</v>
      </c>
    </row>
    <row r="1799" spans="1:8" x14ac:dyDescent="0.3">
      <c r="A1799" t="s">
        <v>603</v>
      </c>
      <c r="B1799">
        <v>28</v>
      </c>
      <c r="C1799" t="s">
        <v>710</v>
      </c>
      <c r="D1799" s="1">
        <v>0.77083333333333337</v>
      </c>
      <c r="E1799" t="s">
        <v>338</v>
      </c>
      <c r="F1799" t="s">
        <v>34</v>
      </c>
      <c r="G1799" t="s">
        <v>54</v>
      </c>
      <c r="H1799" t="s">
        <v>609</v>
      </c>
    </row>
    <row r="1800" spans="1:8" x14ac:dyDescent="0.3">
      <c r="A1800" t="s">
        <v>603</v>
      </c>
      <c r="B1800">
        <v>28</v>
      </c>
      <c r="C1800" t="s">
        <v>710</v>
      </c>
      <c r="D1800" s="1">
        <v>0.86458333333333337</v>
      </c>
      <c r="E1800" t="s">
        <v>15</v>
      </c>
      <c r="F1800" t="s">
        <v>466</v>
      </c>
      <c r="G1800" t="s">
        <v>12</v>
      </c>
      <c r="H1800" t="s">
        <v>345</v>
      </c>
    </row>
    <row r="1801" spans="1:8" x14ac:dyDescent="0.3">
      <c r="A1801" t="s">
        <v>603</v>
      </c>
      <c r="B1801">
        <v>28</v>
      </c>
      <c r="C1801" t="s">
        <v>711</v>
      </c>
      <c r="D1801" s="1">
        <v>0.875</v>
      </c>
      <c r="E1801" t="s">
        <v>464</v>
      </c>
      <c r="F1801" t="s">
        <v>26</v>
      </c>
      <c r="G1801" s="2">
        <v>46082</v>
      </c>
      <c r="H1801" t="s">
        <v>184</v>
      </c>
    </row>
    <row r="1802" spans="1:8" x14ac:dyDescent="0.3">
      <c r="A1802" t="s">
        <v>603</v>
      </c>
      <c r="B1802">
        <v>29</v>
      </c>
      <c r="C1802" t="s">
        <v>712</v>
      </c>
      <c r="D1802" s="1">
        <v>0.875</v>
      </c>
      <c r="E1802" t="s">
        <v>21</v>
      </c>
      <c r="F1802" t="s">
        <v>187</v>
      </c>
      <c r="G1802" s="2">
        <v>46024</v>
      </c>
      <c r="H1802" t="s">
        <v>207</v>
      </c>
    </row>
    <row r="1803" spans="1:8" x14ac:dyDescent="0.3">
      <c r="A1803" t="s">
        <v>603</v>
      </c>
      <c r="B1803">
        <v>29</v>
      </c>
      <c r="C1803" t="s">
        <v>713</v>
      </c>
      <c r="D1803" s="1">
        <v>0.54166666666666663</v>
      </c>
      <c r="E1803" t="s">
        <v>182</v>
      </c>
      <c r="F1803" t="s">
        <v>338</v>
      </c>
      <c r="G1803" s="2">
        <v>46023</v>
      </c>
      <c r="H1803" t="s">
        <v>205</v>
      </c>
    </row>
    <row r="1804" spans="1:8" x14ac:dyDescent="0.3">
      <c r="A1804" t="s">
        <v>603</v>
      </c>
      <c r="B1804">
        <v>29</v>
      </c>
      <c r="C1804" t="s">
        <v>713</v>
      </c>
      <c r="D1804" s="1">
        <v>0.67708333333333337</v>
      </c>
      <c r="E1804" t="s">
        <v>16</v>
      </c>
      <c r="F1804" t="s">
        <v>464</v>
      </c>
      <c r="G1804" s="2">
        <v>46025</v>
      </c>
      <c r="H1804" t="s">
        <v>467</v>
      </c>
    </row>
    <row r="1805" spans="1:8" x14ac:dyDescent="0.3">
      <c r="A1805" t="s">
        <v>603</v>
      </c>
      <c r="B1805">
        <v>29</v>
      </c>
      <c r="C1805" t="s">
        <v>713</v>
      </c>
      <c r="D1805" s="1">
        <v>0.77083333333333337</v>
      </c>
      <c r="E1805" t="s">
        <v>10</v>
      </c>
      <c r="F1805" t="s">
        <v>11</v>
      </c>
      <c r="G1805" s="2">
        <v>46054</v>
      </c>
      <c r="H1805" t="s">
        <v>198</v>
      </c>
    </row>
    <row r="1806" spans="1:8" x14ac:dyDescent="0.3">
      <c r="A1806" t="s">
        <v>603</v>
      </c>
      <c r="B1806">
        <v>29</v>
      </c>
      <c r="C1806" t="s">
        <v>713</v>
      </c>
      <c r="D1806" s="1">
        <v>0.86458333333333337</v>
      </c>
      <c r="E1806" t="s">
        <v>26</v>
      </c>
      <c r="F1806" t="s">
        <v>36</v>
      </c>
      <c r="G1806" t="s">
        <v>32</v>
      </c>
      <c r="H1806" t="s">
        <v>341</v>
      </c>
    </row>
    <row r="1807" spans="1:8" x14ac:dyDescent="0.3">
      <c r="A1807" t="s">
        <v>603</v>
      </c>
      <c r="B1807">
        <v>29</v>
      </c>
      <c r="C1807" t="s">
        <v>714</v>
      </c>
      <c r="D1807" s="1">
        <v>0.5</v>
      </c>
      <c r="E1807" t="s">
        <v>466</v>
      </c>
      <c r="F1807" t="s">
        <v>27</v>
      </c>
      <c r="G1807" s="2">
        <v>46024</v>
      </c>
      <c r="H1807" t="s">
        <v>612</v>
      </c>
    </row>
    <row r="1808" spans="1:8" x14ac:dyDescent="0.3">
      <c r="A1808" t="s">
        <v>603</v>
      </c>
      <c r="B1808">
        <v>29</v>
      </c>
      <c r="C1808" t="s">
        <v>714</v>
      </c>
      <c r="D1808" s="1">
        <v>0.67708333333333337</v>
      </c>
      <c r="E1808" t="s">
        <v>20</v>
      </c>
      <c r="F1808" t="s">
        <v>15</v>
      </c>
      <c r="G1808" t="s">
        <v>12</v>
      </c>
      <c r="H1808" t="s">
        <v>197</v>
      </c>
    </row>
    <row r="1809" spans="1:8" x14ac:dyDescent="0.3">
      <c r="A1809" t="s">
        <v>603</v>
      </c>
      <c r="B1809">
        <v>29</v>
      </c>
      <c r="C1809" t="s">
        <v>714</v>
      </c>
      <c r="D1809" s="1">
        <v>0.77083333333333337</v>
      </c>
      <c r="E1809" t="s">
        <v>35</v>
      </c>
      <c r="F1809" t="s">
        <v>17</v>
      </c>
      <c r="G1809" t="s">
        <v>41</v>
      </c>
      <c r="H1809" t="s">
        <v>73</v>
      </c>
    </row>
    <row r="1810" spans="1:8" x14ac:dyDescent="0.3">
      <c r="A1810" t="s">
        <v>603</v>
      </c>
      <c r="B1810">
        <v>29</v>
      </c>
      <c r="C1810" t="s">
        <v>714</v>
      </c>
      <c r="D1810" s="1">
        <v>0.77083333333333337</v>
      </c>
      <c r="E1810" t="s">
        <v>34</v>
      </c>
      <c r="F1810" t="s">
        <v>28</v>
      </c>
      <c r="G1810" s="2">
        <v>46024</v>
      </c>
      <c r="H1810" t="s">
        <v>191</v>
      </c>
    </row>
    <row r="1811" spans="1:8" x14ac:dyDescent="0.3">
      <c r="A1811" t="s">
        <v>603</v>
      </c>
      <c r="B1811">
        <v>29</v>
      </c>
      <c r="C1811" t="s">
        <v>714</v>
      </c>
      <c r="D1811" s="1">
        <v>0.86458333333333337</v>
      </c>
      <c r="E1811" t="s">
        <v>25</v>
      </c>
      <c r="F1811" t="s">
        <v>606</v>
      </c>
      <c r="G1811" s="2">
        <v>46087</v>
      </c>
      <c r="H1811" t="s">
        <v>194</v>
      </c>
    </row>
    <row r="1812" spans="1:8" x14ac:dyDescent="0.3">
      <c r="A1812" t="s">
        <v>603</v>
      </c>
      <c r="B1812">
        <v>30</v>
      </c>
      <c r="C1812" t="s">
        <v>715</v>
      </c>
      <c r="D1812" s="1">
        <v>0.54166666666666663</v>
      </c>
      <c r="E1812" t="s">
        <v>606</v>
      </c>
      <c r="F1812" t="s">
        <v>21</v>
      </c>
      <c r="G1812" s="2">
        <v>46023</v>
      </c>
      <c r="H1812" t="s">
        <v>341</v>
      </c>
    </row>
    <row r="1813" spans="1:8" x14ac:dyDescent="0.3">
      <c r="A1813" t="s">
        <v>603</v>
      </c>
      <c r="B1813">
        <v>30</v>
      </c>
      <c r="C1813" t="s">
        <v>715</v>
      </c>
      <c r="D1813" s="1">
        <v>0.67708333333333337</v>
      </c>
      <c r="E1813" t="s">
        <v>15</v>
      </c>
      <c r="F1813" t="s">
        <v>35</v>
      </c>
      <c r="G1813" s="2">
        <v>46023</v>
      </c>
      <c r="H1813" t="s">
        <v>184</v>
      </c>
    </row>
    <row r="1814" spans="1:8" x14ac:dyDescent="0.3">
      <c r="A1814" t="s">
        <v>603</v>
      </c>
      <c r="B1814">
        <v>30</v>
      </c>
      <c r="C1814" t="s">
        <v>715</v>
      </c>
      <c r="D1814" s="1">
        <v>0.77083333333333337</v>
      </c>
      <c r="E1814" t="s">
        <v>338</v>
      </c>
      <c r="F1814" t="s">
        <v>25</v>
      </c>
      <c r="G1814" t="s">
        <v>46</v>
      </c>
      <c r="H1814" t="s">
        <v>614</v>
      </c>
    </row>
    <row r="1815" spans="1:8" x14ac:dyDescent="0.3">
      <c r="A1815" t="s">
        <v>603</v>
      </c>
      <c r="B1815">
        <v>30</v>
      </c>
      <c r="C1815" t="s">
        <v>715</v>
      </c>
      <c r="D1815" s="1">
        <v>0.86458333333333337</v>
      </c>
      <c r="E1815" t="s">
        <v>27</v>
      </c>
      <c r="F1815" t="s">
        <v>20</v>
      </c>
      <c r="G1815" s="2">
        <v>46055</v>
      </c>
      <c r="H1815" t="s">
        <v>206</v>
      </c>
    </row>
    <row r="1816" spans="1:8" x14ac:dyDescent="0.3">
      <c r="A1816" t="s">
        <v>603</v>
      </c>
      <c r="B1816">
        <v>30</v>
      </c>
      <c r="C1816" t="s">
        <v>716</v>
      </c>
      <c r="D1816" s="1">
        <v>0.5</v>
      </c>
      <c r="E1816" t="s">
        <v>36</v>
      </c>
      <c r="F1816" t="s">
        <v>464</v>
      </c>
      <c r="G1816" t="s">
        <v>41</v>
      </c>
      <c r="H1816" t="s">
        <v>207</v>
      </c>
    </row>
    <row r="1817" spans="1:8" x14ac:dyDescent="0.3">
      <c r="A1817" t="s">
        <v>603</v>
      </c>
      <c r="B1817">
        <v>30</v>
      </c>
      <c r="C1817" t="s">
        <v>716</v>
      </c>
      <c r="D1817" s="1">
        <v>0.67708333333333337</v>
      </c>
      <c r="E1817" t="s">
        <v>466</v>
      </c>
      <c r="F1817" t="s">
        <v>16</v>
      </c>
      <c r="G1817" t="s">
        <v>42</v>
      </c>
      <c r="H1817" t="s">
        <v>190</v>
      </c>
    </row>
    <row r="1818" spans="1:8" x14ac:dyDescent="0.3">
      <c r="A1818" t="s">
        <v>603</v>
      </c>
      <c r="B1818">
        <v>30</v>
      </c>
      <c r="C1818" t="s">
        <v>716</v>
      </c>
      <c r="D1818" s="1">
        <v>0.77083333333333337</v>
      </c>
      <c r="E1818" t="s">
        <v>17</v>
      </c>
      <c r="F1818" t="s">
        <v>34</v>
      </c>
      <c r="G1818" t="s">
        <v>18</v>
      </c>
      <c r="H1818" t="s">
        <v>188</v>
      </c>
    </row>
    <row r="1819" spans="1:8" x14ac:dyDescent="0.3">
      <c r="A1819" t="s">
        <v>603</v>
      </c>
      <c r="B1819">
        <v>30</v>
      </c>
      <c r="C1819" t="s">
        <v>716</v>
      </c>
      <c r="D1819" s="1">
        <v>0.77083333333333337</v>
      </c>
      <c r="E1819" t="s">
        <v>187</v>
      </c>
      <c r="F1819" t="s">
        <v>10</v>
      </c>
      <c r="G1819" t="s">
        <v>41</v>
      </c>
      <c r="H1819" t="s">
        <v>345</v>
      </c>
    </row>
    <row r="1820" spans="1:8" x14ac:dyDescent="0.3">
      <c r="A1820" t="s">
        <v>603</v>
      </c>
      <c r="B1820">
        <v>30</v>
      </c>
      <c r="C1820" t="s">
        <v>716</v>
      </c>
      <c r="D1820" s="1">
        <v>0.86458333333333337</v>
      </c>
      <c r="E1820" t="s">
        <v>28</v>
      </c>
      <c r="F1820" t="s">
        <v>182</v>
      </c>
      <c r="G1820" t="s">
        <v>18</v>
      </c>
      <c r="H1820" t="s">
        <v>475</v>
      </c>
    </row>
    <row r="1821" spans="1:8" x14ac:dyDescent="0.3">
      <c r="A1821" t="s">
        <v>603</v>
      </c>
      <c r="B1821">
        <v>30</v>
      </c>
      <c r="C1821" t="s">
        <v>717</v>
      </c>
      <c r="D1821" s="1">
        <v>0.875</v>
      </c>
      <c r="E1821" t="s">
        <v>11</v>
      </c>
      <c r="F1821" t="s">
        <v>26</v>
      </c>
      <c r="G1821" t="s">
        <v>42</v>
      </c>
      <c r="H1821" t="s">
        <v>73</v>
      </c>
    </row>
    <row r="1822" spans="1:8" x14ac:dyDescent="0.3">
      <c r="A1822" t="s">
        <v>603</v>
      </c>
      <c r="B1822">
        <v>31</v>
      </c>
      <c r="C1822" t="s">
        <v>718</v>
      </c>
      <c r="D1822" s="1">
        <v>0.875</v>
      </c>
      <c r="E1822" t="s">
        <v>182</v>
      </c>
      <c r="F1822" t="s">
        <v>17</v>
      </c>
      <c r="G1822" s="2">
        <v>46056</v>
      </c>
      <c r="H1822" t="s">
        <v>181</v>
      </c>
    </row>
    <row r="1823" spans="1:8" x14ac:dyDescent="0.3">
      <c r="A1823" t="s">
        <v>603</v>
      </c>
      <c r="B1823">
        <v>31</v>
      </c>
      <c r="C1823" t="s">
        <v>719</v>
      </c>
      <c r="D1823" s="1">
        <v>0.54166666666666663</v>
      </c>
      <c r="E1823" t="s">
        <v>464</v>
      </c>
      <c r="F1823" t="s">
        <v>11</v>
      </c>
      <c r="G1823" t="s">
        <v>12</v>
      </c>
      <c r="H1823" t="s">
        <v>197</v>
      </c>
    </row>
    <row r="1824" spans="1:8" x14ac:dyDescent="0.3">
      <c r="A1824" t="s">
        <v>603</v>
      </c>
      <c r="B1824">
        <v>31</v>
      </c>
      <c r="C1824" t="s">
        <v>719</v>
      </c>
      <c r="D1824" s="1">
        <v>0.67708333333333337</v>
      </c>
      <c r="E1824" t="s">
        <v>35</v>
      </c>
      <c r="F1824" t="s">
        <v>27</v>
      </c>
      <c r="G1824" t="s">
        <v>88</v>
      </c>
      <c r="H1824" t="s">
        <v>188</v>
      </c>
    </row>
    <row r="1825" spans="1:8" x14ac:dyDescent="0.3">
      <c r="A1825" t="s">
        <v>603</v>
      </c>
      <c r="B1825">
        <v>31</v>
      </c>
      <c r="C1825" t="s">
        <v>719</v>
      </c>
      <c r="D1825" s="1">
        <v>0.77083333333333337</v>
      </c>
      <c r="E1825" t="s">
        <v>26</v>
      </c>
      <c r="F1825" t="s">
        <v>187</v>
      </c>
      <c r="G1825" t="s">
        <v>12</v>
      </c>
      <c r="H1825" t="s">
        <v>609</v>
      </c>
    </row>
    <row r="1826" spans="1:8" x14ac:dyDescent="0.3">
      <c r="A1826" t="s">
        <v>603</v>
      </c>
      <c r="B1826">
        <v>31</v>
      </c>
      <c r="C1826" t="s">
        <v>719</v>
      </c>
      <c r="D1826" s="1">
        <v>0.86458333333333337</v>
      </c>
      <c r="E1826" t="s">
        <v>20</v>
      </c>
      <c r="F1826" t="s">
        <v>466</v>
      </c>
      <c r="G1826" s="2">
        <v>46025</v>
      </c>
      <c r="H1826" t="s">
        <v>341</v>
      </c>
    </row>
    <row r="1827" spans="1:8" x14ac:dyDescent="0.3">
      <c r="A1827" t="s">
        <v>603</v>
      </c>
      <c r="B1827">
        <v>31</v>
      </c>
      <c r="C1827" t="s">
        <v>720</v>
      </c>
      <c r="D1827" s="1">
        <v>0.5</v>
      </c>
      <c r="E1827" t="s">
        <v>21</v>
      </c>
      <c r="F1827" t="s">
        <v>338</v>
      </c>
      <c r="G1827" s="2">
        <v>46024</v>
      </c>
      <c r="H1827" t="s">
        <v>191</v>
      </c>
    </row>
    <row r="1828" spans="1:8" x14ac:dyDescent="0.3">
      <c r="A1828" t="s">
        <v>603</v>
      </c>
      <c r="B1828">
        <v>31</v>
      </c>
      <c r="C1828" t="s">
        <v>720</v>
      </c>
      <c r="D1828" s="1">
        <v>0.67708333333333337</v>
      </c>
      <c r="E1828" t="s">
        <v>25</v>
      </c>
      <c r="F1828" t="s">
        <v>28</v>
      </c>
      <c r="G1828" s="2">
        <v>46023</v>
      </c>
      <c r="H1828" t="s">
        <v>198</v>
      </c>
    </row>
    <row r="1829" spans="1:8" x14ac:dyDescent="0.3">
      <c r="A1829" t="s">
        <v>603</v>
      </c>
      <c r="B1829">
        <v>31</v>
      </c>
      <c r="C1829" t="s">
        <v>720</v>
      </c>
      <c r="D1829" s="1">
        <v>0.77083333333333337</v>
      </c>
      <c r="E1829" t="s">
        <v>10</v>
      </c>
      <c r="F1829" t="s">
        <v>606</v>
      </c>
      <c r="G1829" t="s">
        <v>40</v>
      </c>
      <c r="H1829" t="s">
        <v>467</v>
      </c>
    </row>
    <row r="1830" spans="1:8" x14ac:dyDescent="0.3">
      <c r="A1830" t="s">
        <v>603</v>
      </c>
      <c r="B1830">
        <v>31</v>
      </c>
      <c r="C1830" t="s">
        <v>720</v>
      </c>
      <c r="D1830" s="1">
        <v>0.86458333333333337</v>
      </c>
      <c r="E1830" t="s">
        <v>16</v>
      </c>
      <c r="F1830" t="s">
        <v>36</v>
      </c>
      <c r="G1830" t="s">
        <v>18</v>
      </c>
      <c r="H1830" t="s">
        <v>194</v>
      </c>
    </row>
    <row r="1831" spans="1:8" x14ac:dyDescent="0.3">
      <c r="A1831" t="s">
        <v>603</v>
      </c>
      <c r="B1831">
        <v>31</v>
      </c>
      <c r="C1831" t="s">
        <v>721</v>
      </c>
      <c r="D1831" s="1">
        <v>0.875</v>
      </c>
      <c r="E1831" t="s">
        <v>34</v>
      </c>
      <c r="F1831" t="s">
        <v>15</v>
      </c>
      <c r="G1831" s="2">
        <v>46082</v>
      </c>
      <c r="H1831" t="s">
        <v>207</v>
      </c>
    </row>
    <row r="1832" spans="1:8" x14ac:dyDescent="0.3">
      <c r="A1832" t="s">
        <v>603</v>
      </c>
      <c r="B1832">
        <v>32</v>
      </c>
      <c r="C1832" t="s">
        <v>722</v>
      </c>
      <c r="D1832" s="1">
        <v>0.875</v>
      </c>
      <c r="E1832" t="s">
        <v>606</v>
      </c>
      <c r="F1832" t="s">
        <v>26</v>
      </c>
      <c r="G1832" t="s">
        <v>42</v>
      </c>
      <c r="H1832" t="s">
        <v>197</v>
      </c>
    </row>
    <row r="1833" spans="1:8" x14ac:dyDescent="0.3">
      <c r="A1833" t="s">
        <v>603</v>
      </c>
      <c r="B1833">
        <v>32</v>
      </c>
      <c r="C1833" t="s">
        <v>723</v>
      </c>
      <c r="D1833" s="1">
        <v>0.54166666666666663</v>
      </c>
      <c r="E1833" t="s">
        <v>27</v>
      </c>
      <c r="F1833" t="s">
        <v>34</v>
      </c>
      <c r="G1833" s="2">
        <v>46055</v>
      </c>
      <c r="H1833" t="s">
        <v>614</v>
      </c>
    </row>
    <row r="1834" spans="1:8" x14ac:dyDescent="0.3">
      <c r="A1834" t="s">
        <v>603</v>
      </c>
      <c r="B1834">
        <v>32</v>
      </c>
      <c r="C1834" t="s">
        <v>723</v>
      </c>
      <c r="D1834" s="1">
        <v>0.67708333333333337</v>
      </c>
      <c r="E1834" t="s">
        <v>20</v>
      </c>
      <c r="F1834" t="s">
        <v>16</v>
      </c>
      <c r="G1834" s="2">
        <v>46024</v>
      </c>
      <c r="H1834" t="s">
        <v>184</v>
      </c>
    </row>
    <row r="1835" spans="1:8" x14ac:dyDescent="0.3">
      <c r="A1835" t="s">
        <v>603</v>
      </c>
      <c r="B1835">
        <v>32</v>
      </c>
      <c r="C1835" t="s">
        <v>723</v>
      </c>
      <c r="D1835" s="1">
        <v>0.77083333333333337</v>
      </c>
      <c r="E1835" t="s">
        <v>338</v>
      </c>
      <c r="F1835" t="s">
        <v>10</v>
      </c>
      <c r="G1835" t="s">
        <v>42</v>
      </c>
      <c r="H1835" t="s">
        <v>188</v>
      </c>
    </row>
    <row r="1836" spans="1:8" x14ac:dyDescent="0.3">
      <c r="A1836" t="s">
        <v>603</v>
      </c>
      <c r="B1836">
        <v>32</v>
      </c>
      <c r="C1836" t="s">
        <v>723</v>
      </c>
      <c r="D1836" s="1">
        <v>0.77083333333333337</v>
      </c>
      <c r="E1836" t="s">
        <v>466</v>
      </c>
      <c r="F1836" t="s">
        <v>35</v>
      </c>
      <c r="G1836" t="s">
        <v>18</v>
      </c>
      <c r="H1836" t="s">
        <v>185</v>
      </c>
    </row>
    <row r="1837" spans="1:8" x14ac:dyDescent="0.3">
      <c r="A1837" t="s">
        <v>603</v>
      </c>
      <c r="B1837">
        <v>32</v>
      </c>
      <c r="C1837" t="s">
        <v>723</v>
      </c>
      <c r="D1837" s="1">
        <v>0.86458333333333337</v>
      </c>
      <c r="E1837" t="s">
        <v>15</v>
      </c>
      <c r="F1837" t="s">
        <v>182</v>
      </c>
      <c r="G1837" s="2">
        <v>46083</v>
      </c>
      <c r="H1837" t="s">
        <v>206</v>
      </c>
    </row>
    <row r="1838" spans="1:8" x14ac:dyDescent="0.3">
      <c r="A1838" t="s">
        <v>603</v>
      </c>
      <c r="B1838">
        <v>32</v>
      </c>
      <c r="C1838" t="s">
        <v>724</v>
      </c>
      <c r="D1838" s="1">
        <v>0.5</v>
      </c>
      <c r="E1838" t="s">
        <v>187</v>
      </c>
      <c r="F1838" t="s">
        <v>464</v>
      </c>
      <c r="G1838" t="s">
        <v>42</v>
      </c>
      <c r="H1838" t="s">
        <v>73</v>
      </c>
    </row>
    <row r="1839" spans="1:8" x14ac:dyDescent="0.3">
      <c r="A1839" t="s">
        <v>603</v>
      </c>
      <c r="B1839">
        <v>32</v>
      </c>
      <c r="C1839" t="s">
        <v>724</v>
      </c>
      <c r="D1839" s="1">
        <v>0.67708333333333337</v>
      </c>
      <c r="E1839" t="s">
        <v>28</v>
      </c>
      <c r="F1839" t="s">
        <v>21</v>
      </c>
      <c r="G1839" t="s">
        <v>32</v>
      </c>
      <c r="H1839" t="s">
        <v>194</v>
      </c>
    </row>
    <row r="1840" spans="1:8" x14ac:dyDescent="0.3">
      <c r="A1840" t="s">
        <v>603</v>
      </c>
      <c r="B1840">
        <v>32</v>
      </c>
      <c r="C1840" t="s">
        <v>724</v>
      </c>
      <c r="D1840" s="1">
        <v>0.77083333333333337</v>
      </c>
      <c r="E1840" t="s">
        <v>11</v>
      </c>
      <c r="F1840" t="s">
        <v>36</v>
      </c>
      <c r="G1840" t="s">
        <v>18</v>
      </c>
      <c r="H1840" t="s">
        <v>190</v>
      </c>
    </row>
    <row r="1841" spans="1:8" x14ac:dyDescent="0.3">
      <c r="A1841" t="s">
        <v>603</v>
      </c>
      <c r="B1841">
        <v>32</v>
      </c>
      <c r="C1841" t="s">
        <v>724</v>
      </c>
      <c r="D1841" s="1">
        <v>0.86458333333333337</v>
      </c>
      <c r="E1841" t="s">
        <v>17</v>
      </c>
      <c r="F1841" t="s">
        <v>25</v>
      </c>
      <c r="G1841" s="2">
        <v>46054</v>
      </c>
      <c r="H1841" t="s">
        <v>341</v>
      </c>
    </row>
    <row r="1842" spans="1:8" x14ac:dyDescent="0.3">
      <c r="A1842" t="s">
        <v>603</v>
      </c>
      <c r="B1842">
        <v>33</v>
      </c>
      <c r="C1842" t="s">
        <v>725</v>
      </c>
      <c r="D1842" s="1">
        <v>0.8125</v>
      </c>
      <c r="E1842" t="s">
        <v>182</v>
      </c>
      <c r="F1842" t="s">
        <v>27</v>
      </c>
      <c r="G1842" t="s">
        <v>41</v>
      </c>
      <c r="H1842" t="s">
        <v>609</v>
      </c>
    </row>
    <row r="1843" spans="1:8" x14ac:dyDescent="0.3">
      <c r="A1843" t="s">
        <v>603</v>
      </c>
      <c r="B1843">
        <v>33</v>
      </c>
      <c r="C1843" t="s">
        <v>725</v>
      </c>
      <c r="D1843" s="1">
        <v>0.875</v>
      </c>
      <c r="E1843" t="s">
        <v>35</v>
      </c>
      <c r="F1843" t="s">
        <v>20</v>
      </c>
      <c r="G1843" s="2">
        <v>46055</v>
      </c>
      <c r="H1843" t="s">
        <v>191</v>
      </c>
    </row>
    <row r="1844" spans="1:8" x14ac:dyDescent="0.3">
      <c r="A1844" t="s">
        <v>603</v>
      </c>
      <c r="B1844">
        <v>33</v>
      </c>
      <c r="C1844" t="s">
        <v>725</v>
      </c>
      <c r="D1844" s="1">
        <v>0.89583333333333337</v>
      </c>
      <c r="E1844" t="s">
        <v>34</v>
      </c>
      <c r="F1844" t="s">
        <v>466</v>
      </c>
      <c r="G1844" s="2">
        <v>46024</v>
      </c>
      <c r="H1844" t="s">
        <v>475</v>
      </c>
    </row>
    <row r="1845" spans="1:8" x14ac:dyDescent="0.3">
      <c r="A1845" t="s">
        <v>603</v>
      </c>
      <c r="B1845">
        <v>33</v>
      </c>
      <c r="C1845" t="s">
        <v>726</v>
      </c>
      <c r="D1845" s="1">
        <v>0.8125</v>
      </c>
      <c r="E1845" t="s">
        <v>36</v>
      </c>
      <c r="F1845" t="s">
        <v>187</v>
      </c>
      <c r="G1845" t="s">
        <v>42</v>
      </c>
      <c r="H1845" t="s">
        <v>185</v>
      </c>
    </row>
    <row r="1846" spans="1:8" x14ac:dyDescent="0.3">
      <c r="A1846" t="s">
        <v>603</v>
      </c>
      <c r="B1846">
        <v>33</v>
      </c>
      <c r="C1846" t="s">
        <v>726</v>
      </c>
      <c r="D1846" s="1">
        <v>0.8125</v>
      </c>
      <c r="E1846" t="s">
        <v>16</v>
      </c>
      <c r="F1846" t="s">
        <v>11</v>
      </c>
      <c r="G1846" s="2">
        <v>46054</v>
      </c>
      <c r="H1846" t="s">
        <v>341</v>
      </c>
    </row>
    <row r="1847" spans="1:8" x14ac:dyDescent="0.3">
      <c r="A1847" t="s">
        <v>603</v>
      </c>
      <c r="B1847">
        <v>33</v>
      </c>
      <c r="C1847" t="s">
        <v>726</v>
      </c>
      <c r="D1847" s="1">
        <v>0.89583333333333337</v>
      </c>
      <c r="E1847" t="s">
        <v>25</v>
      </c>
      <c r="F1847" t="s">
        <v>15</v>
      </c>
      <c r="G1847" s="2">
        <v>46023</v>
      </c>
      <c r="H1847" t="s">
        <v>205</v>
      </c>
    </row>
    <row r="1848" spans="1:8" x14ac:dyDescent="0.3">
      <c r="A1848" t="s">
        <v>603</v>
      </c>
      <c r="B1848">
        <v>33</v>
      </c>
      <c r="C1848" t="s">
        <v>727</v>
      </c>
      <c r="D1848" s="1">
        <v>0.8125</v>
      </c>
      <c r="E1848" t="s">
        <v>10</v>
      </c>
      <c r="F1848" t="s">
        <v>28</v>
      </c>
      <c r="G1848" t="s">
        <v>32</v>
      </c>
      <c r="H1848" t="s">
        <v>612</v>
      </c>
    </row>
    <row r="1849" spans="1:8" x14ac:dyDescent="0.3">
      <c r="A1849" t="s">
        <v>603</v>
      </c>
      <c r="B1849">
        <v>33</v>
      </c>
      <c r="C1849" t="s">
        <v>727</v>
      </c>
      <c r="D1849" s="1">
        <v>0.8125</v>
      </c>
      <c r="E1849" t="s">
        <v>464</v>
      </c>
      <c r="F1849" t="s">
        <v>606</v>
      </c>
      <c r="G1849" s="2">
        <v>46054</v>
      </c>
      <c r="H1849" t="s">
        <v>614</v>
      </c>
    </row>
    <row r="1850" spans="1:8" x14ac:dyDescent="0.3">
      <c r="A1850" t="s">
        <v>603</v>
      </c>
      <c r="B1850">
        <v>33</v>
      </c>
      <c r="C1850" t="s">
        <v>727</v>
      </c>
      <c r="D1850" s="1">
        <v>0.89583333333333337</v>
      </c>
      <c r="E1850" t="s">
        <v>26</v>
      </c>
      <c r="F1850" t="s">
        <v>338</v>
      </c>
      <c r="G1850" t="s">
        <v>18</v>
      </c>
      <c r="H1850" t="s">
        <v>345</v>
      </c>
    </row>
    <row r="1851" spans="1:8" x14ac:dyDescent="0.3">
      <c r="A1851" t="s">
        <v>603</v>
      </c>
      <c r="B1851">
        <v>33</v>
      </c>
      <c r="C1851" t="s">
        <v>727</v>
      </c>
      <c r="D1851" s="1">
        <v>0.89583333333333337</v>
      </c>
      <c r="E1851" t="s">
        <v>21</v>
      </c>
      <c r="F1851" t="s">
        <v>17</v>
      </c>
      <c r="G1851" t="s">
        <v>18</v>
      </c>
      <c r="H1851" t="s">
        <v>197</v>
      </c>
    </row>
    <row r="1852" spans="1:8" x14ac:dyDescent="0.3">
      <c r="A1852" t="s">
        <v>603</v>
      </c>
      <c r="B1852">
        <v>34</v>
      </c>
      <c r="C1852" t="s">
        <v>728</v>
      </c>
      <c r="D1852" s="1">
        <v>0.875</v>
      </c>
      <c r="E1852" t="s">
        <v>466</v>
      </c>
      <c r="F1852" t="s">
        <v>182</v>
      </c>
      <c r="G1852" t="s">
        <v>41</v>
      </c>
      <c r="H1852" t="s">
        <v>188</v>
      </c>
    </row>
    <row r="1853" spans="1:8" x14ac:dyDescent="0.3">
      <c r="A1853" t="s">
        <v>603</v>
      </c>
      <c r="B1853">
        <v>34</v>
      </c>
      <c r="C1853" t="s">
        <v>729</v>
      </c>
      <c r="D1853" s="1">
        <v>0.54166666666666663</v>
      </c>
      <c r="E1853" t="s">
        <v>187</v>
      </c>
      <c r="F1853" t="s">
        <v>11</v>
      </c>
      <c r="G1853" t="s">
        <v>42</v>
      </c>
      <c r="H1853" t="s">
        <v>207</v>
      </c>
    </row>
    <row r="1854" spans="1:8" x14ac:dyDescent="0.3">
      <c r="A1854" t="s">
        <v>603</v>
      </c>
      <c r="B1854">
        <v>34</v>
      </c>
      <c r="C1854" t="s">
        <v>729</v>
      </c>
      <c r="D1854" s="1">
        <v>0.67708333333333337</v>
      </c>
      <c r="E1854" t="s">
        <v>35</v>
      </c>
      <c r="F1854" t="s">
        <v>16</v>
      </c>
      <c r="G1854" s="2">
        <v>46023</v>
      </c>
      <c r="H1854" t="s">
        <v>73</v>
      </c>
    </row>
    <row r="1855" spans="1:8" x14ac:dyDescent="0.3">
      <c r="A1855" t="s">
        <v>603</v>
      </c>
      <c r="B1855">
        <v>34</v>
      </c>
      <c r="C1855" t="s">
        <v>730</v>
      </c>
      <c r="D1855" s="1">
        <v>0.5</v>
      </c>
      <c r="E1855" t="s">
        <v>606</v>
      </c>
      <c r="F1855" t="s">
        <v>36</v>
      </c>
      <c r="G1855" t="s">
        <v>54</v>
      </c>
      <c r="H1855" t="s">
        <v>612</v>
      </c>
    </row>
    <row r="1856" spans="1:8" x14ac:dyDescent="0.3">
      <c r="A1856" t="s">
        <v>603</v>
      </c>
      <c r="B1856">
        <v>34</v>
      </c>
      <c r="C1856" t="s">
        <v>730</v>
      </c>
      <c r="D1856" s="1">
        <v>0.67708333333333337</v>
      </c>
      <c r="E1856" t="s">
        <v>17</v>
      </c>
      <c r="F1856" t="s">
        <v>10</v>
      </c>
      <c r="G1856" t="s">
        <v>12</v>
      </c>
      <c r="H1856" t="s">
        <v>198</v>
      </c>
    </row>
    <row r="1857" spans="1:8" x14ac:dyDescent="0.3">
      <c r="A1857" t="s">
        <v>603</v>
      </c>
      <c r="B1857">
        <v>34</v>
      </c>
      <c r="C1857" t="s">
        <v>730</v>
      </c>
      <c r="D1857" s="1">
        <v>0.77083333333333337</v>
      </c>
      <c r="E1857" t="s">
        <v>338</v>
      </c>
      <c r="F1857" t="s">
        <v>464</v>
      </c>
      <c r="G1857" t="s">
        <v>53</v>
      </c>
      <c r="H1857" t="s">
        <v>190</v>
      </c>
    </row>
    <row r="1858" spans="1:8" x14ac:dyDescent="0.3">
      <c r="A1858" t="s">
        <v>603</v>
      </c>
      <c r="B1858">
        <v>34</v>
      </c>
      <c r="C1858" t="s">
        <v>730</v>
      </c>
      <c r="D1858" s="1">
        <v>0.86458333333333337</v>
      </c>
      <c r="E1858" t="s">
        <v>28</v>
      </c>
      <c r="F1858" t="s">
        <v>26</v>
      </c>
      <c r="G1858" t="s">
        <v>41</v>
      </c>
      <c r="H1858" t="s">
        <v>205</v>
      </c>
    </row>
    <row r="1859" spans="1:8" x14ac:dyDescent="0.3">
      <c r="A1859" t="s">
        <v>603</v>
      </c>
      <c r="B1859">
        <v>34</v>
      </c>
      <c r="C1859" t="s">
        <v>731</v>
      </c>
      <c r="D1859" s="1">
        <v>0.875</v>
      </c>
      <c r="E1859" t="s">
        <v>15</v>
      </c>
      <c r="F1859" t="s">
        <v>21</v>
      </c>
      <c r="G1859" s="2">
        <v>46082</v>
      </c>
      <c r="H1859" t="s">
        <v>467</v>
      </c>
    </row>
    <row r="1860" spans="1:8" x14ac:dyDescent="0.3">
      <c r="A1860" t="s">
        <v>603</v>
      </c>
      <c r="B1860">
        <v>34</v>
      </c>
      <c r="C1860" t="s">
        <v>732</v>
      </c>
      <c r="D1860" s="1">
        <v>0.83333333333333337</v>
      </c>
      <c r="E1860" t="s">
        <v>20</v>
      </c>
      <c r="F1860" t="s">
        <v>34</v>
      </c>
      <c r="G1860" s="2">
        <v>46027</v>
      </c>
      <c r="H1860" t="s">
        <v>345</v>
      </c>
    </row>
    <row r="1861" spans="1:8" x14ac:dyDescent="0.3">
      <c r="A1861" t="s">
        <v>603</v>
      </c>
      <c r="B1861">
        <v>34</v>
      </c>
      <c r="C1861" t="s">
        <v>732</v>
      </c>
      <c r="D1861" s="1">
        <v>0.89583333333333337</v>
      </c>
      <c r="E1861" t="s">
        <v>27</v>
      </c>
      <c r="F1861" t="s">
        <v>25</v>
      </c>
      <c r="G1861" s="2">
        <v>46056</v>
      </c>
      <c r="H1861" t="s">
        <v>181</v>
      </c>
    </row>
    <row r="1862" spans="1:8" x14ac:dyDescent="0.3">
      <c r="A1862" t="s">
        <v>603</v>
      </c>
      <c r="B1862">
        <v>35</v>
      </c>
      <c r="C1862" t="s">
        <v>733</v>
      </c>
      <c r="D1862" s="1">
        <v>0.875</v>
      </c>
      <c r="E1862" t="s">
        <v>21</v>
      </c>
      <c r="F1862" t="s">
        <v>27</v>
      </c>
      <c r="G1862" s="2">
        <v>46024</v>
      </c>
      <c r="H1862" t="s">
        <v>206</v>
      </c>
    </row>
    <row r="1863" spans="1:8" x14ac:dyDescent="0.3">
      <c r="A1863" t="s">
        <v>603</v>
      </c>
      <c r="B1863">
        <v>35</v>
      </c>
      <c r="C1863" t="s">
        <v>734</v>
      </c>
      <c r="D1863" s="1">
        <v>0.54166666666666663</v>
      </c>
      <c r="E1863" t="s">
        <v>36</v>
      </c>
      <c r="F1863" t="s">
        <v>338</v>
      </c>
      <c r="G1863" s="2">
        <v>46023</v>
      </c>
      <c r="H1863" t="s">
        <v>614</v>
      </c>
    </row>
    <row r="1864" spans="1:8" x14ac:dyDescent="0.3">
      <c r="A1864" t="s">
        <v>603</v>
      </c>
      <c r="B1864">
        <v>35</v>
      </c>
      <c r="C1864" t="s">
        <v>734</v>
      </c>
      <c r="D1864" s="1">
        <v>0.67708333333333337</v>
      </c>
      <c r="E1864" t="s">
        <v>10</v>
      </c>
      <c r="F1864" t="s">
        <v>15</v>
      </c>
      <c r="G1864" s="2">
        <v>46025</v>
      </c>
      <c r="H1864" t="s">
        <v>345</v>
      </c>
    </row>
    <row r="1865" spans="1:8" x14ac:dyDescent="0.3">
      <c r="A1865" t="s">
        <v>603</v>
      </c>
      <c r="B1865">
        <v>35</v>
      </c>
      <c r="C1865" t="s">
        <v>734</v>
      </c>
      <c r="D1865" s="1">
        <v>0.77083333333333337</v>
      </c>
      <c r="E1865" t="s">
        <v>25</v>
      </c>
      <c r="F1865" t="s">
        <v>466</v>
      </c>
      <c r="G1865" s="2">
        <v>46024</v>
      </c>
      <c r="H1865" t="s">
        <v>207</v>
      </c>
    </row>
    <row r="1866" spans="1:8" x14ac:dyDescent="0.3">
      <c r="A1866" t="s">
        <v>603</v>
      </c>
      <c r="B1866">
        <v>35</v>
      </c>
      <c r="C1866" t="s">
        <v>734</v>
      </c>
      <c r="D1866" s="1">
        <v>0.86458333333333337</v>
      </c>
      <c r="E1866" t="s">
        <v>34</v>
      </c>
      <c r="F1866" t="s">
        <v>35</v>
      </c>
      <c r="G1866" s="2">
        <v>46026</v>
      </c>
      <c r="H1866" t="s">
        <v>612</v>
      </c>
    </row>
    <row r="1867" spans="1:8" x14ac:dyDescent="0.3">
      <c r="A1867" t="s">
        <v>603</v>
      </c>
      <c r="B1867">
        <v>35</v>
      </c>
      <c r="C1867" t="s">
        <v>735</v>
      </c>
      <c r="D1867" s="1">
        <v>0.5</v>
      </c>
      <c r="E1867" t="s">
        <v>11</v>
      </c>
      <c r="F1867" t="s">
        <v>606</v>
      </c>
      <c r="G1867" s="2">
        <v>46023</v>
      </c>
      <c r="H1867" t="s">
        <v>185</v>
      </c>
    </row>
    <row r="1868" spans="1:8" x14ac:dyDescent="0.3">
      <c r="A1868" t="s">
        <v>603</v>
      </c>
      <c r="B1868">
        <v>35</v>
      </c>
      <c r="C1868" t="s">
        <v>735</v>
      </c>
      <c r="D1868" s="1">
        <v>0.67708333333333337</v>
      </c>
      <c r="E1868" t="s">
        <v>464</v>
      </c>
      <c r="F1868" t="s">
        <v>28</v>
      </c>
      <c r="G1868" t="s">
        <v>42</v>
      </c>
      <c r="H1868" t="s">
        <v>191</v>
      </c>
    </row>
    <row r="1869" spans="1:8" x14ac:dyDescent="0.3">
      <c r="A1869" t="s">
        <v>603</v>
      </c>
      <c r="B1869">
        <v>35</v>
      </c>
      <c r="C1869" t="s">
        <v>735</v>
      </c>
      <c r="D1869" s="1">
        <v>0.77083333333333337</v>
      </c>
      <c r="E1869" t="s">
        <v>16</v>
      </c>
      <c r="F1869" t="s">
        <v>187</v>
      </c>
      <c r="G1869" t="s">
        <v>41</v>
      </c>
      <c r="H1869" t="s">
        <v>197</v>
      </c>
    </row>
    <row r="1870" spans="1:8" x14ac:dyDescent="0.3">
      <c r="A1870" t="s">
        <v>603</v>
      </c>
      <c r="B1870">
        <v>35</v>
      </c>
      <c r="C1870" t="s">
        <v>735</v>
      </c>
      <c r="D1870" s="1">
        <v>0.86458333333333337</v>
      </c>
      <c r="E1870" t="s">
        <v>182</v>
      </c>
      <c r="F1870" t="s">
        <v>20</v>
      </c>
      <c r="G1870" s="2">
        <v>46114</v>
      </c>
      <c r="H1870" t="s">
        <v>341</v>
      </c>
    </row>
    <row r="1871" spans="1:8" x14ac:dyDescent="0.3">
      <c r="A1871" t="s">
        <v>603</v>
      </c>
      <c r="B1871">
        <v>35</v>
      </c>
      <c r="C1871" t="s">
        <v>736</v>
      </c>
      <c r="D1871" s="1">
        <v>0.875</v>
      </c>
      <c r="E1871" t="s">
        <v>26</v>
      </c>
      <c r="F1871" t="s">
        <v>17</v>
      </c>
      <c r="G1871" s="2">
        <v>46024</v>
      </c>
      <c r="H1871" t="s">
        <v>184</v>
      </c>
    </row>
    <row r="1872" spans="1:8" x14ac:dyDescent="0.3">
      <c r="A1872" t="s">
        <v>603</v>
      </c>
      <c r="B1872">
        <v>36</v>
      </c>
      <c r="C1872" t="s">
        <v>737</v>
      </c>
      <c r="D1872" s="1">
        <v>0.875</v>
      </c>
      <c r="E1872" t="s">
        <v>27</v>
      </c>
      <c r="F1872" t="s">
        <v>10</v>
      </c>
      <c r="G1872" t="s">
        <v>18</v>
      </c>
      <c r="H1872" t="s">
        <v>197</v>
      </c>
    </row>
    <row r="1873" spans="1:8" x14ac:dyDescent="0.3">
      <c r="A1873" t="s">
        <v>603</v>
      </c>
      <c r="B1873">
        <v>36</v>
      </c>
      <c r="C1873" t="s">
        <v>738</v>
      </c>
      <c r="D1873" s="1">
        <v>0.54166666666666663</v>
      </c>
      <c r="E1873" t="s">
        <v>606</v>
      </c>
      <c r="F1873" t="s">
        <v>187</v>
      </c>
      <c r="G1873" s="2">
        <v>46113</v>
      </c>
      <c r="H1873" t="s">
        <v>475</v>
      </c>
    </row>
    <row r="1874" spans="1:8" x14ac:dyDescent="0.3">
      <c r="A1874" t="s">
        <v>603</v>
      </c>
      <c r="B1874">
        <v>36</v>
      </c>
      <c r="C1874" t="s">
        <v>738</v>
      </c>
      <c r="D1874" s="1">
        <v>0.67708333333333337</v>
      </c>
      <c r="E1874" t="s">
        <v>15</v>
      </c>
      <c r="F1874" t="s">
        <v>26</v>
      </c>
      <c r="G1874" t="s">
        <v>12</v>
      </c>
      <c r="H1874" t="s">
        <v>612</v>
      </c>
    </row>
    <row r="1875" spans="1:8" x14ac:dyDescent="0.3">
      <c r="A1875" t="s">
        <v>603</v>
      </c>
      <c r="B1875">
        <v>36</v>
      </c>
      <c r="C1875" t="s">
        <v>738</v>
      </c>
      <c r="D1875" s="1">
        <v>0.77083333333333337</v>
      </c>
      <c r="E1875" t="s">
        <v>35</v>
      </c>
      <c r="F1875" t="s">
        <v>182</v>
      </c>
      <c r="G1875" s="2">
        <v>46023</v>
      </c>
      <c r="H1875" t="s">
        <v>184</v>
      </c>
    </row>
    <row r="1876" spans="1:8" x14ac:dyDescent="0.3">
      <c r="A1876" t="s">
        <v>603</v>
      </c>
      <c r="B1876">
        <v>36</v>
      </c>
      <c r="C1876" t="s">
        <v>738</v>
      </c>
      <c r="D1876" s="1">
        <v>0.86458333333333337</v>
      </c>
      <c r="E1876" t="s">
        <v>34</v>
      </c>
      <c r="F1876" t="s">
        <v>16</v>
      </c>
      <c r="G1876" t="s">
        <v>18</v>
      </c>
      <c r="H1876" t="s">
        <v>194</v>
      </c>
    </row>
    <row r="1877" spans="1:8" x14ac:dyDescent="0.3">
      <c r="A1877" t="s">
        <v>603</v>
      </c>
      <c r="B1877">
        <v>36</v>
      </c>
      <c r="C1877" t="s">
        <v>739</v>
      </c>
      <c r="D1877" s="1">
        <v>0.5</v>
      </c>
      <c r="E1877" t="s">
        <v>17</v>
      </c>
      <c r="F1877" t="s">
        <v>464</v>
      </c>
      <c r="G1877" t="s">
        <v>46</v>
      </c>
      <c r="H1877" t="s">
        <v>206</v>
      </c>
    </row>
    <row r="1878" spans="1:8" x14ac:dyDescent="0.3">
      <c r="A1878" t="s">
        <v>603</v>
      </c>
      <c r="B1878">
        <v>36</v>
      </c>
      <c r="C1878" t="s">
        <v>739</v>
      </c>
      <c r="D1878" s="1">
        <v>0.67708333333333337</v>
      </c>
      <c r="E1878" t="s">
        <v>28</v>
      </c>
      <c r="F1878" t="s">
        <v>36</v>
      </c>
      <c r="G1878" t="s">
        <v>54</v>
      </c>
      <c r="H1878" t="s">
        <v>467</v>
      </c>
    </row>
    <row r="1879" spans="1:8" x14ac:dyDescent="0.3">
      <c r="A1879" t="s">
        <v>603</v>
      </c>
      <c r="B1879">
        <v>36</v>
      </c>
      <c r="C1879" t="s">
        <v>739</v>
      </c>
      <c r="D1879" s="1">
        <v>0.77083333333333337</v>
      </c>
      <c r="E1879" t="s">
        <v>338</v>
      </c>
      <c r="F1879" t="s">
        <v>11</v>
      </c>
      <c r="G1879" t="s">
        <v>42</v>
      </c>
      <c r="H1879" t="s">
        <v>73</v>
      </c>
    </row>
    <row r="1880" spans="1:8" x14ac:dyDescent="0.3">
      <c r="A1880" t="s">
        <v>603</v>
      </c>
      <c r="B1880">
        <v>36</v>
      </c>
      <c r="C1880" t="s">
        <v>739</v>
      </c>
      <c r="D1880" s="1">
        <v>0.86458333333333337</v>
      </c>
      <c r="E1880" t="s">
        <v>20</v>
      </c>
      <c r="F1880" t="s">
        <v>25</v>
      </c>
      <c r="G1880" s="2">
        <v>46055</v>
      </c>
      <c r="H1880" t="s">
        <v>185</v>
      </c>
    </row>
    <row r="1881" spans="1:8" x14ac:dyDescent="0.3">
      <c r="A1881" t="s">
        <v>603</v>
      </c>
      <c r="B1881">
        <v>36</v>
      </c>
      <c r="C1881" t="s">
        <v>740</v>
      </c>
      <c r="D1881" s="1">
        <v>0.875</v>
      </c>
      <c r="E1881" t="s">
        <v>466</v>
      </c>
      <c r="F1881" t="s">
        <v>21</v>
      </c>
      <c r="G1881" t="s">
        <v>46</v>
      </c>
      <c r="H1881" t="s">
        <v>345</v>
      </c>
    </row>
    <row r="1882" spans="1:8" x14ac:dyDescent="0.3">
      <c r="A1882" t="s">
        <v>603</v>
      </c>
      <c r="B1882">
        <v>37</v>
      </c>
      <c r="C1882" t="s">
        <v>741</v>
      </c>
      <c r="D1882" s="1">
        <v>0.67708333333333337</v>
      </c>
      <c r="E1882" t="s">
        <v>10</v>
      </c>
      <c r="F1882" t="s">
        <v>466</v>
      </c>
      <c r="G1882" s="2">
        <v>46056</v>
      </c>
      <c r="H1882" t="s">
        <v>609</v>
      </c>
    </row>
    <row r="1883" spans="1:8" x14ac:dyDescent="0.3">
      <c r="A1883" t="s">
        <v>603</v>
      </c>
      <c r="B1883">
        <v>37</v>
      </c>
      <c r="C1883" t="s">
        <v>741</v>
      </c>
      <c r="D1883" s="1">
        <v>0.77083333333333337</v>
      </c>
      <c r="E1883" t="s">
        <v>26</v>
      </c>
      <c r="F1883" t="s">
        <v>27</v>
      </c>
      <c r="G1883" s="2">
        <v>46055</v>
      </c>
      <c r="H1883" t="s">
        <v>188</v>
      </c>
    </row>
    <row r="1884" spans="1:8" x14ac:dyDescent="0.3">
      <c r="A1884" t="s">
        <v>603</v>
      </c>
      <c r="B1884">
        <v>37</v>
      </c>
      <c r="C1884" t="s">
        <v>741</v>
      </c>
      <c r="D1884" s="1">
        <v>0.77083333333333337</v>
      </c>
      <c r="E1884" t="s">
        <v>11</v>
      </c>
      <c r="F1884" t="s">
        <v>28</v>
      </c>
      <c r="G1884" t="s">
        <v>42</v>
      </c>
      <c r="H1884" t="s">
        <v>612</v>
      </c>
    </row>
    <row r="1885" spans="1:8" x14ac:dyDescent="0.3">
      <c r="A1885" t="s">
        <v>603</v>
      </c>
      <c r="B1885">
        <v>37</v>
      </c>
      <c r="C1885" t="s">
        <v>741</v>
      </c>
      <c r="D1885" s="1">
        <v>0.77083333333333337</v>
      </c>
      <c r="E1885" t="s">
        <v>464</v>
      </c>
      <c r="F1885" t="s">
        <v>15</v>
      </c>
      <c r="G1885" s="2">
        <v>46025</v>
      </c>
      <c r="H1885" t="s">
        <v>198</v>
      </c>
    </row>
    <row r="1886" spans="1:8" x14ac:dyDescent="0.3">
      <c r="A1886" t="s">
        <v>603</v>
      </c>
      <c r="B1886">
        <v>37</v>
      </c>
      <c r="C1886" t="s">
        <v>741</v>
      </c>
      <c r="D1886" s="1">
        <v>0.77083333333333337</v>
      </c>
      <c r="E1886" t="s">
        <v>182</v>
      </c>
      <c r="F1886" t="s">
        <v>34</v>
      </c>
      <c r="G1886" s="2">
        <v>46114</v>
      </c>
      <c r="H1886" t="s">
        <v>185</v>
      </c>
    </row>
    <row r="1887" spans="1:8" x14ac:dyDescent="0.3">
      <c r="A1887" t="s">
        <v>603</v>
      </c>
      <c r="B1887">
        <v>37</v>
      </c>
      <c r="C1887" t="s">
        <v>741</v>
      </c>
      <c r="D1887" s="1">
        <v>0.77083333333333337</v>
      </c>
      <c r="E1887" t="s">
        <v>187</v>
      </c>
      <c r="F1887" t="s">
        <v>338</v>
      </c>
      <c r="G1887" t="s">
        <v>18</v>
      </c>
      <c r="H1887" t="s">
        <v>181</v>
      </c>
    </row>
    <row r="1888" spans="1:8" x14ac:dyDescent="0.3">
      <c r="A1888" t="s">
        <v>603</v>
      </c>
      <c r="B1888">
        <v>37</v>
      </c>
      <c r="C1888" t="s">
        <v>741</v>
      </c>
      <c r="D1888" s="1">
        <v>0.77083333333333337</v>
      </c>
      <c r="E1888" t="s">
        <v>606</v>
      </c>
      <c r="F1888" t="s">
        <v>16</v>
      </c>
      <c r="G1888" t="s">
        <v>42</v>
      </c>
      <c r="H1888" t="s">
        <v>207</v>
      </c>
    </row>
    <row r="1889" spans="1:8" x14ac:dyDescent="0.3">
      <c r="A1889" t="s">
        <v>603</v>
      </c>
      <c r="B1889">
        <v>37</v>
      </c>
      <c r="C1889" t="s">
        <v>741</v>
      </c>
      <c r="D1889" s="1">
        <v>0.86458333333333337</v>
      </c>
      <c r="E1889" t="s">
        <v>25</v>
      </c>
      <c r="F1889" t="s">
        <v>35</v>
      </c>
      <c r="G1889" t="s">
        <v>126</v>
      </c>
      <c r="H1889" t="s">
        <v>614</v>
      </c>
    </row>
    <row r="1890" spans="1:8" x14ac:dyDescent="0.3">
      <c r="A1890" t="s">
        <v>603</v>
      </c>
      <c r="B1890">
        <v>37</v>
      </c>
      <c r="C1890" t="s">
        <v>742</v>
      </c>
      <c r="D1890" s="1">
        <v>0.67708333333333337</v>
      </c>
      <c r="E1890" t="s">
        <v>36</v>
      </c>
      <c r="F1890" t="s">
        <v>17</v>
      </c>
      <c r="G1890" s="2">
        <v>46026</v>
      </c>
      <c r="H1890" t="s">
        <v>205</v>
      </c>
    </row>
    <row r="1891" spans="1:8" x14ac:dyDescent="0.3">
      <c r="A1891" t="s">
        <v>603</v>
      </c>
      <c r="B1891">
        <v>37</v>
      </c>
      <c r="C1891" t="s">
        <v>742</v>
      </c>
      <c r="D1891" s="1">
        <v>0.86458333333333337</v>
      </c>
      <c r="E1891" t="s">
        <v>21</v>
      </c>
      <c r="F1891" t="s">
        <v>20</v>
      </c>
      <c r="G1891" s="2">
        <v>46117</v>
      </c>
      <c r="H1891" t="s">
        <v>190</v>
      </c>
    </row>
    <row r="1892" spans="1:8" x14ac:dyDescent="0.3">
      <c r="A1892" t="s">
        <v>603</v>
      </c>
      <c r="B1892">
        <v>38</v>
      </c>
      <c r="C1892" t="s">
        <v>743</v>
      </c>
      <c r="D1892" s="1">
        <v>0.54166666666666663</v>
      </c>
      <c r="E1892" t="s">
        <v>35</v>
      </c>
      <c r="F1892" t="s">
        <v>21</v>
      </c>
      <c r="G1892" s="2">
        <v>46057</v>
      </c>
      <c r="H1892" t="s">
        <v>341</v>
      </c>
    </row>
    <row r="1893" spans="1:8" x14ac:dyDescent="0.3">
      <c r="A1893" t="s">
        <v>603</v>
      </c>
      <c r="B1893">
        <v>38</v>
      </c>
      <c r="C1893" t="s">
        <v>743</v>
      </c>
      <c r="D1893" s="1">
        <v>0.67708333333333337</v>
      </c>
      <c r="E1893" t="s">
        <v>466</v>
      </c>
      <c r="F1893" t="s">
        <v>26</v>
      </c>
      <c r="G1893" s="2">
        <v>46056</v>
      </c>
      <c r="H1893" t="s">
        <v>194</v>
      </c>
    </row>
    <row r="1894" spans="1:8" x14ac:dyDescent="0.3">
      <c r="A1894" t="s">
        <v>603</v>
      </c>
      <c r="B1894">
        <v>38</v>
      </c>
      <c r="C1894" t="s">
        <v>743</v>
      </c>
      <c r="D1894" s="1">
        <v>0.77083333333333337</v>
      </c>
      <c r="E1894" t="s">
        <v>17</v>
      </c>
      <c r="F1894" t="s">
        <v>11</v>
      </c>
      <c r="G1894" t="s">
        <v>42</v>
      </c>
      <c r="H1894" t="s">
        <v>475</v>
      </c>
    </row>
    <row r="1895" spans="1:8" x14ac:dyDescent="0.3">
      <c r="A1895" t="s">
        <v>603</v>
      </c>
      <c r="B1895">
        <v>38</v>
      </c>
      <c r="C1895" t="s">
        <v>743</v>
      </c>
      <c r="D1895" s="1">
        <v>0.77083333333333337</v>
      </c>
      <c r="E1895" t="s">
        <v>27</v>
      </c>
      <c r="F1895" t="s">
        <v>464</v>
      </c>
      <c r="G1895" t="s">
        <v>18</v>
      </c>
      <c r="H1895" t="s">
        <v>184</v>
      </c>
    </row>
    <row r="1896" spans="1:8" x14ac:dyDescent="0.3">
      <c r="A1896" t="s">
        <v>603</v>
      </c>
      <c r="B1896">
        <v>38</v>
      </c>
      <c r="C1896" t="s">
        <v>743</v>
      </c>
      <c r="D1896" s="1">
        <v>0.77083333333333337</v>
      </c>
      <c r="E1896" t="s">
        <v>338</v>
      </c>
      <c r="F1896" t="s">
        <v>606</v>
      </c>
      <c r="G1896" s="2">
        <v>46054</v>
      </c>
      <c r="H1896" t="s">
        <v>197</v>
      </c>
    </row>
    <row r="1897" spans="1:8" x14ac:dyDescent="0.3">
      <c r="A1897" t="s">
        <v>603</v>
      </c>
      <c r="B1897">
        <v>38</v>
      </c>
      <c r="C1897" t="s">
        <v>743</v>
      </c>
      <c r="D1897" s="1">
        <v>0.86458333333333337</v>
      </c>
      <c r="E1897" t="s">
        <v>34</v>
      </c>
      <c r="F1897" t="s">
        <v>25</v>
      </c>
      <c r="G1897" s="2">
        <v>46055</v>
      </c>
      <c r="H1897" t="s">
        <v>345</v>
      </c>
    </row>
    <row r="1898" spans="1:8" x14ac:dyDescent="0.3">
      <c r="A1898" t="s">
        <v>603</v>
      </c>
      <c r="B1898">
        <v>38</v>
      </c>
      <c r="C1898" t="s">
        <v>744</v>
      </c>
      <c r="D1898" s="1">
        <v>0.5</v>
      </c>
      <c r="E1898" t="s">
        <v>16</v>
      </c>
      <c r="F1898" t="s">
        <v>182</v>
      </c>
      <c r="G1898" s="2">
        <v>46024</v>
      </c>
      <c r="H1898" t="s">
        <v>609</v>
      </c>
    </row>
    <row r="1899" spans="1:8" x14ac:dyDescent="0.3">
      <c r="A1899" t="s">
        <v>603</v>
      </c>
      <c r="B1899">
        <v>38</v>
      </c>
      <c r="C1899" t="s">
        <v>744</v>
      </c>
      <c r="D1899" s="1">
        <v>0.67708333333333337</v>
      </c>
      <c r="E1899" t="s">
        <v>15</v>
      </c>
      <c r="F1899" t="s">
        <v>36</v>
      </c>
      <c r="G1899" t="s">
        <v>42</v>
      </c>
      <c r="H1899" t="s">
        <v>191</v>
      </c>
    </row>
    <row r="1900" spans="1:8" x14ac:dyDescent="0.3">
      <c r="A1900" t="s">
        <v>603</v>
      </c>
      <c r="B1900">
        <v>38</v>
      </c>
      <c r="C1900" t="s">
        <v>744</v>
      </c>
      <c r="D1900" s="1">
        <v>0.77083333333333337</v>
      </c>
      <c r="E1900" t="s">
        <v>28</v>
      </c>
      <c r="F1900" t="s">
        <v>187</v>
      </c>
      <c r="G1900" s="2">
        <v>46055</v>
      </c>
      <c r="H1900" t="s">
        <v>188</v>
      </c>
    </row>
    <row r="1901" spans="1:8" x14ac:dyDescent="0.3">
      <c r="A1901" t="s">
        <v>603</v>
      </c>
      <c r="B1901">
        <v>38</v>
      </c>
      <c r="C1901" t="s">
        <v>744</v>
      </c>
      <c r="D1901" s="1">
        <v>0.86458333333333337</v>
      </c>
      <c r="E1901" t="s">
        <v>20</v>
      </c>
      <c r="F1901" t="s">
        <v>10</v>
      </c>
      <c r="G1901" t="s">
        <v>18</v>
      </c>
      <c r="H1901" t="s">
        <v>467</v>
      </c>
    </row>
    <row r="1902" spans="1:8" x14ac:dyDescent="0.3">
      <c r="A1902" t="s">
        <v>745</v>
      </c>
      <c r="B1902">
        <v>1</v>
      </c>
      <c r="C1902" t="s">
        <v>746</v>
      </c>
      <c r="D1902" s="1">
        <v>0.84375</v>
      </c>
      <c r="E1902" t="s">
        <v>606</v>
      </c>
      <c r="F1902" t="s">
        <v>14</v>
      </c>
      <c r="G1902" t="s">
        <v>41</v>
      </c>
      <c r="H1902" t="s">
        <v>747</v>
      </c>
    </row>
    <row r="1903" spans="1:8" x14ac:dyDescent="0.3">
      <c r="A1903" t="s">
        <v>745</v>
      </c>
      <c r="B1903">
        <v>1</v>
      </c>
      <c r="C1903" t="s">
        <v>746</v>
      </c>
      <c r="D1903" s="1">
        <v>0.92708333333333337</v>
      </c>
      <c r="E1903" t="s">
        <v>26</v>
      </c>
      <c r="F1903" t="s">
        <v>21</v>
      </c>
      <c r="G1903" t="s">
        <v>46</v>
      </c>
      <c r="H1903" t="s">
        <v>207</v>
      </c>
    </row>
    <row r="1904" spans="1:8" x14ac:dyDescent="0.3">
      <c r="A1904" t="s">
        <v>745</v>
      </c>
      <c r="B1904">
        <v>1</v>
      </c>
      <c r="C1904" t="s">
        <v>748</v>
      </c>
      <c r="D1904" s="1">
        <v>0.76041666666666663</v>
      </c>
      <c r="E1904" t="s">
        <v>35</v>
      </c>
      <c r="F1904" t="s">
        <v>36</v>
      </c>
      <c r="G1904" s="2">
        <v>46023</v>
      </c>
      <c r="H1904" t="s">
        <v>197</v>
      </c>
    </row>
    <row r="1905" spans="1:8" x14ac:dyDescent="0.3">
      <c r="A1905" t="s">
        <v>745</v>
      </c>
      <c r="B1905">
        <v>1</v>
      </c>
      <c r="C1905" t="s">
        <v>748</v>
      </c>
      <c r="D1905" s="1">
        <v>0.84375</v>
      </c>
      <c r="E1905" t="s">
        <v>34</v>
      </c>
      <c r="F1905" t="s">
        <v>10</v>
      </c>
      <c r="G1905" s="2">
        <v>46054</v>
      </c>
      <c r="H1905" t="s">
        <v>190</v>
      </c>
    </row>
    <row r="1906" spans="1:8" x14ac:dyDescent="0.3">
      <c r="A1906" t="s">
        <v>745</v>
      </c>
      <c r="B1906">
        <v>1</v>
      </c>
      <c r="C1906" t="s">
        <v>748</v>
      </c>
      <c r="D1906" s="1">
        <v>0.92708333333333337</v>
      </c>
      <c r="E1906" t="s">
        <v>20</v>
      </c>
      <c r="F1906" t="s">
        <v>464</v>
      </c>
      <c r="G1906" t="s">
        <v>32</v>
      </c>
      <c r="H1906" t="s">
        <v>345</v>
      </c>
    </row>
    <row r="1907" spans="1:8" x14ac:dyDescent="0.3">
      <c r="A1907" t="s">
        <v>745</v>
      </c>
      <c r="B1907">
        <v>1</v>
      </c>
      <c r="C1907" t="s">
        <v>749</v>
      </c>
      <c r="D1907" s="1">
        <v>0.76041666666666663</v>
      </c>
      <c r="E1907" t="s">
        <v>187</v>
      </c>
      <c r="F1907" t="s">
        <v>750</v>
      </c>
      <c r="G1907" s="2">
        <v>46054</v>
      </c>
      <c r="H1907" t="s">
        <v>202</v>
      </c>
    </row>
    <row r="1908" spans="1:8" x14ac:dyDescent="0.3">
      <c r="A1908" t="s">
        <v>745</v>
      </c>
      <c r="B1908">
        <v>1</v>
      </c>
      <c r="C1908" t="s">
        <v>749</v>
      </c>
      <c r="D1908" s="1">
        <v>0.84375</v>
      </c>
      <c r="E1908" t="s">
        <v>30</v>
      </c>
      <c r="F1908" t="s">
        <v>27</v>
      </c>
      <c r="G1908" s="2">
        <v>46113</v>
      </c>
      <c r="H1908" t="s">
        <v>181</v>
      </c>
    </row>
    <row r="1909" spans="1:8" x14ac:dyDescent="0.3">
      <c r="A1909" t="s">
        <v>745</v>
      </c>
      <c r="B1909">
        <v>1</v>
      </c>
      <c r="C1909" t="s">
        <v>749</v>
      </c>
      <c r="D1909" s="1">
        <v>0.92708333333333337</v>
      </c>
      <c r="E1909" t="s">
        <v>25</v>
      </c>
      <c r="F1909" t="s">
        <v>11</v>
      </c>
      <c r="G1909" t="s">
        <v>12</v>
      </c>
      <c r="H1909" t="s">
        <v>198</v>
      </c>
    </row>
    <row r="1910" spans="1:8" x14ac:dyDescent="0.3">
      <c r="A1910" t="s">
        <v>745</v>
      </c>
      <c r="B1910">
        <v>1</v>
      </c>
      <c r="C1910" t="s">
        <v>751</v>
      </c>
      <c r="D1910" s="1">
        <v>0.83333333333333337</v>
      </c>
      <c r="E1910" t="s">
        <v>16</v>
      </c>
      <c r="F1910" t="s">
        <v>28</v>
      </c>
      <c r="G1910" s="2">
        <v>46023</v>
      </c>
      <c r="H1910" t="s">
        <v>194</v>
      </c>
    </row>
    <row r="1911" spans="1:8" x14ac:dyDescent="0.3">
      <c r="A1911" t="s">
        <v>745</v>
      </c>
      <c r="B1911">
        <v>1</v>
      </c>
      <c r="C1911" t="s">
        <v>751</v>
      </c>
      <c r="D1911" s="1">
        <v>0.91666666666666663</v>
      </c>
      <c r="E1911" t="s">
        <v>15</v>
      </c>
      <c r="F1911" t="s">
        <v>466</v>
      </c>
      <c r="G1911" s="2">
        <v>46024</v>
      </c>
      <c r="H1911" t="s">
        <v>752</v>
      </c>
    </row>
    <row r="1912" spans="1:8" x14ac:dyDescent="0.3">
      <c r="A1912" t="s">
        <v>745</v>
      </c>
      <c r="B1912">
        <v>2</v>
      </c>
      <c r="C1912" t="s">
        <v>753</v>
      </c>
      <c r="D1912" s="1">
        <v>0.84375</v>
      </c>
      <c r="E1912" t="s">
        <v>11</v>
      </c>
      <c r="F1912" t="s">
        <v>187</v>
      </c>
      <c r="G1912" t="s">
        <v>12</v>
      </c>
      <c r="H1912" t="s">
        <v>609</v>
      </c>
    </row>
    <row r="1913" spans="1:8" x14ac:dyDescent="0.3">
      <c r="A1913" t="s">
        <v>745</v>
      </c>
      <c r="B1913">
        <v>2</v>
      </c>
      <c r="C1913" t="s">
        <v>753</v>
      </c>
      <c r="D1913" s="1">
        <v>0.92708333333333337</v>
      </c>
      <c r="E1913" t="s">
        <v>466</v>
      </c>
      <c r="F1913" t="s">
        <v>10</v>
      </c>
      <c r="G1913" s="2">
        <v>46055</v>
      </c>
      <c r="H1913" t="s">
        <v>467</v>
      </c>
    </row>
    <row r="1914" spans="1:8" x14ac:dyDescent="0.3">
      <c r="A1914" t="s">
        <v>745</v>
      </c>
      <c r="B1914">
        <v>2</v>
      </c>
      <c r="C1914" t="s">
        <v>754</v>
      </c>
      <c r="D1914" s="1">
        <v>0.76041666666666663</v>
      </c>
      <c r="E1914" t="s">
        <v>464</v>
      </c>
      <c r="F1914" t="s">
        <v>26</v>
      </c>
      <c r="G1914" t="s">
        <v>41</v>
      </c>
      <c r="H1914" t="s">
        <v>614</v>
      </c>
    </row>
    <row r="1915" spans="1:8" x14ac:dyDescent="0.3">
      <c r="A1915" t="s">
        <v>745</v>
      </c>
      <c r="B1915">
        <v>2</v>
      </c>
      <c r="C1915" t="s">
        <v>754</v>
      </c>
      <c r="D1915" s="1">
        <v>0.84375</v>
      </c>
      <c r="E1915" t="s">
        <v>28</v>
      </c>
      <c r="F1915" t="s">
        <v>30</v>
      </c>
      <c r="G1915" t="s">
        <v>18</v>
      </c>
      <c r="H1915" t="s">
        <v>206</v>
      </c>
    </row>
    <row r="1916" spans="1:8" x14ac:dyDescent="0.3">
      <c r="A1916" t="s">
        <v>745</v>
      </c>
      <c r="B1916">
        <v>2</v>
      </c>
      <c r="C1916" t="s">
        <v>754</v>
      </c>
      <c r="D1916" s="1">
        <v>0.92708333333333337</v>
      </c>
      <c r="E1916" t="s">
        <v>14</v>
      </c>
      <c r="F1916" t="s">
        <v>20</v>
      </c>
      <c r="G1916" t="s">
        <v>42</v>
      </c>
      <c r="H1916" t="s">
        <v>341</v>
      </c>
    </row>
    <row r="1917" spans="1:8" x14ac:dyDescent="0.3">
      <c r="A1917" t="s">
        <v>745</v>
      </c>
      <c r="B1917">
        <v>2</v>
      </c>
      <c r="C1917" t="s">
        <v>755</v>
      </c>
      <c r="D1917" s="1">
        <v>0.76041666666666663</v>
      </c>
      <c r="E1917" t="s">
        <v>36</v>
      </c>
      <c r="F1917" t="s">
        <v>16</v>
      </c>
      <c r="G1917" t="s">
        <v>12</v>
      </c>
      <c r="H1917" t="s">
        <v>184</v>
      </c>
    </row>
    <row r="1918" spans="1:8" x14ac:dyDescent="0.3">
      <c r="A1918" t="s">
        <v>745</v>
      </c>
      <c r="B1918">
        <v>2</v>
      </c>
      <c r="C1918" t="s">
        <v>755</v>
      </c>
      <c r="D1918" s="1">
        <v>0.92708333333333337</v>
      </c>
      <c r="E1918" t="s">
        <v>27</v>
      </c>
      <c r="F1918" t="s">
        <v>34</v>
      </c>
      <c r="G1918" t="s">
        <v>41</v>
      </c>
      <c r="H1918" t="s">
        <v>73</v>
      </c>
    </row>
    <row r="1919" spans="1:8" x14ac:dyDescent="0.3">
      <c r="A1919" t="s">
        <v>745</v>
      </c>
      <c r="B1919">
        <v>2</v>
      </c>
      <c r="C1919" t="s">
        <v>755</v>
      </c>
      <c r="D1919" s="1">
        <v>0.92708333333333337</v>
      </c>
      <c r="E1919" t="s">
        <v>606</v>
      </c>
      <c r="F1919" t="s">
        <v>25</v>
      </c>
      <c r="G1919" s="2">
        <v>46113</v>
      </c>
      <c r="H1919" t="s">
        <v>205</v>
      </c>
    </row>
    <row r="1920" spans="1:8" x14ac:dyDescent="0.3">
      <c r="A1920" t="s">
        <v>745</v>
      </c>
      <c r="B1920">
        <v>2</v>
      </c>
      <c r="C1920" t="s">
        <v>756</v>
      </c>
      <c r="D1920" s="1">
        <v>0.84375</v>
      </c>
      <c r="E1920" t="s">
        <v>21</v>
      </c>
      <c r="F1920" t="s">
        <v>35</v>
      </c>
      <c r="G1920" s="2">
        <v>46054</v>
      </c>
      <c r="H1920" t="s">
        <v>185</v>
      </c>
    </row>
    <row r="1921" spans="1:8" x14ac:dyDescent="0.3">
      <c r="A1921" t="s">
        <v>745</v>
      </c>
      <c r="B1921">
        <v>2</v>
      </c>
      <c r="C1921" t="s">
        <v>756</v>
      </c>
      <c r="D1921" s="1">
        <v>0.91666666666666663</v>
      </c>
      <c r="E1921" t="s">
        <v>15</v>
      </c>
      <c r="F1921" t="s">
        <v>750</v>
      </c>
      <c r="G1921" s="2">
        <v>46055</v>
      </c>
      <c r="H1921" t="s">
        <v>612</v>
      </c>
    </row>
    <row r="1922" spans="1:8" x14ac:dyDescent="0.3">
      <c r="A1922" t="s">
        <v>745</v>
      </c>
      <c r="B1922">
        <v>3</v>
      </c>
      <c r="C1922" t="s">
        <v>757</v>
      </c>
      <c r="D1922" s="1">
        <v>0.83333333333333337</v>
      </c>
      <c r="E1922" t="s">
        <v>11</v>
      </c>
      <c r="F1922" t="s">
        <v>14</v>
      </c>
      <c r="G1922" t="s">
        <v>41</v>
      </c>
      <c r="H1922" t="s">
        <v>752</v>
      </c>
    </row>
    <row r="1923" spans="1:8" x14ac:dyDescent="0.3">
      <c r="A1923" t="s">
        <v>745</v>
      </c>
      <c r="B1923">
        <v>3</v>
      </c>
      <c r="C1923" t="s">
        <v>757</v>
      </c>
      <c r="D1923" s="1">
        <v>0.91666666666666663</v>
      </c>
      <c r="E1923" t="s">
        <v>34</v>
      </c>
      <c r="F1923" t="s">
        <v>606</v>
      </c>
      <c r="G1923" t="s">
        <v>42</v>
      </c>
      <c r="H1923" t="s">
        <v>202</v>
      </c>
    </row>
    <row r="1924" spans="1:8" x14ac:dyDescent="0.3">
      <c r="A1924" t="s">
        <v>745</v>
      </c>
      <c r="B1924">
        <v>3</v>
      </c>
      <c r="C1924" t="s">
        <v>757</v>
      </c>
      <c r="D1924" s="1">
        <v>0.91666666666666663</v>
      </c>
      <c r="E1924" t="s">
        <v>187</v>
      </c>
      <c r="F1924" t="s">
        <v>10</v>
      </c>
      <c r="G1924" s="2">
        <v>46024</v>
      </c>
      <c r="H1924" t="s">
        <v>345</v>
      </c>
    </row>
    <row r="1925" spans="1:8" x14ac:dyDescent="0.3">
      <c r="A1925" t="s">
        <v>745</v>
      </c>
      <c r="B1925">
        <v>3</v>
      </c>
      <c r="C1925" t="s">
        <v>758</v>
      </c>
      <c r="D1925" s="1">
        <v>0.77083333333333337</v>
      </c>
      <c r="E1925" t="s">
        <v>35</v>
      </c>
      <c r="F1925" t="s">
        <v>28</v>
      </c>
      <c r="G1925" t="s">
        <v>12</v>
      </c>
      <c r="H1925" t="s">
        <v>181</v>
      </c>
    </row>
    <row r="1926" spans="1:8" x14ac:dyDescent="0.3">
      <c r="A1926" t="s">
        <v>745</v>
      </c>
      <c r="B1926">
        <v>3</v>
      </c>
      <c r="C1926" t="s">
        <v>758</v>
      </c>
      <c r="D1926" s="1">
        <v>0.86458333333333337</v>
      </c>
      <c r="E1926" t="s">
        <v>25</v>
      </c>
      <c r="F1926" t="s">
        <v>466</v>
      </c>
      <c r="G1926" s="2">
        <v>46026</v>
      </c>
      <c r="H1926" t="s">
        <v>197</v>
      </c>
    </row>
    <row r="1927" spans="1:8" x14ac:dyDescent="0.3">
      <c r="A1927" t="s">
        <v>745</v>
      </c>
      <c r="B1927">
        <v>3</v>
      </c>
      <c r="C1927" t="s">
        <v>759</v>
      </c>
      <c r="D1927" s="1">
        <v>0.5</v>
      </c>
      <c r="E1927" t="s">
        <v>21</v>
      </c>
      <c r="F1927" t="s">
        <v>16</v>
      </c>
      <c r="G1927" s="2">
        <v>46055</v>
      </c>
      <c r="H1927" t="s">
        <v>198</v>
      </c>
    </row>
    <row r="1928" spans="1:8" x14ac:dyDescent="0.3">
      <c r="A1928" t="s">
        <v>745</v>
      </c>
      <c r="B1928">
        <v>3</v>
      </c>
      <c r="C1928" t="s">
        <v>759</v>
      </c>
      <c r="D1928" s="1">
        <v>0.67708333333333337</v>
      </c>
      <c r="E1928" t="s">
        <v>464</v>
      </c>
      <c r="F1928" t="s">
        <v>36</v>
      </c>
      <c r="G1928" s="2">
        <v>46024</v>
      </c>
      <c r="H1928" t="s">
        <v>207</v>
      </c>
    </row>
    <row r="1929" spans="1:8" x14ac:dyDescent="0.3">
      <c r="A1929" t="s">
        <v>745</v>
      </c>
      <c r="B1929">
        <v>3</v>
      </c>
      <c r="C1929" t="s">
        <v>759</v>
      </c>
      <c r="D1929" s="1">
        <v>0.77083333333333337</v>
      </c>
      <c r="E1929" t="s">
        <v>20</v>
      </c>
      <c r="F1929" t="s">
        <v>750</v>
      </c>
      <c r="G1929" s="2">
        <v>46061</v>
      </c>
      <c r="H1929" t="s">
        <v>190</v>
      </c>
    </row>
    <row r="1930" spans="1:8" x14ac:dyDescent="0.3">
      <c r="A1930" t="s">
        <v>745</v>
      </c>
      <c r="B1930">
        <v>3</v>
      </c>
      <c r="C1930" t="s">
        <v>759</v>
      </c>
      <c r="D1930" s="1">
        <v>0.86458333333333337</v>
      </c>
      <c r="E1930" t="s">
        <v>26</v>
      </c>
      <c r="F1930" t="s">
        <v>27</v>
      </c>
      <c r="G1930" t="s">
        <v>18</v>
      </c>
      <c r="H1930" t="s">
        <v>194</v>
      </c>
    </row>
    <row r="1931" spans="1:8" x14ac:dyDescent="0.3">
      <c r="A1931" t="s">
        <v>745</v>
      </c>
      <c r="B1931">
        <v>3</v>
      </c>
      <c r="C1931" t="s">
        <v>760</v>
      </c>
      <c r="D1931" s="1">
        <v>0.79166666666666663</v>
      </c>
      <c r="E1931" t="s">
        <v>30</v>
      </c>
      <c r="F1931" t="s">
        <v>15</v>
      </c>
      <c r="G1931" s="2">
        <v>46023</v>
      </c>
      <c r="H1931" t="s">
        <v>747</v>
      </c>
    </row>
    <row r="1932" spans="1:8" x14ac:dyDescent="0.3">
      <c r="A1932" t="s">
        <v>745</v>
      </c>
      <c r="B1932">
        <v>4</v>
      </c>
      <c r="C1932" t="s">
        <v>761</v>
      </c>
      <c r="D1932" s="1">
        <v>0.875</v>
      </c>
      <c r="E1932" t="s">
        <v>750</v>
      </c>
      <c r="F1932" t="s">
        <v>30</v>
      </c>
      <c r="G1932" t="s">
        <v>42</v>
      </c>
      <c r="H1932" t="s">
        <v>609</v>
      </c>
    </row>
    <row r="1933" spans="1:8" x14ac:dyDescent="0.3">
      <c r="A1933" t="s">
        <v>745</v>
      </c>
      <c r="B1933">
        <v>4</v>
      </c>
      <c r="C1933" t="s">
        <v>762</v>
      </c>
      <c r="D1933" s="1">
        <v>0.54166666666666663</v>
      </c>
      <c r="E1933" t="s">
        <v>28</v>
      </c>
      <c r="F1933" t="s">
        <v>187</v>
      </c>
      <c r="G1933" s="2">
        <v>46023</v>
      </c>
      <c r="H1933" t="s">
        <v>205</v>
      </c>
    </row>
    <row r="1934" spans="1:8" x14ac:dyDescent="0.3">
      <c r="A1934" t="s">
        <v>745</v>
      </c>
      <c r="B1934">
        <v>4</v>
      </c>
      <c r="C1934" t="s">
        <v>762</v>
      </c>
      <c r="D1934" s="1">
        <v>0.67708333333333337</v>
      </c>
      <c r="E1934" t="s">
        <v>10</v>
      </c>
      <c r="F1934" t="s">
        <v>20</v>
      </c>
      <c r="G1934" s="2">
        <v>46054</v>
      </c>
      <c r="H1934" t="s">
        <v>184</v>
      </c>
    </row>
    <row r="1935" spans="1:8" x14ac:dyDescent="0.3">
      <c r="A1935" t="s">
        <v>745</v>
      </c>
      <c r="B1935">
        <v>4</v>
      </c>
      <c r="C1935" t="s">
        <v>762</v>
      </c>
      <c r="D1935" s="1">
        <v>0.77083333333333337</v>
      </c>
      <c r="E1935" t="s">
        <v>16</v>
      </c>
      <c r="F1935" t="s">
        <v>26</v>
      </c>
      <c r="G1935" t="s">
        <v>41</v>
      </c>
      <c r="H1935" t="s">
        <v>185</v>
      </c>
    </row>
    <row r="1936" spans="1:8" x14ac:dyDescent="0.3">
      <c r="A1936" t="s">
        <v>745</v>
      </c>
      <c r="B1936">
        <v>4</v>
      </c>
      <c r="C1936" t="s">
        <v>762</v>
      </c>
      <c r="D1936" s="1">
        <v>0.86458333333333337</v>
      </c>
      <c r="E1936" t="s">
        <v>15</v>
      </c>
      <c r="F1936" t="s">
        <v>25</v>
      </c>
      <c r="G1936" s="2">
        <v>46023</v>
      </c>
      <c r="H1936" t="s">
        <v>206</v>
      </c>
    </row>
    <row r="1937" spans="1:8" x14ac:dyDescent="0.3">
      <c r="A1937" t="s">
        <v>745</v>
      </c>
      <c r="B1937">
        <v>4</v>
      </c>
      <c r="C1937" t="s">
        <v>763</v>
      </c>
      <c r="D1937" s="1">
        <v>0.5</v>
      </c>
      <c r="E1937" t="s">
        <v>466</v>
      </c>
      <c r="F1937" t="s">
        <v>34</v>
      </c>
      <c r="G1937" t="s">
        <v>42</v>
      </c>
      <c r="H1937" t="s">
        <v>614</v>
      </c>
    </row>
    <row r="1938" spans="1:8" x14ac:dyDescent="0.3">
      <c r="A1938" t="s">
        <v>745</v>
      </c>
      <c r="B1938">
        <v>4</v>
      </c>
      <c r="C1938" t="s">
        <v>763</v>
      </c>
      <c r="D1938" s="1">
        <v>0.67708333333333337</v>
      </c>
      <c r="E1938" t="s">
        <v>36</v>
      </c>
      <c r="F1938" t="s">
        <v>21</v>
      </c>
      <c r="G1938" t="s">
        <v>18</v>
      </c>
      <c r="H1938" t="s">
        <v>73</v>
      </c>
    </row>
    <row r="1939" spans="1:8" x14ac:dyDescent="0.3">
      <c r="A1939" t="s">
        <v>745</v>
      </c>
      <c r="B1939">
        <v>4</v>
      </c>
      <c r="C1939" t="s">
        <v>763</v>
      </c>
      <c r="D1939" s="1">
        <v>0.77083333333333337</v>
      </c>
      <c r="E1939" t="s">
        <v>14</v>
      </c>
      <c r="F1939" t="s">
        <v>464</v>
      </c>
      <c r="G1939" t="s">
        <v>42</v>
      </c>
      <c r="H1939" t="s">
        <v>467</v>
      </c>
    </row>
    <row r="1940" spans="1:8" x14ac:dyDescent="0.3">
      <c r="A1940" t="s">
        <v>745</v>
      </c>
      <c r="B1940">
        <v>4</v>
      </c>
      <c r="C1940" t="s">
        <v>763</v>
      </c>
      <c r="D1940" s="1">
        <v>0.86458333333333337</v>
      </c>
      <c r="E1940" t="s">
        <v>27</v>
      </c>
      <c r="F1940" t="s">
        <v>11</v>
      </c>
      <c r="G1940" t="s">
        <v>54</v>
      </c>
      <c r="H1940" t="s">
        <v>341</v>
      </c>
    </row>
    <row r="1941" spans="1:8" x14ac:dyDescent="0.3">
      <c r="A1941" t="s">
        <v>745</v>
      </c>
      <c r="B1941">
        <v>4</v>
      </c>
      <c r="C1941" t="s">
        <v>764</v>
      </c>
      <c r="D1941" s="1">
        <v>0.875</v>
      </c>
      <c r="E1941" t="s">
        <v>606</v>
      </c>
      <c r="F1941" t="s">
        <v>35</v>
      </c>
      <c r="G1941" s="2">
        <v>46056</v>
      </c>
      <c r="H1941" t="s">
        <v>612</v>
      </c>
    </row>
    <row r="1942" spans="1:8" x14ac:dyDescent="0.3">
      <c r="A1942" t="s">
        <v>745</v>
      </c>
      <c r="B1942">
        <v>5</v>
      </c>
      <c r="C1942" t="s">
        <v>765</v>
      </c>
      <c r="D1942" s="1">
        <v>0.875</v>
      </c>
      <c r="E1942" t="s">
        <v>750</v>
      </c>
      <c r="F1942" t="s">
        <v>10</v>
      </c>
      <c r="G1942" t="s">
        <v>42</v>
      </c>
      <c r="H1942" t="s">
        <v>207</v>
      </c>
    </row>
    <row r="1943" spans="1:8" x14ac:dyDescent="0.3">
      <c r="A1943" t="s">
        <v>745</v>
      </c>
      <c r="B1943">
        <v>5</v>
      </c>
      <c r="C1943" t="s">
        <v>766</v>
      </c>
      <c r="D1943" s="1">
        <v>0.54166666666666663</v>
      </c>
      <c r="E1943" t="s">
        <v>30</v>
      </c>
      <c r="F1943" t="s">
        <v>464</v>
      </c>
      <c r="G1943" s="2">
        <v>46143</v>
      </c>
      <c r="H1943" t="s">
        <v>752</v>
      </c>
    </row>
    <row r="1944" spans="1:8" x14ac:dyDescent="0.3">
      <c r="A1944" t="s">
        <v>745</v>
      </c>
      <c r="B1944">
        <v>5</v>
      </c>
      <c r="C1944" t="s">
        <v>766</v>
      </c>
      <c r="D1944" s="1">
        <v>0.67708333333333337</v>
      </c>
      <c r="E1944" t="s">
        <v>35</v>
      </c>
      <c r="F1944" t="s">
        <v>14</v>
      </c>
      <c r="G1944" s="2">
        <v>46084</v>
      </c>
      <c r="H1944" t="s">
        <v>202</v>
      </c>
    </row>
    <row r="1945" spans="1:8" x14ac:dyDescent="0.3">
      <c r="A1945" t="s">
        <v>745</v>
      </c>
      <c r="B1945">
        <v>5</v>
      </c>
      <c r="C1945" t="s">
        <v>766</v>
      </c>
      <c r="D1945" s="1">
        <v>0.67708333333333337</v>
      </c>
      <c r="E1945" t="s">
        <v>187</v>
      </c>
      <c r="F1945" t="s">
        <v>466</v>
      </c>
      <c r="G1945" t="s">
        <v>18</v>
      </c>
      <c r="H1945" t="s">
        <v>190</v>
      </c>
    </row>
    <row r="1946" spans="1:8" x14ac:dyDescent="0.3">
      <c r="A1946" t="s">
        <v>745</v>
      </c>
      <c r="B1946">
        <v>5</v>
      </c>
      <c r="C1946" t="s">
        <v>766</v>
      </c>
      <c r="D1946" s="1">
        <v>0.77083333333333337</v>
      </c>
      <c r="E1946" t="s">
        <v>11</v>
      </c>
      <c r="F1946" t="s">
        <v>28</v>
      </c>
      <c r="G1946" t="s">
        <v>54</v>
      </c>
      <c r="H1946" t="s">
        <v>345</v>
      </c>
    </row>
    <row r="1947" spans="1:8" x14ac:dyDescent="0.3">
      <c r="A1947" t="s">
        <v>745</v>
      </c>
      <c r="B1947">
        <v>5</v>
      </c>
      <c r="C1947" t="s">
        <v>766</v>
      </c>
      <c r="D1947" s="1">
        <v>0.86458333333333337</v>
      </c>
      <c r="E1947" t="s">
        <v>25</v>
      </c>
      <c r="F1947" t="s">
        <v>36</v>
      </c>
      <c r="G1947" t="s">
        <v>18</v>
      </c>
      <c r="H1947" t="s">
        <v>181</v>
      </c>
    </row>
    <row r="1948" spans="1:8" x14ac:dyDescent="0.3">
      <c r="A1948" t="s">
        <v>745</v>
      </c>
      <c r="B1948">
        <v>5</v>
      </c>
      <c r="C1948" t="s">
        <v>767</v>
      </c>
      <c r="D1948" s="1">
        <v>0.5</v>
      </c>
      <c r="E1948" t="s">
        <v>21</v>
      </c>
      <c r="F1948" t="s">
        <v>27</v>
      </c>
      <c r="G1948" s="2">
        <v>46175</v>
      </c>
      <c r="H1948" t="s">
        <v>747</v>
      </c>
    </row>
    <row r="1949" spans="1:8" x14ac:dyDescent="0.3">
      <c r="A1949" t="s">
        <v>745</v>
      </c>
      <c r="B1949">
        <v>5</v>
      </c>
      <c r="C1949" t="s">
        <v>767</v>
      </c>
      <c r="D1949" s="1">
        <v>0.67708333333333337</v>
      </c>
      <c r="E1949" t="s">
        <v>34</v>
      </c>
      <c r="F1949" t="s">
        <v>16</v>
      </c>
      <c r="G1949" t="s">
        <v>41</v>
      </c>
      <c r="H1949" t="s">
        <v>197</v>
      </c>
    </row>
    <row r="1950" spans="1:8" x14ac:dyDescent="0.3">
      <c r="A1950" t="s">
        <v>745</v>
      </c>
      <c r="B1950">
        <v>5</v>
      </c>
      <c r="C1950" t="s">
        <v>767</v>
      </c>
      <c r="D1950" s="1">
        <v>0.83333333333333337</v>
      </c>
      <c r="E1950" t="s">
        <v>26</v>
      </c>
      <c r="F1950" t="s">
        <v>15</v>
      </c>
      <c r="G1950" s="2">
        <v>46055</v>
      </c>
      <c r="H1950" t="s">
        <v>198</v>
      </c>
    </row>
    <row r="1951" spans="1:8" x14ac:dyDescent="0.3">
      <c r="A1951" t="s">
        <v>745</v>
      </c>
      <c r="B1951">
        <v>5</v>
      </c>
      <c r="C1951" t="s">
        <v>767</v>
      </c>
      <c r="D1951" s="1">
        <v>0.86458333333333337</v>
      </c>
      <c r="E1951" t="s">
        <v>20</v>
      </c>
      <c r="F1951" t="s">
        <v>606</v>
      </c>
      <c r="G1951" s="2">
        <v>46055</v>
      </c>
      <c r="H1951" t="s">
        <v>194</v>
      </c>
    </row>
    <row r="1952" spans="1:8" x14ac:dyDescent="0.3">
      <c r="A1952" t="s">
        <v>745</v>
      </c>
      <c r="B1952">
        <v>6</v>
      </c>
      <c r="C1952" t="s">
        <v>768</v>
      </c>
      <c r="D1952" s="1">
        <v>0.83333333333333337</v>
      </c>
      <c r="E1952" t="s">
        <v>36</v>
      </c>
      <c r="F1952" t="s">
        <v>187</v>
      </c>
      <c r="G1952" t="s">
        <v>18</v>
      </c>
      <c r="H1952" t="s">
        <v>467</v>
      </c>
    </row>
    <row r="1953" spans="1:8" x14ac:dyDescent="0.3">
      <c r="A1953" t="s">
        <v>745</v>
      </c>
      <c r="B1953">
        <v>6</v>
      </c>
      <c r="C1953" t="s">
        <v>768</v>
      </c>
      <c r="D1953" s="1">
        <v>0.875</v>
      </c>
      <c r="E1953" t="s">
        <v>10</v>
      </c>
      <c r="F1953" t="s">
        <v>30</v>
      </c>
      <c r="G1953" s="2">
        <v>46055</v>
      </c>
      <c r="H1953" t="s">
        <v>205</v>
      </c>
    </row>
    <row r="1954" spans="1:8" x14ac:dyDescent="0.3">
      <c r="A1954" t="s">
        <v>745</v>
      </c>
      <c r="B1954">
        <v>6</v>
      </c>
      <c r="C1954" t="s">
        <v>768</v>
      </c>
      <c r="D1954" s="1">
        <v>0.91666666666666663</v>
      </c>
      <c r="E1954" t="s">
        <v>28</v>
      </c>
      <c r="F1954" t="s">
        <v>750</v>
      </c>
      <c r="G1954" t="s">
        <v>32</v>
      </c>
      <c r="H1954" t="s">
        <v>614</v>
      </c>
    </row>
    <row r="1955" spans="1:8" x14ac:dyDescent="0.3">
      <c r="A1955" t="s">
        <v>745</v>
      </c>
      <c r="B1955">
        <v>6</v>
      </c>
      <c r="C1955" t="s">
        <v>769</v>
      </c>
      <c r="D1955" s="1">
        <v>0.83333333333333337</v>
      </c>
      <c r="E1955" t="s">
        <v>15</v>
      </c>
      <c r="F1955" t="s">
        <v>34</v>
      </c>
      <c r="G1955" t="s">
        <v>46</v>
      </c>
      <c r="H1955" t="s">
        <v>184</v>
      </c>
    </row>
    <row r="1956" spans="1:8" x14ac:dyDescent="0.3">
      <c r="A1956" t="s">
        <v>745</v>
      </c>
      <c r="B1956">
        <v>6</v>
      </c>
      <c r="C1956" t="s">
        <v>769</v>
      </c>
      <c r="D1956" s="1">
        <v>0.83333333333333337</v>
      </c>
      <c r="E1956" t="s">
        <v>466</v>
      </c>
      <c r="F1956" t="s">
        <v>20</v>
      </c>
      <c r="G1956" s="2">
        <v>46024</v>
      </c>
      <c r="H1956" t="s">
        <v>73</v>
      </c>
    </row>
    <row r="1957" spans="1:8" x14ac:dyDescent="0.3">
      <c r="A1957" t="s">
        <v>745</v>
      </c>
      <c r="B1957">
        <v>6</v>
      </c>
      <c r="C1957" t="s">
        <v>769</v>
      </c>
      <c r="D1957" s="1">
        <v>0.91666666666666663</v>
      </c>
      <c r="E1957" t="s">
        <v>27</v>
      </c>
      <c r="F1957" t="s">
        <v>25</v>
      </c>
      <c r="G1957" t="s">
        <v>32</v>
      </c>
      <c r="H1957" t="s">
        <v>185</v>
      </c>
    </row>
    <row r="1958" spans="1:8" x14ac:dyDescent="0.3">
      <c r="A1958" t="s">
        <v>745</v>
      </c>
      <c r="B1958">
        <v>6</v>
      </c>
      <c r="C1958" t="s">
        <v>769</v>
      </c>
      <c r="D1958" s="1">
        <v>0.91666666666666663</v>
      </c>
      <c r="E1958" t="s">
        <v>16</v>
      </c>
      <c r="F1958" t="s">
        <v>35</v>
      </c>
      <c r="G1958" s="2">
        <v>46023</v>
      </c>
      <c r="H1958" t="s">
        <v>341</v>
      </c>
    </row>
    <row r="1959" spans="1:8" x14ac:dyDescent="0.3">
      <c r="A1959" t="s">
        <v>745</v>
      </c>
      <c r="B1959">
        <v>6</v>
      </c>
      <c r="C1959" t="s">
        <v>770</v>
      </c>
      <c r="D1959" s="1">
        <v>0.83333333333333337</v>
      </c>
      <c r="E1959" t="s">
        <v>14</v>
      </c>
      <c r="F1959" t="s">
        <v>21</v>
      </c>
      <c r="G1959" s="2">
        <v>46024</v>
      </c>
      <c r="H1959" t="s">
        <v>609</v>
      </c>
    </row>
    <row r="1960" spans="1:8" x14ac:dyDescent="0.3">
      <c r="A1960" t="s">
        <v>745</v>
      </c>
      <c r="B1960">
        <v>6</v>
      </c>
      <c r="C1960" t="s">
        <v>770</v>
      </c>
      <c r="D1960" s="1">
        <v>0.83333333333333337</v>
      </c>
      <c r="E1960" t="s">
        <v>464</v>
      </c>
      <c r="F1960" t="s">
        <v>11</v>
      </c>
      <c r="G1960" s="2">
        <v>46023</v>
      </c>
      <c r="H1960" t="s">
        <v>202</v>
      </c>
    </row>
    <row r="1961" spans="1:8" x14ac:dyDescent="0.3">
      <c r="A1961" t="s">
        <v>745</v>
      </c>
      <c r="B1961">
        <v>6</v>
      </c>
      <c r="C1961" t="s">
        <v>770</v>
      </c>
      <c r="D1961" s="1">
        <v>0.91666666666666663</v>
      </c>
      <c r="E1961" t="s">
        <v>606</v>
      </c>
      <c r="F1961" t="s">
        <v>26</v>
      </c>
      <c r="G1961" t="s">
        <v>42</v>
      </c>
      <c r="H1961" t="s">
        <v>206</v>
      </c>
    </row>
    <row r="1962" spans="1:8" x14ac:dyDescent="0.3">
      <c r="A1962" t="s">
        <v>745</v>
      </c>
      <c r="B1962">
        <v>7</v>
      </c>
      <c r="C1962" t="s">
        <v>771</v>
      </c>
      <c r="D1962" s="1">
        <v>0.875</v>
      </c>
      <c r="E1962" t="s">
        <v>30</v>
      </c>
      <c r="F1962" t="s">
        <v>36</v>
      </c>
      <c r="G1962" s="2">
        <v>46055</v>
      </c>
      <c r="H1962" t="s">
        <v>612</v>
      </c>
    </row>
    <row r="1963" spans="1:8" x14ac:dyDescent="0.3">
      <c r="A1963" t="s">
        <v>745</v>
      </c>
      <c r="B1963">
        <v>7</v>
      </c>
      <c r="C1963" t="s">
        <v>772</v>
      </c>
      <c r="D1963" s="1">
        <v>0.54166666666666663</v>
      </c>
      <c r="E1963" t="s">
        <v>10</v>
      </c>
      <c r="F1963" t="s">
        <v>16</v>
      </c>
      <c r="G1963" t="s">
        <v>42</v>
      </c>
      <c r="H1963" t="s">
        <v>194</v>
      </c>
    </row>
    <row r="1964" spans="1:8" x14ac:dyDescent="0.3">
      <c r="A1964" t="s">
        <v>745</v>
      </c>
      <c r="B1964">
        <v>7</v>
      </c>
      <c r="C1964" t="s">
        <v>772</v>
      </c>
      <c r="D1964" s="1">
        <v>0.67708333333333337</v>
      </c>
      <c r="E1964" t="s">
        <v>20</v>
      </c>
      <c r="F1964" t="s">
        <v>15</v>
      </c>
      <c r="G1964" s="2">
        <v>46023</v>
      </c>
      <c r="H1964" t="s">
        <v>197</v>
      </c>
    </row>
    <row r="1965" spans="1:8" x14ac:dyDescent="0.3">
      <c r="A1965" t="s">
        <v>745</v>
      </c>
      <c r="B1965">
        <v>7</v>
      </c>
      <c r="C1965" t="s">
        <v>772</v>
      </c>
      <c r="D1965" s="1">
        <v>0.77083333333333337</v>
      </c>
      <c r="E1965" t="s">
        <v>187</v>
      </c>
      <c r="F1965" t="s">
        <v>27</v>
      </c>
      <c r="G1965" s="2">
        <v>46082</v>
      </c>
      <c r="H1965" t="s">
        <v>198</v>
      </c>
    </row>
    <row r="1966" spans="1:8" x14ac:dyDescent="0.3">
      <c r="A1966" t="s">
        <v>745</v>
      </c>
      <c r="B1966">
        <v>7</v>
      </c>
      <c r="C1966" t="s">
        <v>772</v>
      </c>
      <c r="D1966" s="1">
        <v>0.86458333333333337</v>
      </c>
      <c r="E1966" t="s">
        <v>25</v>
      </c>
      <c r="F1966" t="s">
        <v>28</v>
      </c>
      <c r="G1966" t="s">
        <v>41</v>
      </c>
      <c r="H1966" t="s">
        <v>205</v>
      </c>
    </row>
    <row r="1967" spans="1:8" x14ac:dyDescent="0.3">
      <c r="A1967" t="s">
        <v>745</v>
      </c>
      <c r="B1967">
        <v>7</v>
      </c>
      <c r="C1967" t="s">
        <v>773</v>
      </c>
      <c r="D1967" s="1">
        <v>0.5</v>
      </c>
      <c r="E1967" t="s">
        <v>750</v>
      </c>
      <c r="F1967" t="s">
        <v>606</v>
      </c>
      <c r="G1967" s="2">
        <v>46023</v>
      </c>
      <c r="H1967" t="s">
        <v>752</v>
      </c>
    </row>
    <row r="1968" spans="1:8" x14ac:dyDescent="0.3">
      <c r="A1968" t="s">
        <v>745</v>
      </c>
      <c r="B1968">
        <v>7</v>
      </c>
      <c r="C1968" t="s">
        <v>773</v>
      </c>
      <c r="D1968" s="1">
        <v>0.67708333333333337</v>
      </c>
      <c r="E1968" t="s">
        <v>34</v>
      </c>
      <c r="F1968" t="s">
        <v>14</v>
      </c>
      <c r="G1968" t="s">
        <v>42</v>
      </c>
      <c r="H1968" t="s">
        <v>207</v>
      </c>
    </row>
    <row r="1969" spans="1:8" x14ac:dyDescent="0.3">
      <c r="A1969" t="s">
        <v>745</v>
      </c>
      <c r="B1969">
        <v>7</v>
      </c>
      <c r="C1969" t="s">
        <v>773</v>
      </c>
      <c r="D1969" s="1">
        <v>0.77083333333333337</v>
      </c>
      <c r="E1969" t="s">
        <v>21</v>
      </c>
      <c r="F1969" t="s">
        <v>464</v>
      </c>
      <c r="G1969" s="2">
        <v>46024</v>
      </c>
      <c r="H1969" t="s">
        <v>190</v>
      </c>
    </row>
    <row r="1970" spans="1:8" x14ac:dyDescent="0.3">
      <c r="A1970" t="s">
        <v>745</v>
      </c>
      <c r="B1970">
        <v>7</v>
      </c>
      <c r="C1970" t="s">
        <v>773</v>
      </c>
      <c r="D1970" s="1">
        <v>0.86458333333333337</v>
      </c>
      <c r="E1970" t="s">
        <v>26</v>
      </c>
      <c r="F1970" t="s">
        <v>466</v>
      </c>
      <c r="G1970" t="s">
        <v>18</v>
      </c>
      <c r="H1970" t="s">
        <v>345</v>
      </c>
    </row>
    <row r="1971" spans="1:8" x14ac:dyDescent="0.3">
      <c r="A1971" t="s">
        <v>745</v>
      </c>
      <c r="B1971">
        <v>7</v>
      </c>
      <c r="C1971" t="s">
        <v>774</v>
      </c>
      <c r="D1971" s="1">
        <v>0.875</v>
      </c>
      <c r="E1971" t="s">
        <v>35</v>
      </c>
      <c r="F1971" t="s">
        <v>11</v>
      </c>
      <c r="G1971" s="2">
        <v>46023</v>
      </c>
      <c r="H1971" t="s">
        <v>747</v>
      </c>
    </row>
    <row r="1972" spans="1:8" x14ac:dyDescent="0.3">
      <c r="A1972" t="s">
        <v>745</v>
      </c>
      <c r="B1972">
        <v>8</v>
      </c>
      <c r="C1972" t="s">
        <v>775</v>
      </c>
      <c r="D1972" s="1">
        <v>0.875</v>
      </c>
      <c r="E1972" t="s">
        <v>15</v>
      </c>
      <c r="F1972" t="s">
        <v>10</v>
      </c>
      <c r="G1972" s="2">
        <v>46082</v>
      </c>
      <c r="H1972" t="s">
        <v>185</v>
      </c>
    </row>
    <row r="1973" spans="1:8" x14ac:dyDescent="0.3">
      <c r="A1973" t="s">
        <v>745</v>
      </c>
      <c r="B1973">
        <v>8</v>
      </c>
      <c r="C1973" t="s">
        <v>776</v>
      </c>
      <c r="D1973" s="1">
        <v>0.54166666666666663</v>
      </c>
      <c r="E1973" t="s">
        <v>606</v>
      </c>
      <c r="F1973" t="s">
        <v>187</v>
      </c>
      <c r="G1973" s="2">
        <v>46083</v>
      </c>
      <c r="H1973" t="s">
        <v>202</v>
      </c>
    </row>
    <row r="1974" spans="1:8" x14ac:dyDescent="0.3">
      <c r="A1974" t="s">
        <v>745</v>
      </c>
      <c r="B1974">
        <v>8</v>
      </c>
      <c r="C1974" t="s">
        <v>776</v>
      </c>
      <c r="D1974" s="1">
        <v>0.67708333333333337</v>
      </c>
      <c r="E1974" t="s">
        <v>11</v>
      </c>
      <c r="F1974" t="s">
        <v>21</v>
      </c>
      <c r="G1974" t="s">
        <v>42</v>
      </c>
      <c r="H1974" t="s">
        <v>467</v>
      </c>
    </row>
    <row r="1975" spans="1:8" x14ac:dyDescent="0.3">
      <c r="A1975" t="s">
        <v>745</v>
      </c>
      <c r="B1975">
        <v>8</v>
      </c>
      <c r="C1975" t="s">
        <v>776</v>
      </c>
      <c r="D1975" s="1">
        <v>0.77083333333333337</v>
      </c>
      <c r="E1975" t="s">
        <v>464</v>
      </c>
      <c r="F1975" t="s">
        <v>25</v>
      </c>
      <c r="G1975" t="s">
        <v>18</v>
      </c>
      <c r="H1975" t="s">
        <v>197</v>
      </c>
    </row>
    <row r="1976" spans="1:8" x14ac:dyDescent="0.3">
      <c r="A1976" t="s">
        <v>745</v>
      </c>
      <c r="B1976">
        <v>8</v>
      </c>
      <c r="C1976" t="s">
        <v>776</v>
      </c>
      <c r="D1976" s="1">
        <v>0.86458333333333337</v>
      </c>
      <c r="E1976" t="s">
        <v>466</v>
      </c>
      <c r="F1976" t="s">
        <v>30</v>
      </c>
      <c r="G1976" t="s">
        <v>18</v>
      </c>
      <c r="H1976" t="s">
        <v>609</v>
      </c>
    </row>
    <row r="1977" spans="1:8" x14ac:dyDescent="0.3">
      <c r="A1977" t="s">
        <v>745</v>
      </c>
      <c r="B1977">
        <v>8</v>
      </c>
      <c r="C1977" t="s">
        <v>777</v>
      </c>
      <c r="D1977" s="1">
        <v>0.5</v>
      </c>
      <c r="E1977" t="s">
        <v>14</v>
      </c>
      <c r="F1977" t="s">
        <v>750</v>
      </c>
      <c r="G1977" t="s">
        <v>18</v>
      </c>
      <c r="H1977" t="s">
        <v>181</v>
      </c>
    </row>
    <row r="1978" spans="1:8" x14ac:dyDescent="0.3">
      <c r="A1978" t="s">
        <v>745</v>
      </c>
      <c r="B1978">
        <v>8</v>
      </c>
      <c r="C1978" t="s">
        <v>777</v>
      </c>
      <c r="D1978" s="1">
        <v>0.67708333333333337</v>
      </c>
      <c r="E1978" t="s">
        <v>28</v>
      </c>
      <c r="F1978" t="s">
        <v>26</v>
      </c>
      <c r="G1978" t="s">
        <v>18</v>
      </c>
      <c r="H1978" t="s">
        <v>73</v>
      </c>
    </row>
    <row r="1979" spans="1:8" x14ac:dyDescent="0.3">
      <c r="A1979" t="s">
        <v>745</v>
      </c>
      <c r="B1979">
        <v>8</v>
      </c>
      <c r="C1979" t="s">
        <v>777</v>
      </c>
      <c r="D1979" s="1">
        <v>0.77083333333333337</v>
      </c>
      <c r="E1979" t="s">
        <v>36</v>
      </c>
      <c r="F1979" t="s">
        <v>34</v>
      </c>
      <c r="G1979" s="2">
        <v>46025</v>
      </c>
      <c r="H1979" t="s">
        <v>341</v>
      </c>
    </row>
    <row r="1980" spans="1:8" x14ac:dyDescent="0.3">
      <c r="A1980" t="s">
        <v>745</v>
      </c>
      <c r="B1980">
        <v>8</v>
      </c>
      <c r="C1980" t="s">
        <v>777</v>
      </c>
      <c r="D1980" s="1">
        <v>0.77083333333333337</v>
      </c>
      <c r="E1980" t="s">
        <v>27</v>
      </c>
      <c r="F1980" t="s">
        <v>35</v>
      </c>
      <c r="G1980" s="2">
        <v>46024</v>
      </c>
      <c r="H1980" t="s">
        <v>614</v>
      </c>
    </row>
    <row r="1981" spans="1:8" x14ac:dyDescent="0.3">
      <c r="A1981" t="s">
        <v>745</v>
      </c>
      <c r="B1981">
        <v>8</v>
      </c>
      <c r="C1981" t="s">
        <v>777</v>
      </c>
      <c r="D1981" s="1">
        <v>0.86458333333333337</v>
      </c>
      <c r="E1981" t="s">
        <v>16</v>
      </c>
      <c r="F1981" t="s">
        <v>20</v>
      </c>
      <c r="G1981" s="2">
        <v>46023</v>
      </c>
      <c r="H1981" t="s">
        <v>206</v>
      </c>
    </row>
    <row r="1982" spans="1:8" x14ac:dyDescent="0.3">
      <c r="A1982" t="s">
        <v>745</v>
      </c>
      <c r="B1982">
        <v>9</v>
      </c>
      <c r="C1982" t="s">
        <v>778</v>
      </c>
      <c r="D1982" s="1">
        <v>0.875</v>
      </c>
      <c r="E1982" t="s">
        <v>35</v>
      </c>
      <c r="F1982" t="s">
        <v>464</v>
      </c>
      <c r="G1982" t="s">
        <v>42</v>
      </c>
      <c r="H1982" t="s">
        <v>184</v>
      </c>
    </row>
    <row r="1983" spans="1:8" x14ac:dyDescent="0.3">
      <c r="A1983" t="s">
        <v>745</v>
      </c>
      <c r="B1983">
        <v>9</v>
      </c>
      <c r="C1983" t="s">
        <v>779</v>
      </c>
      <c r="D1983" s="1">
        <v>0.54166666666666663</v>
      </c>
      <c r="E1983" t="s">
        <v>25</v>
      </c>
      <c r="F1983" t="s">
        <v>21</v>
      </c>
      <c r="G1983" s="2">
        <v>46054</v>
      </c>
      <c r="H1983" t="s">
        <v>747</v>
      </c>
    </row>
    <row r="1984" spans="1:8" x14ac:dyDescent="0.3">
      <c r="A1984" t="s">
        <v>745</v>
      </c>
      <c r="B1984">
        <v>9</v>
      </c>
      <c r="C1984" t="s">
        <v>779</v>
      </c>
      <c r="D1984" s="1">
        <v>0.67708333333333337</v>
      </c>
      <c r="E1984" t="s">
        <v>16</v>
      </c>
      <c r="F1984" t="s">
        <v>466</v>
      </c>
      <c r="G1984" s="2">
        <v>46023</v>
      </c>
      <c r="H1984" t="s">
        <v>207</v>
      </c>
    </row>
    <row r="1985" spans="1:8" x14ac:dyDescent="0.3">
      <c r="A1985" t="s">
        <v>745</v>
      </c>
      <c r="B1985">
        <v>9</v>
      </c>
      <c r="C1985" t="s">
        <v>779</v>
      </c>
      <c r="D1985" s="1">
        <v>0.77083333333333337</v>
      </c>
      <c r="E1985" t="s">
        <v>34</v>
      </c>
      <c r="F1985" t="s">
        <v>28</v>
      </c>
      <c r="G1985" s="2">
        <v>46023</v>
      </c>
      <c r="H1985" t="s">
        <v>198</v>
      </c>
    </row>
    <row r="1986" spans="1:8" x14ac:dyDescent="0.3">
      <c r="A1986" t="s">
        <v>745</v>
      </c>
      <c r="B1986">
        <v>9</v>
      </c>
      <c r="C1986" t="s">
        <v>779</v>
      </c>
      <c r="D1986" s="1">
        <v>0.86458333333333337</v>
      </c>
      <c r="E1986" t="s">
        <v>20</v>
      </c>
      <c r="F1986" t="s">
        <v>27</v>
      </c>
      <c r="G1986" s="2">
        <v>46057</v>
      </c>
      <c r="H1986" t="s">
        <v>205</v>
      </c>
    </row>
    <row r="1987" spans="1:8" x14ac:dyDescent="0.3">
      <c r="A1987" t="s">
        <v>745</v>
      </c>
      <c r="B1987">
        <v>9</v>
      </c>
      <c r="C1987" t="s">
        <v>780</v>
      </c>
      <c r="D1987" s="1">
        <v>0.5</v>
      </c>
      <c r="E1987" t="s">
        <v>30</v>
      </c>
      <c r="F1987" t="s">
        <v>11</v>
      </c>
      <c r="G1987" s="2">
        <v>46054</v>
      </c>
      <c r="H1987" t="s">
        <v>190</v>
      </c>
    </row>
    <row r="1988" spans="1:8" x14ac:dyDescent="0.3">
      <c r="A1988" t="s">
        <v>745</v>
      </c>
      <c r="B1988">
        <v>9</v>
      </c>
      <c r="C1988" t="s">
        <v>780</v>
      </c>
      <c r="D1988" s="1">
        <v>0.67708333333333337</v>
      </c>
      <c r="E1988" t="s">
        <v>187</v>
      </c>
      <c r="F1988" t="s">
        <v>15</v>
      </c>
      <c r="G1988" s="2">
        <v>46023</v>
      </c>
      <c r="H1988" t="s">
        <v>194</v>
      </c>
    </row>
    <row r="1989" spans="1:8" x14ac:dyDescent="0.3">
      <c r="A1989" t="s">
        <v>745</v>
      </c>
      <c r="B1989">
        <v>9</v>
      </c>
      <c r="C1989" t="s">
        <v>780</v>
      </c>
      <c r="D1989" s="1">
        <v>0.77083333333333337</v>
      </c>
      <c r="E1989" t="s">
        <v>750</v>
      </c>
      <c r="F1989" t="s">
        <v>36</v>
      </c>
      <c r="G1989" t="s">
        <v>54</v>
      </c>
      <c r="H1989" t="s">
        <v>202</v>
      </c>
    </row>
    <row r="1990" spans="1:8" x14ac:dyDescent="0.3">
      <c r="A1990" t="s">
        <v>745</v>
      </c>
      <c r="B1990">
        <v>9</v>
      </c>
      <c r="C1990" t="s">
        <v>780</v>
      </c>
      <c r="D1990" s="1">
        <v>0.86458333333333337</v>
      </c>
      <c r="E1990" t="s">
        <v>26</v>
      </c>
      <c r="F1990" t="s">
        <v>14</v>
      </c>
      <c r="G1990" t="s">
        <v>42</v>
      </c>
      <c r="H1990" t="s">
        <v>612</v>
      </c>
    </row>
    <row r="1991" spans="1:8" x14ac:dyDescent="0.3">
      <c r="A1991" t="s">
        <v>745</v>
      </c>
      <c r="B1991">
        <v>9</v>
      </c>
      <c r="C1991" t="s">
        <v>781</v>
      </c>
      <c r="D1991" s="1">
        <v>0.875</v>
      </c>
      <c r="E1991" t="s">
        <v>10</v>
      </c>
      <c r="F1991" t="s">
        <v>606</v>
      </c>
      <c r="G1991" t="s">
        <v>41</v>
      </c>
      <c r="H1991" t="s">
        <v>614</v>
      </c>
    </row>
    <row r="1992" spans="1:8" x14ac:dyDescent="0.3">
      <c r="A1992" t="s">
        <v>745</v>
      </c>
      <c r="B1992">
        <v>10</v>
      </c>
      <c r="C1992" t="s">
        <v>782</v>
      </c>
      <c r="D1992" s="1">
        <v>0.875</v>
      </c>
      <c r="E1992" t="s">
        <v>14</v>
      </c>
      <c r="F1992" t="s">
        <v>36</v>
      </c>
      <c r="G1992" s="2">
        <v>46023</v>
      </c>
      <c r="H1992" t="s">
        <v>752</v>
      </c>
    </row>
    <row r="1993" spans="1:8" x14ac:dyDescent="0.3">
      <c r="A1993" t="s">
        <v>745</v>
      </c>
      <c r="B1993">
        <v>10</v>
      </c>
      <c r="C1993" t="s">
        <v>783</v>
      </c>
      <c r="D1993" s="1">
        <v>0.54166666666666663</v>
      </c>
      <c r="E1993" t="s">
        <v>606</v>
      </c>
      <c r="F1993" t="s">
        <v>30</v>
      </c>
      <c r="G1993" s="2">
        <v>46024</v>
      </c>
      <c r="H1993" t="s">
        <v>467</v>
      </c>
    </row>
    <row r="1994" spans="1:8" x14ac:dyDescent="0.3">
      <c r="A1994" t="s">
        <v>745</v>
      </c>
      <c r="B1994">
        <v>10</v>
      </c>
      <c r="C1994" t="s">
        <v>783</v>
      </c>
      <c r="D1994" s="1">
        <v>0.67708333333333337</v>
      </c>
      <c r="E1994" t="s">
        <v>15</v>
      </c>
      <c r="F1994" t="s">
        <v>16</v>
      </c>
      <c r="G1994" t="s">
        <v>41</v>
      </c>
      <c r="H1994" t="s">
        <v>73</v>
      </c>
    </row>
    <row r="1995" spans="1:8" x14ac:dyDescent="0.3">
      <c r="A1995" t="s">
        <v>745</v>
      </c>
      <c r="B1995">
        <v>10</v>
      </c>
      <c r="C1995" t="s">
        <v>783</v>
      </c>
      <c r="D1995" s="1">
        <v>0.77083333333333337</v>
      </c>
      <c r="E1995" t="s">
        <v>35</v>
      </c>
      <c r="F1995" t="s">
        <v>187</v>
      </c>
      <c r="G1995" t="s">
        <v>88</v>
      </c>
      <c r="H1995" t="s">
        <v>206</v>
      </c>
    </row>
    <row r="1996" spans="1:8" x14ac:dyDescent="0.3">
      <c r="A1996" t="s">
        <v>745</v>
      </c>
      <c r="B1996">
        <v>10</v>
      </c>
      <c r="C1996" t="s">
        <v>783</v>
      </c>
      <c r="D1996" s="1">
        <v>0.77083333333333337</v>
      </c>
      <c r="E1996" t="s">
        <v>21</v>
      </c>
      <c r="F1996" t="s">
        <v>466</v>
      </c>
      <c r="G1996" t="s">
        <v>12</v>
      </c>
      <c r="H1996" t="s">
        <v>341</v>
      </c>
    </row>
    <row r="1997" spans="1:8" x14ac:dyDescent="0.3">
      <c r="A1997" t="s">
        <v>745</v>
      </c>
      <c r="B1997">
        <v>10</v>
      </c>
      <c r="C1997" t="s">
        <v>783</v>
      </c>
      <c r="D1997" s="1">
        <v>0.86458333333333337</v>
      </c>
      <c r="E1997" t="s">
        <v>28</v>
      </c>
      <c r="F1997" t="s">
        <v>10</v>
      </c>
      <c r="G1997" t="s">
        <v>12</v>
      </c>
      <c r="H1997" t="s">
        <v>181</v>
      </c>
    </row>
    <row r="1998" spans="1:8" x14ac:dyDescent="0.3">
      <c r="A1998" t="s">
        <v>745</v>
      </c>
      <c r="B1998">
        <v>10</v>
      </c>
      <c r="C1998" t="s">
        <v>784</v>
      </c>
      <c r="D1998" s="1">
        <v>0.5</v>
      </c>
      <c r="E1998" t="s">
        <v>11</v>
      </c>
      <c r="F1998" t="s">
        <v>26</v>
      </c>
      <c r="G1998" t="s">
        <v>12</v>
      </c>
      <c r="H1998" t="s">
        <v>197</v>
      </c>
    </row>
    <row r="1999" spans="1:8" x14ac:dyDescent="0.3">
      <c r="A1999" t="s">
        <v>745</v>
      </c>
      <c r="B1999">
        <v>10</v>
      </c>
      <c r="C1999" t="s">
        <v>784</v>
      </c>
      <c r="D1999" s="1">
        <v>0.67708333333333337</v>
      </c>
      <c r="E1999" t="s">
        <v>20</v>
      </c>
      <c r="F1999" t="s">
        <v>25</v>
      </c>
      <c r="G1999" s="2">
        <v>46027</v>
      </c>
      <c r="H1999" t="s">
        <v>345</v>
      </c>
    </row>
    <row r="2000" spans="1:8" x14ac:dyDescent="0.3">
      <c r="A2000" t="s">
        <v>745</v>
      </c>
      <c r="B2000">
        <v>10</v>
      </c>
      <c r="C2000" t="s">
        <v>784</v>
      </c>
      <c r="D2000" s="1">
        <v>0.77083333333333337</v>
      </c>
      <c r="E2000" t="s">
        <v>464</v>
      </c>
      <c r="F2000" t="s">
        <v>34</v>
      </c>
      <c r="G2000" s="2">
        <v>46024</v>
      </c>
      <c r="H2000" t="s">
        <v>747</v>
      </c>
    </row>
    <row r="2001" spans="1:8" x14ac:dyDescent="0.3">
      <c r="A2001" t="s">
        <v>745</v>
      </c>
      <c r="B2001">
        <v>10</v>
      </c>
      <c r="C2001" t="s">
        <v>784</v>
      </c>
      <c r="D2001" s="1">
        <v>0.86458333333333337</v>
      </c>
      <c r="E2001" t="s">
        <v>27</v>
      </c>
      <c r="F2001" t="s">
        <v>750</v>
      </c>
      <c r="G2001" s="2">
        <v>46024</v>
      </c>
      <c r="H2001" t="s">
        <v>609</v>
      </c>
    </row>
    <row r="2002" spans="1:8" x14ac:dyDescent="0.3">
      <c r="A2002" t="s">
        <v>745</v>
      </c>
      <c r="B2002">
        <v>11</v>
      </c>
      <c r="C2002" t="s">
        <v>785</v>
      </c>
      <c r="D2002" s="1">
        <v>0.54166666666666663</v>
      </c>
      <c r="E2002" t="s">
        <v>466</v>
      </c>
      <c r="F2002" t="s">
        <v>28</v>
      </c>
      <c r="G2002" s="2">
        <v>46023</v>
      </c>
      <c r="H2002" t="s">
        <v>190</v>
      </c>
    </row>
    <row r="2003" spans="1:8" x14ac:dyDescent="0.3">
      <c r="A2003" t="s">
        <v>745</v>
      </c>
      <c r="B2003">
        <v>11</v>
      </c>
      <c r="C2003" t="s">
        <v>785</v>
      </c>
      <c r="D2003" s="1">
        <v>0.67708333333333337</v>
      </c>
      <c r="E2003" t="s">
        <v>25</v>
      </c>
      <c r="F2003" t="s">
        <v>14</v>
      </c>
      <c r="G2003" t="s">
        <v>12</v>
      </c>
      <c r="H2003" t="s">
        <v>194</v>
      </c>
    </row>
    <row r="2004" spans="1:8" x14ac:dyDescent="0.3">
      <c r="A2004" t="s">
        <v>745</v>
      </c>
      <c r="B2004">
        <v>11</v>
      </c>
      <c r="C2004" t="s">
        <v>785</v>
      </c>
      <c r="D2004" s="1">
        <v>0.77083333333333337</v>
      </c>
      <c r="E2004" t="s">
        <v>16</v>
      </c>
      <c r="F2004" t="s">
        <v>606</v>
      </c>
      <c r="G2004" t="s">
        <v>42</v>
      </c>
      <c r="H2004" t="s">
        <v>612</v>
      </c>
    </row>
    <row r="2005" spans="1:8" x14ac:dyDescent="0.3">
      <c r="A2005" t="s">
        <v>745</v>
      </c>
      <c r="B2005">
        <v>11</v>
      </c>
      <c r="C2005" t="s">
        <v>785</v>
      </c>
      <c r="D2005" s="1">
        <v>0.86458333333333337</v>
      </c>
      <c r="E2005" t="s">
        <v>30</v>
      </c>
      <c r="F2005" t="s">
        <v>20</v>
      </c>
      <c r="G2005" s="2">
        <v>46083</v>
      </c>
      <c r="H2005" t="s">
        <v>185</v>
      </c>
    </row>
    <row r="2006" spans="1:8" x14ac:dyDescent="0.3">
      <c r="A2006" t="s">
        <v>745</v>
      </c>
      <c r="B2006">
        <v>11</v>
      </c>
      <c r="C2006" t="s">
        <v>786</v>
      </c>
      <c r="D2006" s="1">
        <v>0.5</v>
      </c>
      <c r="E2006" t="s">
        <v>187</v>
      </c>
      <c r="F2006" t="s">
        <v>464</v>
      </c>
      <c r="G2006" s="2">
        <v>46024</v>
      </c>
      <c r="H2006" t="s">
        <v>207</v>
      </c>
    </row>
    <row r="2007" spans="1:8" x14ac:dyDescent="0.3">
      <c r="A2007" t="s">
        <v>745</v>
      </c>
      <c r="B2007">
        <v>11</v>
      </c>
      <c r="C2007" t="s">
        <v>786</v>
      </c>
      <c r="D2007" s="1">
        <v>0.67708333333333337</v>
      </c>
      <c r="E2007" t="s">
        <v>34</v>
      </c>
      <c r="F2007" t="s">
        <v>21</v>
      </c>
      <c r="G2007" s="2">
        <v>46023</v>
      </c>
      <c r="H2007" t="s">
        <v>184</v>
      </c>
    </row>
    <row r="2008" spans="1:8" x14ac:dyDescent="0.3">
      <c r="A2008" t="s">
        <v>745</v>
      </c>
      <c r="B2008">
        <v>11</v>
      </c>
      <c r="C2008" t="s">
        <v>786</v>
      </c>
      <c r="D2008" s="1">
        <v>0.77083333333333337</v>
      </c>
      <c r="E2008" t="s">
        <v>10</v>
      </c>
      <c r="F2008" t="s">
        <v>27</v>
      </c>
      <c r="G2008" t="s">
        <v>41</v>
      </c>
      <c r="H2008" t="s">
        <v>202</v>
      </c>
    </row>
    <row r="2009" spans="1:8" x14ac:dyDescent="0.3">
      <c r="A2009" t="s">
        <v>745</v>
      </c>
      <c r="B2009">
        <v>11</v>
      </c>
      <c r="C2009" t="s">
        <v>786</v>
      </c>
      <c r="D2009" s="1">
        <v>0.77083333333333337</v>
      </c>
      <c r="E2009" t="s">
        <v>750</v>
      </c>
      <c r="F2009" t="s">
        <v>11</v>
      </c>
      <c r="G2009" s="2">
        <v>46023</v>
      </c>
      <c r="H2009" t="s">
        <v>205</v>
      </c>
    </row>
    <row r="2010" spans="1:8" x14ac:dyDescent="0.3">
      <c r="A2010" t="s">
        <v>745</v>
      </c>
      <c r="B2010">
        <v>11</v>
      </c>
      <c r="C2010" t="s">
        <v>786</v>
      </c>
      <c r="D2010" s="1">
        <v>0.86458333333333337</v>
      </c>
      <c r="E2010" t="s">
        <v>26</v>
      </c>
      <c r="F2010" t="s">
        <v>35</v>
      </c>
      <c r="G2010" s="2">
        <v>46084</v>
      </c>
      <c r="H2010" t="s">
        <v>198</v>
      </c>
    </row>
    <row r="2011" spans="1:8" x14ac:dyDescent="0.3">
      <c r="A2011" t="s">
        <v>745</v>
      </c>
      <c r="B2011">
        <v>11</v>
      </c>
      <c r="C2011" t="s">
        <v>787</v>
      </c>
      <c r="D2011" s="1">
        <v>0.875</v>
      </c>
      <c r="E2011" t="s">
        <v>36</v>
      </c>
      <c r="F2011" t="s">
        <v>15</v>
      </c>
      <c r="G2011" t="s">
        <v>18</v>
      </c>
      <c r="H2011" t="s">
        <v>614</v>
      </c>
    </row>
    <row r="2012" spans="1:8" x14ac:dyDescent="0.3">
      <c r="A2012" t="s">
        <v>745</v>
      </c>
      <c r="B2012">
        <v>12</v>
      </c>
      <c r="C2012" t="s">
        <v>788</v>
      </c>
      <c r="D2012" s="1">
        <v>0.875</v>
      </c>
      <c r="E2012" t="s">
        <v>21</v>
      </c>
      <c r="F2012" t="s">
        <v>10</v>
      </c>
      <c r="G2012" s="2">
        <v>46082</v>
      </c>
      <c r="H2012" t="s">
        <v>609</v>
      </c>
    </row>
    <row r="2013" spans="1:8" x14ac:dyDescent="0.3">
      <c r="A2013" t="s">
        <v>745</v>
      </c>
      <c r="B2013">
        <v>12</v>
      </c>
      <c r="C2013" t="s">
        <v>789</v>
      </c>
      <c r="D2013" s="1">
        <v>0.54166666666666663</v>
      </c>
      <c r="E2013" t="s">
        <v>14</v>
      </c>
      <c r="F2013" t="s">
        <v>187</v>
      </c>
      <c r="G2013" t="s">
        <v>41</v>
      </c>
      <c r="H2013" t="s">
        <v>747</v>
      </c>
    </row>
    <row r="2014" spans="1:8" x14ac:dyDescent="0.3">
      <c r="A2014" t="s">
        <v>745</v>
      </c>
      <c r="B2014">
        <v>12</v>
      </c>
      <c r="C2014" t="s">
        <v>789</v>
      </c>
      <c r="D2014" s="1">
        <v>0.67708333333333337</v>
      </c>
      <c r="E2014" t="s">
        <v>11</v>
      </c>
      <c r="F2014" t="s">
        <v>16</v>
      </c>
      <c r="G2014" t="s">
        <v>42</v>
      </c>
      <c r="H2014" t="s">
        <v>341</v>
      </c>
    </row>
    <row r="2015" spans="1:8" x14ac:dyDescent="0.3">
      <c r="A2015" t="s">
        <v>745</v>
      </c>
      <c r="B2015">
        <v>12</v>
      </c>
      <c r="C2015" t="s">
        <v>789</v>
      </c>
      <c r="D2015" s="1">
        <v>0.77083333333333337</v>
      </c>
      <c r="E2015" t="s">
        <v>28</v>
      </c>
      <c r="F2015" t="s">
        <v>15</v>
      </c>
      <c r="G2015" s="2">
        <v>46056</v>
      </c>
      <c r="H2015" t="s">
        <v>345</v>
      </c>
    </row>
    <row r="2016" spans="1:8" x14ac:dyDescent="0.3">
      <c r="A2016" t="s">
        <v>745</v>
      </c>
      <c r="B2016">
        <v>12</v>
      </c>
      <c r="C2016" t="s">
        <v>789</v>
      </c>
      <c r="D2016" s="1">
        <v>0.86458333333333337</v>
      </c>
      <c r="E2016" t="s">
        <v>606</v>
      </c>
      <c r="F2016" t="s">
        <v>466</v>
      </c>
      <c r="G2016" t="s">
        <v>41</v>
      </c>
      <c r="H2016" t="s">
        <v>752</v>
      </c>
    </row>
    <row r="2017" spans="1:8" x14ac:dyDescent="0.3">
      <c r="A2017" t="s">
        <v>745</v>
      </c>
      <c r="B2017">
        <v>12</v>
      </c>
      <c r="C2017" t="s">
        <v>790</v>
      </c>
      <c r="D2017" s="1">
        <v>0.5</v>
      </c>
      <c r="E2017" t="s">
        <v>464</v>
      </c>
      <c r="F2017" t="s">
        <v>750</v>
      </c>
      <c r="G2017" s="2">
        <v>46024</v>
      </c>
      <c r="H2017" t="s">
        <v>467</v>
      </c>
    </row>
    <row r="2018" spans="1:8" x14ac:dyDescent="0.3">
      <c r="A2018" t="s">
        <v>745</v>
      </c>
      <c r="B2018">
        <v>12</v>
      </c>
      <c r="C2018" t="s">
        <v>790</v>
      </c>
      <c r="D2018" s="1">
        <v>0.67708333333333337</v>
      </c>
      <c r="E2018" t="s">
        <v>20</v>
      </c>
      <c r="F2018" t="s">
        <v>26</v>
      </c>
      <c r="G2018" s="2">
        <v>46115</v>
      </c>
      <c r="H2018" t="s">
        <v>181</v>
      </c>
    </row>
    <row r="2019" spans="1:8" x14ac:dyDescent="0.3">
      <c r="A2019" t="s">
        <v>745</v>
      </c>
      <c r="B2019">
        <v>12</v>
      </c>
      <c r="C2019" t="s">
        <v>790</v>
      </c>
      <c r="D2019" s="1">
        <v>0.77083333333333337</v>
      </c>
      <c r="E2019" t="s">
        <v>30</v>
      </c>
      <c r="F2019" t="s">
        <v>34</v>
      </c>
      <c r="G2019" s="2">
        <v>46055</v>
      </c>
      <c r="H2019" t="s">
        <v>206</v>
      </c>
    </row>
    <row r="2020" spans="1:8" x14ac:dyDescent="0.3">
      <c r="A2020" t="s">
        <v>745</v>
      </c>
      <c r="B2020">
        <v>12</v>
      </c>
      <c r="C2020" t="s">
        <v>790</v>
      </c>
      <c r="D2020" s="1">
        <v>0.77083333333333337</v>
      </c>
      <c r="E2020" t="s">
        <v>27</v>
      </c>
      <c r="F2020" t="s">
        <v>36</v>
      </c>
      <c r="G2020" s="2">
        <v>46024</v>
      </c>
      <c r="H2020" t="s">
        <v>197</v>
      </c>
    </row>
    <row r="2021" spans="1:8" x14ac:dyDescent="0.3">
      <c r="A2021" t="s">
        <v>745</v>
      </c>
      <c r="B2021">
        <v>12</v>
      </c>
      <c r="C2021" t="s">
        <v>790</v>
      </c>
      <c r="D2021" s="1">
        <v>0.86458333333333337</v>
      </c>
      <c r="E2021" t="s">
        <v>35</v>
      </c>
      <c r="F2021" t="s">
        <v>25</v>
      </c>
      <c r="G2021" s="2">
        <v>46114</v>
      </c>
      <c r="H2021" t="s">
        <v>73</v>
      </c>
    </row>
    <row r="2022" spans="1:8" x14ac:dyDescent="0.3">
      <c r="A2022" t="s">
        <v>745</v>
      </c>
      <c r="B2022">
        <v>13</v>
      </c>
      <c r="C2022" t="s">
        <v>791</v>
      </c>
      <c r="D2022" s="1">
        <v>0.875</v>
      </c>
      <c r="E2022" t="s">
        <v>466</v>
      </c>
      <c r="F2022" t="s">
        <v>464</v>
      </c>
      <c r="G2022" t="s">
        <v>18</v>
      </c>
      <c r="H2022" t="s">
        <v>612</v>
      </c>
    </row>
    <row r="2023" spans="1:8" x14ac:dyDescent="0.3">
      <c r="A2023" t="s">
        <v>745</v>
      </c>
      <c r="B2023">
        <v>13</v>
      </c>
      <c r="C2023" t="s">
        <v>792</v>
      </c>
      <c r="D2023" s="1">
        <v>0.54166666666666663</v>
      </c>
      <c r="E2023" t="s">
        <v>187</v>
      </c>
      <c r="F2023" t="s">
        <v>25</v>
      </c>
      <c r="G2023" t="s">
        <v>32</v>
      </c>
      <c r="H2023" t="s">
        <v>205</v>
      </c>
    </row>
    <row r="2024" spans="1:8" x14ac:dyDescent="0.3">
      <c r="A2024" t="s">
        <v>745</v>
      </c>
      <c r="B2024">
        <v>13</v>
      </c>
      <c r="C2024" t="s">
        <v>792</v>
      </c>
      <c r="D2024" s="1">
        <v>0.67708333333333337</v>
      </c>
      <c r="E2024" t="s">
        <v>16</v>
      </c>
      <c r="F2024" t="s">
        <v>30</v>
      </c>
      <c r="G2024" t="s">
        <v>32</v>
      </c>
      <c r="H2024" t="s">
        <v>614</v>
      </c>
    </row>
    <row r="2025" spans="1:8" x14ac:dyDescent="0.3">
      <c r="A2025" t="s">
        <v>745</v>
      </c>
      <c r="B2025">
        <v>13</v>
      </c>
      <c r="C2025" t="s">
        <v>792</v>
      </c>
      <c r="D2025" s="1">
        <v>0.77083333333333337</v>
      </c>
      <c r="E2025" t="s">
        <v>750</v>
      </c>
      <c r="F2025" t="s">
        <v>21</v>
      </c>
      <c r="G2025" s="2">
        <v>46055</v>
      </c>
      <c r="H2025" t="s">
        <v>198</v>
      </c>
    </row>
    <row r="2026" spans="1:8" x14ac:dyDescent="0.3">
      <c r="A2026" t="s">
        <v>745</v>
      </c>
      <c r="B2026">
        <v>13</v>
      </c>
      <c r="C2026" t="s">
        <v>792</v>
      </c>
      <c r="D2026" s="1">
        <v>0.86458333333333337</v>
      </c>
      <c r="E2026" t="s">
        <v>28</v>
      </c>
      <c r="F2026" t="s">
        <v>20</v>
      </c>
      <c r="G2026" s="2">
        <v>46023</v>
      </c>
      <c r="H2026" t="s">
        <v>194</v>
      </c>
    </row>
    <row r="2027" spans="1:8" x14ac:dyDescent="0.3">
      <c r="A2027" t="s">
        <v>745</v>
      </c>
      <c r="B2027">
        <v>13</v>
      </c>
      <c r="C2027" t="s">
        <v>793</v>
      </c>
      <c r="D2027" s="1">
        <v>0.5</v>
      </c>
      <c r="E2027" t="s">
        <v>15</v>
      </c>
      <c r="F2027" t="s">
        <v>11</v>
      </c>
      <c r="G2027" s="2">
        <v>46023</v>
      </c>
      <c r="H2027" t="s">
        <v>207</v>
      </c>
    </row>
    <row r="2028" spans="1:8" x14ac:dyDescent="0.3">
      <c r="A2028" t="s">
        <v>745</v>
      </c>
      <c r="B2028">
        <v>13</v>
      </c>
      <c r="C2028" t="s">
        <v>793</v>
      </c>
      <c r="D2028" s="1">
        <v>0.67708333333333337</v>
      </c>
      <c r="E2028" t="s">
        <v>27</v>
      </c>
      <c r="F2028" t="s">
        <v>14</v>
      </c>
      <c r="G2028" t="s">
        <v>18</v>
      </c>
      <c r="H2028" t="s">
        <v>184</v>
      </c>
    </row>
    <row r="2029" spans="1:8" x14ac:dyDescent="0.3">
      <c r="A2029" t="s">
        <v>745</v>
      </c>
      <c r="B2029">
        <v>13</v>
      </c>
      <c r="C2029" t="s">
        <v>793</v>
      </c>
      <c r="D2029" s="1">
        <v>0.77083333333333337</v>
      </c>
      <c r="E2029" t="s">
        <v>36</v>
      </c>
      <c r="F2029" t="s">
        <v>606</v>
      </c>
      <c r="G2029" s="2">
        <v>46082</v>
      </c>
      <c r="H2029" t="s">
        <v>185</v>
      </c>
    </row>
    <row r="2030" spans="1:8" x14ac:dyDescent="0.3">
      <c r="A2030" t="s">
        <v>745</v>
      </c>
      <c r="B2030">
        <v>13</v>
      </c>
      <c r="C2030" t="s">
        <v>793</v>
      </c>
      <c r="D2030" s="1">
        <v>0.86458333333333337</v>
      </c>
      <c r="E2030" t="s">
        <v>34</v>
      </c>
      <c r="F2030" t="s">
        <v>26</v>
      </c>
      <c r="G2030" s="2">
        <v>46024</v>
      </c>
      <c r="H2030" t="s">
        <v>202</v>
      </c>
    </row>
    <row r="2031" spans="1:8" x14ac:dyDescent="0.3">
      <c r="A2031" t="s">
        <v>745</v>
      </c>
      <c r="B2031">
        <v>13</v>
      </c>
      <c r="C2031" t="s">
        <v>794</v>
      </c>
      <c r="D2031" s="1">
        <v>0.875</v>
      </c>
      <c r="E2031" t="s">
        <v>10</v>
      </c>
      <c r="F2031" t="s">
        <v>35</v>
      </c>
      <c r="G2031" s="2">
        <v>46024</v>
      </c>
      <c r="H2031" t="s">
        <v>190</v>
      </c>
    </row>
    <row r="2032" spans="1:8" x14ac:dyDescent="0.3">
      <c r="A2032" t="s">
        <v>745</v>
      </c>
      <c r="B2032">
        <v>14</v>
      </c>
      <c r="C2032" t="s">
        <v>795</v>
      </c>
      <c r="D2032" s="1">
        <v>0.875</v>
      </c>
      <c r="E2032" t="s">
        <v>30</v>
      </c>
      <c r="F2032" t="s">
        <v>187</v>
      </c>
      <c r="G2032" t="s">
        <v>18</v>
      </c>
      <c r="H2032" t="s">
        <v>73</v>
      </c>
    </row>
    <row r="2033" spans="1:8" x14ac:dyDescent="0.3">
      <c r="A2033" t="s">
        <v>745</v>
      </c>
      <c r="B2033">
        <v>14</v>
      </c>
      <c r="C2033" t="s">
        <v>796</v>
      </c>
      <c r="D2033" s="1">
        <v>0.54166666666666663</v>
      </c>
      <c r="E2033" t="s">
        <v>35</v>
      </c>
      <c r="F2033" t="s">
        <v>750</v>
      </c>
      <c r="G2033" t="s">
        <v>12</v>
      </c>
      <c r="H2033" t="s">
        <v>752</v>
      </c>
    </row>
    <row r="2034" spans="1:8" x14ac:dyDescent="0.3">
      <c r="A2034" t="s">
        <v>745</v>
      </c>
      <c r="B2034">
        <v>14</v>
      </c>
      <c r="C2034" t="s">
        <v>796</v>
      </c>
      <c r="D2034" s="1">
        <v>0.67708333333333337</v>
      </c>
      <c r="E2034" t="s">
        <v>14</v>
      </c>
      <c r="F2034" t="s">
        <v>466</v>
      </c>
      <c r="G2034" s="2">
        <v>46114</v>
      </c>
      <c r="H2034" t="s">
        <v>609</v>
      </c>
    </row>
    <row r="2035" spans="1:8" x14ac:dyDescent="0.3">
      <c r="A2035" t="s">
        <v>745</v>
      </c>
      <c r="B2035">
        <v>14</v>
      </c>
      <c r="C2035" t="s">
        <v>796</v>
      </c>
      <c r="D2035" s="1">
        <v>0.77083333333333337</v>
      </c>
      <c r="E2035" t="s">
        <v>11</v>
      </c>
      <c r="F2035" t="s">
        <v>36</v>
      </c>
      <c r="G2035" t="s">
        <v>32</v>
      </c>
      <c r="H2035" t="s">
        <v>181</v>
      </c>
    </row>
    <row r="2036" spans="1:8" x14ac:dyDescent="0.3">
      <c r="A2036" t="s">
        <v>745</v>
      </c>
      <c r="B2036">
        <v>14</v>
      </c>
      <c r="C2036" t="s">
        <v>796</v>
      </c>
      <c r="D2036" s="1">
        <v>0.86458333333333337</v>
      </c>
      <c r="E2036" t="s">
        <v>25</v>
      </c>
      <c r="F2036" t="s">
        <v>16</v>
      </c>
      <c r="G2036" t="s">
        <v>12</v>
      </c>
      <c r="H2036" t="s">
        <v>206</v>
      </c>
    </row>
    <row r="2037" spans="1:8" x14ac:dyDescent="0.3">
      <c r="A2037" t="s">
        <v>745</v>
      </c>
      <c r="B2037">
        <v>14</v>
      </c>
      <c r="C2037" t="s">
        <v>797</v>
      </c>
      <c r="D2037" s="1">
        <v>0.5</v>
      </c>
      <c r="E2037" t="s">
        <v>26</v>
      </c>
      <c r="F2037" t="s">
        <v>10</v>
      </c>
      <c r="G2037" t="s">
        <v>18</v>
      </c>
      <c r="H2037" t="s">
        <v>747</v>
      </c>
    </row>
    <row r="2038" spans="1:8" x14ac:dyDescent="0.3">
      <c r="A2038" t="s">
        <v>745</v>
      </c>
      <c r="B2038">
        <v>14</v>
      </c>
      <c r="C2038" t="s">
        <v>797</v>
      </c>
      <c r="D2038" s="1">
        <v>0.67708333333333337</v>
      </c>
      <c r="E2038" t="s">
        <v>606</v>
      </c>
      <c r="F2038" t="s">
        <v>28</v>
      </c>
      <c r="G2038" s="2">
        <v>46023</v>
      </c>
      <c r="H2038" t="s">
        <v>341</v>
      </c>
    </row>
    <row r="2039" spans="1:8" x14ac:dyDescent="0.3">
      <c r="A2039" t="s">
        <v>745</v>
      </c>
      <c r="B2039">
        <v>14</v>
      </c>
      <c r="C2039" t="s">
        <v>797</v>
      </c>
      <c r="D2039" s="1">
        <v>0.77083333333333337</v>
      </c>
      <c r="E2039" t="s">
        <v>20</v>
      </c>
      <c r="F2039" t="s">
        <v>34</v>
      </c>
      <c r="G2039" t="s">
        <v>12</v>
      </c>
      <c r="H2039" t="s">
        <v>467</v>
      </c>
    </row>
    <row r="2040" spans="1:8" x14ac:dyDescent="0.3">
      <c r="A2040" t="s">
        <v>745</v>
      </c>
      <c r="B2040">
        <v>14</v>
      </c>
      <c r="C2040" t="s">
        <v>797</v>
      </c>
      <c r="D2040" s="1">
        <v>0.86458333333333337</v>
      </c>
      <c r="E2040" t="s">
        <v>464</v>
      </c>
      <c r="F2040" t="s">
        <v>27</v>
      </c>
      <c r="G2040" s="2">
        <v>46023</v>
      </c>
      <c r="H2040" t="s">
        <v>345</v>
      </c>
    </row>
    <row r="2041" spans="1:8" x14ac:dyDescent="0.3">
      <c r="A2041" t="s">
        <v>745</v>
      </c>
      <c r="B2041">
        <v>14</v>
      </c>
      <c r="C2041" t="s">
        <v>798</v>
      </c>
      <c r="D2041" s="1">
        <v>0.875</v>
      </c>
      <c r="E2041" t="s">
        <v>21</v>
      </c>
      <c r="F2041" t="s">
        <v>15</v>
      </c>
      <c r="G2041" t="s">
        <v>32</v>
      </c>
      <c r="H2041" t="s">
        <v>197</v>
      </c>
    </row>
    <row r="2042" spans="1:8" x14ac:dyDescent="0.3">
      <c r="A2042" t="s">
        <v>745</v>
      </c>
      <c r="B2042">
        <v>15</v>
      </c>
      <c r="C2042" t="s">
        <v>799</v>
      </c>
      <c r="D2042" s="1">
        <v>0.875</v>
      </c>
      <c r="E2042" t="s">
        <v>466</v>
      </c>
      <c r="F2042" t="s">
        <v>11</v>
      </c>
      <c r="G2042" s="2">
        <v>46023</v>
      </c>
      <c r="H2042" t="s">
        <v>614</v>
      </c>
    </row>
    <row r="2043" spans="1:8" x14ac:dyDescent="0.3">
      <c r="A2043" t="s">
        <v>745</v>
      </c>
      <c r="B2043">
        <v>15</v>
      </c>
      <c r="C2043" t="s">
        <v>800</v>
      </c>
      <c r="D2043" s="1">
        <v>0.54166666666666663</v>
      </c>
      <c r="E2043" t="s">
        <v>28</v>
      </c>
      <c r="F2043" t="s">
        <v>464</v>
      </c>
      <c r="G2043" t="s">
        <v>32</v>
      </c>
      <c r="H2043" t="s">
        <v>185</v>
      </c>
    </row>
    <row r="2044" spans="1:8" x14ac:dyDescent="0.3">
      <c r="A2044" t="s">
        <v>745</v>
      </c>
      <c r="B2044">
        <v>15</v>
      </c>
      <c r="C2044" t="s">
        <v>800</v>
      </c>
      <c r="D2044" s="1">
        <v>0.67708333333333337</v>
      </c>
      <c r="E2044" t="s">
        <v>16</v>
      </c>
      <c r="F2044" t="s">
        <v>27</v>
      </c>
      <c r="G2044" s="2">
        <v>46023</v>
      </c>
      <c r="H2044" t="s">
        <v>198</v>
      </c>
    </row>
    <row r="2045" spans="1:8" x14ac:dyDescent="0.3">
      <c r="A2045" t="s">
        <v>745</v>
      </c>
      <c r="B2045">
        <v>15</v>
      </c>
      <c r="C2045" t="s">
        <v>800</v>
      </c>
      <c r="D2045" s="1">
        <v>0.77083333333333337</v>
      </c>
      <c r="E2045" t="s">
        <v>34</v>
      </c>
      <c r="F2045" t="s">
        <v>35</v>
      </c>
      <c r="G2045" s="2">
        <v>46083</v>
      </c>
      <c r="H2045" t="s">
        <v>194</v>
      </c>
    </row>
    <row r="2046" spans="1:8" x14ac:dyDescent="0.3">
      <c r="A2046" t="s">
        <v>745</v>
      </c>
      <c r="B2046">
        <v>15</v>
      </c>
      <c r="C2046" t="s">
        <v>800</v>
      </c>
      <c r="D2046" s="1">
        <v>0.86458333333333337</v>
      </c>
      <c r="E2046" t="s">
        <v>36</v>
      </c>
      <c r="F2046" t="s">
        <v>20</v>
      </c>
      <c r="G2046" t="s">
        <v>53</v>
      </c>
      <c r="H2046" t="s">
        <v>184</v>
      </c>
    </row>
    <row r="2047" spans="1:8" x14ac:dyDescent="0.3">
      <c r="A2047" t="s">
        <v>745</v>
      </c>
      <c r="B2047">
        <v>15</v>
      </c>
      <c r="C2047" t="s">
        <v>801</v>
      </c>
      <c r="D2047" s="1">
        <v>0.5</v>
      </c>
      <c r="E2047" t="s">
        <v>187</v>
      </c>
      <c r="F2047" t="s">
        <v>21</v>
      </c>
      <c r="G2047" s="2">
        <v>46116</v>
      </c>
      <c r="H2047" t="s">
        <v>612</v>
      </c>
    </row>
    <row r="2048" spans="1:8" x14ac:dyDescent="0.3">
      <c r="A2048" t="s">
        <v>745</v>
      </c>
      <c r="B2048">
        <v>15</v>
      </c>
      <c r="C2048" t="s">
        <v>801</v>
      </c>
      <c r="D2048" s="1">
        <v>0.67708333333333337</v>
      </c>
      <c r="E2048" t="s">
        <v>750</v>
      </c>
      <c r="F2048" t="s">
        <v>25</v>
      </c>
      <c r="G2048" t="s">
        <v>42</v>
      </c>
      <c r="H2048" t="s">
        <v>190</v>
      </c>
    </row>
    <row r="2049" spans="1:8" x14ac:dyDescent="0.3">
      <c r="A2049" t="s">
        <v>745</v>
      </c>
      <c r="B2049">
        <v>15</v>
      </c>
      <c r="C2049" t="s">
        <v>801</v>
      </c>
      <c r="D2049" s="1">
        <v>0.77083333333333337</v>
      </c>
      <c r="E2049" t="s">
        <v>10</v>
      </c>
      <c r="F2049" t="s">
        <v>14</v>
      </c>
      <c r="G2049" s="2">
        <v>46054</v>
      </c>
      <c r="H2049" t="s">
        <v>207</v>
      </c>
    </row>
    <row r="2050" spans="1:8" x14ac:dyDescent="0.3">
      <c r="A2050" t="s">
        <v>745</v>
      </c>
      <c r="B2050">
        <v>15</v>
      </c>
      <c r="C2050" t="s">
        <v>801</v>
      </c>
      <c r="D2050" s="1">
        <v>0.86458333333333337</v>
      </c>
      <c r="E2050" t="s">
        <v>26</v>
      </c>
      <c r="F2050" t="s">
        <v>30</v>
      </c>
      <c r="G2050" t="s">
        <v>12</v>
      </c>
      <c r="H2050" t="s">
        <v>205</v>
      </c>
    </row>
    <row r="2051" spans="1:8" x14ac:dyDescent="0.3">
      <c r="A2051" t="s">
        <v>745</v>
      </c>
      <c r="B2051">
        <v>15</v>
      </c>
      <c r="C2051" t="s">
        <v>802</v>
      </c>
      <c r="D2051" s="1">
        <v>0.875</v>
      </c>
      <c r="E2051" t="s">
        <v>15</v>
      </c>
      <c r="F2051" t="s">
        <v>606</v>
      </c>
      <c r="G2051" t="s">
        <v>18</v>
      </c>
      <c r="H2051" t="s">
        <v>202</v>
      </c>
    </row>
    <row r="2052" spans="1:8" x14ac:dyDescent="0.3">
      <c r="A2052" t="s">
        <v>745</v>
      </c>
      <c r="B2052">
        <v>16</v>
      </c>
      <c r="C2052" t="s">
        <v>803</v>
      </c>
      <c r="D2052" s="1">
        <v>0.875</v>
      </c>
      <c r="E2052" t="s">
        <v>35</v>
      </c>
      <c r="F2052" t="s">
        <v>466</v>
      </c>
      <c r="G2052" t="s">
        <v>41</v>
      </c>
      <c r="H2052" t="s">
        <v>467</v>
      </c>
    </row>
    <row r="2053" spans="1:8" x14ac:dyDescent="0.3">
      <c r="A2053" t="s">
        <v>745</v>
      </c>
      <c r="B2053">
        <v>16</v>
      </c>
      <c r="C2053" t="s">
        <v>804</v>
      </c>
      <c r="D2053" s="1">
        <v>0.54166666666666663</v>
      </c>
      <c r="E2053" t="s">
        <v>11</v>
      </c>
      <c r="F2053" t="s">
        <v>10</v>
      </c>
      <c r="G2053" t="s">
        <v>18</v>
      </c>
      <c r="H2053" t="s">
        <v>197</v>
      </c>
    </row>
    <row r="2054" spans="1:8" x14ac:dyDescent="0.3">
      <c r="A2054" t="s">
        <v>745</v>
      </c>
      <c r="B2054">
        <v>16</v>
      </c>
      <c r="C2054" t="s">
        <v>804</v>
      </c>
      <c r="D2054" s="1">
        <v>0.67708333333333337</v>
      </c>
      <c r="E2054" t="s">
        <v>14</v>
      </c>
      <c r="F2054" t="s">
        <v>28</v>
      </c>
      <c r="G2054" s="2">
        <v>46083</v>
      </c>
      <c r="H2054" t="s">
        <v>73</v>
      </c>
    </row>
    <row r="2055" spans="1:8" x14ac:dyDescent="0.3">
      <c r="A2055" t="s">
        <v>745</v>
      </c>
      <c r="B2055">
        <v>16</v>
      </c>
      <c r="C2055" t="s">
        <v>804</v>
      </c>
      <c r="D2055" s="1">
        <v>0.77083333333333337</v>
      </c>
      <c r="E2055" t="s">
        <v>25</v>
      </c>
      <c r="F2055" t="s">
        <v>30</v>
      </c>
      <c r="G2055" t="s">
        <v>18</v>
      </c>
      <c r="H2055" t="s">
        <v>341</v>
      </c>
    </row>
    <row r="2056" spans="1:8" x14ac:dyDescent="0.3">
      <c r="A2056" t="s">
        <v>745</v>
      </c>
      <c r="B2056">
        <v>16</v>
      </c>
      <c r="C2056" t="s">
        <v>804</v>
      </c>
      <c r="D2056" s="1">
        <v>0.86458333333333337</v>
      </c>
      <c r="E2056" t="s">
        <v>187</v>
      </c>
      <c r="F2056" t="s">
        <v>16</v>
      </c>
      <c r="G2056" s="2">
        <v>46023</v>
      </c>
      <c r="H2056" t="s">
        <v>752</v>
      </c>
    </row>
    <row r="2057" spans="1:8" x14ac:dyDescent="0.3">
      <c r="A2057" t="s">
        <v>745</v>
      </c>
      <c r="B2057">
        <v>16</v>
      </c>
      <c r="C2057" t="s">
        <v>805</v>
      </c>
      <c r="D2057" s="1">
        <v>0.5</v>
      </c>
      <c r="E2057" t="s">
        <v>27</v>
      </c>
      <c r="F2057" t="s">
        <v>606</v>
      </c>
      <c r="G2057" t="s">
        <v>12</v>
      </c>
      <c r="H2057" t="s">
        <v>747</v>
      </c>
    </row>
    <row r="2058" spans="1:8" x14ac:dyDescent="0.3">
      <c r="A2058" t="s">
        <v>745</v>
      </c>
      <c r="B2058">
        <v>16</v>
      </c>
      <c r="C2058" t="s">
        <v>805</v>
      </c>
      <c r="D2058" s="1">
        <v>0.67708333333333337</v>
      </c>
      <c r="E2058" t="s">
        <v>36</v>
      </c>
      <c r="F2058" t="s">
        <v>26</v>
      </c>
      <c r="G2058" s="2">
        <v>46082</v>
      </c>
      <c r="H2058" t="s">
        <v>345</v>
      </c>
    </row>
    <row r="2059" spans="1:8" x14ac:dyDescent="0.3">
      <c r="A2059" t="s">
        <v>745</v>
      </c>
      <c r="B2059">
        <v>16</v>
      </c>
      <c r="C2059" t="s">
        <v>805</v>
      </c>
      <c r="D2059" s="1">
        <v>0.77083333333333337</v>
      </c>
      <c r="E2059" t="s">
        <v>750</v>
      </c>
      <c r="F2059" t="s">
        <v>34</v>
      </c>
      <c r="G2059" s="2">
        <v>46055</v>
      </c>
      <c r="H2059" t="s">
        <v>609</v>
      </c>
    </row>
    <row r="2060" spans="1:8" x14ac:dyDescent="0.3">
      <c r="A2060" t="s">
        <v>745</v>
      </c>
      <c r="B2060">
        <v>16</v>
      </c>
      <c r="C2060" t="s">
        <v>805</v>
      </c>
      <c r="D2060" s="1">
        <v>0.86458333333333337</v>
      </c>
      <c r="E2060" t="s">
        <v>21</v>
      </c>
      <c r="F2060" t="s">
        <v>20</v>
      </c>
      <c r="G2060" t="s">
        <v>72</v>
      </c>
      <c r="H2060" t="s">
        <v>206</v>
      </c>
    </row>
    <row r="2061" spans="1:8" x14ac:dyDescent="0.3">
      <c r="A2061" t="s">
        <v>745</v>
      </c>
      <c r="B2061">
        <v>16</v>
      </c>
      <c r="C2061" t="s">
        <v>806</v>
      </c>
      <c r="D2061" s="1">
        <v>0.875</v>
      </c>
      <c r="E2061" t="s">
        <v>464</v>
      </c>
      <c r="F2061" t="s">
        <v>15</v>
      </c>
      <c r="G2061" t="s">
        <v>41</v>
      </c>
      <c r="H2061" t="s">
        <v>181</v>
      </c>
    </row>
    <row r="2062" spans="1:8" x14ac:dyDescent="0.3">
      <c r="A2062" t="s">
        <v>745</v>
      </c>
      <c r="B2062">
        <v>17</v>
      </c>
      <c r="C2062" t="s">
        <v>807</v>
      </c>
      <c r="D2062" s="1">
        <v>0.8125</v>
      </c>
      <c r="E2062" t="s">
        <v>606</v>
      </c>
      <c r="F2062" t="s">
        <v>11</v>
      </c>
      <c r="G2062" s="2">
        <v>46023</v>
      </c>
      <c r="H2062" t="s">
        <v>612</v>
      </c>
    </row>
    <row r="2063" spans="1:8" x14ac:dyDescent="0.3">
      <c r="A2063" t="s">
        <v>745</v>
      </c>
      <c r="B2063">
        <v>17</v>
      </c>
      <c r="C2063" t="s">
        <v>807</v>
      </c>
      <c r="D2063" s="1">
        <v>0.875</v>
      </c>
      <c r="E2063" t="s">
        <v>10</v>
      </c>
      <c r="F2063" t="s">
        <v>464</v>
      </c>
      <c r="G2063" t="s">
        <v>42</v>
      </c>
      <c r="H2063" t="s">
        <v>198</v>
      </c>
    </row>
    <row r="2064" spans="1:8" x14ac:dyDescent="0.3">
      <c r="A2064" t="s">
        <v>745</v>
      </c>
      <c r="B2064">
        <v>17</v>
      </c>
      <c r="C2064" t="s">
        <v>808</v>
      </c>
      <c r="D2064" s="1">
        <v>0.54166666666666663</v>
      </c>
      <c r="E2064" t="s">
        <v>26</v>
      </c>
      <c r="F2064" t="s">
        <v>187</v>
      </c>
      <c r="G2064" s="2">
        <v>46023</v>
      </c>
      <c r="H2064" t="s">
        <v>184</v>
      </c>
    </row>
    <row r="2065" spans="1:8" x14ac:dyDescent="0.3">
      <c r="A2065" t="s">
        <v>745</v>
      </c>
      <c r="B2065">
        <v>17</v>
      </c>
      <c r="C2065" t="s">
        <v>808</v>
      </c>
      <c r="D2065" s="1">
        <v>0.67708333333333337</v>
      </c>
      <c r="E2065" t="s">
        <v>28</v>
      </c>
      <c r="F2065" t="s">
        <v>36</v>
      </c>
      <c r="G2065" t="s">
        <v>18</v>
      </c>
      <c r="H2065" t="s">
        <v>190</v>
      </c>
    </row>
    <row r="2066" spans="1:8" x14ac:dyDescent="0.3">
      <c r="A2066" t="s">
        <v>745</v>
      </c>
      <c r="B2066">
        <v>17</v>
      </c>
      <c r="C2066" t="s">
        <v>808</v>
      </c>
      <c r="D2066" s="1">
        <v>0.77083333333333337</v>
      </c>
      <c r="E2066" t="s">
        <v>20</v>
      </c>
      <c r="F2066" t="s">
        <v>35</v>
      </c>
      <c r="G2066" t="s">
        <v>12</v>
      </c>
      <c r="H2066" t="s">
        <v>202</v>
      </c>
    </row>
    <row r="2067" spans="1:8" x14ac:dyDescent="0.3">
      <c r="A2067" t="s">
        <v>745</v>
      </c>
      <c r="B2067">
        <v>17</v>
      </c>
      <c r="C2067" t="s">
        <v>808</v>
      </c>
      <c r="D2067" s="1">
        <v>0.86458333333333337</v>
      </c>
      <c r="E2067" t="s">
        <v>15</v>
      </c>
      <c r="F2067" t="s">
        <v>14</v>
      </c>
      <c r="G2067" s="2">
        <v>46023</v>
      </c>
      <c r="H2067" t="s">
        <v>345</v>
      </c>
    </row>
    <row r="2068" spans="1:8" x14ac:dyDescent="0.3">
      <c r="A2068" t="s">
        <v>745</v>
      </c>
      <c r="B2068">
        <v>17</v>
      </c>
      <c r="C2068" t="s">
        <v>809</v>
      </c>
      <c r="D2068" s="1">
        <v>0.5</v>
      </c>
      <c r="E2068" t="s">
        <v>16</v>
      </c>
      <c r="F2068" t="s">
        <v>750</v>
      </c>
      <c r="G2068" s="2">
        <v>46024</v>
      </c>
      <c r="H2068" t="s">
        <v>194</v>
      </c>
    </row>
    <row r="2069" spans="1:8" x14ac:dyDescent="0.3">
      <c r="A2069" t="s">
        <v>745</v>
      </c>
      <c r="B2069">
        <v>17</v>
      </c>
      <c r="C2069" t="s">
        <v>809</v>
      </c>
      <c r="D2069" s="1">
        <v>0.67708333333333337</v>
      </c>
      <c r="E2069" t="s">
        <v>466</v>
      </c>
      <c r="F2069" t="s">
        <v>27</v>
      </c>
      <c r="G2069" s="2">
        <v>46023</v>
      </c>
      <c r="H2069" t="s">
        <v>185</v>
      </c>
    </row>
    <row r="2070" spans="1:8" x14ac:dyDescent="0.3">
      <c r="A2070" t="s">
        <v>745</v>
      </c>
      <c r="B2070">
        <v>17</v>
      </c>
      <c r="C2070" t="s">
        <v>809</v>
      </c>
      <c r="D2070" s="1">
        <v>0.77083333333333337</v>
      </c>
      <c r="E2070" t="s">
        <v>30</v>
      </c>
      <c r="F2070" t="s">
        <v>21</v>
      </c>
      <c r="G2070" s="2">
        <v>46024</v>
      </c>
      <c r="H2070" t="s">
        <v>207</v>
      </c>
    </row>
    <row r="2071" spans="1:8" x14ac:dyDescent="0.3">
      <c r="A2071" t="s">
        <v>745</v>
      </c>
      <c r="B2071">
        <v>17</v>
      </c>
      <c r="C2071" t="s">
        <v>810</v>
      </c>
      <c r="D2071" s="1">
        <v>0.89583333333333337</v>
      </c>
      <c r="E2071" t="s">
        <v>34</v>
      </c>
      <c r="F2071" t="s">
        <v>25</v>
      </c>
      <c r="G2071" s="2">
        <v>46055</v>
      </c>
      <c r="H2071" t="s">
        <v>614</v>
      </c>
    </row>
    <row r="2072" spans="1:8" x14ac:dyDescent="0.3">
      <c r="A2072" t="s">
        <v>745</v>
      </c>
      <c r="B2072">
        <v>18</v>
      </c>
      <c r="C2072" t="s">
        <v>811</v>
      </c>
      <c r="D2072" s="1">
        <v>0.79166666666666663</v>
      </c>
      <c r="E2072" t="s">
        <v>21</v>
      </c>
      <c r="F2072" t="s">
        <v>606</v>
      </c>
      <c r="G2072" s="2">
        <v>46055</v>
      </c>
      <c r="H2072" t="s">
        <v>73</v>
      </c>
    </row>
    <row r="2073" spans="1:8" x14ac:dyDescent="0.3">
      <c r="A2073" t="s">
        <v>745</v>
      </c>
      <c r="B2073">
        <v>18</v>
      </c>
      <c r="C2073" t="s">
        <v>811</v>
      </c>
      <c r="D2073" s="1">
        <v>0.875</v>
      </c>
      <c r="E2073" t="s">
        <v>36</v>
      </c>
      <c r="F2073" t="s">
        <v>466</v>
      </c>
      <c r="G2073" t="s">
        <v>18</v>
      </c>
      <c r="H2073" t="s">
        <v>206</v>
      </c>
    </row>
    <row r="2074" spans="1:8" x14ac:dyDescent="0.3">
      <c r="A2074" t="s">
        <v>745</v>
      </c>
      <c r="B2074">
        <v>18</v>
      </c>
      <c r="C2074" t="s">
        <v>812</v>
      </c>
      <c r="D2074" s="1">
        <v>0.54166666666666663</v>
      </c>
      <c r="E2074" t="s">
        <v>14</v>
      </c>
      <c r="F2074" t="s">
        <v>30</v>
      </c>
      <c r="G2074" t="s">
        <v>42</v>
      </c>
      <c r="H2074" t="s">
        <v>752</v>
      </c>
    </row>
    <row r="2075" spans="1:8" x14ac:dyDescent="0.3">
      <c r="A2075" t="s">
        <v>745</v>
      </c>
      <c r="B2075">
        <v>18</v>
      </c>
      <c r="C2075" t="s">
        <v>812</v>
      </c>
      <c r="D2075" s="1">
        <v>0.67708333333333337</v>
      </c>
      <c r="E2075" t="s">
        <v>464</v>
      </c>
      <c r="F2075" t="s">
        <v>16</v>
      </c>
      <c r="G2075" s="2">
        <v>46024</v>
      </c>
      <c r="H2075" t="s">
        <v>609</v>
      </c>
    </row>
    <row r="2076" spans="1:8" x14ac:dyDescent="0.3">
      <c r="A2076" t="s">
        <v>745</v>
      </c>
      <c r="B2076">
        <v>18</v>
      </c>
      <c r="C2076" t="s">
        <v>812</v>
      </c>
      <c r="D2076" s="1">
        <v>0.86458333333333337</v>
      </c>
      <c r="E2076" t="s">
        <v>750</v>
      </c>
      <c r="F2076" t="s">
        <v>26</v>
      </c>
      <c r="G2076" s="2">
        <v>46024</v>
      </c>
      <c r="H2076" t="s">
        <v>341</v>
      </c>
    </row>
    <row r="2077" spans="1:8" x14ac:dyDescent="0.3">
      <c r="A2077" t="s">
        <v>745</v>
      </c>
      <c r="B2077">
        <v>18</v>
      </c>
      <c r="C2077" t="s">
        <v>813</v>
      </c>
      <c r="D2077" s="1">
        <v>0.5</v>
      </c>
      <c r="E2077" t="s">
        <v>187</v>
      </c>
      <c r="F2077" t="s">
        <v>34</v>
      </c>
      <c r="G2077" t="s">
        <v>41</v>
      </c>
      <c r="H2077" t="s">
        <v>197</v>
      </c>
    </row>
    <row r="2078" spans="1:8" x14ac:dyDescent="0.3">
      <c r="A2078" t="s">
        <v>745</v>
      </c>
      <c r="B2078">
        <v>18</v>
      </c>
      <c r="C2078" t="s">
        <v>813</v>
      </c>
      <c r="D2078" s="1">
        <v>0.67708333333333337</v>
      </c>
      <c r="E2078" t="s">
        <v>27</v>
      </c>
      <c r="F2078" t="s">
        <v>28</v>
      </c>
      <c r="G2078" s="2">
        <v>46023</v>
      </c>
      <c r="H2078" t="s">
        <v>181</v>
      </c>
    </row>
    <row r="2079" spans="1:8" x14ac:dyDescent="0.3">
      <c r="A2079" t="s">
        <v>745</v>
      </c>
      <c r="B2079">
        <v>18</v>
      </c>
      <c r="C2079" t="s">
        <v>813</v>
      </c>
      <c r="D2079" s="1">
        <v>0.77083333333333337</v>
      </c>
      <c r="E2079" t="s">
        <v>25</v>
      </c>
      <c r="F2079" t="s">
        <v>10</v>
      </c>
      <c r="G2079" t="s">
        <v>54</v>
      </c>
      <c r="H2079" t="s">
        <v>467</v>
      </c>
    </row>
    <row r="2080" spans="1:8" x14ac:dyDescent="0.3">
      <c r="A2080" t="s">
        <v>745</v>
      </c>
      <c r="B2080">
        <v>18</v>
      </c>
      <c r="C2080" t="s">
        <v>813</v>
      </c>
      <c r="D2080" s="1">
        <v>0.86458333333333337</v>
      </c>
      <c r="E2080" t="s">
        <v>11</v>
      </c>
      <c r="F2080" t="s">
        <v>20</v>
      </c>
      <c r="G2080" s="2">
        <v>46054</v>
      </c>
      <c r="H2080" t="s">
        <v>747</v>
      </c>
    </row>
    <row r="2081" spans="1:8" x14ac:dyDescent="0.3">
      <c r="A2081" t="s">
        <v>745</v>
      </c>
      <c r="B2081">
        <v>18</v>
      </c>
      <c r="C2081" t="s">
        <v>814</v>
      </c>
      <c r="D2081" s="1">
        <v>0.875</v>
      </c>
      <c r="E2081" t="s">
        <v>35</v>
      </c>
      <c r="F2081" t="s">
        <v>15</v>
      </c>
      <c r="G2081" s="2">
        <v>46054</v>
      </c>
      <c r="H2081" t="s">
        <v>205</v>
      </c>
    </row>
    <row r="2082" spans="1:8" x14ac:dyDescent="0.3">
      <c r="A2082" t="s">
        <v>745</v>
      </c>
      <c r="B2082">
        <v>19</v>
      </c>
      <c r="C2082" t="s">
        <v>815</v>
      </c>
      <c r="D2082" s="1">
        <v>0.875</v>
      </c>
      <c r="E2082" t="s">
        <v>30</v>
      </c>
      <c r="F2082" t="s">
        <v>35</v>
      </c>
      <c r="G2082" s="2">
        <v>46057</v>
      </c>
      <c r="H2082" t="s">
        <v>612</v>
      </c>
    </row>
    <row r="2083" spans="1:8" x14ac:dyDescent="0.3">
      <c r="A2083" t="s">
        <v>745</v>
      </c>
      <c r="B2083">
        <v>19</v>
      </c>
      <c r="C2083" t="s">
        <v>816</v>
      </c>
      <c r="D2083" s="1">
        <v>0.54166666666666663</v>
      </c>
      <c r="E2083" t="s">
        <v>466</v>
      </c>
      <c r="F2083" t="s">
        <v>750</v>
      </c>
      <c r="G2083" t="s">
        <v>18</v>
      </c>
      <c r="H2083" t="s">
        <v>190</v>
      </c>
    </row>
    <row r="2084" spans="1:8" x14ac:dyDescent="0.3">
      <c r="A2084" t="s">
        <v>745</v>
      </c>
      <c r="B2084">
        <v>19</v>
      </c>
      <c r="C2084" t="s">
        <v>816</v>
      </c>
      <c r="D2084" s="1">
        <v>0.67708333333333337</v>
      </c>
      <c r="E2084" t="s">
        <v>16</v>
      </c>
      <c r="F2084" t="s">
        <v>14</v>
      </c>
      <c r="G2084" s="2">
        <v>46023</v>
      </c>
      <c r="H2084" t="s">
        <v>207</v>
      </c>
    </row>
    <row r="2085" spans="1:8" x14ac:dyDescent="0.3">
      <c r="A2085" t="s">
        <v>745</v>
      </c>
      <c r="B2085">
        <v>19</v>
      </c>
      <c r="C2085" t="s">
        <v>816</v>
      </c>
      <c r="D2085" s="1">
        <v>0.77083333333333337</v>
      </c>
      <c r="E2085" t="s">
        <v>606</v>
      </c>
      <c r="F2085" t="s">
        <v>464</v>
      </c>
      <c r="G2085" s="2">
        <v>46023</v>
      </c>
      <c r="H2085" t="s">
        <v>345</v>
      </c>
    </row>
    <row r="2086" spans="1:8" x14ac:dyDescent="0.3">
      <c r="A2086" t="s">
        <v>745</v>
      </c>
      <c r="B2086">
        <v>19</v>
      </c>
      <c r="C2086" t="s">
        <v>816</v>
      </c>
      <c r="D2086" s="1">
        <v>0.86458333333333337</v>
      </c>
      <c r="E2086" t="s">
        <v>34</v>
      </c>
      <c r="F2086" t="s">
        <v>11</v>
      </c>
      <c r="G2086" s="2">
        <v>46054</v>
      </c>
      <c r="H2086" t="s">
        <v>198</v>
      </c>
    </row>
    <row r="2087" spans="1:8" x14ac:dyDescent="0.3">
      <c r="A2087" t="s">
        <v>745</v>
      </c>
      <c r="B2087">
        <v>19</v>
      </c>
      <c r="C2087" t="s">
        <v>817</v>
      </c>
      <c r="D2087" s="1">
        <v>0.5</v>
      </c>
      <c r="E2087" t="s">
        <v>28</v>
      </c>
      <c r="F2087" t="s">
        <v>21</v>
      </c>
      <c r="G2087" t="s">
        <v>18</v>
      </c>
      <c r="H2087" t="s">
        <v>202</v>
      </c>
    </row>
    <row r="2088" spans="1:8" x14ac:dyDescent="0.3">
      <c r="A2088" t="s">
        <v>745</v>
      </c>
      <c r="B2088">
        <v>19</v>
      </c>
      <c r="C2088" t="s">
        <v>817</v>
      </c>
      <c r="D2088" s="1">
        <v>0.67708333333333337</v>
      </c>
      <c r="E2088" t="s">
        <v>15</v>
      </c>
      <c r="F2088" t="s">
        <v>27</v>
      </c>
      <c r="G2088" t="s">
        <v>12</v>
      </c>
      <c r="H2088" t="s">
        <v>614</v>
      </c>
    </row>
    <row r="2089" spans="1:8" x14ac:dyDescent="0.3">
      <c r="A2089" t="s">
        <v>745</v>
      </c>
      <c r="B2089">
        <v>19</v>
      </c>
      <c r="C2089" t="s">
        <v>817</v>
      </c>
      <c r="D2089" s="1">
        <v>0.77083333333333337</v>
      </c>
      <c r="E2089" t="s">
        <v>20</v>
      </c>
      <c r="F2089" t="s">
        <v>187</v>
      </c>
      <c r="G2089" t="s">
        <v>32</v>
      </c>
      <c r="H2089" t="s">
        <v>194</v>
      </c>
    </row>
    <row r="2090" spans="1:8" x14ac:dyDescent="0.3">
      <c r="A2090" t="s">
        <v>745</v>
      </c>
      <c r="B2090">
        <v>19</v>
      </c>
      <c r="C2090" t="s">
        <v>817</v>
      </c>
      <c r="D2090" s="1">
        <v>0.86458333333333337</v>
      </c>
      <c r="E2090" t="s">
        <v>26</v>
      </c>
      <c r="F2090" t="s">
        <v>25</v>
      </c>
      <c r="G2090" s="2">
        <v>46054</v>
      </c>
      <c r="H2090" t="s">
        <v>185</v>
      </c>
    </row>
    <row r="2091" spans="1:8" x14ac:dyDescent="0.3">
      <c r="A2091" t="s">
        <v>745</v>
      </c>
      <c r="B2091">
        <v>19</v>
      </c>
      <c r="C2091" t="s">
        <v>818</v>
      </c>
      <c r="D2091" s="1">
        <v>0.875</v>
      </c>
      <c r="E2091" t="s">
        <v>10</v>
      </c>
      <c r="F2091" t="s">
        <v>36</v>
      </c>
      <c r="G2091" s="2">
        <v>46056</v>
      </c>
      <c r="H2091" t="s">
        <v>184</v>
      </c>
    </row>
    <row r="2092" spans="1:8" x14ac:dyDescent="0.3">
      <c r="A2092" t="s">
        <v>745</v>
      </c>
      <c r="B2092">
        <v>20</v>
      </c>
      <c r="C2092" t="s">
        <v>819</v>
      </c>
      <c r="D2092" s="1">
        <v>0.875</v>
      </c>
      <c r="E2092" t="s">
        <v>11</v>
      </c>
      <c r="F2092" t="s">
        <v>464</v>
      </c>
      <c r="G2092" t="s">
        <v>88</v>
      </c>
      <c r="H2092" t="s">
        <v>467</v>
      </c>
    </row>
    <row r="2093" spans="1:8" x14ac:dyDescent="0.3">
      <c r="A2093" t="s">
        <v>745</v>
      </c>
      <c r="B2093">
        <v>20</v>
      </c>
      <c r="C2093" t="s">
        <v>820</v>
      </c>
      <c r="D2093" s="1">
        <v>0.67708333333333337</v>
      </c>
      <c r="E2093" t="s">
        <v>25</v>
      </c>
      <c r="F2093" t="s">
        <v>27</v>
      </c>
      <c r="G2093" t="s">
        <v>12</v>
      </c>
      <c r="H2093" t="s">
        <v>181</v>
      </c>
    </row>
    <row r="2094" spans="1:8" x14ac:dyDescent="0.3">
      <c r="A2094" t="s">
        <v>745</v>
      </c>
      <c r="B2094">
        <v>20</v>
      </c>
      <c r="C2094" t="s">
        <v>820</v>
      </c>
      <c r="D2094" s="1">
        <v>0.77083333333333337</v>
      </c>
      <c r="E2094" t="s">
        <v>750</v>
      </c>
      <c r="F2094" t="s">
        <v>28</v>
      </c>
      <c r="G2094" t="s">
        <v>46</v>
      </c>
      <c r="H2094" t="s">
        <v>747</v>
      </c>
    </row>
    <row r="2095" spans="1:8" x14ac:dyDescent="0.3">
      <c r="A2095" t="s">
        <v>745</v>
      </c>
      <c r="B2095">
        <v>20</v>
      </c>
      <c r="C2095" t="s">
        <v>820</v>
      </c>
      <c r="D2095" s="1">
        <v>0.86458333333333337</v>
      </c>
      <c r="E2095" t="s">
        <v>35</v>
      </c>
      <c r="F2095" t="s">
        <v>16</v>
      </c>
      <c r="G2095" s="2">
        <v>46054</v>
      </c>
      <c r="H2095" t="s">
        <v>206</v>
      </c>
    </row>
    <row r="2096" spans="1:8" x14ac:dyDescent="0.3">
      <c r="A2096" t="s">
        <v>745</v>
      </c>
      <c r="B2096">
        <v>20</v>
      </c>
      <c r="C2096" t="s">
        <v>821</v>
      </c>
      <c r="D2096" s="1">
        <v>0.5</v>
      </c>
      <c r="E2096" t="s">
        <v>26</v>
      </c>
      <c r="F2096" t="s">
        <v>606</v>
      </c>
      <c r="G2096" s="2">
        <v>46056</v>
      </c>
      <c r="H2096" t="s">
        <v>752</v>
      </c>
    </row>
    <row r="2097" spans="1:8" x14ac:dyDescent="0.3">
      <c r="A2097" t="s">
        <v>745</v>
      </c>
      <c r="B2097">
        <v>20</v>
      </c>
      <c r="C2097" t="s">
        <v>821</v>
      </c>
      <c r="D2097" s="1">
        <v>0.67708333333333337</v>
      </c>
      <c r="E2097" t="s">
        <v>34</v>
      </c>
      <c r="F2097" t="s">
        <v>15</v>
      </c>
      <c r="G2097" s="2">
        <v>46023</v>
      </c>
      <c r="H2097" t="s">
        <v>73</v>
      </c>
    </row>
    <row r="2098" spans="1:8" x14ac:dyDescent="0.3">
      <c r="A2098" t="s">
        <v>745</v>
      </c>
      <c r="B2098">
        <v>20</v>
      </c>
      <c r="C2098" t="s">
        <v>821</v>
      </c>
      <c r="D2098" s="1">
        <v>0.77083333333333337</v>
      </c>
      <c r="E2098" t="s">
        <v>21</v>
      </c>
      <c r="F2098" t="s">
        <v>14</v>
      </c>
      <c r="G2098" t="s">
        <v>12</v>
      </c>
      <c r="H2098" t="s">
        <v>197</v>
      </c>
    </row>
    <row r="2099" spans="1:8" x14ac:dyDescent="0.3">
      <c r="A2099" t="s">
        <v>745</v>
      </c>
      <c r="B2099">
        <v>20</v>
      </c>
      <c r="C2099" t="s">
        <v>821</v>
      </c>
      <c r="D2099" s="1">
        <v>0.77083333333333337</v>
      </c>
      <c r="E2099" t="s">
        <v>30</v>
      </c>
      <c r="F2099" t="s">
        <v>10</v>
      </c>
      <c r="G2099" s="2">
        <v>46055</v>
      </c>
      <c r="H2099" t="s">
        <v>609</v>
      </c>
    </row>
    <row r="2100" spans="1:8" x14ac:dyDescent="0.3">
      <c r="A2100" t="s">
        <v>745</v>
      </c>
      <c r="B2100">
        <v>20</v>
      </c>
      <c r="C2100" t="s">
        <v>821</v>
      </c>
      <c r="D2100" s="1">
        <v>0.86458333333333337</v>
      </c>
      <c r="E2100" t="s">
        <v>20</v>
      </c>
      <c r="F2100" t="s">
        <v>466</v>
      </c>
      <c r="G2100" s="2">
        <v>46025</v>
      </c>
      <c r="H2100" t="s">
        <v>341</v>
      </c>
    </row>
    <row r="2101" spans="1:8" x14ac:dyDescent="0.3">
      <c r="A2101" t="s">
        <v>745</v>
      </c>
      <c r="B2101">
        <v>20</v>
      </c>
      <c r="C2101" t="s">
        <v>822</v>
      </c>
      <c r="D2101" s="1">
        <v>0.875</v>
      </c>
      <c r="E2101" t="s">
        <v>187</v>
      </c>
      <c r="F2101" t="s">
        <v>36</v>
      </c>
      <c r="G2101" t="s">
        <v>32</v>
      </c>
      <c r="H2101" t="s">
        <v>205</v>
      </c>
    </row>
    <row r="2102" spans="1:8" x14ac:dyDescent="0.3">
      <c r="A2102" t="s">
        <v>745</v>
      </c>
      <c r="B2102">
        <v>21</v>
      </c>
      <c r="C2102" t="s">
        <v>823</v>
      </c>
      <c r="D2102" s="1">
        <v>0.54166666666666663</v>
      </c>
      <c r="E2102" t="s">
        <v>27</v>
      </c>
      <c r="F2102" t="s">
        <v>21</v>
      </c>
      <c r="G2102" t="s">
        <v>40</v>
      </c>
      <c r="H2102" t="s">
        <v>612</v>
      </c>
    </row>
    <row r="2103" spans="1:8" x14ac:dyDescent="0.3">
      <c r="A2103" t="s">
        <v>745</v>
      </c>
      <c r="B2103">
        <v>21</v>
      </c>
      <c r="C2103" t="s">
        <v>823</v>
      </c>
      <c r="D2103" s="1">
        <v>0.67708333333333337</v>
      </c>
      <c r="E2103" t="s">
        <v>28</v>
      </c>
      <c r="F2103" t="s">
        <v>11</v>
      </c>
      <c r="G2103" t="s">
        <v>12</v>
      </c>
      <c r="H2103" t="s">
        <v>207</v>
      </c>
    </row>
    <row r="2104" spans="1:8" x14ac:dyDescent="0.3">
      <c r="A2104" t="s">
        <v>745</v>
      </c>
      <c r="B2104">
        <v>21</v>
      </c>
      <c r="C2104" t="s">
        <v>823</v>
      </c>
      <c r="D2104" s="1">
        <v>0.77083333333333337</v>
      </c>
      <c r="E2104" t="s">
        <v>466</v>
      </c>
      <c r="F2104" t="s">
        <v>187</v>
      </c>
      <c r="G2104" s="2">
        <v>46055</v>
      </c>
      <c r="H2104" t="s">
        <v>185</v>
      </c>
    </row>
    <row r="2105" spans="1:8" x14ac:dyDescent="0.3">
      <c r="A2105" t="s">
        <v>745</v>
      </c>
      <c r="B2105">
        <v>21</v>
      </c>
      <c r="C2105" t="s">
        <v>823</v>
      </c>
      <c r="D2105" s="1">
        <v>0.86458333333333337</v>
      </c>
      <c r="E2105" t="s">
        <v>16</v>
      </c>
      <c r="F2105" t="s">
        <v>34</v>
      </c>
      <c r="G2105" t="s">
        <v>32</v>
      </c>
      <c r="H2105" t="s">
        <v>184</v>
      </c>
    </row>
    <row r="2106" spans="1:8" x14ac:dyDescent="0.3">
      <c r="A2106" t="s">
        <v>745</v>
      </c>
      <c r="B2106">
        <v>21</v>
      </c>
      <c r="C2106" t="s">
        <v>824</v>
      </c>
      <c r="D2106" s="1">
        <v>0.5</v>
      </c>
      <c r="E2106" t="s">
        <v>14</v>
      </c>
      <c r="F2106" t="s">
        <v>35</v>
      </c>
      <c r="G2106" s="2">
        <v>46024</v>
      </c>
      <c r="H2106" t="s">
        <v>345</v>
      </c>
    </row>
    <row r="2107" spans="1:8" x14ac:dyDescent="0.3">
      <c r="A2107" t="s">
        <v>745</v>
      </c>
      <c r="B2107">
        <v>21</v>
      </c>
      <c r="C2107" t="s">
        <v>824</v>
      </c>
      <c r="D2107" s="1">
        <v>0.67708333333333337</v>
      </c>
      <c r="E2107" t="s">
        <v>606</v>
      </c>
      <c r="F2107" t="s">
        <v>20</v>
      </c>
      <c r="G2107" t="s">
        <v>54</v>
      </c>
      <c r="H2107" t="s">
        <v>614</v>
      </c>
    </row>
    <row r="2108" spans="1:8" x14ac:dyDescent="0.3">
      <c r="A2108" t="s">
        <v>745</v>
      </c>
      <c r="B2108">
        <v>21</v>
      </c>
      <c r="C2108" t="s">
        <v>824</v>
      </c>
      <c r="D2108" s="1">
        <v>0.77083333333333337</v>
      </c>
      <c r="E2108" t="s">
        <v>15</v>
      </c>
      <c r="F2108" t="s">
        <v>26</v>
      </c>
      <c r="G2108" t="s">
        <v>18</v>
      </c>
      <c r="H2108" t="s">
        <v>198</v>
      </c>
    </row>
    <row r="2109" spans="1:8" x14ac:dyDescent="0.3">
      <c r="A2109" t="s">
        <v>745</v>
      </c>
      <c r="B2109">
        <v>21</v>
      </c>
      <c r="C2109" t="s">
        <v>824</v>
      </c>
      <c r="D2109" s="1">
        <v>0.77083333333333337</v>
      </c>
      <c r="E2109" t="s">
        <v>10</v>
      </c>
      <c r="F2109" t="s">
        <v>750</v>
      </c>
      <c r="G2109" t="s">
        <v>41</v>
      </c>
      <c r="H2109" t="s">
        <v>202</v>
      </c>
    </row>
    <row r="2110" spans="1:8" x14ac:dyDescent="0.3">
      <c r="A2110" t="s">
        <v>745</v>
      </c>
      <c r="B2110">
        <v>21</v>
      </c>
      <c r="C2110" t="s">
        <v>824</v>
      </c>
      <c r="D2110" s="1">
        <v>0.86458333333333337</v>
      </c>
      <c r="E2110" t="s">
        <v>36</v>
      </c>
      <c r="F2110" t="s">
        <v>25</v>
      </c>
      <c r="G2110" s="2">
        <v>46114</v>
      </c>
      <c r="H2110" t="s">
        <v>194</v>
      </c>
    </row>
    <row r="2111" spans="1:8" x14ac:dyDescent="0.3">
      <c r="A2111" t="s">
        <v>745</v>
      </c>
      <c r="B2111">
        <v>21</v>
      </c>
      <c r="C2111" t="s">
        <v>825</v>
      </c>
      <c r="D2111" s="1">
        <v>0.875</v>
      </c>
      <c r="E2111" t="s">
        <v>464</v>
      </c>
      <c r="F2111" t="s">
        <v>30</v>
      </c>
      <c r="G2111" t="s">
        <v>42</v>
      </c>
      <c r="H2111" t="s">
        <v>190</v>
      </c>
    </row>
    <row r="2112" spans="1:8" x14ac:dyDescent="0.3">
      <c r="A2112" t="s">
        <v>745</v>
      </c>
      <c r="B2112">
        <v>22</v>
      </c>
      <c r="C2112" t="s">
        <v>826</v>
      </c>
      <c r="D2112" s="1">
        <v>0.875</v>
      </c>
      <c r="E2112" t="s">
        <v>750</v>
      </c>
      <c r="F2112" t="s">
        <v>14</v>
      </c>
      <c r="G2112" t="s">
        <v>88</v>
      </c>
      <c r="H2112" t="s">
        <v>467</v>
      </c>
    </row>
    <row r="2113" spans="1:8" x14ac:dyDescent="0.3">
      <c r="A2113" t="s">
        <v>745</v>
      </c>
      <c r="B2113">
        <v>22</v>
      </c>
      <c r="C2113" t="s">
        <v>827</v>
      </c>
      <c r="D2113" s="1">
        <v>0.54166666666666663</v>
      </c>
      <c r="E2113" t="s">
        <v>21</v>
      </c>
      <c r="F2113" t="s">
        <v>11</v>
      </c>
      <c r="G2113" t="s">
        <v>41</v>
      </c>
      <c r="H2113" t="s">
        <v>752</v>
      </c>
    </row>
    <row r="2114" spans="1:8" x14ac:dyDescent="0.3">
      <c r="A2114" t="s">
        <v>745</v>
      </c>
      <c r="B2114">
        <v>22</v>
      </c>
      <c r="C2114" t="s">
        <v>827</v>
      </c>
      <c r="D2114" s="1">
        <v>0.67708333333333337</v>
      </c>
      <c r="E2114" t="s">
        <v>10</v>
      </c>
      <c r="F2114" t="s">
        <v>15</v>
      </c>
      <c r="G2114" s="2">
        <v>46024</v>
      </c>
      <c r="H2114" t="s">
        <v>181</v>
      </c>
    </row>
    <row r="2115" spans="1:8" x14ac:dyDescent="0.3">
      <c r="A2115" t="s">
        <v>745</v>
      </c>
      <c r="B2115">
        <v>22</v>
      </c>
      <c r="C2115" t="s">
        <v>827</v>
      </c>
      <c r="D2115" s="1">
        <v>0.77083333333333337</v>
      </c>
      <c r="E2115" t="s">
        <v>20</v>
      </c>
      <c r="F2115" t="s">
        <v>16</v>
      </c>
      <c r="G2115" s="2">
        <v>46055</v>
      </c>
      <c r="H2115" t="s">
        <v>73</v>
      </c>
    </row>
    <row r="2116" spans="1:8" x14ac:dyDescent="0.3">
      <c r="A2116" t="s">
        <v>745</v>
      </c>
      <c r="B2116">
        <v>22</v>
      </c>
      <c r="C2116" t="s">
        <v>827</v>
      </c>
      <c r="D2116" s="1">
        <v>0.86458333333333337</v>
      </c>
      <c r="E2116" t="s">
        <v>35</v>
      </c>
      <c r="F2116" t="s">
        <v>27</v>
      </c>
      <c r="G2116" t="s">
        <v>18</v>
      </c>
      <c r="H2116" t="s">
        <v>341</v>
      </c>
    </row>
    <row r="2117" spans="1:8" x14ac:dyDescent="0.3">
      <c r="A2117" t="s">
        <v>745</v>
      </c>
      <c r="B2117">
        <v>22</v>
      </c>
      <c r="C2117" t="s">
        <v>828</v>
      </c>
      <c r="D2117" s="1">
        <v>0.5</v>
      </c>
      <c r="E2117" t="s">
        <v>34</v>
      </c>
      <c r="F2117" t="s">
        <v>36</v>
      </c>
      <c r="G2117" s="2">
        <v>46055</v>
      </c>
      <c r="H2117" t="s">
        <v>747</v>
      </c>
    </row>
    <row r="2118" spans="1:8" x14ac:dyDescent="0.3">
      <c r="A2118" t="s">
        <v>745</v>
      </c>
      <c r="B2118">
        <v>22</v>
      </c>
      <c r="C2118" t="s">
        <v>828</v>
      </c>
      <c r="D2118" s="1">
        <v>0.67708333333333337</v>
      </c>
      <c r="E2118" t="s">
        <v>26</v>
      </c>
      <c r="F2118" t="s">
        <v>28</v>
      </c>
      <c r="G2118" t="s">
        <v>18</v>
      </c>
      <c r="H2118" t="s">
        <v>609</v>
      </c>
    </row>
    <row r="2119" spans="1:8" x14ac:dyDescent="0.3">
      <c r="A2119" t="s">
        <v>745</v>
      </c>
      <c r="B2119">
        <v>22</v>
      </c>
      <c r="C2119" t="s">
        <v>828</v>
      </c>
      <c r="D2119" s="1">
        <v>0.77083333333333337</v>
      </c>
      <c r="E2119" t="s">
        <v>187</v>
      </c>
      <c r="F2119" t="s">
        <v>606</v>
      </c>
      <c r="G2119" t="s">
        <v>32</v>
      </c>
      <c r="H2119" t="s">
        <v>206</v>
      </c>
    </row>
    <row r="2120" spans="1:8" x14ac:dyDescent="0.3">
      <c r="A2120" t="s">
        <v>745</v>
      </c>
      <c r="B2120">
        <v>22</v>
      </c>
      <c r="C2120" t="s">
        <v>828</v>
      </c>
      <c r="D2120" s="1">
        <v>0.86458333333333337</v>
      </c>
      <c r="E2120" t="s">
        <v>25</v>
      </c>
      <c r="F2120" t="s">
        <v>464</v>
      </c>
      <c r="G2120" t="s">
        <v>32</v>
      </c>
      <c r="H2120" t="s">
        <v>197</v>
      </c>
    </row>
    <row r="2121" spans="1:8" x14ac:dyDescent="0.3">
      <c r="A2121" t="s">
        <v>745</v>
      </c>
      <c r="B2121">
        <v>22</v>
      </c>
      <c r="C2121" t="s">
        <v>829</v>
      </c>
      <c r="D2121" s="1">
        <v>0.875</v>
      </c>
      <c r="E2121" t="s">
        <v>30</v>
      </c>
      <c r="F2121" t="s">
        <v>466</v>
      </c>
      <c r="G2121" s="2">
        <v>46054</v>
      </c>
      <c r="H2121" t="s">
        <v>205</v>
      </c>
    </row>
    <row r="2122" spans="1:8" x14ac:dyDescent="0.3">
      <c r="A2122" t="s">
        <v>745</v>
      </c>
      <c r="B2122">
        <v>23</v>
      </c>
      <c r="C2122" t="s">
        <v>830</v>
      </c>
      <c r="D2122" s="1">
        <v>0.875</v>
      </c>
      <c r="E2122" t="s">
        <v>14</v>
      </c>
      <c r="F2122" t="s">
        <v>34</v>
      </c>
      <c r="G2122" t="s">
        <v>41</v>
      </c>
      <c r="H2122" t="s">
        <v>185</v>
      </c>
    </row>
    <row r="2123" spans="1:8" x14ac:dyDescent="0.3">
      <c r="A2123" t="s">
        <v>745</v>
      </c>
      <c r="B2123">
        <v>23</v>
      </c>
      <c r="C2123" t="s">
        <v>831</v>
      </c>
      <c r="D2123" s="1">
        <v>0.54166666666666663</v>
      </c>
      <c r="E2123" t="s">
        <v>11</v>
      </c>
      <c r="F2123" t="s">
        <v>35</v>
      </c>
      <c r="G2123" s="2">
        <v>46025</v>
      </c>
      <c r="H2123" t="s">
        <v>614</v>
      </c>
    </row>
    <row r="2124" spans="1:8" x14ac:dyDescent="0.3">
      <c r="A2124" t="s">
        <v>745</v>
      </c>
      <c r="B2124">
        <v>23</v>
      </c>
      <c r="C2124" t="s">
        <v>831</v>
      </c>
      <c r="D2124" s="1">
        <v>0.67708333333333337</v>
      </c>
      <c r="E2124" t="s">
        <v>28</v>
      </c>
      <c r="F2124" t="s">
        <v>25</v>
      </c>
      <c r="G2124" s="2">
        <v>46082</v>
      </c>
      <c r="H2124" t="s">
        <v>198</v>
      </c>
    </row>
    <row r="2125" spans="1:8" x14ac:dyDescent="0.3">
      <c r="A2125" t="s">
        <v>745</v>
      </c>
      <c r="B2125">
        <v>23</v>
      </c>
      <c r="C2125" t="s">
        <v>831</v>
      </c>
      <c r="D2125" s="1">
        <v>0.77083333333333337</v>
      </c>
      <c r="E2125" t="s">
        <v>36</v>
      </c>
      <c r="F2125" t="s">
        <v>30</v>
      </c>
      <c r="G2125" s="2">
        <v>46024</v>
      </c>
      <c r="H2125" t="s">
        <v>202</v>
      </c>
    </row>
    <row r="2126" spans="1:8" x14ac:dyDescent="0.3">
      <c r="A2126" t="s">
        <v>745</v>
      </c>
      <c r="B2126">
        <v>23</v>
      </c>
      <c r="C2126" t="s">
        <v>831</v>
      </c>
      <c r="D2126" s="1">
        <v>0.86458333333333337</v>
      </c>
      <c r="E2126" t="s">
        <v>606</v>
      </c>
      <c r="F2126" t="s">
        <v>750</v>
      </c>
      <c r="G2126" t="s">
        <v>54</v>
      </c>
      <c r="H2126" t="s">
        <v>752</v>
      </c>
    </row>
    <row r="2127" spans="1:8" x14ac:dyDescent="0.3">
      <c r="A2127" t="s">
        <v>745</v>
      </c>
      <c r="B2127">
        <v>23</v>
      </c>
      <c r="C2127" t="s">
        <v>832</v>
      </c>
      <c r="D2127" s="1">
        <v>0.5</v>
      </c>
      <c r="E2127" t="s">
        <v>466</v>
      </c>
      <c r="F2127" t="s">
        <v>26</v>
      </c>
      <c r="G2127" t="s">
        <v>32</v>
      </c>
      <c r="H2127" t="s">
        <v>612</v>
      </c>
    </row>
    <row r="2128" spans="1:8" x14ac:dyDescent="0.3">
      <c r="A2128" t="s">
        <v>745</v>
      </c>
      <c r="B2128">
        <v>23</v>
      </c>
      <c r="C2128" t="s">
        <v>832</v>
      </c>
      <c r="D2128" s="1">
        <v>0.67708333333333337</v>
      </c>
      <c r="E2128" t="s">
        <v>16</v>
      </c>
      <c r="F2128" t="s">
        <v>10</v>
      </c>
      <c r="G2128" t="s">
        <v>41</v>
      </c>
      <c r="H2128" t="s">
        <v>190</v>
      </c>
    </row>
    <row r="2129" spans="1:8" x14ac:dyDescent="0.3">
      <c r="A2129" t="s">
        <v>745</v>
      </c>
      <c r="B2129">
        <v>23</v>
      </c>
      <c r="C2129" t="s">
        <v>832</v>
      </c>
      <c r="D2129" s="1">
        <v>0.77083333333333337</v>
      </c>
      <c r="E2129" t="s">
        <v>27</v>
      </c>
      <c r="F2129" t="s">
        <v>187</v>
      </c>
      <c r="G2129" s="2">
        <v>46055</v>
      </c>
      <c r="H2129" t="s">
        <v>207</v>
      </c>
    </row>
    <row r="2130" spans="1:8" x14ac:dyDescent="0.3">
      <c r="A2130" t="s">
        <v>745</v>
      </c>
      <c r="B2130">
        <v>23</v>
      </c>
      <c r="C2130" t="s">
        <v>832</v>
      </c>
      <c r="D2130" s="1">
        <v>0.86458333333333337</v>
      </c>
      <c r="E2130" t="s">
        <v>15</v>
      </c>
      <c r="F2130" t="s">
        <v>20</v>
      </c>
      <c r="G2130" t="s">
        <v>41</v>
      </c>
      <c r="H2130" t="s">
        <v>184</v>
      </c>
    </row>
    <row r="2131" spans="1:8" x14ac:dyDescent="0.3">
      <c r="A2131" t="s">
        <v>745</v>
      </c>
      <c r="B2131">
        <v>23</v>
      </c>
      <c r="C2131" t="s">
        <v>833</v>
      </c>
      <c r="D2131" s="1">
        <v>0.875</v>
      </c>
      <c r="E2131" t="s">
        <v>464</v>
      </c>
      <c r="F2131" t="s">
        <v>21</v>
      </c>
      <c r="G2131" t="s">
        <v>12</v>
      </c>
      <c r="H2131" t="s">
        <v>73</v>
      </c>
    </row>
    <row r="2132" spans="1:8" x14ac:dyDescent="0.3">
      <c r="A2132" t="s">
        <v>745</v>
      </c>
      <c r="B2132">
        <v>24</v>
      </c>
      <c r="C2132" t="s">
        <v>834</v>
      </c>
      <c r="D2132" s="1">
        <v>0.875</v>
      </c>
      <c r="E2132" t="s">
        <v>187</v>
      </c>
      <c r="F2132" t="s">
        <v>11</v>
      </c>
      <c r="G2132" s="2">
        <v>46055</v>
      </c>
      <c r="H2132" t="s">
        <v>609</v>
      </c>
    </row>
    <row r="2133" spans="1:8" x14ac:dyDescent="0.3">
      <c r="A2133" t="s">
        <v>745</v>
      </c>
      <c r="B2133">
        <v>24</v>
      </c>
      <c r="C2133" t="s">
        <v>835</v>
      </c>
      <c r="D2133" s="1">
        <v>0.54166666666666663</v>
      </c>
      <c r="E2133" t="s">
        <v>35</v>
      </c>
      <c r="F2133" t="s">
        <v>21</v>
      </c>
      <c r="G2133" s="2">
        <v>46113</v>
      </c>
      <c r="H2133" t="s">
        <v>197</v>
      </c>
    </row>
    <row r="2134" spans="1:8" x14ac:dyDescent="0.3">
      <c r="A2134" t="s">
        <v>745</v>
      </c>
      <c r="B2134">
        <v>24</v>
      </c>
      <c r="C2134" t="s">
        <v>835</v>
      </c>
      <c r="D2134" s="1">
        <v>0.67708333333333337</v>
      </c>
      <c r="E2134" t="s">
        <v>30</v>
      </c>
      <c r="F2134" t="s">
        <v>28</v>
      </c>
      <c r="G2134" t="s">
        <v>42</v>
      </c>
      <c r="H2134" t="s">
        <v>194</v>
      </c>
    </row>
    <row r="2135" spans="1:8" x14ac:dyDescent="0.3">
      <c r="A2135" t="s">
        <v>745</v>
      </c>
      <c r="B2135">
        <v>24</v>
      </c>
      <c r="C2135" t="s">
        <v>835</v>
      </c>
      <c r="D2135" s="1">
        <v>0.77083333333333337</v>
      </c>
      <c r="E2135" t="s">
        <v>10</v>
      </c>
      <c r="F2135" t="s">
        <v>466</v>
      </c>
      <c r="G2135" t="s">
        <v>32</v>
      </c>
      <c r="H2135" t="s">
        <v>467</v>
      </c>
    </row>
    <row r="2136" spans="1:8" x14ac:dyDescent="0.3">
      <c r="A2136" t="s">
        <v>745</v>
      </c>
      <c r="B2136">
        <v>24</v>
      </c>
      <c r="C2136" t="s">
        <v>835</v>
      </c>
      <c r="D2136" s="1">
        <v>0.86458333333333337</v>
      </c>
      <c r="E2136" t="s">
        <v>20</v>
      </c>
      <c r="F2136" t="s">
        <v>14</v>
      </c>
      <c r="G2136" t="s">
        <v>18</v>
      </c>
      <c r="H2136" t="s">
        <v>205</v>
      </c>
    </row>
    <row r="2137" spans="1:8" x14ac:dyDescent="0.3">
      <c r="A2137" t="s">
        <v>745</v>
      </c>
      <c r="B2137">
        <v>24</v>
      </c>
      <c r="C2137" t="s">
        <v>836</v>
      </c>
      <c r="D2137" s="1">
        <v>0.5</v>
      </c>
      <c r="E2137" t="s">
        <v>25</v>
      </c>
      <c r="F2137" t="s">
        <v>606</v>
      </c>
      <c r="G2137" s="2">
        <v>46054</v>
      </c>
      <c r="H2137" t="s">
        <v>747</v>
      </c>
    </row>
    <row r="2138" spans="1:8" x14ac:dyDescent="0.3">
      <c r="A2138" t="s">
        <v>745</v>
      </c>
      <c r="B2138">
        <v>24</v>
      </c>
      <c r="C2138" t="s">
        <v>836</v>
      </c>
      <c r="D2138" s="1">
        <v>0.67708333333333337</v>
      </c>
      <c r="E2138" t="s">
        <v>16</v>
      </c>
      <c r="F2138" t="s">
        <v>36</v>
      </c>
      <c r="G2138" t="s">
        <v>41</v>
      </c>
      <c r="H2138" t="s">
        <v>341</v>
      </c>
    </row>
    <row r="2139" spans="1:8" x14ac:dyDescent="0.3">
      <c r="A2139" t="s">
        <v>745</v>
      </c>
      <c r="B2139">
        <v>24</v>
      </c>
      <c r="C2139" t="s">
        <v>836</v>
      </c>
      <c r="D2139" s="1">
        <v>0.77083333333333337</v>
      </c>
      <c r="E2139" t="s">
        <v>34</v>
      </c>
      <c r="F2139" t="s">
        <v>27</v>
      </c>
      <c r="G2139" t="s">
        <v>32</v>
      </c>
      <c r="H2139" t="s">
        <v>206</v>
      </c>
    </row>
    <row r="2140" spans="1:8" x14ac:dyDescent="0.3">
      <c r="A2140" t="s">
        <v>745</v>
      </c>
      <c r="B2140">
        <v>24</v>
      </c>
      <c r="C2140" t="s">
        <v>836</v>
      </c>
      <c r="D2140" s="1">
        <v>0.86458333333333337</v>
      </c>
      <c r="E2140" t="s">
        <v>26</v>
      </c>
      <c r="F2140" t="s">
        <v>464</v>
      </c>
      <c r="G2140" s="2">
        <v>46023</v>
      </c>
      <c r="H2140" t="s">
        <v>181</v>
      </c>
    </row>
    <row r="2141" spans="1:8" x14ac:dyDescent="0.3">
      <c r="A2141" t="s">
        <v>745</v>
      </c>
      <c r="B2141">
        <v>24</v>
      </c>
      <c r="C2141" t="s">
        <v>837</v>
      </c>
      <c r="D2141" s="1">
        <v>0.875</v>
      </c>
      <c r="E2141" t="s">
        <v>750</v>
      </c>
      <c r="F2141" t="s">
        <v>15</v>
      </c>
      <c r="G2141" t="s">
        <v>42</v>
      </c>
      <c r="H2141" t="s">
        <v>345</v>
      </c>
    </row>
    <row r="2142" spans="1:8" x14ac:dyDescent="0.3">
      <c r="A2142" t="s">
        <v>745</v>
      </c>
      <c r="B2142">
        <v>25</v>
      </c>
      <c r="C2142" t="s">
        <v>838</v>
      </c>
      <c r="D2142" s="1">
        <v>0.875</v>
      </c>
      <c r="E2142" t="s">
        <v>36</v>
      </c>
      <c r="F2142" t="s">
        <v>750</v>
      </c>
      <c r="G2142" s="2">
        <v>46023</v>
      </c>
      <c r="H2142" t="s">
        <v>185</v>
      </c>
    </row>
    <row r="2143" spans="1:8" x14ac:dyDescent="0.3">
      <c r="A2143" t="s">
        <v>745</v>
      </c>
      <c r="B2143">
        <v>25</v>
      </c>
      <c r="C2143" t="s">
        <v>839</v>
      </c>
      <c r="D2143" s="1">
        <v>0.54166666666666663</v>
      </c>
      <c r="E2143" t="s">
        <v>11</v>
      </c>
      <c r="F2143" t="s">
        <v>30</v>
      </c>
      <c r="G2143" s="2">
        <v>46024</v>
      </c>
      <c r="H2143" t="s">
        <v>612</v>
      </c>
    </row>
    <row r="2144" spans="1:8" x14ac:dyDescent="0.3">
      <c r="A2144" t="s">
        <v>745</v>
      </c>
      <c r="B2144">
        <v>25</v>
      </c>
      <c r="C2144" t="s">
        <v>839</v>
      </c>
      <c r="D2144" s="1">
        <v>0.67708333333333337</v>
      </c>
      <c r="E2144" t="s">
        <v>27</v>
      </c>
      <c r="F2144" t="s">
        <v>20</v>
      </c>
      <c r="G2144" s="2">
        <v>46114</v>
      </c>
      <c r="H2144" t="s">
        <v>181</v>
      </c>
    </row>
    <row r="2145" spans="1:8" x14ac:dyDescent="0.3">
      <c r="A2145" t="s">
        <v>745</v>
      </c>
      <c r="B2145">
        <v>25</v>
      </c>
      <c r="C2145" t="s">
        <v>839</v>
      </c>
      <c r="D2145" s="1">
        <v>0.77083333333333337</v>
      </c>
      <c r="E2145" t="s">
        <v>464</v>
      </c>
      <c r="F2145" t="s">
        <v>35</v>
      </c>
      <c r="G2145" t="s">
        <v>41</v>
      </c>
      <c r="H2145" t="s">
        <v>184</v>
      </c>
    </row>
    <row r="2146" spans="1:8" x14ac:dyDescent="0.3">
      <c r="A2146" t="s">
        <v>745</v>
      </c>
      <c r="B2146">
        <v>25</v>
      </c>
      <c r="C2146" t="s">
        <v>839</v>
      </c>
      <c r="D2146" s="1">
        <v>0.86458333333333337</v>
      </c>
      <c r="E2146" t="s">
        <v>15</v>
      </c>
      <c r="F2146" t="s">
        <v>187</v>
      </c>
      <c r="G2146" t="s">
        <v>18</v>
      </c>
      <c r="H2146" t="s">
        <v>190</v>
      </c>
    </row>
    <row r="2147" spans="1:8" x14ac:dyDescent="0.3">
      <c r="A2147" t="s">
        <v>745</v>
      </c>
      <c r="B2147">
        <v>25</v>
      </c>
      <c r="C2147" t="s">
        <v>840</v>
      </c>
      <c r="D2147" s="1">
        <v>0.5</v>
      </c>
      <c r="E2147" t="s">
        <v>466</v>
      </c>
      <c r="F2147" t="s">
        <v>16</v>
      </c>
      <c r="G2147" s="2">
        <v>46023</v>
      </c>
      <c r="H2147" t="s">
        <v>198</v>
      </c>
    </row>
    <row r="2148" spans="1:8" x14ac:dyDescent="0.3">
      <c r="A2148" t="s">
        <v>745</v>
      </c>
      <c r="B2148">
        <v>25</v>
      </c>
      <c r="C2148" t="s">
        <v>840</v>
      </c>
      <c r="D2148" s="1">
        <v>0.67708333333333337</v>
      </c>
      <c r="E2148" t="s">
        <v>28</v>
      </c>
      <c r="F2148" t="s">
        <v>34</v>
      </c>
      <c r="G2148" t="s">
        <v>12</v>
      </c>
      <c r="H2148" t="s">
        <v>73</v>
      </c>
    </row>
    <row r="2149" spans="1:8" x14ac:dyDescent="0.3">
      <c r="A2149" t="s">
        <v>745</v>
      </c>
      <c r="B2149">
        <v>25</v>
      </c>
      <c r="C2149" t="s">
        <v>840</v>
      </c>
      <c r="D2149" s="1">
        <v>0.77083333333333337</v>
      </c>
      <c r="E2149" t="s">
        <v>14</v>
      </c>
      <c r="F2149" t="s">
        <v>26</v>
      </c>
      <c r="G2149" t="s">
        <v>54</v>
      </c>
      <c r="H2149" t="s">
        <v>614</v>
      </c>
    </row>
    <row r="2150" spans="1:8" x14ac:dyDescent="0.3">
      <c r="A2150" t="s">
        <v>745</v>
      </c>
      <c r="B2150">
        <v>25</v>
      </c>
      <c r="C2150" t="s">
        <v>840</v>
      </c>
      <c r="D2150" s="1">
        <v>0.86458333333333337</v>
      </c>
      <c r="E2150" t="s">
        <v>21</v>
      </c>
      <c r="F2150" t="s">
        <v>25</v>
      </c>
      <c r="G2150" s="2">
        <v>46054</v>
      </c>
      <c r="H2150" t="s">
        <v>207</v>
      </c>
    </row>
    <row r="2151" spans="1:8" x14ac:dyDescent="0.3">
      <c r="A2151" t="s">
        <v>745</v>
      </c>
      <c r="B2151">
        <v>25</v>
      </c>
      <c r="C2151" t="s">
        <v>841</v>
      </c>
      <c r="D2151" s="1">
        <v>0.875</v>
      </c>
      <c r="E2151" t="s">
        <v>606</v>
      </c>
      <c r="F2151" t="s">
        <v>10</v>
      </c>
      <c r="G2151" t="s">
        <v>41</v>
      </c>
      <c r="H2151" t="s">
        <v>202</v>
      </c>
    </row>
    <row r="2152" spans="1:8" x14ac:dyDescent="0.3">
      <c r="A2152" t="s">
        <v>745</v>
      </c>
      <c r="B2152">
        <v>26</v>
      </c>
      <c r="C2152" t="s">
        <v>842</v>
      </c>
      <c r="D2152" s="1">
        <v>0.875</v>
      </c>
      <c r="E2152" t="s">
        <v>30</v>
      </c>
      <c r="F2152" t="s">
        <v>606</v>
      </c>
      <c r="G2152" t="s">
        <v>54</v>
      </c>
      <c r="H2152" t="s">
        <v>197</v>
      </c>
    </row>
    <row r="2153" spans="1:8" x14ac:dyDescent="0.3">
      <c r="A2153" t="s">
        <v>745</v>
      </c>
      <c r="B2153">
        <v>26</v>
      </c>
      <c r="C2153" t="s">
        <v>843</v>
      </c>
      <c r="D2153" s="1">
        <v>0.54166666666666663</v>
      </c>
      <c r="E2153" t="s">
        <v>36</v>
      </c>
      <c r="F2153" t="s">
        <v>14</v>
      </c>
      <c r="G2153" s="2">
        <v>46025</v>
      </c>
      <c r="H2153" t="s">
        <v>752</v>
      </c>
    </row>
    <row r="2154" spans="1:8" x14ac:dyDescent="0.3">
      <c r="A2154" t="s">
        <v>745</v>
      </c>
      <c r="B2154">
        <v>26</v>
      </c>
      <c r="C2154" t="s">
        <v>843</v>
      </c>
      <c r="D2154" s="1">
        <v>0.67708333333333337</v>
      </c>
      <c r="E2154" t="s">
        <v>34</v>
      </c>
      <c r="F2154" t="s">
        <v>464</v>
      </c>
      <c r="G2154" s="2">
        <v>46054</v>
      </c>
      <c r="H2154" t="s">
        <v>467</v>
      </c>
    </row>
    <row r="2155" spans="1:8" x14ac:dyDescent="0.3">
      <c r="A2155" t="s">
        <v>745</v>
      </c>
      <c r="B2155">
        <v>26</v>
      </c>
      <c r="C2155" t="s">
        <v>843</v>
      </c>
      <c r="D2155" s="1">
        <v>0.77083333333333337</v>
      </c>
      <c r="E2155" t="s">
        <v>750</v>
      </c>
      <c r="F2155" t="s">
        <v>27</v>
      </c>
      <c r="G2155" s="2">
        <v>46024</v>
      </c>
      <c r="H2155" t="s">
        <v>341</v>
      </c>
    </row>
    <row r="2156" spans="1:8" x14ac:dyDescent="0.3">
      <c r="A2156" t="s">
        <v>745</v>
      </c>
      <c r="B2156">
        <v>26</v>
      </c>
      <c r="C2156" t="s">
        <v>843</v>
      </c>
      <c r="D2156" s="1">
        <v>0.86458333333333337</v>
      </c>
      <c r="E2156" t="s">
        <v>25</v>
      </c>
      <c r="F2156" t="s">
        <v>20</v>
      </c>
      <c r="G2156" t="s">
        <v>42</v>
      </c>
      <c r="H2156" t="s">
        <v>73</v>
      </c>
    </row>
    <row r="2157" spans="1:8" x14ac:dyDescent="0.3">
      <c r="A2157" t="s">
        <v>745</v>
      </c>
      <c r="B2157">
        <v>26</v>
      </c>
      <c r="C2157" t="s">
        <v>844</v>
      </c>
      <c r="D2157" s="1">
        <v>0.5</v>
      </c>
      <c r="E2157" t="s">
        <v>187</v>
      </c>
      <c r="F2157" t="s">
        <v>35</v>
      </c>
      <c r="G2157" t="s">
        <v>18</v>
      </c>
      <c r="H2157" t="s">
        <v>747</v>
      </c>
    </row>
    <row r="2158" spans="1:8" x14ac:dyDescent="0.3">
      <c r="A2158" t="s">
        <v>745</v>
      </c>
      <c r="B2158">
        <v>26</v>
      </c>
      <c r="C2158" t="s">
        <v>844</v>
      </c>
      <c r="D2158" s="1">
        <v>0.67708333333333337</v>
      </c>
      <c r="E2158" t="s">
        <v>26</v>
      </c>
      <c r="F2158" t="s">
        <v>11</v>
      </c>
      <c r="G2158" s="2">
        <v>46054</v>
      </c>
      <c r="H2158" t="s">
        <v>205</v>
      </c>
    </row>
    <row r="2159" spans="1:8" x14ac:dyDescent="0.3">
      <c r="A2159" t="s">
        <v>745</v>
      </c>
      <c r="B2159">
        <v>26</v>
      </c>
      <c r="C2159" t="s">
        <v>844</v>
      </c>
      <c r="D2159" s="1">
        <v>0.77083333333333337</v>
      </c>
      <c r="E2159" t="s">
        <v>10</v>
      </c>
      <c r="F2159" t="s">
        <v>28</v>
      </c>
      <c r="G2159" t="s">
        <v>54</v>
      </c>
      <c r="H2159" t="s">
        <v>206</v>
      </c>
    </row>
    <row r="2160" spans="1:8" x14ac:dyDescent="0.3">
      <c r="A2160" t="s">
        <v>745</v>
      </c>
      <c r="B2160">
        <v>26</v>
      </c>
      <c r="C2160" t="s">
        <v>844</v>
      </c>
      <c r="D2160" s="1">
        <v>0.86458333333333337</v>
      </c>
      <c r="E2160" t="s">
        <v>16</v>
      </c>
      <c r="F2160" t="s">
        <v>15</v>
      </c>
      <c r="G2160" t="s">
        <v>12</v>
      </c>
      <c r="H2160" t="s">
        <v>609</v>
      </c>
    </row>
    <row r="2161" spans="1:8" x14ac:dyDescent="0.3">
      <c r="A2161" t="s">
        <v>745</v>
      </c>
      <c r="B2161">
        <v>26</v>
      </c>
      <c r="C2161" t="s">
        <v>845</v>
      </c>
      <c r="D2161" s="1">
        <v>0.875</v>
      </c>
      <c r="E2161" t="s">
        <v>466</v>
      </c>
      <c r="F2161" t="s">
        <v>21</v>
      </c>
      <c r="G2161" t="s">
        <v>18</v>
      </c>
      <c r="H2161" t="s">
        <v>194</v>
      </c>
    </row>
    <row r="2162" spans="1:8" x14ac:dyDescent="0.3">
      <c r="A2162" t="s">
        <v>745</v>
      </c>
      <c r="B2162">
        <v>27</v>
      </c>
      <c r="C2162" t="s">
        <v>846</v>
      </c>
      <c r="D2162" s="1">
        <v>0.875</v>
      </c>
      <c r="E2162" t="s">
        <v>15</v>
      </c>
      <c r="F2162" t="s">
        <v>36</v>
      </c>
      <c r="G2162" s="2">
        <v>46023</v>
      </c>
      <c r="H2162" t="s">
        <v>614</v>
      </c>
    </row>
    <row r="2163" spans="1:8" x14ac:dyDescent="0.3">
      <c r="A2163" t="s">
        <v>745</v>
      </c>
      <c r="B2163">
        <v>27</v>
      </c>
      <c r="C2163" t="s">
        <v>847</v>
      </c>
      <c r="D2163" s="1">
        <v>0.54166666666666663</v>
      </c>
      <c r="E2163" t="s">
        <v>464</v>
      </c>
      <c r="F2163" t="s">
        <v>187</v>
      </c>
      <c r="G2163" s="2">
        <v>46023</v>
      </c>
      <c r="H2163" t="s">
        <v>612</v>
      </c>
    </row>
    <row r="2164" spans="1:8" x14ac:dyDescent="0.3">
      <c r="A2164" t="s">
        <v>745</v>
      </c>
      <c r="B2164">
        <v>27</v>
      </c>
      <c r="C2164" t="s">
        <v>847</v>
      </c>
      <c r="D2164" s="1">
        <v>0.67708333333333337</v>
      </c>
      <c r="E2164" t="s">
        <v>28</v>
      </c>
      <c r="F2164" t="s">
        <v>466</v>
      </c>
      <c r="G2164" t="s">
        <v>18</v>
      </c>
      <c r="H2164" t="s">
        <v>181</v>
      </c>
    </row>
    <row r="2165" spans="1:8" x14ac:dyDescent="0.3">
      <c r="A2165" t="s">
        <v>745</v>
      </c>
      <c r="B2165">
        <v>27</v>
      </c>
      <c r="C2165" t="s">
        <v>847</v>
      </c>
      <c r="D2165" s="1">
        <v>0.77083333333333337</v>
      </c>
      <c r="E2165" t="s">
        <v>20</v>
      </c>
      <c r="F2165" t="s">
        <v>30</v>
      </c>
      <c r="G2165" s="2">
        <v>46025</v>
      </c>
      <c r="H2165" t="s">
        <v>190</v>
      </c>
    </row>
    <row r="2166" spans="1:8" x14ac:dyDescent="0.3">
      <c r="A2166" t="s">
        <v>745</v>
      </c>
      <c r="B2166">
        <v>27</v>
      </c>
      <c r="C2166" t="s">
        <v>847</v>
      </c>
      <c r="D2166" s="1">
        <v>0.86458333333333337</v>
      </c>
      <c r="E2166" t="s">
        <v>11</v>
      </c>
      <c r="F2166" t="s">
        <v>750</v>
      </c>
      <c r="G2166" s="2">
        <v>46024</v>
      </c>
      <c r="H2166" t="s">
        <v>202</v>
      </c>
    </row>
    <row r="2167" spans="1:8" x14ac:dyDescent="0.3">
      <c r="A2167" t="s">
        <v>745</v>
      </c>
      <c r="B2167">
        <v>27</v>
      </c>
      <c r="C2167" t="s">
        <v>848</v>
      </c>
      <c r="D2167" s="1">
        <v>0.5</v>
      </c>
      <c r="E2167" t="s">
        <v>35</v>
      </c>
      <c r="F2167" t="s">
        <v>26</v>
      </c>
      <c r="G2167" t="s">
        <v>42</v>
      </c>
      <c r="H2167" t="s">
        <v>198</v>
      </c>
    </row>
    <row r="2168" spans="1:8" x14ac:dyDescent="0.3">
      <c r="A2168" t="s">
        <v>745</v>
      </c>
      <c r="B2168">
        <v>27</v>
      </c>
      <c r="C2168" t="s">
        <v>848</v>
      </c>
      <c r="D2168" s="1">
        <v>0.67708333333333337</v>
      </c>
      <c r="E2168" t="s">
        <v>606</v>
      </c>
      <c r="F2168" t="s">
        <v>16</v>
      </c>
      <c r="G2168" s="2">
        <v>46083</v>
      </c>
      <c r="H2168" t="s">
        <v>184</v>
      </c>
    </row>
    <row r="2169" spans="1:8" x14ac:dyDescent="0.3">
      <c r="A2169" t="s">
        <v>745</v>
      </c>
      <c r="B2169">
        <v>27</v>
      </c>
      <c r="C2169" t="s">
        <v>848</v>
      </c>
      <c r="D2169" s="1">
        <v>0.77083333333333337</v>
      </c>
      <c r="E2169" t="s">
        <v>21</v>
      </c>
      <c r="F2169" t="s">
        <v>34</v>
      </c>
      <c r="G2169" t="s">
        <v>54</v>
      </c>
      <c r="H2169" t="s">
        <v>345</v>
      </c>
    </row>
    <row r="2170" spans="1:8" x14ac:dyDescent="0.3">
      <c r="A2170" t="s">
        <v>745</v>
      </c>
      <c r="B2170">
        <v>27</v>
      </c>
      <c r="C2170" t="s">
        <v>848</v>
      </c>
      <c r="D2170" s="1">
        <v>0.77083333333333337</v>
      </c>
      <c r="E2170" t="s">
        <v>27</v>
      </c>
      <c r="F2170" t="s">
        <v>10</v>
      </c>
      <c r="G2170" s="2">
        <v>46058</v>
      </c>
      <c r="H2170" t="s">
        <v>207</v>
      </c>
    </row>
    <row r="2171" spans="1:8" x14ac:dyDescent="0.3">
      <c r="A2171" t="s">
        <v>745</v>
      </c>
      <c r="B2171">
        <v>27</v>
      </c>
      <c r="C2171" t="s">
        <v>848</v>
      </c>
      <c r="D2171" s="1">
        <v>0.86458333333333337</v>
      </c>
      <c r="E2171" t="s">
        <v>14</v>
      </c>
      <c r="F2171" t="s">
        <v>25</v>
      </c>
      <c r="G2171" s="2">
        <v>46113</v>
      </c>
      <c r="H2171" t="s">
        <v>194</v>
      </c>
    </row>
    <row r="2172" spans="1:8" x14ac:dyDescent="0.3">
      <c r="A2172" t="s">
        <v>745</v>
      </c>
      <c r="B2172">
        <v>28</v>
      </c>
      <c r="C2172" t="s">
        <v>849</v>
      </c>
      <c r="D2172" s="1">
        <v>0.875</v>
      </c>
      <c r="E2172" t="s">
        <v>10</v>
      </c>
      <c r="F2172" t="s">
        <v>21</v>
      </c>
      <c r="G2172" s="2">
        <v>46023</v>
      </c>
      <c r="H2172" t="s">
        <v>752</v>
      </c>
    </row>
    <row r="2173" spans="1:8" x14ac:dyDescent="0.3">
      <c r="A2173" t="s">
        <v>745</v>
      </c>
      <c r="B2173">
        <v>28</v>
      </c>
      <c r="C2173" t="s">
        <v>850</v>
      </c>
      <c r="D2173" s="1">
        <v>0.54166666666666663</v>
      </c>
      <c r="E2173" t="s">
        <v>750</v>
      </c>
      <c r="F2173" t="s">
        <v>464</v>
      </c>
      <c r="G2173" s="2">
        <v>46082</v>
      </c>
      <c r="H2173" t="s">
        <v>73</v>
      </c>
    </row>
    <row r="2174" spans="1:8" x14ac:dyDescent="0.3">
      <c r="A2174" t="s">
        <v>745</v>
      </c>
      <c r="B2174">
        <v>28</v>
      </c>
      <c r="C2174" t="s">
        <v>850</v>
      </c>
      <c r="D2174" s="1">
        <v>0.67708333333333337</v>
      </c>
      <c r="E2174" t="s">
        <v>25</v>
      </c>
      <c r="F2174" t="s">
        <v>35</v>
      </c>
      <c r="G2174" t="s">
        <v>12</v>
      </c>
      <c r="H2174" t="s">
        <v>205</v>
      </c>
    </row>
    <row r="2175" spans="1:8" x14ac:dyDescent="0.3">
      <c r="A2175" t="s">
        <v>745</v>
      </c>
      <c r="B2175">
        <v>28</v>
      </c>
      <c r="C2175" t="s">
        <v>850</v>
      </c>
      <c r="D2175" s="1">
        <v>0.77083333333333337</v>
      </c>
      <c r="E2175" t="s">
        <v>15</v>
      </c>
      <c r="F2175" t="s">
        <v>28</v>
      </c>
      <c r="G2175" t="s">
        <v>12</v>
      </c>
      <c r="H2175" t="s">
        <v>197</v>
      </c>
    </row>
    <row r="2176" spans="1:8" x14ac:dyDescent="0.3">
      <c r="A2176" t="s">
        <v>745</v>
      </c>
      <c r="B2176">
        <v>28</v>
      </c>
      <c r="C2176" t="s">
        <v>850</v>
      </c>
      <c r="D2176" s="1">
        <v>0.86458333333333337</v>
      </c>
      <c r="E2176" t="s">
        <v>466</v>
      </c>
      <c r="F2176" t="s">
        <v>606</v>
      </c>
      <c r="G2176" t="s">
        <v>54</v>
      </c>
      <c r="H2176" t="s">
        <v>467</v>
      </c>
    </row>
    <row r="2177" spans="1:8" x14ac:dyDescent="0.3">
      <c r="A2177" t="s">
        <v>745</v>
      </c>
      <c r="B2177">
        <v>28</v>
      </c>
      <c r="C2177" t="s">
        <v>851</v>
      </c>
      <c r="D2177" s="1">
        <v>0.5</v>
      </c>
      <c r="E2177" t="s">
        <v>187</v>
      </c>
      <c r="F2177" t="s">
        <v>14</v>
      </c>
      <c r="G2177" s="2">
        <v>46054</v>
      </c>
      <c r="H2177" t="s">
        <v>609</v>
      </c>
    </row>
    <row r="2178" spans="1:8" x14ac:dyDescent="0.3">
      <c r="A2178" t="s">
        <v>745</v>
      </c>
      <c r="B2178">
        <v>28</v>
      </c>
      <c r="C2178" t="s">
        <v>851</v>
      </c>
      <c r="D2178" s="1">
        <v>0.67708333333333337</v>
      </c>
      <c r="E2178" t="s">
        <v>36</v>
      </c>
      <c r="F2178" t="s">
        <v>27</v>
      </c>
      <c r="G2178" t="s">
        <v>42</v>
      </c>
      <c r="H2178" t="s">
        <v>747</v>
      </c>
    </row>
    <row r="2179" spans="1:8" x14ac:dyDescent="0.3">
      <c r="A2179" t="s">
        <v>745</v>
      </c>
      <c r="B2179">
        <v>28</v>
      </c>
      <c r="C2179" t="s">
        <v>851</v>
      </c>
      <c r="D2179" s="1">
        <v>0.77083333333333337</v>
      </c>
      <c r="E2179" t="s">
        <v>16</v>
      </c>
      <c r="F2179" t="s">
        <v>11</v>
      </c>
      <c r="G2179" t="s">
        <v>41</v>
      </c>
      <c r="H2179" t="s">
        <v>345</v>
      </c>
    </row>
    <row r="2180" spans="1:8" x14ac:dyDescent="0.3">
      <c r="A2180" t="s">
        <v>745</v>
      </c>
      <c r="B2180">
        <v>28</v>
      </c>
      <c r="C2180" t="s">
        <v>851</v>
      </c>
      <c r="D2180" s="1">
        <v>0.77083333333333337</v>
      </c>
      <c r="E2180" t="s">
        <v>34</v>
      </c>
      <c r="F2180" t="s">
        <v>30</v>
      </c>
      <c r="G2180" s="2">
        <v>46025</v>
      </c>
      <c r="H2180" t="s">
        <v>206</v>
      </c>
    </row>
    <row r="2181" spans="1:8" x14ac:dyDescent="0.3">
      <c r="A2181" t="s">
        <v>745</v>
      </c>
      <c r="B2181">
        <v>28</v>
      </c>
      <c r="C2181" t="s">
        <v>851</v>
      </c>
      <c r="D2181" s="1">
        <v>0.86458333333333337</v>
      </c>
      <c r="E2181" t="s">
        <v>26</v>
      </c>
      <c r="F2181" t="s">
        <v>20</v>
      </c>
      <c r="G2181" s="2">
        <v>46113</v>
      </c>
      <c r="H2181" t="s">
        <v>341</v>
      </c>
    </row>
    <row r="2182" spans="1:8" x14ac:dyDescent="0.3">
      <c r="A2182" t="s">
        <v>745</v>
      </c>
      <c r="B2182">
        <v>29</v>
      </c>
      <c r="C2182" t="s">
        <v>852</v>
      </c>
      <c r="D2182" s="1">
        <v>0.875</v>
      </c>
      <c r="E2182" t="s">
        <v>606</v>
      </c>
      <c r="F2182" t="s">
        <v>15</v>
      </c>
      <c r="G2182" s="2">
        <v>46054</v>
      </c>
      <c r="H2182" t="s">
        <v>345</v>
      </c>
    </row>
    <row r="2183" spans="1:8" x14ac:dyDescent="0.3">
      <c r="A2183" t="s">
        <v>745</v>
      </c>
      <c r="B2183">
        <v>29</v>
      </c>
      <c r="C2183" t="s">
        <v>853</v>
      </c>
      <c r="D2183" s="1">
        <v>0.54166666666666663</v>
      </c>
      <c r="E2183" t="s">
        <v>11</v>
      </c>
      <c r="F2183" t="s">
        <v>466</v>
      </c>
      <c r="G2183" t="s">
        <v>54</v>
      </c>
      <c r="H2183" t="s">
        <v>614</v>
      </c>
    </row>
    <row r="2184" spans="1:8" x14ac:dyDescent="0.3">
      <c r="A2184" t="s">
        <v>745</v>
      </c>
      <c r="B2184">
        <v>29</v>
      </c>
      <c r="C2184" t="s">
        <v>853</v>
      </c>
      <c r="D2184" s="1">
        <v>0.67708333333333337</v>
      </c>
      <c r="E2184" t="s">
        <v>20</v>
      </c>
      <c r="F2184" t="s">
        <v>36</v>
      </c>
      <c r="G2184" t="s">
        <v>12</v>
      </c>
      <c r="H2184" t="s">
        <v>184</v>
      </c>
    </row>
    <row r="2185" spans="1:8" x14ac:dyDescent="0.3">
      <c r="A2185" t="s">
        <v>745</v>
      </c>
      <c r="B2185">
        <v>29</v>
      </c>
      <c r="C2185" t="s">
        <v>853</v>
      </c>
      <c r="D2185" s="1">
        <v>0.77083333333333337</v>
      </c>
      <c r="E2185" t="s">
        <v>35</v>
      </c>
      <c r="F2185" t="s">
        <v>34</v>
      </c>
      <c r="G2185" s="2">
        <v>46056</v>
      </c>
      <c r="H2185" t="s">
        <v>194</v>
      </c>
    </row>
    <row r="2186" spans="1:8" x14ac:dyDescent="0.3">
      <c r="A2186" t="s">
        <v>745</v>
      </c>
      <c r="B2186">
        <v>29</v>
      </c>
      <c r="C2186" t="s">
        <v>853</v>
      </c>
      <c r="D2186" s="1">
        <v>0.86458333333333337</v>
      </c>
      <c r="E2186" t="s">
        <v>464</v>
      </c>
      <c r="F2186" t="s">
        <v>28</v>
      </c>
      <c r="G2186" t="s">
        <v>53</v>
      </c>
      <c r="H2186" t="s">
        <v>190</v>
      </c>
    </row>
    <row r="2187" spans="1:8" x14ac:dyDescent="0.3">
      <c r="A2187" t="s">
        <v>745</v>
      </c>
      <c r="B2187">
        <v>29</v>
      </c>
      <c r="C2187" t="s">
        <v>854</v>
      </c>
      <c r="D2187" s="1">
        <v>0.5</v>
      </c>
      <c r="E2187" t="s">
        <v>21</v>
      </c>
      <c r="F2187" t="s">
        <v>187</v>
      </c>
      <c r="G2187" s="2">
        <v>46055</v>
      </c>
      <c r="H2187" t="s">
        <v>202</v>
      </c>
    </row>
    <row r="2188" spans="1:8" x14ac:dyDescent="0.3">
      <c r="A2188" t="s">
        <v>745</v>
      </c>
      <c r="B2188">
        <v>29</v>
      </c>
      <c r="C2188" t="s">
        <v>854</v>
      </c>
      <c r="D2188" s="1">
        <v>0.58333333333333337</v>
      </c>
      <c r="E2188" t="s">
        <v>30</v>
      </c>
      <c r="F2188" t="s">
        <v>26</v>
      </c>
      <c r="G2188" s="2">
        <v>46023</v>
      </c>
      <c r="H2188" t="s">
        <v>181</v>
      </c>
    </row>
    <row r="2189" spans="1:8" x14ac:dyDescent="0.3">
      <c r="A2189" t="s">
        <v>745</v>
      </c>
      <c r="B2189">
        <v>29</v>
      </c>
      <c r="C2189" t="s">
        <v>854</v>
      </c>
      <c r="D2189" s="1">
        <v>0.67708333333333337</v>
      </c>
      <c r="E2189" t="s">
        <v>27</v>
      </c>
      <c r="F2189" t="s">
        <v>16</v>
      </c>
      <c r="G2189" t="s">
        <v>42</v>
      </c>
      <c r="H2189" t="s">
        <v>206</v>
      </c>
    </row>
    <row r="2190" spans="1:8" x14ac:dyDescent="0.3">
      <c r="A2190" t="s">
        <v>745</v>
      </c>
      <c r="B2190">
        <v>29</v>
      </c>
      <c r="C2190" t="s">
        <v>854</v>
      </c>
      <c r="D2190" s="1">
        <v>0.77083333333333337</v>
      </c>
      <c r="E2190" t="s">
        <v>14</v>
      </c>
      <c r="F2190" t="s">
        <v>10</v>
      </c>
      <c r="G2190" s="2">
        <v>46023</v>
      </c>
      <c r="H2190" t="s">
        <v>612</v>
      </c>
    </row>
    <row r="2191" spans="1:8" x14ac:dyDescent="0.3">
      <c r="A2191" t="s">
        <v>745</v>
      </c>
      <c r="B2191">
        <v>29</v>
      </c>
      <c r="C2191" t="s">
        <v>854</v>
      </c>
      <c r="D2191" s="1">
        <v>0.86458333333333337</v>
      </c>
      <c r="E2191" t="s">
        <v>25</v>
      </c>
      <c r="F2191" t="s">
        <v>750</v>
      </c>
      <c r="G2191" s="2">
        <v>46056</v>
      </c>
      <c r="H2191" t="s">
        <v>198</v>
      </c>
    </row>
    <row r="2192" spans="1:8" x14ac:dyDescent="0.3">
      <c r="A2192" t="s">
        <v>745</v>
      </c>
      <c r="B2192">
        <v>30</v>
      </c>
      <c r="C2192" t="s">
        <v>855</v>
      </c>
      <c r="D2192" s="1">
        <v>0.8125</v>
      </c>
      <c r="E2192" t="s">
        <v>28</v>
      </c>
      <c r="F2192" t="s">
        <v>606</v>
      </c>
      <c r="G2192" t="s">
        <v>12</v>
      </c>
      <c r="H2192" t="s">
        <v>207</v>
      </c>
    </row>
    <row r="2193" spans="1:8" x14ac:dyDescent="0.3">
      <c r="A2193" t="s">
        <v>745</v>
      </c>
      <c r="B2193">
        <v>30</v>
      </c>
      <c r="C2193" t="s">
        <v>855</v>
      </c>
      <c r="D2193" s="1">
        <v>0.85416666666666663</v>
      </c>
      <c r="E2193" t="s">
        <v>36</v>
      </c>
      <c r="F2193" t="s">
        <v>11</v>
      </c>
      <c r="G2193" s="2">
        <v>46023</v>
      </c>
      <c r="H2193" t="s">
        <v>341</v>
      </c>
    </row>
    <row r="2194" spans="1:8" x14ac:dyDescent="0.3">
      <c r="A2194" t="s">
        <v>745</v>
      </c>
      <c r="B2194">
        <v>30</v>
      </c>
      <c r="C2194" t="s">
        <v>855</v>
      </c>
      <c r="D2194" s="1">
        <v>0.89583333333333337</v>
      </c>
      <c r="E2194" t="s">
        <v>34</v>
      </c>
      <c r="F2194" t="s">
        <v>20</v>
      </c>
      <c r="G2194" s="2">
        <v>46116</v>
      </c>
      <c r="H2194" t="s">
        <v>185</v>
      </c>
    </row>
    <row r="2195" spans="1:8" x14ac:dyDescent="0.3">
      <c r="A2195" t="s">
        <v>745</v>
      </c>
      <c r="B2195">
        <v>30</v>
      </c>
      <c r="C2195" t="s">
        <v>856</v>
      </c>
      <c r="D2195" s="1">
        <v>0.8125</v>
      </c>
      <c r="E2195" t="s">
        <v>15</v>
      </c>
      <c r="F2195" t="s">
        <v>21</v>
      </c>
      <c r="G2195" s="2">
        <v>46056</v>
      </c>
      <c r="H2195" t="s">
        <v>467</v>
      </c>
    </row>
    <row r="2196" spans="1:8" x14ac:dyDescent="0.3">
      <c r="A2196" t="s">
        <v>745</v>
      </c>
      <c r="B2196">
        <v>30</v>
      </c>
      <c r="C2196" t="s">
        <v>856</v>
      </c>
      <c r="D2196" s="1">
        <v>0.85416666666666663</v>
      </c>
      <c r="E2196" t="s">
        <v>187</v>
      </c>
      <c r="F2196" t="s">
        <v>30</v>
      </c>
      <c r="G2196" s="2">
        <v>46024</v>
      </c>
      <c r="H2196" t="s">
        <v>73</v>
      </c>
    </row>
    <row r="2197" spans="1:8" x14ac:dyDescent="0.3">
      <c r="A2197" t="s">
        <v>745</v>
      </c>
      <c r="B2197">
        <v>30</v>
      </c>
      <c r="C2197" t="s">
        <v>856</v>
      </c>
      <c r="D2197" s="1">
        <v>0.85416666666666663</v>
      </c>
      <c r="E2197" t="s">
        <v>750</v>
      </c>
      <c r="F2197" t="s">
        <v>35</v>
      </c>
      <c r="G2197" s="2">
        <v>46084</v>
      </c>
      <c r="H2197" t="s">
        <v>752</v>
      </c>
    </row>
    <row r="2198" spans="1:8" x14ac:dyDescent="0.3">
      <c r="A2198" t="s">
        <v>745</v>
      </c>
      <c r="B2198">
        <v>30</v>
      </c>
      <c r="C2198" t="s">
        <v>856</v>
      </c>
      <c r="D2198" s="1">
        <v>0.89583333333333337</v>
      </c>
      <c r="E2198" t="s">
        <v>16</v>
      </c>
      <c r="F2198" t="s">
        <v>25</v>
      </c>
      <c r="G2198" s="2">
        <v>46024</v>
      </c>
      <c r="H2198" t="s">
        <v>197</v>
      </c>
    </row>
    <row r="2199" spans="1:8" x14ac:dyDescent="0.3">
      <c r="A2199" t="s">
        <v>745</v>
      </c>
      <c r="B2199">
        <v>30</v>
      </c>
      <c r="C2199" t="s">
        <v>857</v>
      </c>
      <c r="D2199" s="1">
        <v>0.8125</v>
      </c>
      <c r="E2199" t="s">
        <v>27</v>
      </c>
      <c r="F2199" t="s">
        <v>464</v>
      </c>
      <c r="G2199" t="s">
        <v>12</v>
      </c>
      <c r="H2199" t="s">
        <v>205</v>
      </c>
    </row>
    <row r="2200" spans="1:8" x14ac:dyDescent="0.3">
      <c r="A2200" t="s">
        <v>745</v>
      </c>
      <c r="B2200">
        <v>30</v>
      </c>
      <c r="C2200" t="s">
        <v>857</v>
      </c>
      <c r="D2200" s="1">
        <v>0.85416666666666663</v>
      </c>
      <c r="E2200" t="s">
        <v>466</v>
      </c>
      <c r="F2200" t="s">
        <v>14</v>
      </c>
      <c r="G2200" t="s">
        <v>18</v>
      </c>
      <c r="H2200" t="s">
        <v>747</v>
      </c>
    </row>
    <row r="2201" spans="1:8" x14ac:dyDescent="0.3">
      <c r="A2201" t="s">
        <v>745</v>
      </c>
      <c r="B2201">
        <v>30</v>
      </c>
      <c r="C2201" t="s">
        <v>857</v>
      </c>
      <c r="D2201" s="1">
        <v>0.89583333333333337</v>
      </c>
      <c r="E2201" t="s">
        <v>10</v>
      </c>
      <c r="F2201" t="s">
        <v>26</v>
      </c>
      <c r="G2201" s="2">
        <v>46024</v>
      </c>
      <c r="H2201" t="s">
        <v>609</v>
      </c>
    </row>
    <row r="2202" spans="1:8" x14ac:dyDescent="0.3">
      <c r="A2202" t="s">
        <v>745</v>
      </c>
      <c r="B2202">
        <v>31</v>
      </c>
      <c r="C2202" t="s">
        <v>858</v>
      </c>
      <c r="D2202" s="1">
        <v>0.54166666666666663</v>
      </c>
      <c r="E2202" t="s">
        <v>606</v>
      </c>
      <c r="F2202" t="s">
        <v>36</v>
      </c>
      <c r="G2202" s="2">
        <v>46054</v>
      </c>
      <c r="H2202" t="s">
        <v>202</v>
      </c>
    </row>
    <row r="2203" spans="1:8" x14ac:dyDescent="0.3">
      <c r="A2203" t="s">
        <v>745</v>
      </c>
      <c r="B2203">
        <v>31</v>
      </c>
      <c r="C2203" t="s">
        <v>858</v>
      </c>
      <c r="D2203" s="1">
        <v>0.67708333333333337</v>
      </c>
      <c r="E2203" t="s">
        <v>25</v>
      </c>
      <c r="F2203" t="s">
        <v>187</v>
      </c>
      <c r="G2203" s="2">
        <v>46024</v>
      </c>
      <c r="H2203" t="s">
        <v>614</v>
      </c>
    </row>
    <row r="2204" spans="1:8" x14ac:dyDescent="0.3">
      <c r="A2204" t="s">
        <v>745</v>
      </c>
      <c r="B2204">
        <v>31</v>
      </c>
      <c r="C2204" t="s">
        <v>858</v>
      </c>
      <c r="D2204" s="1">
        <v>0.77083333333333337</v>
      </c>
      <c r="E2204" t="s">
        <v>30</v>
      </c>
      <c r="F2204" t="s">
        <v>16</v>
      </c>
      <c r="G2204" t="s">
        <v>12</v>
      </c>
      <c r="H2204" t="s">
        <v>612</v>
      </c>
    </row>
    <row r="2205" spans="1:8" x14ac:dyDescent="0.3">
      <c r="A2205" t="s">
        <v>745</v>
      </c>
      <c r="B2205">
        <v>31</v>
      </c>
      <c r="C2205" t="s">
        <v>858</v>
      </c>
      <c r="D2205" s="1">
        <v>0.86458333333333337</v>
      </c>
      <c r="E2205" t="s">
        <v>20</v>
      </c>
      <c r="F2205" t="s">
        <v>28</v>
      </c>
      <c r="G2205" t="s">
        <v>12</v>
      </c>
      <c r="H2205" t="s">
        <v>194</v>
      </c>
    </row>
    <row r="2206" spans="1:8" x14ac:dyDescent="0.3">
      <c r="A2206" t="s">
        <v>745</v>
      </c>
      <c r="B2206">
        <v>31</v>
      </c>
      <c r="C2206" t="s">
        <v>859</v>
      </c>
      <c r="D2206" s="1">
        <v>0.5</v>
      </c>
      <c r="E2206" t="s">
        <v>464</v>
      </c>
      <c r="F2206" t="s">
        <v>466</v>
      </c>
      <c r="G2206" s="2">
        <v>46023</v>
      </c>
      <c r="H2206" t="s">
        <v>181</v>
      </c>
    </row>
    <row r="2207" spans="1:8" x14ac:dyDescent="0.3">
      <c r="A2207" t="s">
        <v>745</v>
      </c>
      <c r="B2207">
        <v>31</v>
      </c>
      <c r="C2207" t="s">
        <v>859</v>
      </c>
      <c r="D2207" s="1">
        <v>0.58333333333333337</v>
      </c>
      <c r="E2207" t="s">
        <v>11</v>
      </c>
      <c r="F2207" t="s">
        <v>15</v>
      </c>
      <c r="G2207" t="s">
        <v>18</v>
      </c>
      <c r="H2207" t="s">
        <v>206</v>
      </c>
    </row>
    <row r="2208" spans="1:8" x14ac:dyDescent="0.3">
      <c r="A2208" t="s">
        <v>745</v>
      </c>
      <c r="B2208">
        <v>31</v>
      </c>
      <c r="C2208" t="s">
        <v>859</v>
      </c>
      <c r="D2208" s="1">
        <v>0.67708333333333337</v>
      </c>
      <c r="E2208" t="s">
        <v>14</v>
      </c>
      <c r="F2208" t="s">
        <v>27</v>
      </c>
      <c r="G2208" t="s">
        <v>54</v>
      </c>
      <c r="H2208" t="s">
        <v>345</v>
      </c>
    </row>
    <row r="2209" spans="1:8" x14ac:dyDescent="0.3">
      <c r="A2209" t="s">
        <v>745</v>
      </c>
      <c r="B2209">
        <v>31</v>
      </c>
      <c r="C2209" t="s">
        <v>859</v>
      </c>
      <c r="D2209" s="1">
        <v>0.77083333333333337</v>
      </c>
      <c r="E2209" t="s">
        <v>35</v>
      </c>
      <c r="F2209" t="s">
        <v>10</v>
      </c>
      <c r="G2209" s="2">
        <v>46025</v>
      </c>
      <c r="H2209" t="s">
        <v>190</v>
      </c>
    </row>
    <row r="2210" spans="1:8" x14ac:dyDescent="0.3">
      <c r="A2210" t="s">
        <v>745</v>
      </c>
      <c r="B2210">
        <v>31</v>
      </c>
      <c r="C2210" t="s">
        <v>859</v>
      </c>
      <c r="D2210" s="1">
        <v>0.77083333333333337</v>
      </c>
      <c r="E2210" t="s">
        <v>21</v>
      </c>
      <c r="F2210" t="s">
        <v>750</v>
      </c>
      <c r="G2210" s="2">
        <v>46055</v>
      </c>
      <c r="H2210" t="s">
        <v>184</v>
      </c>
    </row>
    <row r="2211" spans="1:8" x14ac:dyDescent="0.3">
      <c r="A2211" t="s">
        <v>745</v>
      </c>
      <c r="B2211">
        <v>31</v>
      </c>
      <c r="C2211" t="s">
        <v>859</v>
      </c>
      <c r="D2211" s="1">
        <v>0.86458333333333337</v>
      </c>
      <c r="E2211" t="s">
        <v>26</v>
      </c>
      <c r="F2211" t="s">
        <v>34</v>
      </c>
      <c r="G2211" s="2">
        <v>46024</v>
      </c>
      <c r="H2211" t="s">
        <v>198</v>
      </c>
    </row>
    <row r="2212" spans="1:8" x14ac:dyDescent="0.3">
      <c r="A2212" t="s">
        <v>745</v>
      </c>
      <c r="B2212">
        <v>32</v>
      </c>
      <c r="C2212" t="s">
        <v>860</v>
      </c>
      <c r="D2212" s="1">
        <v>0.54166666666666663</v>
      </c>
      <c r="E2212" t="s">
        <v>36</v>
      </c>
      <c r="F2212" t="s">
        <v>464</v>
      </c>
      <c r="G2212" s="2">
        <v>46024</v>
      </c>
      <c r="H2212" t="s">
        <v>207</v>
      </c>
    </row>
    <row r="2213" spans="1:8" x14ac:dyDescent="0.3">
      <c r="A2213" t="s">
        <v>745</v>
      </c>
      <c r="B2213">
        <v>32</v>
      </c>
      <c r="C2213" t="s">
        <v>860</v>
      </c>
      <c r="D2213" s="1">
        <v>0.67708333333333337</v>
      </c>
      <c r="E2213" t="s">
        <v>750</v>
      </c>
      <c r="F2213" t="s">
        <v>20</v>
      </c>
      <c r="G2213" t="s">
        <v>41</v>
      </c>
      <c r="H2213" t="s">
        <v>747</v>
      </c>
    </row>
    <row r="2214" spans="1:8" x14ac:dyDescent="0.3">
      <c r="A2214" t="s">
        <v>745</v>
      </c>
      <c r="B2214">
        <v>32</v>
      </c>
      <c r="C2214" t="s">
        <v>860</v>
      </c>
      <c r="D2214" s="1">
        <v>0.77083333333333337</v>
      </c>
      <c r="E2214" t="s">
        <v>28</v>
      </c>
      <c r="F2214" t="s">
        <v>35</v>
      </c>
      <c r="G2214" t="s">
        <v>12</v>
      </c>
      <c r="H2214" t="s">
        <v>341</v>
      </c>
    </row>
    <row r="2215" spans="1:8" x14ac:dyDescent="0.3">
      <c r="A2215" t="s">
        <v>745</v>
      </c>
      <c r="B2215">
        <v>32</v>
      </c>
      <c r="C2215" t="s">
        <v>860</v>
      </c>
      <c r="D2215" s="1">
        <v>0.86458333333333337</v>
      </c>
      <c r="E2215" t="s">
        <v>27</v>
      </c>
      <c r="F2215" t="s">
        <v>26</v>
      </c>
      <c r="G2215" s="2">
        <v>46056</v>
      </c>
      <c r="H2215" t="s">
        <v>185</v>
      </c>
    </row>
    <row r="2216" spans="1:8" x14ac:dyDescent="0.3">
      <c r="A2216" t="s">
        <v>745</v>
      </c>
      <c r="B2216">
        <v>32</v>
      </c>
      <c r="C2216" t="s">
        <v>861</v>
      </c>
      <c r="D2216" s="1">
        <v>0.5</v>
      </c>
      <c r="E2216" t="s">
        <v>14</v>
      </c>
      <c r="F2216" t="s">
        <v>11</v>
      </c>
      <c r="G2216" s="2">
        <v>46055</v>
      </c>
      <c r="H2216" t="s">
        <v>467</v>
      </c>
    </row>
    <row r="2217" spans="1:8" x14ac:dyDescent="0.3">
      <c r="A2217" t="s">
        <v>745</v>
      </c>
      <c r="B2217">
        <v>32</v>
      </c>
      <c r="C2217" t="s">
        <v>861</v>
      </c>
      <c r="D2217" s="1">
        <v>0.58333333333333337</v>
      </c>
      <c r="E2217" t="s">
        <v>15</v>
      </c>
      <c r="F2217" t="s">
        <v>30</v>
      </c>
      <c r="G2217" s="2">
        <v>46056</v>
      </c>
      <c r="H2217" t="s">
        <v>205</v>
      </c>
    </row>
    <row r="2218" spans="1:8" x14ac:dyDescent="0.3">
      <c r="A2218" t="s">
        <v>745</v>
      </c>
      <c r="B2218">
        <v>32</v>
      </c>
      <c r="C2218" t="s">
        <v>861</v>
      </c>
      <c r="D2218" s="1">
        <v>0.67708333333333337</v>
      </c>
      <c r="E2218" t="s">
        <v>10</v>
      </c>
      <c r="F2218" t="s">
        <v>187</v>
      </c>
      <c r="G2218" s="2">
        <v>46023</v>
      </c>
      <c r="H2218" t="s">
        <v>197</v>
      </c>
    </row>
    <row r="2219" spans="1:8" x14ac:dyDescent="0.3">
      <c r="A2219" t="s">
        <v>745</v>
      </c>
      <c r="B2219">
        <v>32</v>
      </c>
      <c r="C2219" t="s">
        <v>861</v>
      </c>
      <c r="D2219" s="1">
        <v>0.77083333333333337</v>
      </c>
      <c r="E2219" t="s">
        <v>606</v>
      </c>
      <c r="F2219" t="s">
        <v>34</v>
      </c>
      <c r="G2219" t="s">
        <v>42</v>
      </c>
      <c r="H2219" t="s">
        <v>752</v>
      </c>
    </row>
    <row r="2220" spans="1:8" x14ac:dyDescent="0.3">
      <c r="A2220" t="s">
        <v>745</v>
      </c>
      <c r="B2220">
        <v>32</v>
      </c>
      <c r="C2220" t="s">
        <v>861</v>
      </c>
      <c r="D2220" s="1">
        <v>0.86458333333333337</v>
      </c>
      <c r="E2220" t="s">
        <v>16</v>
      </c>
      <c r="F2220" t="s">
        <v>21</v>
      </c>
      <c r="G2220" s="2">
        <v>46025</v>
      </c>
      <c r="H2220" t="s">
        <v>73</v>
      </c>
    </row>
    <row r="2221" spans="1:8" x14ac:dyDescent="0.3">
      <c r="A2221" t="s">
        <v>745</v>
      </c>
      <c r="B2221">
        <v>32</v>
      </c>
      <c r="C2221" t="s">
        <v>862</v>
      </c>
      <c r="D2221" s="1">
        <v>0.875</v>
      </c>
      <c r="E2221" t="s">
        <v>466</v>
      </c>
      <c r="F2221" t="s">
        <v>25</v>
      </c>
      <c r="G2221" s="2">
        <v>46023</v>
      </c>
      <c r="H2221" t="s">
        <v>609</v>
      </c>
    </row>
    <row r="2222" spans="1:8" x14ac:dyDescent="0.3">
      <c r="A2222" t="s">
        <v>745</v>
      </c>
      <c r="B2222">
        <v>33</v>
      </c>
      <c r="C2222" t="s">
        <v>863</v>
      </c>
      <c r="D2222" s="1">
        <v>0.875</v>
      </c>
      <c r="E2222" t="s">
        <v>464</v>
      </c>
      <c r="F2222" t="s">
        <v>14</v>
      </c>
      <c r="G2222" s="2">
        <v>46055</v>
      </c>
      <c r="H2222" t="s">
        <v>198</v>
      </c>
    </row>
    <row r="2223" spans="1:8" x14ac:dyDescent="0.3">
      <c r="A2223" t="s">
        <v>745</v>
      </c>
      <c r="B2223">
        <v>33</v>
      </c>
      <c r="C2223" t="s">
        <v>864</v>
      </c>
      <c r="D2223" s="1">
        <v>0.54166666666666663</v>
      </c>
      <c r="E2223" t="s">
        <v>35</v>
      </c>
      <c r="F2223" t="s">
        <v>606</v>
      </c>
      <c r="G2223" s="2">
        <v>46024</v>
      </c>
      <c r="H2223" t="s">
        <v>184</v>
      </c>
    </row>
    <row r="2224" spans="1:8" x14ac:dyDescent="0.3">
      <c r="A2224" t="s">
        <v>745</v>
      </c>
      <c r="B2224">
        <v>33</v>
      </c>
      <c r="C2224" t="s">
        <v>864</v>
      </c>
      <c r="D2224" s="1">
        <v>0.67708333333333337</v>
      </c>
      <c r="E2224" t="s">
        <v>187</v>
      </c>
      <c r="F2224" t="s">
        <v>28</v>
      </c>
      <c r="G2224" t="s">
        <v>42</v>
      </c>
      <c r="H2224" t="s">
        <v>612</v>
      </c>
    </row>
    <row r="2225" spans="1:8" x14ac:dyDescent="0.3">
      <c r="A2225" t="s">
        <v>745</v>
      </c>
      <c r="B2225">
        <v>33</v>
      </c>
      <c r="C2225" t="s">
        <v>864</v>
      </c>
      <c r="D2225" s="1">
        <v>0.77083333333333337</v>
      </c>
      <c r="E2225" t="s">
        <v>30</v>
      </c>
      <c r="F2225" t="s">
        <v>750</v>
      </c>
      <c r="G2225" t="s">
        <v>41</v>
      </c>
      <c r="H2225" t="s">
        <v>206</v>
      </c>
    </row>
    <row r="2226" spans="1:8" x14ac:dyDescent="0.3">
      <c r="A2226" t="s">
        <v>745</v>
      </c>
      <c r="B2226">
        <v>33</v>
      </c>
      <c r="C2226" t="s">
        <v>864</v>
      </c>
      <c r="D2226" s="1">
        <v>0.86458333333333337</v>
      </c>
      <c r="E2226" t="s">
        <v>20</v>
      </c>
      <c r="F2226" t="s">
        <v>10</v>
      </c>
      <c r="G2226" s="2">
        <v>46024</v>
      </c>
      <c r="H2226" t="s">
        <v>614</v>
      </c>
    </row>
    <row r="2227" spans="1:8" x14ac:dyDescent="0.3">
      <c r="A2227" t="s">
        <v>745</v>
      </c>
      <c r="B2227">
        <v>33</v>
      </c>
      <c r="C2227" t="s">
        <v>865</v>
      </c>
      <c r="D2227" s="1">
        <v>0.5</v>
      </c>
      <c r="E2227" t="s">
        <v>21</v>
      </c>
      <c r="F2227" t="s">
        <v>36</v>
      </c>
      <c r="G2227" s="2">
        <v>46055</v>
      </c>
      <c r="H2227" t="s">
        <v>194</v>
      </c>
    </row>
    <row r="2228" spans="1:8" x14ac:dyDescent="0.3">
      <c r="A2228" t="s">
        <v>745</v>
      </c>
      <c r="B2228">
        <v>33</v>
      </c>
      <c r="C2228" t="s">
        <v>865</v>
      </c>
      <c r="D2228" s="1">
        <v>0.58333333333333337</v>
      </c>
      <c r="E2228" t="s">
        <v>11</v>
      </c>
      <c r="F2228" t="s">
        <v>27</v>
      </c>
      <c r="G2228" t="s">
        <v>32</v>
      </c>
      <c r="H2228" t="s">
        <v>181</v>
      </c>
    </row>
    <row r="2229" spans="1:8" x14ac:dyDescent="0.3">
      <c r="A2229" t="s">
        <v>745</v>
      </c>
      <c r="B2229">
        <v>33</v>
      </c>
      <c r="C2229" t="s">
        <v>865</v>
      </c>
      <c r="D2229" s="1">
        <v>0.67708333333333337</v>
      </c>
      <c r="E2229" t="s">
        <v>25</v>
      </c>
      <c r="F2229" t="s">
        <v>15</v>
      </c>
      <c r="G2229" t="s">
        <v>32</v>
      </c>
      <c r="H2229" t="s">
        <v>190</v>
      </c>
    </row>
    <row r="2230" spans="1:8" x14ac:dyDescent="0.3">
      <c r="A2230" t="s">
        <v>745</v>
      </c>
      <c r="B2230">
        <v>33</v>
      </c>
      <c r="C2230" t="s">
        <v>865</v>
      </c>
      <c r="D2230" s="1">
        <v>0.77083333333333337</v>
      </c>
      <c r="E2230" t="s">
        <v>34</v>
      </c>
      <c r="F2230" t="s">
        <v>466</v>
      </c>
      <c r="G2230" s="2">
        <v>46024</v>
      </c>
      <c r="H2230" t="s">
        <v>202</v>
      </c>
    </row>
    <row r="2231" spans="1:8" x14ac:dyDescent="0.3">
      <c r="A2231" t="s">
        <v>745</v>
      </c>
      <c r="B2231">
        <v>33</v>
      </c>
      <c r="C2231" t="s">
        <v>865</v>
      </c>
      <c r="D2231" s="1">
        <v>0.86458333333333337</v>
      </c>
      <c r="E2231" t="s">
        <v>26</v>
      </c>
      <c r="F2231" t="s">
        <v>16</v>
      </c>
      <c r="G2231" s="2">
        <v>46054</v>
      </c>
      <c r="H2231" t="s">
        <v>345</v>
      </c>
    </row>
    <row r="2232" spans="1:8" x14ac:dyDescent="0.3">
      <c r="A2232" t="s">
        <v>745</v>
      </c>
      <c r="B2232">
        <v>34</v>
      </c>
      <c r="C2232" t="s">
        <v>866</v>
      </c>
      <c r="D2232" s="1">
        <v>0.8125</v>
      </c>
      <c r="E2232" t="s">
        <v>750</v>
      </c>
      <c r="F2232" t="s">
        <v>187</v>
      </c>
      <c r="G2232" t="s">
        <v>12</v>
      </c>
      <c r="H2232" t="s">
        <v>609</v>
      </c>
    </row>
    <row r="2233" spans="1:8" x14ac:dyDescent="0.3">
      <c r="A2233" t="s">
        <v>745</v>
      </c>
      <c r="B2233">
        <v>34</v>
      </c>
      <c r="C2233" t="s">
        <v>866</v>
      </c>
      <c r="D2233" s="1">
        <v>0.85416666666666663</v>
      </c>
      <c r="E2233" t="s">
        <v>14</v>
      </c>
      <c r="F2233" t="s">
        <v>606</v>
      </c>
      <c r="G2233" t="s">
        <v>18</v>
      </c>
      <c r="H2233" t="s">
        <v>205</v>
      </c>
    </row>
    <row r="2234" spans="1:8" x14ac:dyDescent="0.3">
      <c r="A2234" t="s">
        <v>745</v>
      </c>
      <c r="B2234">
        <v>34</v>
      </c>
      <c r="C2234" t="s">
        <v>866</v>
      </c>
      <c r="D2234" s="1">
        <v>0.89583333333333337</v>
      </c>
      <c r="E2234" t="s">
        <v>464</v>
      </c>
      <c r="F2234" t="s">
        <v>20</v>
      </c>
      <c r="G2234" t="s">
        <v>54</v>
      </c>
      <c r="H2234" t="s">
        <v>752</v>
      </c>
    </row>
    <row r="2235" spans="1:8" x14ac:dyDescent="0.3">
      <c r="A2235" t="s">
        <v>745</v>
      </c>
      <c r="B2235">
        <v>34</v>
      </c>
      <c r="C2235" t="s">
        <v>867</v>
      </c>
      <c r="D2235" s="1">
        <v>0.8125</v>
      </c>
      <c r="E2235" t="s">
        <v>28</v>
      </c>
      <c r="F2235" t="s">
        <v>16</v>
      </c>
      <c r="G2235" s="2">
        <v>46056</v>
      </c>
      <c r="H2235" t="s">
        <v>185</v>
      </c>
    </row>
    <row r="2236" spans="1:8" x14ac:dyDescent="0.3">
      <c r="A2236" t="s">
        <v>745</v>
      </c>
      <c r="B2236">
        <v>34</v>
      </c>
      <c r="C2236" t="s">
        <v>867</v>
      </c>
      <c r="D2236" s="1">
        <v>0.85416666666666663</v>
      </c>
      <c r="E2236" t="s">
        <v>36</v>
      </c>
      <c r="F2236" t="s">
        <v>35</v>
      </c>
      <c r="G2236" s="2">
        <v>46023</v>
      </c>
      <c r="H2236" t="s">
        <v>73</v>
      </c>
    </row>
    <row r="2237" spans="1:8" x14ac:dyDescent="0.3">
      <c r="A2237" t="s">
        <v>745</v>
      </c>
      <c r="B2237">
        <v>34</v>
      </c>
      <c r="C2237" t="s">
        <v>867</v>
      </c>
      <c r="D2237" s="1">
        <v>0.85416666666666663</v>
      </c>
      <c r="E2237" t="s">
        <v>466</v>
      </c>
      <c r="F2237" t="s">
        <v>15</v>
      </c>
      <c r="G2237" t="s">
        <v>42</v>
      </c>
      <c r="H2237" t="s">
        <v>207</v>
      </c>
    </row>
    <row r="2238" spans="1:8" x14ac:dyDescent="0.3">
      <c r="A2238" t="s">
        <v>745</v>
      </c>
      <c r="B2238">
        <v>34</v>
      </c>
      <c r="C2238" t="s">
        <v>867</v>
      </c>
      <c r="D2238" s="1">
        <v>0.89583333333333337</v>
      </c>
      <c r="E2238" t="s">
        <v>21</v>
      </c>
      <c r="F2238" t="s">
        <v>26</v>
      </c>
      <c r="G2238" t="s">
        <v>88</v>
      </c>
      <c r="H2238" t="s">
        <v>197</v>
      </c>
    </row>
    <row r="2239" spans="1:8" x14ac:dyDescent="0.3">
      <c r="A2239" t="s">
        <v>745</v>
      </c>
      <c r="B2239">
        <v>34</v>
      </c>
      <c r="C2239" t="s">
        <v>868</v>
      </c>
      <c r="D2239" s="1">
        <v>0.8125</v>
      </c>
      <c r="E2239" t="s">
        <v>27</v>
      </c>
      <c r="F2239" t="s">
        <v>30</v>
      </c>
      <c r="G2239" t="s">
        <v>40</v>
      </c>
      <c r="H2239" t="s">
        <v>747</v>
      </c>
    </row>
    <row r="2240" spans="1:8" x14ac:dyDescent="0.3">
      <c r="A2240" t="s">
        <v>745</v>
      </c>
      <c r="B2240">
        <v>34</v>
      </c>
      <c r="C2240" t="s">
        <v>868</v>
      </c>
      <c r="D2240" s="1">
        <v>0.85416666666666663</v>
      </c>
      <c r="E2240" t="s">
        <v>10</v>
      </c>
      <c r="F2240" t="s">
        <v>34</v>
      </c>
      <c r="G2240" t="s">
        <v>42</v>
      </c>
      <c r="H2240" t="s">
        <v>467</v>
      </c>
    </row>
    <row r="2241" spans="1:8" x14ac:dyDescent="0.3">
      <c r="A2241" t="s">
        <v>745</v>
      </c>
      <c r="B2241">
        <v>34</v>
      </c>
      <c r="C2241" t="s">
        <v>868</v>
      </c>
      <c r="D2241" s="1">
        <v>0.89583333333333337</v>
      </c>
      <c r="E2241" t="s">
        <v>11</v>
      </c>
      <c r="F2241" t="s">
        <v>25</v>
      </c>
      <c r="G2241" t="s">
        <v>41</v>
      </c>
      <c r="H2241" t="s">
        <v>341</v>
      </c>
    </row>
    <row r="2242" spans="1:8" x14ac:dyDescent="0.3">
      <c r="A2242" t="s">
        <v>745</v>
      </c>
      <c r="B2242">
        <v>35</v>
      </c>
      <c r="C2242" t="s">
        <v>869</v>
      </c>
      <c r="D2242" s="1">
        <v>0.54166666666666663</v>
      </c>
      <c r="E2242" t="s">
        <v>15</v>
      </c>
      <c r="F2242" t="s">
        <v>464</v>
      </c>
      <c r="G2242" s="2">
        <v>46023</v>
      </c>
      <c r="H2242" t="s">
        <v>194</v>
      </c>
    </row>
    <row r="2243" spans="1:8" x14ac:dyDescent="0.3">
      <c r="A2243" t="s">
        <v>745</v>
      </c>
      <c r="B2243">
        <v>35</v>
      </c>
      <c r="C2243" t="s">
        <v>869</v>
      </c>
      <c r="D2243" s="1">
        <v>0.67708333333333337</v>
      </c>
      <c r="E2243" t="s">
        <v>28</v>
      </c>
      <c r="F2243" t="s">
        <v>14</v>
      </c>
      <c r="G2243" t="s">
        <v>18</v>
      </c>
      <c r="H2243" t="s">
        <v>190</v>
      </c>
    </row>
    <row r="2244" spans="1:8" x14ac:dyDescent="0.3">
      <c r="A2244" t="s">
        <v>745</v>
      </c>
      <c r="B2244">
        <v>35</v>
      </c>
      <c r="C2244" t="s">
        <v>869</v>
      </c>
      <c r="D2244" s="1">
        <v>0.77083333333333337</v>
      </c>
      <c r="E2244" t="s">
        <v>466</v>
      </c>
      <c r="F2244" t="s">
        <v>35</v>
      </c>
      <c r="G2244" t="s">
        <v>41</v>
      </c>
      <c r="H2244" t="s">
        <v>205</v>
      </c>
    </row>
    <row r="2245" spans="1:8" x14ac:dyDescent="0.3">
      <c r="A2245" t="s">
        <v>745</v>
      </c>
      <c r="B2245">
        <v>35</v>
      </c>
      <c r="C2245" t="s">
        <v>869</v>
      </c>
      <c r="D2245" s="1">
        <v>0.86458333333333337</v>
      </c>
      <c r="E2245" t="s">
        <v>20</v>
      </c>
      <c r="F2245" t="s">
        <v>21</v>
      </c>
      <c r="G2245" t="s">
        <v>18</v>
      </c>
      <c r="H2245" t="s">
        <v>341</v>
      </c>
    </row>
    <row r="2246" spans="1:8" x14ac:dyDescent="0.3">
      <c r="A2246" t="s">
        <v>745</v>
      </c>
      <c r="B2246">
        <v>35</v>
      </c>
      <c r="C2246" t="s">
        <v>870</v>
      </c>
      <c r="D2246" s="1">
        <v>0.5</v>
      </c>
      <c r="E2246" t="s">
        <v>16</v>
      </c>
      <c r="F2246" t="s">
        <v>187</v>
      </c>
      <c r="G2246" t="s">
        <v>42</v>
      </c>
      <c r="H2246" t="s">
        <v>198</v>
      </c>
    </row>
    <row r="2247" spans="1:8" x14ac:dyDescent="0.3">
      <c r="A2247" t="s">
        <v>745</v>
      </c>
      <c r="B2247">
        <v>35</v>
      </c>
      <c r="C2247" t="s">
        <v>870</v>
      </c>
      <c r="D2247" s="1">
        <v>0.58333333333333337</v>
      </c>
      <c r="E2247" t="s">
        <v>606</v>
      </c>
      <c r="F2247" t="s">
        <v>27</v>
      </c>
      <c r="G2247" t="s">
        <v>18</v>
      </c>
      <c r="H2247" t="s">
        <v>206</v>
      </c>
    </row>
    <row r="2248" spans="1:8" x14ac:dyDescent="0.3">
      <c r="A2248" t="s">
        <v>745</v>
      </c>
      <c r="B2248">
        <v>35</v>
      </c>
      <c r="C2248" t="s">
        <v>870</v>
      </c>
      <c r="D2248" s="1">
        <v>0.67708333333333337</v>
      </c>
      <c r="E2248" t="s">
        <v>10</v>
      </c>
      <c r="F2248" t="s">
        <v>11</v>
      </c>
      <c r="G2248" s="2">
        <v>46024</v>
      </c>
      <c r="H2248" t="s">
        <v>202</v>
      </c>
    </row>
    <row r="2249" spans="1:8" x14ac:dyDescent="0.3">
      <c r="A2249" t="s">
        <v>745</v>
      </c>
      <c r="B2249">
        <v>35</v>
      </c>
      <c r="C2249" t="s">
        <v>870</v>
      </c>
      <c r="D2249" s="1">
        <v>0.77083333333333337</v>
      </c>
      <c r="E2249" t="s">
        <v>34</v>
      </c>
      <c r="F2249" t="s">
        <v>750</v>
      </c>
      <c r="G2249" s="2">
        <v>46023</v>
      </c>
      <c r="H2249" t="s">
        <v>345</v>
      </c>
    </row>
    <row r="2250" spans="1:8" x14ac:dyDescent="0.3">
      <c r="A2250" t="s">
        <v>745</v>
      </c>
      <c r="B2250">
        <v>35</v>
      </c>
      <c r="C2250" t="s">
        <v>870</v>
      </c>
      <c r="D2250" s="1">
        <v>0.86458333333333337</v>
      </c>
      <c r="E2250" t="s">
        <v>30</v>
      </c>
      <c r="F2250" t="s">
        <v>25</v>
      </c>
      <c r="G2250" t="s">
        <v>18</v>
      </c>
      <c r="H2250" t="s">
        <v>614</v>
      </c>
    </row>
    <row r="2251" spans="1:8" x14ac:dyDescent="0.3">
      <c r="A2251" t="s">
        <v>745</v>
      </c>
      <c r="B2251">
        <v>35</v>
      </c>
      <c r="C2251" t="s">
        <v>871</v>
      </c>
      <c r="D2251" s="1">
        <v>0.875</v>
      </c>
      <c r="E2251" t="s">
        <v>26</v>
      </c>
      <c r="F2251" t="s">
        <v>36</v>
      </c>
      <c r="G2251" s="2">
        <v>46023</v>
      </c>
      <c r="H2251" t="s">
        <v>184</v>
      </c>
    </row>
    <row r="2252" spans="1:8" x14ac:dyDescent="0.3">
      <c r="A2252" t="s">
        <v>745</v>
      </c>
      <c r="B2252">
        <v>36</v>
      </c>
      <c r="C2252" t="s">
        <v>872</v>
      </c>
      <c r="D2252" s="1">
        <v>0.875</v>
      </c>
      <c r="E2252" t="s">
        <v>27</v>
      </c>
      <c r="F2252" t="s">
        <v>466</v>
      </c>
      <c r="G2252" t="s">
        <v>46</v>
      </c>
      <c r="H2252" t="s">
        <v>73</v>
      </c>
    </row>
    <row r="2253" spans="1:8" x14ac:dyDescent="0.3">
      <c r="A2253" t="s">
        <v>745</v>
      </c>
      <c r="B2253">
        <v>36</v>
      </c>
      <c r="C2253" t="s">
        <v>873</v>
      </c>
      <c r="D2253" s="1">
        <v>0.54166666666666663</v>
      </c>
      <c r="E2253" t="s">
        <v>21</v>
      </c>
      <c r="F2253" t="s">
        <v>30</v>
      </c>
      <c r="G2253" s="2">
        <v>46026</v>
      </c>
      <c r="H2253" t="s">
        <v>198</v>
      </c>
    </row>
    <row r="2254" spans="1:8" x14ac:dyDescent="0.3">
      <c r="A2254" t="s">
        <v>745</v>
      </c>
      <c r="B2254">
        <v>36</v>
      </c>
      <c r="C2254" t="s">
        <v>873</v>
      </c>
      <c r="D2254" s="1">
        <v>0.67708333333333337</v>
      </c>
      <c r="E2254" t="s">
        <v>36</v>
      </c>
      <c r="F2254" t="s">
        <v>28</v>
      </c>
      <c r="G2254" t="s">
        <v>32</v>
      </c>
      <c r="H2254" t="s">
        <v>467</v>
      </c>
    </row>
    <row r="2255" spans="1:8" x14ac:dyDescent="0.3">
      <c r="A2255" t="s">
        <v>745</v>
      </c>
      <c r="B2255">
        <v>36</v>
      </c>
      <c r="C2255" t="s">
        <v>873</v>
      </c>
      <c r="D2255" s="1">
        <v>0.77083333333333337</v>
      </c>
      <c r="E2255" t="s">
        <v>464</v>
      </c>
      <c r="F2255" t="s">
        <v>10</v>
      </c>
      <c r="G2255" t="s">
        <v>42</v>
      </c>
      <c r="H2255" t="s">
        <v>612</v>
      </c>
    </row>
    <row r="2256" spans="1:8" x14ac:dyDescent="0.3">
      <c r="A2256" t="s">
        <v>745</v>
      </c>
      <c r="B2256">
        <v>36</v>
      </c>
      <c r="C2256" t="s">
        <v>873</v>
      </c>
      <c r="D2256" s="1">
        <v>0.86458333333333337</v>
      </c>
      <c r="E2256" t="s">
        <v>35</v>
      </c>
      <c r="F2256" t="s">
        <v>20</v>
      </c>
      <c r="G2256" t="s">
        <v>12</v>
      </c>
      <c r="H2256" t="s">
        <v>345</v>
      </c>
    </row>
    <row r="2257" spans="1:8" x14ac:dyDescent="0.3">
      <c r="A2257" t="s">
        <v>745</v>
      </c>
      <c r="B2257">
        <v>36</v>
      </c>
      <c r="C2257" t="s">
        <v>874</v>
      </c>
      <c r="D2257" s="1">
        <v>0.5</v>
      </c>
      <c r="E2257" t="s">
        <v>11</v>
      </c>
      <c r="F2257" t="s">
        <v>606</v>
      </c>
      <c r="G2257" t="s">
        <v>12</v>
      </c>
      <c r="H2257" t="s">
        <v>185</v>
      </c>
    </row>
    <row r="2258" spans="1:8" x14ac:dyDescent="0.3">
      <c r="A2258" t="s">
        <v>745</v>
      </c>
      <c r="B2258">
        <v>36</v>
      </c>
      <c r="C2258" t="s">
        <v>874</v>
      </c>
      <c r="D2258" s="1">
        <v>0.58333333333333337</v>
      </c>
      <c r="E2258" t="s">
        <v>187</v>
      </c>
      <c r="F2258" t="s">
        <v>26</v>
      </c>
      <c r="G2258" t="s">
        <v>18</v>
      </c>
      <c r="H2258" t="s">
        <v>207</v>
      </c>
    </row>
    <row r="2259" spans="1:8" x14ac:dyDescent="0.3">
      <c r="A2259" t="s">
        <v>745</v>
      </c>
      <c r="B2259">
        <v>36</v>
      </c>
      <c r="C2259" t="s">
        <v>874</v>
      </c>
      <c r="D2259" s="1">
        <v>0.67708333333333337</v>
      </c>
      <c r="E2259" t="s">
        <v>25</v>
      </c>
      <c r="F2259" t="s">
        <v>34</v>
      </c>
      <c r="G2259" s="2">
        <v>46056</v>
      </c>
      <c r="H2259" t="s">
        <v>194</v>
      </c>
    </row>
    <row r="2260" spans="1:8" x14ac:dyDescent="0.3">
      <c r="A2260" t="s">
        <v>745</v>
      </c>
      <c r="B2260">
        <v>36</v>
      </c>
      <c r="C2260" t="s">
        <v>874</v>
      </c>
      <c r="D2260" s="1">
        <v>0.77083333333333337</v>
      </c>
      <c r="E2260" t="s">
        <v>14</v>
      </c>
      <c r="F2260" t="s">
        <v>15</v>
      </c>
      <c r="G2260" t="s">
        <v>18</v>
      </c>
      <c r="H2260" t="s">
        <v>181</v>
      </c>
    </row>
    <row r="2261" spans="1:8" x14ac:dyDescent="0.3">
      <c r="A2261" t="s">
        <v>745</v>
      </c>
      <c r="B2261">
        <v>36</v>
      </c>
      <c r="C2261" t="s">
        <v>874</v>
      </c>
      <c r="D2261" s="1">
        <v>0.86458333333333337</v>
      </c>
      <c r="E2261" t="s">
        <v>750</v>
      </c>
      <c r="F2261" t="s">
        <v>16</v>
      </c>
      <c r="G2261" s="2">
        <v>46175</v>
      </c>
      <c r="H2261" t="s">
        <v>184</v>
      </c>
    </row>
    <row r="2262" spans="1:8" x14ac:dyDescent="0.3">
      <c r="A2262" t="s">
        <v>745</v>
      </c>
      <c r="B2262">
        <v>37</v>
      </c>
      <c r="C2262" t="s">
        <v>875</v>
      </c>
      <c r="D2262" s="1">
        <v>0.77083333333333337</v>
      </c>
      <c r="E2262" t="s">
        <v>28</v>
      </c>
      <c r="F2262" t="s">
        <v>27</v>
      </c>
      <c r="G2262" s="2">
        <v>46023</v>
      </c>
      <c r="H2262" t="s">
        <v>341</v>
      </c>
    </row>
    <row r="2263" spans="1:8" x14ac:dyDescent="0.3">
      <c r="A2263" t="s">
        <v>745</v>
      </c>
      <c r="B2263">
        <v>37</v>
      </c>
      <c r="C2263" t="s">
        <v>875</v>
      </c>
      <c r="D2263" s="1">
        <v>0.77083333333333337</v>
      </c>
      <c r="E2263" t="s">
        <v>15</v>
      </c>
      <c r="F2263" t="s">
        <v>35</v>
      </c>
      <c r="G2263" s="2">
        <v>46025</v>
      </c>
      <c r="H2263" t="s">
        <v>198</v>
      </c>
    </row>
    <row r="2264" spans="1:8" x14ac:dyDescent="0.3">
      <c r="A2264" t="s">
        <v>745</v>
      </c>
      <c r="B2264">
        <v>37</v>
      </c>
      <c r="C2264" t="s">
        <v>875</v>
      </c>
      <c r="D2264" s="1">
        <v>0.77083333333333337</v>
      </c>
      <c r="E2264" t="s">
        <v>20</v>
      </c>
      <c r="F2264" t="s">
        <v>11</v>
      </c>
      <c r="G2264" t="s">
        <v>12</v>
      </c>
      <c r="H2264" t="s">
        <v>206</v>
      </c>
    </row>
    <row r="2265" spans="1:8" x14ac:dyDescent="0.3">
      <c r="A2265" t="s">
        <v>745</v>
      </c>
      <c r="B2265">
        <v>37</v>
      </c>
      <c r="C2265" t="s">
        <v>875</v>
      </c>
      <c r="D2265" s="1">
        <v>0.77083333333333337</v>
      </c>
      <c r="E2265" t="s">
        <v>26</v>
      </c>
      <c r="F2265" t="s">
        <v>750</v>
      </c>
      <c r="G2265" s="2">
        <v>46024</v>
      </c>
      <c r="H2265" t="s">
        <v>752</v>
      </c>
    </row>
    <row r="2266" spans="1:8" x14ac:dyDescent="0.3">
      <c r="A2266" t="s">
        <v>745</v>
      </c>
      <c r="B2266">
        <v>37</v>
      </c>
      <c r="C2266" t="s">
        <v>875</v>
      </c>
      <c r="D2266" s="1">
        <v>0.77083333333333337</v>
      </c>
      <c r="E2266" t="s">
        <v>30</v>
      </c>
      <c r="F2266" t="s">
        <v>14</v>
      </c>
      <c r="G2266" s="2">
        <v>46054</v>
      </c>
      <c r="H2266" t="s">
        <v>345</v>
      </c>
    </row>
    <row r="2267" spans="1:8" x14ac:dyDescent="0.3">
      <c r="A2267" t="s">
        <v>745</v>
      </c>
      <c r="B2267">
        <v>37</v>
      </c>
      <c r="C2267" t="s">
        <v>875</v>
      </c>
      <c r="D2267" s="1">
        <v>0.77083333333333337</v>
      </c>
      <c r="E2267" t="s">
        <v>10</v>
      </c>
      <c r="F2267" t="s">
        <v>25</v>
      </c>
      <c r="G2267" s="2">
        <v>46025</v>
      </c>
      <c r="H2267" t="s">
        <v>205</v>
      </c>
    </row>
    <row r="2268" spans="1:8" x14ac:dyDescent="0.3">
      <c r="A2268" t="s">
        <v>745</v>
      </c>
      <c r="B2268">
        <v>37</v>
      </c>
      <c r="C2268" t="s">
        <v>875</v>
      </c>
      <c r="D2268" s="1">
        <v>0.77083333333333337</v>
      </c>
      <c r="E2268" t="s">
        <v>16</v>
      </c>
      <c r="F2268" t="s">
        <v>464</v>
      </c>
      <c r="G2268" s="2">
        <v>46025</v>
      </c>
      <c r="H2268" t="s">
        <v>747</v>
      </c>
    </row>
    <row r="2269" spans="1:8" x14ac:dyDescent="0.3">
      <c r="A2269" t="s">
        <v>745</v>
      </c>
      <c r="B2269">
        <v>37</v>
      </c>
      <c r="C2269" t="s">
        <v>875</v>
      </c>
      <c r="D2269" s="1">
        <v>0.77083333333333337</v>
      </c>
      <c r="E2269" t="s">
        <v>34</v>
      </c>
      <c r="F2269" t="s">
        <v>187</v>
      </c>
      <c r="G2269" t="s">
        <v>18</v>
      </c>
      <c r="H2269" t="s">
        <v>614</v>
      </c>
    </row>
    <row r="2270" spans="1:8" x14ac:dyDescent="0.3">
      <c r="A2270" t="s">
        <v>745</v>
      </c>
      <c r="B2270">
        <v>37</v>
      </c>
      <c r="C2270" t="s">
        <v>875</v>
      </c>
      <c r="D2270" s="1">
        <v>0.77083333333333337</v>
      </c>
      <c r="E2270" t="s">
        <v>606</v>
      </c>
      <c r="F2270" t="s">
        <v>21</v>
      </c>
      <c r="G2270" s="2">
        <v>46054</v>
      </c>
      <c r="H2270" t="s">
        <v>184</v>
      </c>
    </row>
    <row r="2271" spans="1:8" x14ac:dyDescent="0.3">
      <c r="A2271" t="s">
        <v>745</v>
      </c>
      <c r="B2271">
        <v>37</v>
      </c>
      <c r="C2271" t="s">
        <v>875</v>
      </c>
      <c r="D2271" s="1">
        <v>0.77083333333333337</v>
      </c>
      <c r="E2271" t="s">
        <v>466</v>
      </c>
      <c r="F2271" t="s">
        <v>36</v>
      </c>
      <c r="G2271" t="s">
        <v>54</v>
      </c>
      <c r="H2271" t="s">
        <v>190</v>
      </c>
    </row>
    <row r="2272" spans="1:8" x14ac:dyDescent="0.3">
      <c r="A2272" t="s">
        <v>745</v>
      </c>
      <c r="B2272">
        <v>38</v>
      </c>
      <c r="C2272" t="s">
        <v>876</v>
      </c>
      <c r="D2272" s="1">
        <v>0.54166666666666663</v>
      </c>
      <c r="E2272" t="s">
        <v>21</v>
      </c>
      <c r="F2272" t="s">
        <v>28</v>
      </c>
      <c r="G2272" s="2">
        <v>46055</v>
      </c>
      <c r="H2272" t="s">
        <v>207</v>
      </c>
    </row>
    <row r="2273" spans="1:8" x14ac:dyDescent="0.3">
      <c r="A2273" t="s">
        <v>745</v>
      </c>
      <c r="B2273">
        <v>38</v>
      </c>
      <c r="C2273" t="s">
        <v>876</v>
      </c>
      <c r="D2273" s="1">
        <v>0.67708333333333337</v>
      </c>
      <c r="E2273" t="s">
        <v>36</v>
      </c>
      <c r="F2273" t="s">
        <v>10</v>
      </c>
      <c r="G2273" t="s">
        <v>12</v>
      </c>
      <c r="H2273" t="s">
        <v>197</v>
      </c>
    </row>
    <row r="2274" spans="1:8" x14ac:dyDescent="0.3">
      <c r="A2274" t="s">
        <v>745</v>
      </c>
      <c r="B2274">
        <v>38</v>
      </c>
      <c r="C2274" t="s">
        <v>876</v>
      </c>
      <c r="D2274" s="1">
        <v>0.67708333333333337</v>
      </c>
      <c r="E2274" t="s">
        <v>11</v>
      </c>
      <c r="F2274" t="s">
        <v>34</v>
      </c>
      <c r="G2274" s="2">
        <v>46055</v>
      </c>
      <c r="H2274" t="s">
        <v>198</v>
      </c>
    </row>
    <row r="2275" spans="1:8" x14ac:dyDescent="0.3">
      <c r="A2275" t="s">
        <v>745</v>
      </c>
      <c r="B2275">
        <v>38</v>
      </c>
      <c r="C2275" t="s">
        <v>876</v>
      </c>
      <c r="D2275" s="1">
        <v>0.67708333333333337</v>
      </c>
      <c r="E2275" t="s">
        <v>27</v>
      </c>
      <c r="F2275" t="s">
        <v>15</v>
      </c>
      <c r="G2275" t="s">
        <v>12</v>
      </c>
      <c r="H2275" t="s">
        <v>345</v>
      </c>
    </row>
    <row r="2276" spans="1:8" x14ac:dyDescent="0.3">
      <c r="A2276" t="s">
        <v>745</v>
      </c>
      <c r="B2276">
        <v>38</v>
      </c>
      <c r="C2276" t="s">
        <v>876</v>
      </c>
      <c r="D2276" s="1">
        <v>0.67708333333333337</v>
      </c>
      <c r="E2276" t="s">
        <v>14</v>
      </c>
      <c r="F2276" t="s">
        <v>16</v>
      </c>
      <c r="G2276" t="s">
        <v>54</v>
      </c>
      <c r="H2276" t="s">
        <v>341</v>
      </c>
    </row>
    <row r="2277" spans="1:8" x14ac:dyDescent="0.3">
      <c r="A2277" t="s">
        <v>745</v>
      </c>
      <c r="B2277">
        <v>38</v>
      </c>
      <c r="C2277" t="s">
        <v>876</v>
      </c>
      <c r="D2277" s="1">
        <v>0.86458333333333337</v>
      </c>
      <c r="E2277" t="s">
        <v>35</v>
      </c>
      <c r="F2277" t="s">
        <v>30</v>
      </c>
      <c r="G2277" s="2">
        <v>46055</v>
      </c>
      <c r="H2277" t="s">
        <v>181</v>
      </c>
    </row>
    <row r="2278" spans="1:8" x14ac:dyDescent="0.3">
      <c r="A2278" t="s">
        <v>745</v>
      </c>
      <c r="B2278">
        <v>38</v>
      </c>
      <c r="C2278" t="s">
        <v>876</v>
      </c>
      <c r="D2278" s="1">
        <v>0.86458333333333337</v>
      </c>
      <c r="E2278" t="s">
        <v>464</v>
      </c>
      <c r="F2278" t="s">
        <v>606</v>
      </c>
      <c r="G2278" s="2">
        <v>46024</v>
      </c>
      <c r="H2278" t="s">
        <v>190</v>
      </c>
    </row>
    <row r="2279" spans="1:8" x14ac:dyDescent="0.3">
      <c r="A2279" t="s">
        <v>745</v>
      </c>
      <c r="B2279">
        <v>38</v>
      </c>
      <c r="C2279" t="s">
        <v>876</v>
      </c>
      <c r="D2279" s="1">
        <v>0.86458333333333337</v>
      </c>
      <c r="E2279" t="s">
        <v>750</v>
      </c>
      <c r="F2279" t="s">
        <v>466</v>
      </c>
      <c r="G2279" s="2">
        <v>46024</v>
      </c>
      <c r="H2279" t="s">
        <v>612</v>
      </c>
    </row>
    <row r="2280" spans="1:8" x14ac:dyDescent="0.3">
      <c r="A2280" t="s">
        <v>745</v>
      </c>
      <c r="B2280">
        <v>38</v>
      </c>
      <c r="C2280" t="s">
        <v>877</v>
      </c>
      <c r="D2280" s="1">
        <v>0.5</v>
      </c>
      <c r="E2280" t="s">
        <v>25</v>
      </c>
      <c r="F2280" t="s">
        <v>26</v>
      </c>
      <c r="G2280" t="s">
        <v>54</v>
      </c>
      <c r="H2280" t="s">
        <v>73</v>
      </c>
    </row>
    <row r="2281" spans="1:8" x14ac:dyDescent="0.3">
      <c r="A2281" t="s">
        <v>745</v>
      </c>
      <c r="B2281">
        <v>38</v>
      </c>
      <c r="C2281" t="s">
        <v>877</v>
      </c>
      <c r="D2281" s="1">
        <v>0.67708333333333337</v>
      </c>
      <c r="E2281" t="s">
        <v>187</v>
      </c>
      <c r="F2281" t="s">
        <v>20</v>
      </c>
      <c r="G2281" s="2">
        <v>46055</v>
      </c>
      <c r="H2281" t="s">
        <v>467</v>
      </c>
    </row>
    <row r="2282" spans="1:8" x14ac:dyDescent="0.3">
      <c r="A2282" t="s">
        <v>878</v>
      </c>
      <c r="B2282">
        <v>1</v>
      </c>
      <c r="C2282" t="s">
        <v>879</v>
      </c>
      <c r="D2282" s="1">
        <v>0.875</v>
      </c>
      <c r="E2282" t="s">
        <v>15</v>
      </c>
      <c r="F2282" t="s">
        <v>20</v>
      </c>
      <c r="G2282" t="s">
        <v>18</v>
      </c>
      <c r="H2282" t="s">
        <v>184</v>
      </c>
    </row>
    <row r="2283" spans="1:8" x14ac:dyDescent="0.3">
      <c r="A2283" t="s">
        <v>878</v>
      </c>
      <c r="B2283">
        <v>1</v>
      </c>
      <c r="C2283" t="s">
        <v>880</v>
      </c>
      <c r="D2283" s="1">
        <v>0.70833333333333337</v>
      </c>
      <c r="E2283" t="s">
        <v>35</v>
      </c>
      <c r="F2283" t="s">
        <v>25</v>
      </c>
      <c r="G2283" s="2">
        <v>46082</v>
      </c>
      <c r="H2283" t="s">
        <v>198</v>
      </c>
    </row>
    <row r="2284" spans="1:8" x14ac:dyDescent="0.3">
      <c r="A2284" t="s">
        <v>878</v>
      </c>
      <c r="B2284">
        <v>1</v>
      </c>
      <c r="C2284" t="s">
        <v>880</v>
      </c>
      <c r="D2284" s="1">
        <v>0.79166666666666663</v>
      </c>
      <c r="E2284" t="s">
        <v>16</v>
      </c>
      <c r="F2284" t="s">
        <v>10</v>
      </c>
      <c r="G2284" s="2">
        <v>46023</v>
      </c>
      <c r="H2284" t="s">
        <v>194</v>
      </c>
    </row>
    <row r="2285" spans="1:8" x14ac:dyDescent="0.3">
      <c r="A2285" t="s">
        <v>878</v>
      </c>
      <c r="B2285">
        <v>1</v>
      </c>
      <c r="C2285" t="s">
        <v>880</v>
      </c>
      <c r="D2285" s="1">
        <v>0.83333333333333337</v>
      </c>
      <c r="E2285" t="s">
        <v>881</v>
      </c>
      <c r="F2285" t="s">
        <v>187</v>
      </c>
      <c r="G2285" s="2">
        <v>46024</v>
      </c>
      <c r="H2285" t="s">
        <v>190</v>
      </c>
    </row>
    <row r="2286" spans="1:8" x14ac:dyDescent="0.3">
      <c r="A2286" t="s">
        <v>878</v>
      </c>
      <c r="B2286">
        <v>1</v>
      </c>
      <c r="C2286" t="s">
        <v>880</v>
      </c>
      <c r="D2286" s="1">
        <v>0.875</v>
      </c>
      <c r="E2286" t="s">
        <v>466</v>
      </c>
      <c r="F2286" t="s">
        <v>23</v>
      </c>
      <c r="G2286" t="s">
        <v>42</v>
      </c>
      <c r="H2286" t="s">
        <v>612</v>
      </c>
    </row>
    <row r="2287" spans="1:8" x14ac:dyDescent="0.3">
      <c r="A2287" t="s">
        <v>878</v>
      </c>
      <c r="B2287">
        <v>1</v>
      </c>
      <c r="C2287" t="s">
        <v>880</v>
      </c>
      <c r="D2287" s="1">
        <v>0.875</v>
      </c>
      <c r="E2287" t="s">
        <v>34</v>
      </c>
      <c r="F2287" t="s">
        <v>24</v>
      </c>
      <c r="G2287" s="2">
        <v>46116</v>
      </c>
      <c r="H2287" t="s">
        <v>752</v>
      </c>
    </row>
    <row r="2288" spans="1:8" x14ac:dyDescent="0.3">
      <c r="A2288" t="s">
        <v>878</v>
      </c>
      <c r="B2288">
        <v>1</v>
      </c>
      <c r="C2288" t="s">
        <v>882</v>
      </c>
      <c r="D2288" s="1">
        <v>0.70833333333333337</v>
      </c>
      <c r="E2288" t="s">
        <v>464</v>
      </c>
      <c r="F2288" t="s">
        <v>21</v>
      </c>
      <c r="G2288" t="s">
        <v>18</v>
      </c>
      <c r="H2288" t="s">
        <v>883</v>
      </c>
    </row>
    <row r="2289" spans="1:8" x14ac:dyDescent="0.3">
      <c r="A2289" t="s">
        <v>878</v>
      </c>
      <c r="B2289">
        <v>1</v>
      </c>
      <c r="C2289" t="s">
        <v>882</v>
      </c>
      <c r="D2289" s="1">
        <v>0.79166666666666663</v>
      </c>
      <c r="E2289" t="s">
        <v>36</v>
      </c>
      <c r="F2289" t="s">
        <v>27</v>
      </c>
      <c r="G2289" t="s">
        <v>54</v>
      </c>
      <c r="H2289" t="s">
        <v>205</v>
      </c>
    </row>
    <row r="2290" spans="1:8" x14ac:dyDescent="0.3">
      <c r="A2290" t="s">
        <v>878</v>
      </c>
      <c r="B2290">
        <v>1</v>
      </c>
      <c r="C2290" t="s">
        <v>882</v>
      </c>
      <c r="D2290" s="1">
        <v>0.875</v>
      </c>
      <c r="E2290" t="s">
        <v>26</v>
      </c>
      <c r="F2290" t="s">
        <v>14</v>
      </c>
      <c r="G2290" s="2">
        <v>46054</v>
      </c>
      <c r="H2290" t="s">
        <v>197</v>
      </c>
    </row>
    <row r="2291" spans="1:8" x14ac:dyDescent="0.3">
      <c r="A2291" t="s">
        <v>878</v>
      </c>
      <c r="B2291">
        <v>1</v>
      </c>
      <c r="C2291" t="s">
        <v>882</v>
      </c>
      <c r="D2291" s="1">
        <v>0.91666666666666663</v>
      </c>
      <c r="E2291" t="s">
        <v>28</v>
      </c>
      <c r="F2291" t="s">
        <v>11</v>
      </c>
      <c r="G2291" t="s">
        <v>18</v>
      </c>
      <c r="H2291" t="s">
        <v>747</v>
      </c>
    </row>
    <row r="2292" spans="1:8" x14ac:dyDescent="0.3">
      <c r="A2292" t="s">
        <v>878</v>
      </c>
      <c r="B2292">
        <v>2</v>
      </c>
      <c r="C2292" t="s">
        <v>884</v>
      </c>
      <c r="D2292" s="1">
        <v>0.83333333333333337</v>
      </c>
      <c r="E2292" t="s">
        <v>24</v>
      </c>
      <c r="F2292" t="s">
        <v>27</v>
      </c>
      <c r="G2292" t="s">
        <v>42</v>
      </c>
      <c r="H2292" t="s">
        <v>345</v>
      </c>
    </row>
    <row r="2293" spans="1:8" x14ac:dyDescent="0.3">
      <c r="A2293" t="s">
        <v>878</v>
      </c>
      <c r="B2293">
        <v>2</v>
      </c>
      <c r="C2293" t="s">
        <v>884</v>
      </c>
      <c r="D2293" s="1">
        <v>0.91666666666666663</v>
      </c>
      <c r="E2293" t="s">
        <v>21</v>
      </c>
      <c r="F2293" t="s">
        <v>34</v>
      </c>
      <c r="G2293" s="2">
        <v>46024</v>
      </c>
      <c r="H2293" t="s">
        <v>467</v>
      </c>
    </row>
    <row r="2294" spans="1:8" x14ac:dyDescent="0.3">
      <c r="A2294" t="s">
        <v>878</v>
      </c>
      <c r="B2294">
        <v>2</v>
      </c>
      <c r="C2294" t="s">
        <v>885</v>
      </c>
      <c r="D2294" s="1">
        <v>0.70833333333333337</v>
      </c>
      <c r="E2294" t="s">
        <v>23</v>
      </c>
      <c r="F2294" t="s">
        <v>187</v>
      </c>
      <c r="G2294" t="s">
        <v>41</v>
      </c>
      <c r="H2294" t="s">
        <v>609</v>
      </c>
    </row>
    <row r="2295" spans="1:8" x14ac:dyDescent="0.3">
      <c r="A2295" t="s">
        <v>878</v>
      </c>
      <c r="B2295">
        <v>2</v>
      </c>
      <c r="C2295" t="s">
        <v>885</v>
      </c>
      <c r="D2295" s="1">
        <v>0.79166666666666663</v>
      </c>
      <c r="E2295" t="s">
        <v>25</v>
      </c>
      <c r="F2295" t="s">
        <v>14</v>
      </c>
      <c r="G2295" s="2">
        <v>46023</v>
      </c>
      <c r="H2295" t="s">
        <v>614</v>
      </c>
    </row>
    <row r="2296" spans="1:8" x14ac:dyDescent="0.3">
      <c r="A2296" t="s">
        <v>878</v>
      </c>
      <c r="B2296">
        <v>2</v>
      </c>
      <c r="C2296" t="s">
        <v>885</v>
      </c>
      <c r="D2296" s="1">
        <v>0.875</v>
      </c>
      <c r="E2296" t="s">
        <v>35</v>
      </c>
      <c r="F2296" t="s">
        <v>16</v>
      </c>
      <c r="G2296" t="s">
        <v>18</v>
      </c>
      <c r="H2296" t="s">
        <v>185</v>
      </c>
    </row>
    <row r="2297" spans="1:8" x14ac:dyDescent="0.3">
      <c r="A2297" t="s">
        <v>878</v>
      </c>
      <c r="B2297">
        <v>2</v>
      </c>
      <c r="C2297" t="s">
        <v>885</v>
      </c>
      <c r="D2297" s="1">
        <v>0.875</v>
      </c>
      <c r="E2297" t="s">
        <v>11</v>
      </c>
      <c r="F2297" t="s">
        <v>15</v>
      </c>
      <c r="G2297" s="2">
        <v>46023</v>
      </c>
      <c r="H2297" t="s">
        <v>181</v>
      </c>
    </row>
    <row r="2298" spans="1:8" x14ac:dyDescent="0.3">
      <c r="A2298" t="s">
        <v>878</v>
      </c>
      <c r="B2298">
        <v>2</v>
      </c>
      <c r="C2298" t="s">
        <v>886</v>
      </c>
      <c r="D2298" s="1">
        <v>0.70833333333333337</v>
      </c>
      <c r="E2298" t="s">
        <v>464</v>
      </c>
      <c r="F2298" t="s">
        <v>36</v>
      </c>
      <c r="G2298" t="s">
        <v>41</v>
      </c>
      <c r="H2298" t="s">
        <v>202</v>
      </c>
    </row>
    <row r="2299" spans="1:8" x14ac:dyDescent="0.3">
      <c r="A2299" t="s">
        <v>878</v>
      </c>
      <c r="B2299">
        <v>2</v>
      </c>
      <c r="C2299" t="s">
        <v>886</v>
      </c>
      <c r="D2299" s="1">
        <v>0.70833333333333337</v>
      </c>
      <c r="E2299" t="s">
        <v>881</v>
      </c>
      <c r="F2299" t="s">
        <v>10</v>
      </c>
      <c r="G2299" t="s">
        <v>42</v>
      </c>
      <c r="H2299" t="s">
        <v>887</v>
      </c>
    </row>
    <row r="2300" spans="1:8" x14ac:dyDescent="0.3">
      <c r="A2300" t="s">
        <v>878</v>
      </c>
      <c r="B2300">
        <v>2</v>
      </c>
      <c r="C2300" t="s">
        <v>886</v>
      </c>
      <c r="D2300" s="1">
        <v>0.79166666666666663</v>
      </c>
      <c r="E2300" t="s">
        <v>466</v>
      </c>
      <c r="F2300" t="s">
        <v>28</v>
      </c>
      <c r="G2300" t="s">
        <v>42</v>
      </c>
      <c r="H2300" t="s">
        <v>341</v>
      </c>
    </row>
    <row r="2301" spans="1:8" x14ac:dyDescent="0.3">
      <c r="A2301" t="s">
        <v>878</v>
      </c>
      <c r="B2301">
        <v>2</v>
      </c>
      <c r="C2301" t="s">
        <v>886</v>
      </c>
      <c r="D2301" s="1">
        <v>0.875</v>
      </c>
      <c r="E2301" t="s">
        <v>20</v>
      </c>
      <c r="F2301" t="s">
        <v>26</v>
      </c>
      <c r="G2301" s="2">
        <v>46058</v>
      </c>
      <c r="H2301" t="s">
        <v>206</v>
      </c>
    </row>
    <row r="2302" spans="1:8" x14ac:dyDescent="0.3">
      <c r="A2302" t="s">
        <v>878</v>
      </c>
      <c r="B2302">
        <v>3</v>
      </c>
      <c r="C2302" t="s">
        <v>888</v>
      </c>
      <c r="D2302" s="1">
        <v>0.83333333333333337</v>
      </c>
      <c r="E2302" t="s">
        <v>27</v>
      </c>
      <c r="F2302" t="s">
        <v>35</v>
      </c>
      <c r="G2302" s="2">
        <v>46023</v>
      </c>
      <c r="H2302" t="s">
        <v>184</v>
      </c>
    </row>
    <row r="2303" spans="1:8" x14ac:dyDescent="0.3">
      <c r="A2303" t="s">
        <v>878</v>
      </c>
      <c r="B2303">
        <v>3</v>
      </c>
      <c r="C2303" t="s">
        <v>888</v>
      </c>
      <c r="D2303" s="1">
        <v>0.91666666666666663</v>
      </c>
      <c r="E2303" t="s">
        <v>15</v>
      </c>
      <c r="F2303" t="s">
        <v>10</v>
      </c>
      <c r="G2303" t="s">
        <v>12</v>
      </c>
      <c r="H2303" t="s">
        <v>198</v>
      </c>
    </row>
    <row r="2304" spans="1:8" x14ac:dyDescent="0.3">
      <c r="A2304" t="s">
        <v>878</v>
      </c>
      <c r="B2304">
        <v>3</v>
      </c>
      <c r="C2304" t="s">
        <v>889</v>
      </c>
      <c r="D2304" s="1">
        <v>0.70833333333333337</v>
      </c>
      <c r="E2304" t="s">
        <v>23</v>
      </c>
      <c r="F2304" t="s">
        <v>20</v>
      </c>
      <c r="G2304" s="2">
        <v>46055</v>
      </c>
      <c r="H2304" t="s">
        <v>205</v>
      </c>
    </row>
    <row r="2305" spans="1:8" x14ac:dyDescent="0.3">
      <c r="A2305" t="s">
        <v>878</v>
      </c>
      <c r="B2305">
        <v>3</v>
      </c>
      <c r="C2305" t="s">
        <v>889</v>
      </c>
      <c r="D2305" s="1">
        <v>0.79166666666666663</v>
      </c>
      <c r="E2305" t="s">
        <v>11</v>
      </c>
      <c r="F2305" t="s">
        <v>464</v>
      </c>
      <c r="G2305" s="2">
        <v>46023</v>
      </c>
      <c r="H2305" t="s">
        <v>190</v>
      </c>
    </row>
    <row r="2306" spans="1:8" x14ac:dyDescent="0.3">
      <c r="A2306" t="s">
        <v>878</v>
      </c>
      <c r="B2306">
        <v>3</v>
      </c>
      <c r="C2306" t="s">
        <v>889</v>
      </c>
      <c r="D2306" s="1">
        <v>0.79166666666666663</v>
      </c>
      <c r="E2306" t="s">
        <v>21</v>
      </c>
      <c r="F2306" t="s">
        <v>14</v>
      </c>
      <c r="G2306" t="s">
        <v>12</v>
      </c>
      <c r="H2306" t="s">
        <v>752</v>
      </c>
    </row>
    <row r="2307" spans="1:8" x14ac:dyDescent="0.3">
      <c r="A2307" t="s">
        <v>878</v>
      </c>
      <c r="B2307">
        <v>3</v>
      </c>
      <c r="C2307" t="s">
        <v>889</v>
      </c>
      <c r="D2307" s="1">
        <v>0.875</v>
      </c>
      <c r="E2307" t="s">
        <v>26</v>
      </c>
      <c r="F2307" t="s">
        <v>466</v>
      </c>
      <c r="G2307" s="2">
        <v>46024</v>
      </c>
      <c r="H2307" t="s">
        <v>747</v>
      </c>
    </row>
    <row r="2308" spans="1:8" x14ac:dyDescent="0.3">
      <c r="A2308" t="s">
        <v>878</v>
      </c>
      <c r="B2308">
        <v>3</v>
      </c>
      <c r="C2308" t="s">
        <v>890</v>
      </c>
      <c r="D2308" s="1">
        <v>0.70833333333333337</v>
      </c>
      <c r="E2308" t="s">
        <v>16</v>
      </c>
      <c r="F2308" t="s">
        <v>881</v>
      </c>
      <c r="G2308" t="s">
        <v>12</v>
      </c>
      <c r="H2308" t="s">
        <v>612</v>
      </c>
    </row>
    <row r="2309" spans="1:8" x14ac:dyDescent="0.3">
      <c r="A2309" t="s">
        <v>878</v>
      </c>
      <c r="B2309">
        <v>3</v>
      </c>
      <c r="C2309" t="s">
        <v>890</v>
      </c>
      <c r="D2309" s="1">
        <v>0.79166666666666663</v>
      </c>
      <c r="E2309" t="s">
        <v>28</v>
      </c>
      <c r="F2309" t="s">
        <v>187</v>
      </c>
      <c r="G2309" s="2">
        <v>46056</v>
      </c>
      <c r="H2309" t="s">
        <v>197</v>
      </c>
    </row>
    <row r="2310" spans="1:8" x14ac:dyDescent="0.3">
      <c r="A2310" t="s">
        <v>878</v>
      </c>
      <c r="B2310">
        <v>3</v>
      </c>
      <c r="C2310" t="s">
        <v>890</v>
      </c>
      <c r="D2310" s="1">
        <v>0.79166666666666663</v>
      </c>
      <c r="E2310" t="s">
        <v>36</v>
      </c>
      <c r="F2310" t="s">
        <v>24</v>
      </c>
      <c r="G2310" t="s">
        <v>46</v>
      </c>
      <c r="H2310" t="s">
        <v>883</v>
      </c>
    </row>
    <row r="2311" spans="1:8" x14ac:dyDescent="0.3">
      <c r="A2311" t="s">
        <v>878</v>
      </c>
      <c r="B2311">
        <v>3</v>
      </c>
      <c r="C2311" t="s">
        <v>890</v>
      </c>
      <c r="D2311" s="1">
        <v>0.875</v>
      </c>
      <c r="E2311" t="s">
        <v>34</v>
      </c>
      <c r="F2311" t="s">
        <v>25</v>
      </c>
      <c r="G2311" s="2">
        <v>46055</v>
      </c>
      <c r="H2311" t="s">
        <v>194</v>
      </c>
    </row>
    <row r="2312" spans="1:8" x14ac:dyDescent="0.3">
      <c r="A2312" t="s">
        <v>878</v>
      </c>
      <c r="B2312">
        <v>4</v>
      </c>
      <c r="C2312" t="s">
        <v>891</v>
      </c>
      <c r="D2312" s="1">
        <v>0.875</v>
      </c>
      <c r="E2312" t="s">
        <v>881</v>
      </c>
      <c r="F2312" t="s">
        <v>15</v>
      </c>
      <c r="G2312" t="s">
        <v>41</v>
      </c>
      <c r="H2312" t="s">
        <v>614</v>
      </c>
    </row>
    <row r="2313" spans="1:8" x14ac:dyDescent="0.3">
      <c r="A2313" t="s">
        <v>878</v>
      </c>
      <c r="B2313">
        <v>4</v>
      </c>
      <c r="C2313" t="s">
        <v>892</v>
      </c>
      <c r="D2313" s="1">
        <v>0.54166666666666663</v>
      </c>
      <c r="E2313" t="s">
        <v>25</v>
      </c>
      <c r="F2313" t="s">
        <v>21</v>
      </c>
      <c r="G2313" s="2">
        <v>46056</v>
      </c>
      <c r="H2313" t="s">
        <v>341</v>
      </c>
    </row>
    <row r="2314" spans="1:8" x14ac:dyDescent="0.3">
      <c r="A2314" t="s">
        <v>878</v>
      </c>
      <c r="B2314">
        <v>4</v>
      </c>
      <c r="C2314" t="s">
        <v>892</v>
      </c>
      <c r="D2314" s="1">
        <v>0.66666666666666663</v>
      </c>
      <c r="E2314" t="s">
        <v>466</v>
      </c>
      <c r="F2314" t="s">
        <v>34</v>
      </c>
      <c r="G2314" t="s">
        <v>46</v>
      </c>
      <c r="H2314" t="s">
        <v>609</v>
      </c>
    </row>
    <row r="2315" spans="1:8" x14ac:dyDescent="0.3">
      <c r="A2315" t="s">
        <v>878</v>
      </c>
      <c r="B2315">
        <v>4</v>
      </c>
      <c r="C2315" t="s">
        <v>892</v>
      </c>
      <c r="D2315" s="1">
        <v>0.77083333333333337</v>
      </c>
      <c r="E2315" t="s">
        <v>10</v>
      </c>
      <c r="F2315" t="s">
        <v>28</v>
      </c>
      <c r="G2315" t="s">
        <v>12</v>
      </c>
      <c r="H2315" t="s">
        <v>181</v>
      </c>
    </row>
    <row r="2316" spans="1:8" x14ac:dyDescent="0.3">
      <c r="A2316" t="s">
        <v>878</v>
      </c>
      <c r="B2316">
        <v>4</v>
      </c>
      <c r="C2316" t="s">
        <v>892</v>
      </c>
      <c r="D2316" s="1">
        <v>0.875</v>
      </c>
      <c r="E2316" t="s">
        <v>20</v>
      </c>
      <c r="F2316" t="s">
        <v>16</v>
      </c>
      <c r="G2316" s="2">
        <v>46058</v>
      </c>
      <c r="H2316" t="s">
        <v>345</v>
      </c>
    </row>
    <row r="2317" spans="1:8" x14ac:dyDescent="0.3">
      <c r="A2317" t="s">
        <v>878</v>
      </c>
      <c r="B2317">
        <v>4</v>
      </c>
      <c r="C2317" t="s">
        <v>893</v>
      </c>
      <c r="D2317" s="1">
        <v>0.5</v>
      </c>
      <c r="E2317" t="s">
        <v>187</v>
      </c>
      <c r="F2317" t="s">
        <v>36</v>
      </c>
      <c r="G2317" s="2">
        <v>46054</v>
      </c>
      <c r="H2317" t="s">
        <v>887</v>
      </c>
    </row>
    <row r="2318" spans="1:8" x14ac:dyDescent="0.3">
      <c r="A2318" t="s">
        <v>878</v>
      </c>
      <c r="B2318">
        <v>4</v>
      </c>
      <c r="C2318" t="s">
        <v>893</v>
      </c>
      <c r="D2318" s="1">
        <v>0.58333333333333337</v>
      </c>
      <c r="E2318" t="s">
        <v>464</v>
      </c>
      <c r="F2318" t="s">
        <v>27</v>
      </c>
      <c r="G2318" t="s">
        <v>42</v>
      </c>
      <c r="H2318" t="s">
        <v>185</v>
      </c>
    </row>
    <row r="2319" spans="1:8" x14ac:dyDescent="0.3">
      <c r="A2319" t="s">
        <v>878</v>
      </c>
      <c r="B2319">
        <v>4</v>
      </c>
      <c r="C2319" t="s">
        <v>893</v>
      </c>
      <c r="D2319" s="1">
        <v>0.66666666666666663</v>
      </c>
      <c r="E2319" t="s">
        <v>35</v>
      </c>
      <c r="F2319" t="s">
        <v>24</v>
      </c>
      <c r="G2319" t="s">
        <v>54</v>
      </c>
      <c r="H2319" t="s">
        <v>202</v>
      </c>
    </row>
    <row r="2320" spans="1:8" x14ac:dyDescent="0.3">
      <c r="A2320" t="s">
        <v>878</v>
      </c>
      <c r="B2320">
        <v>4</v>
      </c>
      <c r="C2320" t="s">
        <v>893</v>
      </c>
      <c r="D2320" s="1">
        <v>0.77083333333333337</v>
      </c>
      <c r="E2320" t="s">
        <v>14</v>
      </c>
      <c r="F2320" t="s">
        <v>23</v>
      </c>
      <c r="G2320" s="2">
        <v>46023</v>
      </c>
      <c r="H2320" t="s">
        <v>467</v>
      </c>
    </row>
    <row r="2321" spans="1:8" x14ac:dyDescent="0.3">
      <c r="A2321" t="s">
        <v>878</v>
      </c>
      <c r="B2321">
        <v>4</v>
      </c>
      <c r="C2321" t="s">
        <v>893</v>
      </c>
      <c r="D2321" s="1">
        <v>0.875</v>
      </c>
      <c r="E2321" t="s">
        <v>26</v>
      </c>
      <c r="F2321" t="s">
        <v>11</v>
      </c>
      <c r="G2321" s="2">
        <v>46023</v>
      </c>
      <c r="H2321" t="s">
        <v>206</v>
      </c>
    </row>
    <row r="2322" spans="1:8" x14ac:dyDescent="0.3">
      <c r="A2322" t="s">
        <v>878</v>
      </c>
      <c r="B2322">
        <v>5</v>
      </c>
      <c r="C2322" t="s">
        <v>894</v>
      </c>
      <c r="D2322" s="1">
        <v>0.875</v>
      </c>
      <c r="E2322" t="s">
        <v>23</v>
      </c>
      <c r="F2322" t="s">
        <v>26</v>
      </c>
      <c r="G2322" t="s">
        <v>41</v>
      </c>
      <c r="H2322" t="s">
        <v>184</v>
      </c>
    </row>
    <row r="2323" spans="1:8" x14ac:dyDescent="0.3">
      <c r="A2323" t="s">
        <v>878</v>
      </c>
      <c r="B2323">
        <v>5</v>
      </c>
      <c r="C2323" t="s">
        <v>895</v>
      </c>
      <c r="D2323" s="1">
        <v>0.54166666666666663</v>
      </c>
      <c r="E2323" t="s">
        <v>34</v>
      </c>
      <c r="F2323" t="s">
        <v>14</v>
      </c>
      <c r="G2323" t="s">
        <v>12</v>
      </c>
      <c r="H2323" t="s">
        <v>883</v>
      </c>
    </row>
    <row r="2324" spans="1:8" x14ac:dyDescent="0.3">
      <c r="A2324" t="s">
        <v>878</v>
      </c>
      <c r="B2324">
        <v>5</v>
      </c>
      <c r="C2324" t="s">
        <v>895</v>
      </c>
      <c r="D2324" s="1">
        <v>0.66666666666666663</v>
      </c>
      <c r="E2324" t="s">
        <v>21</v>
      </c>
      <c r="F2324" t="s">
        <v>187</v>
      </c>
      <c r="G2324" t="s">
        <v>41</v>
      </c>
      <c r="H2324" t="s">
        <v>612</v>
      </c>
    </row>
    <row r="2325" spans="1:8" x14ac:dyDescent="0.3">
      <c r="A2325" t="s">
        <v>878</v>
      </c>
      <c r="B2325">
        <v>5</v>
      </c>
      <c r="C2325" t="s">
        <v>895</v>
      </c>
      <c r="D2325" s="1">
        <v>0.77083333333333337</v>
      </c>
      <c r="E2325" t="s">
        <v>28</v>
      </c>
      <c r="F2325" t="s">
        <v>35</v>
      </c>
      <c r="G2325" t="s">
        <v>41</v>
      </c>
      <c r="H2325" t="s">
        <v>190</v>
      </c>
    </row>
    <row r="2326" spans="1:8" x14ac:dyDescent="0.3">
      <c r="A2326" t="s">
        <v>878</v>
      </c>
      <c r="B2326">
        <v>5</v>
      </c>
      <c r="C2326" t="s">
        <v>895</v>
      </c>
      <c r="D2326" s="1">
        <v>0.875</v>
      </c>
      <c r="E2326" t="s">
        <v>24</v>
      </c>
      <c r="F2326" t="s">
        <v>20</v>
      </c>
      <c r="G2326" t="s">
        <v>12</v>
      </c>
      <c r="H2326" t="s">
        <v>747</v>
      </c>
    </row>
    <row r="2327" spans="1:8" x14ac:dyDescent="0.3">
      <c r="A2327" t="s">
        <v>878</v>
      </c>
      <c r="B2327">
        <v>5</v>
      </c>
      <c r="C2327" t="s">
        <v>896</v>
      </c>
      <c r="D2327" s="1">
        <v>0.5</v>
      </c>
      <c r="E2327" t="s">
        <v>11</v>
      </c>
      <c r="F2327" t="s">
        <v>881</v>
      </c>
      <c r="G2327" s="2">
        <v>46057</v>
      </c>
      <c r="H2327" t="s">
        <v>197</v>
      </c>
    </row>
    <row r="2328" spans="1:8" x14ac:dyDescent="0.3">
      <c r="A2328" t="s">
        <v>878</v>
      </c>
      <c r="B2328">
        <v>5</v>
      </c>
      <c r="C2328" t="s">
        <v>896</v>
      </c>
      <c r="D2328" s="1">
        <v>0.58333333333333337</v>
      </c>
      <c r="E2328" t="s">
        <v>36</v>
      </c>
      <c r="F2328" t="s">
        <v>10</v>
      </c>
      <c r="G2328" s="2">
        <v>46082</v>
      </c>
      <c r="H2328" t="s">
        <v>752</v>
      </c>
    </row>
    <row r="2329" spans="1:8" x14ac:dyDescent="0.3">
      <c r="A2329" t="s">
        <v>878</v>
      </c>
      <c r="B2329">
        <v>5</v>
      </c>
      <c r="C2329" t="s">
        <v>896</v>
      </c>
      <c r="D2329" s="1">
        <v>0.66666666666666663</v>
      </c>
      <c r="E2329" t="s">
        <v>16</v>
      </c>
      <c r="F2329" t="s">
        <v>466</v>
      </c>
      <c r="G2329" s="2">
        <v>46023</v>
      </c>
      <c r="H2329" t="s">
        <v>198</v>
      </c>
    </row>
    <row r="2330" spans="1:8" x14ac:dyDescent="0.3">
      <c r="A2330" t="s">
        <v>878</v>
      </c>
      <c r="B2330">
        <v>5</v>
      </c>
      <c r="C2330" t="s">
        <v>896</v>
      </c>
      <c r="D2330" s="1">
        <v>0.77083333333333337</v>
      </c>
      <c r="E2330" t="s">
        <v>15</v>
      </c>
      <c r="F2330" t="s">
        <v>464</v>
      </c>
      <c r="G2330" t="s">
        <v>12</v>
      </c>
      <c r="H2330" t="s">
        <v>194</v>
      </c>
    </row>
    <row r="2331" spans="1:8" x14ac:dyDescent="0.3">
      <c r="A2331" t="s">
        <v>878</v>
      </c>
      <c r="B2331">
        <v>5</v>
      </c>
      <c r="C2331" t="s">
        <v>896</v>
      </c>
      <c r="D2331" s="1">
        <v>0.875</v>
      </c>
      <c r="E2331" t="s">
        <v>27</v>
      </c>
      <c r="F2331" t="s">
        <v>25</v>
      </c>
      <c r="G2331" t="s">
        <v>42</v>
      </c>
      <c r="H2331" t="s">
        <v>205</v>
      </c>
    </row>
    <row r="2332" spans="1:8" x14ac:dyDescent="0.3">
      <c r="A2332" t="s">
        <v>878</v>
      </c>
      <c r="B2332">
        <v>6</v>
      </c>
      <c r="C2332" t="s">
        <v>897</v>
      </c>
      <c r="D2332" s="1">
        <v>0.79166666666666663</v>
      </c>
      <c r="E2332" t="s">
        <v>14</v>
      </c>
      <c r="F2332" t="s">
        <v>24</v>
      </c>
      <c r="G2332" s="2">
        <v>46023</v>
      </c>
      <c r="H2332" t="s">
        <v>887</v>
      </c>
    </row>
    <row r="2333" spans="1:8" x14ac:dyDescent="0.3">
      <c r="A2333" t="s">
        <v>878</v>
      </c>
      <c r="B2333">
        <v>6</v>
      </c>
      <c r="C2333" t="s">
        <v>897</v>
      </c>
      <c r="D2333" s="1">
        <v>0.83333333333333337</v>
      </c>
      <c r="E2333" t="s">
        <v>26</v>
      </c>
      <c r="F2333" t="s">
        <v>21</v>
      </c>
      <c r="G2333" s="2">
        <v>46025</v>
      </c>
      <c r="H2333" t="s">
        <v>202</v>
      </c>
    </row>
    <row r="2334" spans="1:8" x14ac:dyDescent="0.3">
      <c r="A2334" t="s">
        <v>878</v>
      </c>
      <c r="B2334">
        <v>6</v>
      </c>
      <c r="C2334" t="s">
        <v>897</v>
      </c>
      <c r="D2334" s="1">
        <v>0.875</v>
      </c>
      <c r="E2334" t="s">
        <v>20</v>
      </c>
      <c r="F2334" t="s">
        <v>34</v>
      </c>
      <c r="G2334" s="2">
        <v>46024</v>
      </c>
      <c r="H2334" t="s">
        <v>341</v>
      </c>
    </row>
    <row r="2335" spans="1:8" x14ac:dyDescent="0.3">
      <c r="A2335" t="s">
        <v>878</v>
      </c>
      <c r="B2335">
        <v>6</v>
      </c>
      <c r="C2335" t="s">
        <v>898</v>
      </c>
      <c r="D2335" s="1">
        <v>0.79166666666666663</v>
      </c>
      <c r="E2335" t="s">
        <v>466</v>
      </c>
      <c r="F2335" t="s">
        <v>15</v>
      </c>
      <c r="G2335" s="2">
        <v>46023</v>
      </c>
      <c r="H2335" t="s">
        <v>206</v>
      </c>
    </row>
    <row r="2336" spans="1:8" x14ac:dyDescent="0.3">
      <c r="A2336" t="s">
        <v>878</v>
      </c>
      <c r="B2336">
        <v>6</v>
      </c>
      <c r="C2336" t="s">
        <v>898</v>
      </c>
      <c r="D2336" s="1">
        <v>0.79166666666666663</v>
      </c>
      <c r="E2336" t="s">
        <v>881</v>
      </c>
      <c r="F2336" t="s">
        <v>28</v>
      </c>
      <c r="G2336" t="s">
        <v>54</v>
      </c>
      <c r="H2336" t="s">
        <v>185</v>
      </c>
    </row>
    <row r="2337" spans="1:8" x14ac:dyDescent="0.3">
      <c r="A2337" t="s">
        <v>878</v>
      </c>
      <c r="B2337">
        <v>6</v>
      </c>
      <c r="C2337" t="s">
        <v>898</v>
      </c>
      <c r="D2337" s="1">
        <v>0.83333333333333337</v>
      </c>
      <c r="E2337" t="s">
        <v>16</v>
      </c>
      <c r="F2337" t="s">
        <v>11</v>
      </c>
      <c r="G2337" s="2">
        <v>46084</v>
      </c>
      <c r="H2337" t="s">
        <v>467</v>
      </c>
    </row>
    <row r="2338" spans="1:8" x14ac:dyDescent="0.3">
      <c r="A2338" t="s">
        <v>878</v>
      </c>
      <c r="B2338">
        <v>6</v>
      </c>
      <c r="C2338" t="s">
        <v>898</v>
      </c>
      <c r="D2338" s="1">
        <v>0.875</v>
      </c>
      <c r="E2338" t="s">
        <v>25</v>
      </c>
      <c r="F2338" t="s">
        <v>23</v>
      </c>
      <c r="G2338" t="s">
        <v>12</v>
      </c>
      <c r="H2338" t="s">
        <v>181</v>
      </c>
    </row>
    <row r="2339" spans="1:8" x14ac:dyDescent="0.3">
      <c r="A2339" t="s">
        <v>878</v>
      </c>
      <c r="B2339">
        <v>6</v>
      </c>
      <c r="C2339" t="s">
        <v>899</v>
      </c>
      <c r="D2339" s="1">
        <v>0.79166666666666663</v>
      </c>
      <c r="E2339" t="s">
        <v>187</v>
      </c>
      <c r="F2339" t="s">
        <v>27</v>
      </c>
      <c r="G2339" s="2">
        <v>46056</v>
      </c>
      <c r="H2339" t="s">
        <v>614</v>
      </c>
    </row>
    <row r="2340" spans="1:8" x14ac:dyDescent="0.3">
      <c r="A2340" t="s">
        <v>878</v>
      </c>
      <c r="B2340">
        <v>6</v>
      </c>
      <c r="C2340" t="s">
        <v>899</v>
      </c>
      <c r="D2340" s="1">
        <v>0.83333333333333337</v>
      </c>
      <c r="E2340" t="s">
        <v>35</v>
      </c>
      <c r="F2340" t="s">
        <v>36</v>
      </c>
      <c r="G2340" s="2">
        <v>46023</v>
      </c>
      <c r="H2340" t="s">
        <v>345</v>
      </c>
    </row>
    <row r="2341" spans="1:8" x14ac:dyDescent="0.3">
      <c r="A2341" t="s">
        <v>878</v>
      </c>
      <c r="B2341">
        <v>6</v>
      </c>
      <c r="C2341" t="s">
        <v>899</v>
      </c>
      <c r="D2341" s="1">
        <v>0.875</v>
      </c>
      <c r="E2341" t="s">
        <v>10</v>
      </c>
      <c r="F2341" t="s">
        <v>464</v>
      </c>
      <c r="G2341" t="s">
        <v>32</v>
      </c>
      <c r="H2341" t="s">
        <v>609</v>
      </c>
    </row>
    <row r="2342" spans="1:8" x14ac:dyDescent="0.3">
      <c r="A2342" t="s">
        <v>878</v>
      </c>
      <c r="B2342">
        <v>7</v>
      </c>
      <c r="C2342" t="s">
        <v>900</v>
      </c>
      <c r="D2342" s="1">
        <v>0.875</v>
      </c>
      <c r="E2342" t="s">
        <v>34</v>
      </c>
      <c r="F2342" t="s">
        <v>26</v>
      </c>
      <c r="G2342" s="2">
        <v>46027</v>
      </c>
      <c r="H2342" t="s">
        <v>198</v>
      </c>
    </row>
    <row r="2343" spans="1:8" x14ac:dyDescent="0.3">
      <c r="A2343" t="s">
        <v>878</v>
      </c>
      <c r="B2343">
        <v>7</v>
      </c>
      <c r="C2343" t="s">
        <v>901</v>
      </c>
      <c r="D2343" s="1">
        <v>0.54166666666666663</v>
      </c>
      <c r="E2343" t="s">
        <v>15</v>
      </c>
      <c r="F2343" t="s">
        <v>16</v>
      </c>
      <c r="G2343" t="s">
        <v>42</v>
      </c>
      <c r="H2343" t="s">
        <v>190</v>
      </c>
    </row>
    <row r="2344" spans="1:8" x14ac:dyDescent="0.3">
      <c r="A2344" t="s">
        <v>878</v>
      </c>
      <c r="B2344">
        <v>7</v>
      </c>
      <c r="C2344" t="s">
        <v>901</v>
      </c>
      <c r="D2344" s="1">
        <v>0.66666666666666663</v>
      </c>
      <c r="E2344" t="s">
        <v>11</v>
      </c>
      <c r="F2344" t="s">
        <v>20</v>
      </c>
      <c r="G2344" t="s">
        <v>54</v>
      </c>
      <c r="H2344" t="s">
        <v>194</v>
      </c>
    </row>
    <row r="2345" spans="1:8" x14ac:dyDescent="0.3">
      <c r="A2345" t="s">
        <v>878</v>
      </c>
      <c r="B2345">
        <v>7</v>
      </c>
      <c r="C2345" t="s">
        <v>901</v>
      </c>
      <c r="D2345" s="1">
        <v>0.77083333333333337</v>
      </c>
      <c r="E2345" t="s">
        <v>24</v>
      </c>
      <c r="F2345" t="s">
        <v>466</v>
      </c>
      <c r="G2345" t="s">
        <v>18</v>
      </c>
      <c r="H2345" t="s">
        <v>752</v>
      </c>
    </row>
    <row r="2346" spans="1:8" x14ac:dyDescent="0.3">
      <c r="A2346" t="s">
        <v>878</v>
      </c>
      <c r="B2346">
        <v>7</v>
      </c>
      <c r="C2346" t="s">
        <v>901</v>
      </c>
      <c r="D2346" s="1">
        <v>0.875</v>
      </c>
      <c r="E2346" t="s">
        <v>28</v>
      </c>
      <c r="F2346" t="s">
        <v>25</v>
      </c>
      <c r="G2346" t="s">
        <v>41</v>
      </c>
      <c r="H2346" t="s">
        <v>206</v>
      </c>
    </row>
    <row r="2347" spans="1:8" x14ac:dyDescent="0.3">
      <c r="A2347" t="s">
        <v>878</v>
      </c>
      <c r="B2347">
        <v>7</v>
      </c>
      <c r="C2347" t="s">
        <v>902</v>
      </c>
      <c r="D2347" s="1">
        <v>0.5</v>
      </c>
      <c r="E2347" t="s">
        <v>36</v>
      </c>
      <c r="F2347" t="s">
        <v>14</v>
      </c>
      <c r="G2347" t="s">
        <v>54</v>
      </c>
      <c r="H2347" t="s">
        <v>747</v>
      </c>
    </row>
    <row r="2348" spans="1:8" x14ac:dyDescent="0.3">
      <c r="A2348" t="s">
        <v>878</v>
      </c>
      <c r="B2348">
        <v>7</v>
      </c>
      <c r="C2348" t="s">
        <v>902</v>
      </c>
      <c r="D2348" s="1">
        <v>0.58333333333333337</v>
      </c>
      <c r="E2348" t="s">
        <v>187</v>
      </c>
      <c r="F2348" t="s">
        <v>35</v>
      </c>
      <c r="G2348" t="s">
        <v>12</v>
      </c>
      <c r="H2348" t="s">
        <v>205</v>
      </c>
    </row>
    <row r="2349" spans="1:8" x14ac:dyDescent="0.3">
      <c r="A2349" t="s">
        <v>878</v>
      </c>
      <c r="B2349">
        <v>7</v>
      </c>
      <c r="C2349" t="s">
        <v>902</v>
      </c>
      <c r="D2349" s="1">
        <v>0.66666666666666663</v>
      </c>
      <c r="E2349" t="s">
        <v>464</v>
      </c>
      <c r="F2349" t="s">
        <v>881</v>
      </c>
      <c r="G2349" t="s">
        <v>12</v>
      </c>
      <c r="H2349" t="s">
        <v>184</v>
      </c>
    </row>
    <row r="2350" spans="1:8" x14ac:dyDescent="0.3">
      <c r="A2350" t="s">
        <v>878</v>
      </c>
      <c r="B2350">
        <v>7</v>
      </c>
      <c r="C2350" t="s">
        <v>902</v>
      </c>
      <c r="D2350" s="1">
        <v>0.77083333333333337</v>
      </c>
      <c r="E2350" t="s">
        <v>21</v>
      </c>
      <c r="F2350" t="s">
        <v>23</v>
      </c>
      <c r="G2350" s="2">
        <v>46023</v>
      </c>
      <c r="H2350" t="s">
        <v>883</v>
      </c>
    </row>
    <row r="2351" spans="1:8" x14ac:dyDescent="0.3">
      <c r="A2351" t="s">
        <v>878</v>
      </c>
      <c r="B2351">
        <v>7</v>
      </c>
      <c r="C2351" t="s">
        <v>902</v>
      </c>
      <c r="D2351" s="1">
        <v>0.875</v>
      </c>
      <c r="E2351" t="s">
        <v>27</v>
      </c>
      <c r="F2351" t="s">
        <v>10</v>
      </c>
      <c r="G2351" s="2">
        <v>46056</v>
      </c>
      <c r="H2351" t="s">
        <v>612</v>
      </c>
    </row>
    <row r="2352" spans="1:8" x14ac:dyDescent="0.3">
      <c r="A2352" t="s">
        <v>878</v>
      </c>
      <c r="B2352">
        <v>8</v>
      </c>
      <c r="C2352" t="s">
        <v>903</v>
      </c>
      <c r="D2352" s="1">
        <v>0.875</v>
      </c>
      <c r="E2352" t="s">
        <v>26</v>
      </c>
      <c r="F2352" t="s">
        <v>187</v>
      </c>
      <c r="G2352" s="2">
        <v>46023</v>
      </c>
      <c r="H2352" t="s">
        <v>185</v>
      </c>
    </row>
    <row r="2353" spans="1:8" x14ac:dyDescent="0.3">
      <c r="A2353" t="s">
        <v>878</v>
      </c>
      <c r="B2353">
        <v>8</v>
      </c>
      <c r="C2353" t="s">
        <v>904</v>
      </c>
      <c r="D2353" s="1">
        <v>0.54166666666666663</v>
      </c>
      <c r="E2353" t="s">
        <v>466</v>
      </c>
      <c r="F2353" t="s">
        <v>21</v>
      </c>
      <c r="G2353" s="2">
        <v>46054</v>
      </c>
      <c r="H2353" t="s">
        <v>467</v>
      </c>
    </row>
    <row r="2354" spans="1:8" x14ac:dyDescent="0.3">
      <c r="A2354" t="s">
        <v>878</v>
      </c>
      <c r="B2354">
        <v>8</v>
      </c>
      <c r="C2354" t="s">
        <v>904</v>
      </c>
      <c r="D2354" s="1">
        <v>0.66666666666666663</v>
      </c>
      <c r="E2354" t="s">
        <v>25</v>
      </c>
      <c r="F2354" t="s">
        <v>24</v>
      </c>
      <c r="G2354" s="2">
        <v>46057</v>
      </c>
      <c r="H2354" t="s">
        <v>197</v>
      </c>
    </row>
    <row r="2355" spans="1:8" x14ac:dyDescent="0.3">
      <c r="A2355" t="s">
        <v>878</v>
      </c>
      <c r="B2355">
        <v>8</v>
      </c>
      <c r="C2355" t="s">
        <v>904</v>
      </c>
      <c r="D2355" s="1">
        <v>0.77083333333333337</v>
      </c>
      <c r="E2355" t="s">
        <v>16</v>
      </c>
      <c r="F2355" t="s">
        <v>464</v>
      </c>
      <c r="G2355" s="2">
        <v>46024</v>
      </c>
      <c r="H2355" t="s">
        <v>202</v>
      </c>
    </row>
    <row r="2356" spans="1:8" x14ac:dyDescent="0.3">
      <c r="A2356" t="s">
        <v>878</v>
      </c>
      <c r="B2356">
        <v>8</v>
      </c>
      <c r="C2356" t="s">
        <v>904</v>
      </c>
      <c r="D2356" s="1">
        <v>0.875</v>
      </c>
      <c r="E2356" t="s">
        <v>23</v>
      </c>
      <c r="F2356" t="s">
        <v>34</v>
      </c>
      <c r="G2356" s="2">
        <v>46024</v>
      </c>
      <c r="H2356" t="s">
        <v>887</v>
      </c>
    </row>
    <row r="2357" spans="1:8" x14ac:dyDescent="0.3">
      <c r="A2357" t="s">
        <v>878</v>
      </c>
      <c r="B2357">
        <v>8</v>
      </c>
      <c r="C2357" t="s">
        <v>905</v>
      </c>
      <c r="D2357" s="1">
        <v>0.5</v>
      </c>
      <c r="E2357" t="s">
        <v>881</v>
      </c>
      <c r="F2357" t="s">
        <v>36</v>
      </c>
      <c r="G2357" t="s">
        <v>12</v>
      </c>
      <c r="H2357" t="s">
        <v>341</v>
      </c>
    </row>
    <row r="2358" spans="1:8" x14ac:dyDescent="0.3">
      <c r="A2358" t="s">
        <v>878</v>
      </c>
      <c r="B2358">
        <v>8</v>
      </c>
      <c r="C2358" t="s">
        <v>905</v>
      </c>
      <c r="D2358" s="1">
        <v>0.58333333333333337</v>
      </c>
      <c r="E2358" t="s">
        <v>35</v>
      </c>
      <c r="F2358" t="s">
        <v>15</v>
      </c>
      <c r="G2358" t="s">
        <v>18</v>
      </c>
      <c r="H2358" t="s">
        <v>609</v>
      </c>
    </row>
    <row r="2359" spans="1:8" x14ac:dyDescent="0.3">
      <c r="A2359" t="s">
        <v>878</v>
      </c>
      <c r="B2359">
        <v>8</v>
      </c>
      <c r="C2359" t="s">
        <v>905</v>
      </c>
      <c r="D2359" s="1">
        <v>0.66666666666666663</v>
      </c>
      <c r="E2359" t="s">
        <v>14</v>
      </c>
      <c r="F2359" t="s">
        <v>28</v>
      </c>
      <c r="G2359" t="s">
        <v>41</v>
      </c>
      <c r="H2359" t="s">
        <v>345</v>
      </c>
    </row>
    <row r="2360" spans="1:8" x14ac:dyDescent="0.3">
      <c r="A2360" t="s">
        <v>878</v>
      </c>
      <c r="B2360">
        <v>8</v>
      </c>
      <c r="C2360" t="s">
        <v>905</v>
      </c>
      <c r="D2360" s="1">
        <v>0.77083333333333337</v>
      </c>
      <c r="E2360" t="s">
        <v>10</v>
      </c>
      <c r="F2360" t="s">
        <v>11</v>
      </c>
      <c r="G2360" s="2">
        <v>46054</v>
      </c>
      <c r="H2360" t="s">
        <v>614</v>
      </c>
    </row>
    <row r="2361" spans="1:8" x14ac:dyDescent="0.3">
      <c r="A2361" t="s">
        <v>878</v>
      </c>
      <c r="B2361">
        <v>8</v>
      </c>
      <c r="C2361" t="s">
        <v>905</v>
      </c>
      <c r="D2361" s="1">
        <v>0.875</v>
      </c>
      <c r="E2361" t="s">
        <v>20</v>
      </c>
      <c r="F2361" t="s">
        <v>27</v>
      </c>
      <c r="G2361" t="s">
        <v>88</v>
      </c>
      <c r="H2361" t="s">
        <v>181</v>
      </c>
    </row>
    <row r="2362" spans="1:8" x14ac:dyDescent="0.3">
      <c r="A2362" t="s">
        <v>878</v>
      </c>
      <c r="B2362">
        <v>9</v>
      </c>
      <c r="C2362" t="s">
        <v>906</v>
      </c>
      <c r="D2362" s="1">
        <v>0.875</v>
      </c>
      <c r="E2362" t="s">
        <v>24</v>
      </c>
      <c r="F2362" t="s">
        <v>23</v>
      </c>
      <c r="G2362" t="s">
        <v>18</v>
      </c>
      <c r="H2362" t="s">
        <v>198</v>
      </c>
    </row>
    <row r="2363" spans="1:8" x14ac:dyDescent="0.3">
      <c r="A2363" t="s">
        <v>878</v>
      </c>
      <c r="B2363">
        <v>9</v>
      </c>
      <c r="C2363" t="s">
        <v>907</v>
      </c>
      <c r="D2363" s="1">
        <v>0.54166666666666663</v>
      </c>
      <c r="E2363" t="s">
        <v>187</v>
      </c>
      <c r="F2363" t="s">
        <v>20</v>
      </c>
      <c r="G2363" t="s">
        <v>46</v>
      </c>
      <c r="H2363" t="s">
        <v>190</v>
      </c>
    </row>
    <row r="2364" spans="1:8" x14ac:dyDescent="0.3">
      <c r="A2364" t="s">
        <v>878</v>
      </c>
      <c r="B2364">
        <v>9</v>
      </c>
      <c r="C2364" t="s">
        <v>907</v>
      </c>
      <c r="D2364" s="1">
        <v>0.66666666666666663</v>
      </c>
      <c r="E2364" t="s">
        <v>28</v>
      </c>
      <c r="F2364" t="s">
        <v>16</v>
      </c>
      <c r="G2364" s="2">
        <v>46023</v>
      </c>
      <c r="H2364" t="s">
        <v>752</v>
      </c>
    </row>
    <row r="2365" spans="1:8" x14ac:dyDescent="0.3">
      <c r="A2365" t="s">
        <v>878</v>
      </c>
      <c r="B2365">
        <v>9</v>
      </c>
      <c r="C2365" t="s">
        <v>907</v>
      </c>
      <c r="D2365" s="1">
        <v>0.77083333333333337</v>
      </c>
      <c r="E2365" t="s">
        <v>11</v>
      </c>
      <c r="F2365" t="s">
        <v>466</v>
      </c>
      <c r="G2365" t="s">
        <v>12</v>
      </c>
      <c r="H2365" t="s">
        <v>205</v>
      </c>
    </row>
    <row r="2366" spans="1:8" x14ac:dyDescent="0.3">
      <c r="A2366" t="s">
        <v>878</v>
      </c>
      <c r="B2366">
        <v>9</v>
      </c>
      <c r="C2366" t="s">
        <v>907</v>
      </c>
      <c r="D2366" s="1">
        <v>0.875</v>
      </c>
      <c r="E2366" t="s">
        <v>881</v>
      </c>
      <c r="F2366" t="s">
        <v>25</v>
      </c>
      <c r="G2366" t="s">
        <v>18</v>
      </c>
      <c r="H2366" t="s">
        <v>612</v>
      </c>
    </row>
    <row r="2367" spans="1:8" x14ac:dyDescent="0.3">
      <c r="A2367" t="s">
        <v>878</v>
      </c>
      <c r="B2367">
        <v>9</v>
      </c>
      <c r="C2367" t="s">
        <v>908</v>
      </c>
      <c r="D2367" s="1">
        <v>0.5</v>
      </c>
      <c r="E2367" t="s">
        <v>464</v>
      </c>
      <c r="F2367" t="s">
        <v>35</v>
      </c>
      <c r="G2367" t="s">
        <v>12</v>
      </c>
      <c r="H2367" t="s">
        <v>206</v>
      </c>
    </row>
    <row r="2368" spans="1:8" x14ac:dyDescent="0.3">
      <c r="A2368" t="s">
        <v>878</v>
      </c>
      <c r="B2368">
        <v>9</v>
      </c>
      <c r="C2368" t="s">
        <v>908</v>
      </c>
      <c r="D2368" s="1">
        <v>0.58333333333333337</v>
      </c>
      <c r="E2368" t="s">
        <v>10</v>
      </c>
      <c r="F2368" t="s">
        <v>26</v>
      </c>
      <c r="G2368" s="2">
        <v>46025</v>
      </c>
      <c r="H2368" t="s">
        <v>883</v>
      </c>
    </row>
    <row r="2369" spans="1:8" x14ac:dyDescent="0.3">
      <c r="A2369" t="s">
        <v>878</v>
      </c>
      <c r="B2369">
        <v>9</v>
      </c>
      <c r="C2369" t="s">
        <v>908</v>
      </c>
      <c r="D2369" s="1">
        <v>0.66666666666666663</v>
      </c>
      <c r="E2369" t="s">
        <v>36</v>
      </c>
      <c r="F2369" t="s">
        <v>34</v>
      </c>
      <c r="G2369" t="s">
        <v>42</v>
      </c>
      <c r="H2369" t="s">
        <v>184</v>
      </c>
    </row>
    <row r="2370" spans="1:8" x14ac:dyDescent="0.3">
      <c r="A2370" t="s">
        <v>878</v>
      </c>
      <c r="B2370">
        <v>9</v>
      </c>
      <c r="C2370" t="s">
        <v>908</v>
      </c>
      <c r="D2370" s="1">
        <v>0.77083333333333337</v>
      </c>
      <c r="E2370" t="s">
        <v>15</v>
      </c>
      <c r="F2370" t="s">
        <v>14</v>
      </c>
      <c r="G2370" s="2">
        <v>46023</v>
      </c>
      <c r="H2370" t="s">
        <v>194</v>
      </c>
    </row>
    <row r="2371" spans="1:8" x14ac:dyDescent="0.3">
      <c r="A2371" t="s">
        <v>878</v>
      </c>
      <c r="B2371">
        <v>9</v>
      </c>
      <c r="C2371" t="s">
        <v>908</v>
      </c>
      <c r="D2371" s="1">
        <v>0.875</v>
      </c>
      <c r="E2371" t="s">
        <v>27</v>
      </c>
      <c r="F2371" t="s">
        <v>21</v>
      </c>
      <c r="G2371" t="s">
        <v>18</v>
      </c>
      <c r="H2371" t="s">
        <v>747</v>
      </c>
    </row>
    <row r="2372" spans="1:8" x14ac:dyDescent="0.3">
      <c r="A2372" t="s">
        <v>878</v>
      </c>
      <c r="B2372">
        <v>10</v>
      </c>
      <c r="C2372" t="s">
        <v>909</v>
      </c>
      <c r="D2372" s="1">
        <v>0.875</v>
      </c>
      <c r="E2372" t="s">
        <v>34</v>
      </c>
      <c r="F2372" t="s">
        <v>464</v>
      </c>
      <c r="G2372" s="2">
        <v>46026</v>
      </c>
      <c r="H2372" t="s">
        <v>609</v>
      </c>
    </row>
    <row r="2373" spans="1:8" x14ac:dyDescent="0.3">
      <c r="A2373" t="s">
        <v>878</v>
      </c>
      <c r="B2373">
        <v>10</v>
      </c>
      <c r="C2373" t="s">
        <v>910</v>
      </c>
      <c r="D2373" s="1">
        <v>0.66666666666666663</v>
      </c>
      <c r="E2373" t="s">
        <v>466</v>
      </c>
      <c r="F2373" t="s">
        <v>881</v>
      </c>
      <c r="G2373" t="s">
        <v>18</v>
      </c>
      <c r="H2373" t="s">
        <v>202</v>
      </c>
    </row>
    <row r="2374" spans="1:8" x14ac:dyDescent="0.3">
      <c r="A2374" t="s">
        <v>878</v>
      </c>
      <c r="B2374">
        <v>10</v>
      </c>
      <c r="C2374" t="s">
        <v>910</v>
      </c>
      <c r="D2374" s="1">
        <v>0.77083333333333337</v>
      </c>
      <c r="E2374" t="s">
        <v>14</v>
      </c>
      <c r="F2374" t="s">
        <v>187</v>
      </c>
      <c r="G2374" t="s">
        <v>12</v>
      </c>
      <c r="H2374" t="s">
        <v>467</v>
      </c>
    </row>
    <row r="2375" spans="1:8" x14ac:dyDescent="0.3">
      <c r="A2375" t="s">
        <v>878</v>
      </c>
      <c r="B2375">
        <v>10</v>
      </c>
      <c r="C2375" t="s">
        <v>910</v>
      </c>
      <c r="D2375" s="1">
        <v>0.875</v>
      </c>
      <c r="E2375" t="s">
        <v>28</v>
      </c>
      <c r="F2375" t="s">
        <v>15</v>
      </c>
      <c r="G2375" t="s">
        <v>12</v>
      </c>
      <c r="H2375" t="s">
        <v>185</v>
      </c>
    </row>
    <row r="2376" spans="1:8" x14ac:dyDescent="0.3">
      <c r="A2376" t="s">
        <v>878</v>
      </c>
      <c r="B2376">
        <v>10</v>
      </c>
      <c r="C2376" t="s">
        <v>911</v>
      </c>
      <c r="D2376" s="1">
        <v>0.5</v>
      </c>
      <c r="E2376" t="s">
        <v>35</v>
      </c>
      <c r="F2376" t="s">
        <v>10</v>
      </c>
      <c r="G2376" t="s">
        <v>42</v>
      </c>
      <c r="H2376" t="s">
        <v>887</v>
      </c>
    </row>
    <row r="2377" spans="1:8" x14ac:dyDescent="0.3">
      <c r="A2377" t="s">
        <v>878</v>
      </c>
      <c r="B2377">
        <v>10</v>
      </c>
      <c r="C2377" t="s">
        <v>911</v>
      </c>
      <c r="D2377" s="1">
        <v>0.58333333333333337</v>
      </c>
      <c r="E2377" t="s">
        <v>24</v>
      </c>
      <c r="F2377" t="s">
        <v>26</v>
      </c>
      <c r="G2377" t="s">
        <v>18</v>
      </c>
      <c r="H2377" t="s">
        <v>181</v>
      </c>
    </row>
    <row r="2378" spans="1:8" x14ac:dyDescent="0.3">
      <c r="A2378" t="s">
        <v>878</v>
      </c>
      <c r="B2378">
        <v>10</v>
      </c>
      <c r="C2378" t="s">
        <v>911</v>
      </c>
      <c r="D2378" s="1">
        <v>0.66666666666666663</v>
      </c>
      <c r="E2378" t="s">
        <v>21</v>
      </c>
      <c r="F2378" t="s">
        <v>36</v>
      </c>
      <c r="G2378" t="s">
        <v>42</v>
      </c>
      <c r="H2378" t="s">
        <v>614</v>
      </c>
    </row>
    <row r="2379" spans="1:8" x14ac:dyDescent="0.3">
      <c r="A2379" t="s">
        <v>878</v>
      </c>
      <c r="B2379">
        <v>10</v>
      </c>
      <c r="C2379" t="s">
        <v>911</v>
      </c>
      <c r="D2379" s="1">
        <v>0.77083333333333337</v>
      </c>
      <c r="E2379" t="s">
        <v>27</v>
      </c>
      <c r="F2379" t="s">
        <v>11</v>
      </c>
      <c r="G2379" t="s">
        <v>12</v>
      </c>
      <c r="H2379" t="s">
        <v>345</v>
      </c>
    </row>
    <row r="2380" spans="1:8" x14ac:dyDescent="0.3">
      <c r="A2380" t="s">
        <v>878</v>
      </c>
      <c r="B2380">
        <v>10</v>
      </c>
      <c r="C2380" t="s">
        <v>911</v>
      </c>
      <c r="D2380" s="1">
        <v>0.875</v>
      </c>
      <c r="E2380" t="s">
        <v>23</v>
      </c>
      <c r="F2380" t="s">
        <v>16</v>
      </c>
      <c r="G2380" s="2">
        <v>46025</v>
      </c>
      <c r="H2380" t="s">
        <v>197</v>
      </c>
    </row>
    <row r="2381" spans="1:8" x14ac:dyDescent="0.3">
      <c r="A2381" t="s">
        <v>878</v>
      </c>
      <c r="B2381">
        <v>10</v>
      </c>
      <c r="C2381" t="s">
        <v>912</v>
      </c>
      <c r="D2381" s="1">
        <v>0.83333333333333337</v>
      </c>
      <c r="E2381" t="s">
        <v>20</v>
      </c>
      <c r="F2381" t="s">
        <v>25</v>
      </c>
      <c r="G2381" t="s">
        <v>41</v>
      </c>
      <c r="H2381" t="s">
        <v>185</v>
      </c>
    </row>
    <row r="2382" spans="1:8" x14ac:dyDescent="0.3">
      <c r="A2382" t="s">
        <v>878</v>
      </c>
      <c r="B2382">
        <v>11</v>
      </c>
      <c r="C2382" t="s">
        <v>913</v>
      </c>
      <c r="D2382" s="1">
        <v>0.79166666666666663</v>
      </c>
      <c r="E2382" t="s">
        <v>464</v>
      </c>
      <c r="F2382" t="s">
        <v>28</v>
      </c>
      <c r="G2382" s="2">
        <v>46023</v>
      </c>
      <c r="H2382" t="s">
        <v>198</v>
      </c>
    </row>
    <row r="2383" spans="1:8" x14ac:dyDescent="0.3">
      <c r="A2383" t="s">
        <v>878</v>
      </c>
      <c r="B2383">
        <v>11</v>
      </c>
      <c r="C2383" t="s">
        <v>913</v>
      </c>
      <c r="D2383" s="1">
        <v>0.88541666666666663</v>
      </c>
      <c r="E2383" t="s">
        <v>20</v>
      </c>
      <c r="F2383" t="s">
        <v>14</v>
      </c>
      <c r="G2383" s="2">
        <v>46027</v>
      </c>
      <c r="H2383" t="s">
        <v>612</v>
      </c>
    </row>
    <row r="2384" spans="1:8" x14ac:dyDescent="0.3">
      <c r="A2384" t="s">
        <v>878</v>
      </c>
      <c r="B2384">
        <v>11</v>
      </c>
      <c r="C2384" t="s">
        <v>914</v>
      </c>
      <c r="D2384" s="1">
        <v>0.79166666666666663</v>
      </c>
      <c r="E2384" t="s">
        <v>10</v>
      </c>
      <c r="F2384" t="s">
        <v>21</v>
      </c>
      <c r="G2384" s="2">
        <v>46054</v>
      </c>
      <c r="H2384" t="s">
        <v>190</v>
      </c>
    </row>
    <row r="2385" spans="1:8" x14ac:dyDescent="0.3">
      <c r="A2385" t="s">
        <v>878</v>
      </c>
      <c r="B2385">
        <v>11</v>
      </c>
      <c r="C2385" t="s">
        <v>914</v>
      </c>
      <c r="D2385" s="1">
        <v>0.79166666666666663</v>
      </c>
      <c r="E2385" t="s">
        <v>16</v>
      </c>
      <c r="F2385" t="s">
        <v>27</v>
      </c>
      <c r="G2385" s="2">
        <v>46023</v>
      </c>
      <c r="H2385" t="s">
        <v>184</v>
      </c>
    </row>
    <row r="2386" spans="1:8" x14ac:dyDescent="0.3">
      <c r="A2386" t="s">
        <v>878</v>
      </c>
      <c r="B2386">
        <v>11</v>
      </c>
      <c r="C2386" t="s">
        <v>914</v>
      </c>
      <c r="D2386" s="1">
        <v>0.83333333333333337</v>
      </c>
      <c r="E2386" t="s">
        <v>15</v>
      </c>
      <c r="F2386" t="s">
        <v>36</v>
      </c>
      <c r="G2386" t="s">
        <v>32</v>
      </c>
      <c r="H2386" t="s">
        <v>205</v>
      </c>
    </row>
    <row r="2387" spans="1:8" x14ac:dyDescent="0.3">
      <c r="A2387" t="s">
        <v>878</v>
      </c>
      <c r="B2387">
        <v>11</v>
      </c>
      <c r="C2387" t="s">
        <v>914</v>
      </c>
      <c r="D2387" s="1">
        <v>0.875</v>
      </c>
      <c r="E2387" t="s">
        <v>26</v>
      </c>
      <c r="F2387" t="s">
        <v>35</v>
      </c>
      <c r="G2387" s="2">
        <v>46024</v>
      </c>
      <c r="H2387" t="s">
        <v>194</v>
      </c>
    </row>
    <row r="2388" spans="1:8" x14ac:dyDescent="0.3">
      <c r="A2388" t="s">
        <v>878</v>
      </c>
      <c r="B2388">
        <v>11</v>
      </c>
      <c r="C2388" t="s">
        <v>914</v>
      </c>
      <c r="D2388" s="1">
        <v>0.88541666666666663</v>
      </c>
      <c r="E2388" t="s">
        <v>25</v>
      </c>
      <c r="F2388" t="s">
        <v>466</v>
      </c>
      <c r="G2388" t="s">
        <v>40</v>
      </c>
      <c r="H2388" t="s">
        <v>883</v>
      </c>
    </row>
    <row r="2389" spans="1:8" x14ac:dyDescent="0.3">
      <c r="A2389" t="s">
        <v>878</v>
      </c>
      <c r="B2389">
        <v>11</v>
      </c>
      <c r="C2389" t="s">
        <v>915</v>
      </c>
      <c r="D2389" s="1">
        <v>0.79166666666666663</v>
      </c>
      <c r="E2389" t="s">
        <v>187</v>
      </c>
      <c r="F2389" t="s">
        <v>34</v>
      </c>
      <c r="G2389" s="2">
        <v>46024</v>
      </c>
      <c r="H2389" t="s">
        <v>747</v>
      </c>
    </row>
    <row r="2390" spans="1:8" x14ac:dyDescent="0.3">
      <c r="A2390" t="s">
        <v>878</v>
      </c>
      <c r="B2390">
        <v>11</v>
      </c>
      <c r="C2390" t="s">
        <v>915</v>
      </c>
      <c r="D2390" s="1">
        <v>0.79166666666666663</v>
      </c>
      <c r="E2390" t="s">
        <v>881</v>
      </c>
      <c r="F2390" t="s">
        <v>23</v>
      </c>
      <c r="G2390" s="2">
        <v>46055</v>
      </c>
      <c r="H2390" t="s">
        <v>752</v>
      </c>
    </row>
    <row r="2391" spans="1:8" x14ac:dyDescent="0.3">
      <c r="A2391" t="s">
        <v>878</v>
      </c>
      <c r="B2391">
        <v>11</v>
      </c>
      <c r="C2391" t="s">
        <v>915</v>
      </c>
      <c r="D2391" s="1">
        <v>0.88541666666666663</v>
      </c>
      <c r="E2391" t="s">
        <v>11</v>
      </c>
      <c r="F2391" t="s">
        <v>24</v>
      </c>
      <c r="G2391" s="2">
        <v>46025</v>
      </c>
      <c r="H2391" t="s">
        <v>206</v>
      </c>
    </row>
    <row r="2392" spans="1:8" x14ac:dyDescent="0.3">
      <c r="A2392" t="s">
        <v>878</v>
      </c>
      <c r="B2392">
        <v>12</v>
      </c>
      <c r="C2392" t="s">
        <v>916</v>
      </c>
      <c r="D2392" s="1">
        <v>0.54166666666666663</v>
      </c>
      <c r="E2392" t="s">
        <v>36</v>
      </c>
      <c r="F2392" t="s">
        <v>16</v>
      </c>
      <c r="G2392" s="2">
        <v>46054</v>
      </c>
      <c r="H2392" t="s">
        <v>887</v>
      </c>
    </row>
    <row r="2393" spans="1:8" x14ac:dyDescent="0.3">
      <c r="A2393" t="s">
        <v>878</v>
      </c>
      <c r="B2393">
        <v>12</v>
      </c>
      <c r="C2393" t="s">
        <v>916</v>
      </c>
      <c r="D2393" s="1">
        <v>0.66666666666666663</v>
      </c>
      <c r="E2393" t="s">
        <v>21</v>
      </c>
      <c r="F2393" t="s">
        <v>20</v>
      </c>
      <c r="G2393" s="2">
        <v>46025</v>
      </c>
      <c r="H2393" t="s">
        <v>185</v>
      </c>
    </row>
    <row r="2394" spans="1:8" x14ac:dyDescent="0.3">
      <c r="A2394" t="s">
        <v>878</v>
      </c>
      <c r="B2394">
        <v>12</v>
      </c>
      <c r="C2394" t="s">
        <v>916</v>
      </c>
      <c r="D2394" s="1">
        <v>0.77083333333333337</v>
      </c>
      <c r="E2394" t="s">
        <v>27</v>
      </c>
      <c r="F2394" t="s">
        <v>28</v>
      </c>
      <c r="G2394" s="2">
        <v>46023</v>
      </c>
      <c r="H2394" t="s">
        <v>206</v>
      </c>
    </row>
    <row r="2395" spans="1:8" x14ac:dyDescent="0.3">
      <c r="A2395" t="s">
        <v>878</v>
      </c>
      <c r="B2395">
        <v>12</v>
      </c>
      <c r="C2395" t="s">
        <v>916</v>
      </c>
      <c r="D2395" s="1">
        <v>0.875</v>
      </c>
      <c r="E2395" t="s">
        <v>25</v>
      </c>
      <c r="F2395" t="s">
        <v>26</v>
      </c>
      <c r="G2395" t="s">
        <v>41</v>
      </c>
      <c r="H2395" t="s">
        <v>345</v>
      </c>
    </row>
    <row r="2396" spans="1:8" x14ac:dyDescent="0.3">
      <c r="A2396" t="s">
        <v>878</v>
      </c>
      <c r="B2396">
        <v>12</v>
      </c>
      <c r="C2396" t="s">
        <v>917</v>
      </c>
      <c r="D2396" s="1">
        <v>0.5</v>
      </c>
      <c r="E2396" t="s">
        <v>14</v>
      </c>
      <c r="F2396" t="s">
        <v>881</v>
      </c>
      <c r="G2396" t="s">
        <v>32</v>
      </c>
      <c r="H2396" t="s">
        <v>609</v>
      </c>
    </row>
    <row r="2397" spans="1:8" x14ac:dyDescent="0.3">
      <c r="A2397" t="s">
        <v>878</v>
      </c>
      <c r="B2397">
        <v>12</v>
      </c>
      <c r="C2397" t="s">
        <v>917</v>
      </c>
      <c r="D2397" s="1">
        <v>0.58333333333333337</v>
      </c>
      <c r="E2397" t="s">
        <v>34</v>
      </c>
      <c r="F2397" t="s">
        <v>15</v>
      </c>
      <c r="G2397" t="s">
        <v>41</v>
      </c>
      <c r="H2397" t="s">
        <v>197</v>
      </c>
    </row>
    <row r="2398" spans="1:8" x14ac:dyDescent="0.3">
      <c r="A2398" t="s">
        <v>878</v>
      </c>
      <c r="B2398">
        <v>12</v>
      </c>
      <c r="C2398" t="s">
        <v>917</v>
      </c>
      <c r="D2398" s="1">
        <v>0.66666666666666663</v>
      </c>
      <c r="E2398" t="s">
        <v>23</v>
      </c>
      <c r="F2398" t="s">
        <v>464</v>
      </c>
      <c r="G2398" s="2">
        <v>46057</v>
      </c>
      <c r="H2398" t="s">
        <v>467</v>
      </c>
    </row>
    <row r="2399" spans="1:8" x14ac:dyDescent="0.3">
      <c r="A2399" t="s">
        <v>878</v>
      </c>
      <c r="B2399">
        <v>12</v>
      </c>
      <c r="C2399" t="s">
        <v>917</v>
      </c>
      <c r="D2399" s="1">
        <v>0.77083333333333337</v>
      </c>
      <c r="E2399" t="s">
        <v>35</v>
      </c>
      <c r="F2399" t="s">
        <v>11</v>
      </c>
      <c r="G2399" t="s">
        <v>42</v>
      </c>
      <c r="H2399" t="s">
        <v>181</v>
      </c>
    </row>
    <row r="2400" spans="1:8" x14ac:dyDescent="0.3">
      <c r="A2400" t="s">
        <v>878</v>
      </c>
      <c r="B2400">
        <v>12</v>
      </c>
      <c r="C2400" t="s">
        <v>917</v>
      </c>
      <c r="D2400" s="1">
        <v>0.77083333333333337</v>
      </c>
      <c r="E2400" t="s">
        <v>466</v>
      </c>
      <c r="F2400" t="s">
        <v>187</v>
      </c>
      <c r="G2400" s="2">
        <v>46054</v>
      </c>
      <c r="H2400" t="s">
        <v>614</v>
      </c>
    </row>
    <row r="2401" spans="1:8" x14ac:dyDescent="0.3">
      <c r="A2401" t="s">
        <v>878</v>
      </c>
      <c r="B2401">
        <v>12</v>
      </c>
      <c r="C2401" t="s">
        <v>917</v>
      </c>
      <c r="D2401" s="1">
        <v>0.875</v>
      </c>
      <c r="E2401" t="s">
        <v>24</v>
      </c>
      <c r="F2401" t="s">
        <v>10</v>
      </c>
      <c r="G2401" s="2">
        <v>46054</v>
      </c>
      <c r="H2401" t="s">
        <v>202</v>
      </c>
    </row>
    <row r="2402" spans="1:8" x14ac:dyDescent="0.3">
      <c r="A2402" t="s">
        <v>878</v>
      </c>
      <c r="B2402">
        <v>13</v>
      </c>
      <c r="C2402" t="s">
        <v>918</v>
      </c>
      <c r="D2402" s="1">
        <v>0.875</v>
      </c>
      <c r="E2402" t="s">
        <v>10</v>
      </c>
      <c r="F2402" t="s">
        <v>466</v>
      </c>
      <c r="G2402" s="2">
        <v>46023</v>
      </c>
      <c r="H2402" t="s">
        <v>205</v>
      </c>
    </row>
    <row r="2403" spans="1:8" x14ac:dyDescent="0.3">
      <c r="A2403" t="s">
        <v>878</v>
      </c>
      <c r="B2403">
        <v>13</v>
      </c>
      <c r="C2403" t="s">
        <v>919</v>
      </c>
      <c r="D2403" s="1">
        <v>0.54166666666666663</v>
      </c>
      <c r="E2403" t="s">
        <v>464</v>
      </c>
      <c r="F2403" t="s">
        <v>14</v>
      </c>
      <c r="G2403" t="s">
        <v>32</v>
      </c>
      <c r="H2403" t="s">
        <v>190</v>
      </c>
    </row>
    <row r="2404" spans="1:8" x14ac:dyDescent="0.3">
      <c r="A2404" t="s">
        <v>878</v>
      </c>
      <c r="B2404">
        <v>13</v>
      </c>
      <c r="C2404" t="s">
        <v>919</v>
      </c>
      <c r="D2404" s="1">
        <v>0.66666666666666663</v>
      </c>
      <c r="E2404" t="s">
        <v>16</v>
      </c>
      <c r="F2404" t="s">
        <v>24</v>
      </c>
      <c r="G2404" t="s">
        <v>12</v>
      </c>
      <c r="H2404" t="s">
        <v>198</v>
      </c>
    </row>
    <row r="2405" spans="1:8" x14ac:dyDescent="0.3">
      <c r="A2405" t="s">
        <v>878</v>
      </c>
      <c r="B2405">
        <v>13</v>
      </c>
      <c r="C2405" t="s">
        <v>919</v>
      </c>
      <c r="D2405" s="1">
        <v>0.77083333333333337</v>
      </c>
      <c r="E2405" t="s">
        <v>187</v>
      </c>
      <c r="F2405" t="s">
        <v>25</v>
      </c>
      <c r="G2405" t="s">
        <v>53</v>
      </c>
      <c r="H2405" t="s">
        <v>752</v>
      </c>
    </row>
    <row r="2406" spans="1:8" x14ac:dyDescent="0.3">
      <c r="A2406" t="s">
        <v>878</v>
      </c>
      <c r="B2406">
        <v>13</v>
      </c>
      <c r="C2406" t="s">
        <v>919</v>
      </c>
      <c r="D2406" s="1">
        <v>0.875</v>
      </c>
      <c r="E2406" t="s">
        <v>20</v>
      </c>
      <c r="F2406" t="s">
        <v>35</v>
      </c>
      <c r="G2406" s="2">
        <v>46026</v>
      </c>
      <c r="H2406" t="s">
        <v>747</v>
      </c>
    </row>
    <row r="2407" spans="1:8" x14ac:dyDescent="0.3">
      <c r="A2407" t="s">
        <v>878</v>
      </c>
      <c r="B2407">
        <v>13</v>
      </c>
      <c r="C2407" t="s">
        <v>920</v>
      </c>
      <c r="D2407" s="1">
        <v>0.5</v>
      </c>
      <c r="E2407" t="s">
        <v>881</v>
      </c>
      <c r="F2407" t="s">
        <v>34</v>
      </c>
      <c r="G2407" s="2">
        <v>46025</v>
      </c>
      <c r="H2407" t="s">
        <v>184</v>
      </c>
    </row>
    <row r="2408" spans="1:8" x14ac:dyDescent="0.3">
      <c r="A2408" t="s">
        <v>878</v>
      </c>
      <c r="B2408">
        <v>13</v>
      </c>
      <c r="C2408" t="s">
        <v>920</v>
      </c>
      <c r="D2408" s="1">
        <v>0.58333333333333337</v>
      </c>
      <c r="E2408" t="s">
        <v>15</v>
      </c>
      <c r="F2408" t="s">
        <v>21</v>
      </c>
      <c r="G2408" s="2">
        <v>46024</v>
      </c>
      <c r="H2408" t="s">
        <v>612</v>
      </c>
    </row>
    <row r="2409" spans="1:8" x14ac:dyDescent="0.3">
      <c r="A2409" t="s">
        <v>878</v>
      </c>
      <c r="B2409">
        <v>13</v>
      </c>
      <c r="C2409" t="s">
        <v>920</v>
      </c>
      <c r="D2409" s="1">
        <v>0.66666666666666663</v>
      </c>
      <c r="E2409" t="s">
        <v>28</v>
      </c>
      <c r="F2409" t="s">
        <v>36</v>
      </c>
      <c r="G2409" s="2">
        <v>46025</v>
      </c>
      <c r="H2409" t="s">
        <v>194</v>
      </c>
    </row>
    <row r="2410" spans="1:8" x14ac:dyDescent="0.3">
      <c r="A2410" t="s">
        <v>878</v>
      </c>
      <c r="B2410">
        <v>13</v>
      </c>
      <c r="C2410" t="s">
        <v>920</v>
      </c>
      <c r="D2410" s="1">
        <v>0.77083333333333337</v>
      </c>
      <c r="E2410" t="s">
        <v>11</v>
      </c>
      <c r="F2410" t="s">
        <v>23</v>
      </c>
      <c r="G2410" t="s">
        <v>41</v>
      </c>
      <c r="H2410" t="s">
        <v>883</v>
      </c>
    </row>
    <row r="2411" spans="1:8" x14ac:dyDescent="0.3">
      <c r="A2411" t="s">
        <v>878</v>
      </c>
      <c r="B2411">
        <v>13</v>
      </c>
      <c r="C2411" t="s">
        <v>920</v>
      </c>
      <c r="D2411" s="1">
        <v>0.875</v>
      </c>
      <c r="E2411" t="s">
        <v>26</v>
      </c>
      <c r="F2411" t="s">
        <v>27</v>
      </c>
      <c r="G2411" s="2">
        <v>46054</v>
      </c>
      <c r="H2411" t="s">
        <v>185</v>
      </c>
    </row>
    <row r="2412" spans="1:8" x14ac:dyDescent="0.3">
      <c r="A2412" t="s">
        <v>878</v>
      </c>
      <c r="B2412">
        <v>14</v>
      </c>
      <c r="C2412" t="s">
        <v>921</v>
      </c>
      <c r="D2412" s="1">
        <v>0.875</v>
      </c>
      <c r="E2412" t="s">
        <v>21</v>
      </c>
      <c r="F2412" t="s">
        <v>881</v>
      </c>
      <c r="G2412" s="2">
        <v>46024</v>
      </c>
      <c r="H2412" t="s">
        <v>887</v>
      </c>
    </row>
    <row r="2413" spans="1:8" x14ac:dyDescent="0.3">
      <c r="A2413" t="s">
        <v>878</v>
      </c>
      <c r="B2413">
        <v>14</v>
      </c>
      <c r="C2413" t="s">
        <v>922</v>
      </c>
      <c r="D2413" s="1">
        <v>0.54166666666666663</v>
      </c>
      <c r="E2413" t="s">
        <v>466</v>
      </c>
      <c r="F2413" t="s">
        <v>20</v>
      </c>
      <c r="G2413" s="2">
        <v>46054</v>
      </c>
      <c r="H2413" t="s">
        <v>197</v>
      </c>
    </row>
    <row r="2414" spans="1:8" x14ac:dyDescent="0.3">
      <c r="A2414" t="s">
        <v>878</v>
      </c>
      <c r="B2414">
        <v>14</v>
      </c>
      <c r="C2414" t="s">
        <v>922</v>
      </c>
      <c r="D2414" s="1">
        <v>0.66666666666666663</v>
      </c>
      <c r="E2414" t="s">
        <v>26</v>
      </c>
      <c r="F2414" t="s">
        <v>16</v>
      </c>
      <c r="G2414" s="2">
        <v>46024</v>
      </c>
      <c r="H2414" t="s">
        <v>341</v>
      </c>
    </row>
    <row r="2415" spans="1:8" x14ac:dyDescent="0.3">
      <c r="A2415" t="s">
        <v>878</v>
      </c>
      <c r="B2415">
        <v>14</v>
      </c>
      <c r="C2415" t="s">
        <v>922</v>
      </c>
      <c r="D2415" s="1">
        <v>0.77083333333333337</v>
      </c>
      <c r="E2415" t="s">
        <v>24</v>
      </c>
      <c r="F2415" t="s">
        <v>28</v>
      </c>
      <c r="G2415" s="2">
        <v>46023</v>
      </c>
      <c r="H2415" t="s">
        <v>609</v>
      </c>
    </row>
    <row r="2416" spans="1:8" x14ac:dyDescent="0.3">
      <c r="A2416" t="s">
        <v>878</v>
      </c>
      <c r="B2416">
        <v>14</v>
      </c>
      <c r="C2416" t="s">
        <v>922</v>
      </c>
      <c r="D2416" s="1">
        <v>0.875</v>
      </c>
      <c r="E2416" t="s">
        <v>25</v>
      </c>
      <c r="F2416" t="s">
        <v>10</v>
      </c>
      <c r="G2416" s="2">
        <v>46025</v>
      </c>
      <c r="H2416" t="s">
        <v>194</v>
      </c>
    </row>
    <row r="2417" spans="1:8" x14ac:dyDescent="0.3">
      <c r="A2417" t="s">
        <v>878</v>
      </c>
      <c r="B2417">
        <v>14</v>
      </c>
      <c r="C2417" t="s">
        <v>923</v>
      </c>
      <c r="D2417" s="1">
        <v>0.5</v>
      </c>
      <c r="E2417" t="s">
        <v>36</v>
      </c>
      <c r="F2417" t="s">
        <v>11</v>
      </c>
      <c r="G2417" s="2">
        <v>46023</v>
      </c>
      <c r="H2417" t="s">
        <v>614</v>
      </c>
    </row>
    <row r="2418" spans="1:8" x14ac:dyDescent="0.3">
      <c r="A2418" t="s">
        <v>878</v>
      </c>
      <c r="B2418">
        <v>14</v>
      </c>
      <c r="C2418" t="s">
        <v>923</v>
      </c>
      <c r="D2418" s="1">
        <v>0.58333333333333337</v>
      </c>
      <c r="E2418" t="s">
        <v>23</v>
      </c>
      <c r="F2418" t="s">
        <v>15</v>
      </c>
      <c r="G2418" s="2">
        <v>46054</v>
      </c>
      <c r="H2418" t="s">
        <v>345</v>
      </c>
    </row>
    <row r="2419" spans="1:8" x14ac:dyDescent="0.3">
      <c r="A2419" t="s">
        <v>878</v>
      </c>
      <c r="B2419">
        <v>14</v>
      </c>
      <c r="C2419" t="s">
        <v>923</v>
      </c>
      <c r="D2419" s="1">
        <v>0.66666666666666663</v>
      </c>
      <c r="E2419" t="s">
        <v>187</v>
      </c>
      <c r="F2419" t="s">
        <v>464</v>
      </c>
      <c r="G2419" t="s">
        <v>54</v>
      </c>
      <c r="H2419" t="s">
        <v>181</v>
      </c>
    </row>
    <row r="2420" spans="1:8" x14ac:dyDescent="0.3">
      <c r="A2420" t="s">
        <v>878</v>
      </c>
      <c r="B2420">
        <v>14</v>
      </c>
      <c r="C2420" t="s">
        <v>923</v>
      </c>
      <c r="D2420" s="1">
        <v>0.77083333333333337</v>
      </c>
      <c r="E2420" t="s">
        <v>34</v>
      </c>
      <c r="F2420" t="s">
        <v>35</v>
      </c>
      <c r="G2420" s="2">
        <v>46082</v>
      </c>
      <c r="H2420" t="s">
        <v>467</v>
      </c>
    </row>
    <row r="2421" spans="1:8" x14ac:dyDescent="0.3">
      <c r="A2421" t="s">
        <v>878</v>
      </c>
      <c r="B2421">
        <v>14</v>
      </c>
      <c r="C2421" t="s">
        <v>923</v>
      </c>
      <c r="D2421" s="1">
        <v>0.875</v>
      </c>
      <c r="E2421" t="s">
        <v>14</v>
      </c>
      <c r="F2421" t="s">
        <v>27</v>
      </c>
      <c r="G2421" t="s">
        <v>42</v>
      </c>
      <c r="H2421" t="s">
        <v>202</v>
      </c>
    </row>
    <row r="2422" spans="1:8" x14ac:dyDescent="0.3">
      <c r="A2422" t="s">
        <v>878</v>
      </c>
      <c r="B2422">
        <v>15</v>
      </c>
      <c r="C2422" t="s">
        <v>924</v>
      </c>
      <c r="D2422" s="1">
        <v>0.875</v>
      </c>
      <c r="E2422" t="s">
        <v>35</v>
      </c>
      <c r="F2422" t="s">
        <v>14</v>
      </c>
      <c r="G2422" t="s">
        <v>41</v>
      </c>
      <c r="H2422" t="s">
        <v>612</v>
      </c>
    </row>
    <row r="2423" spans="1:8" x14ac:dyDescent="0.3">
      <c r="A2423" t="s">
        <v>878</v>
      </c>
      <c r="B2423">
        <v>15</v>
      </c>
      <c r="C2423" t="s">
        <v>925</v>
      </c>
      <c r="D2423" s="1">
        <v>0.54166666666666663</v>
      </c>
      <c r="E2423" t="s">
        <v>464</v>
      </c>
      <c r="F2423" t="s">
        <v>25</v>
      </c>
      <c r="G2423" s="2">
        <v>46054</v>
      </c>
      <c r="H2423" t="s">
        <v>747</v>
      </c>
    </row>
    <row r="2424" spans="1:8" x14ac:dyDescent="0.3">
      <c r="A2424" t="s">
        <v>878</v>
      </c>
      <c r="B2424">
        <v>15</v>
      </c>
      <c r="C2424" t="s">
        <v>925</v>
      </c>
      <c r="D2424" s="1">
        <v>0.66666666666666663</v>
      </c>
      <c r="E2424" t="s">
        <v>10</v>
      </c>
      <c r="F2424" t="s">
        <v>187</v>
      </c>
      <c r="G2424" s="2">
        <v>46026</v>
      </c>
      <c r="H2424" t="s">
        <v>184</v>
      </c>
    </row>
    <row r="2425" spans="1:8" x14ac:dyDescent="0.3">
      <c r="A2425" t="s">
        <v>878</v>
      </c>
      <c r="B2425">
        <v>15</v>
      </c>
      <c r="C2425" t="s">
        <v>925</v>
      </c>
      <c r="D2425" s="1">
        <v>0.77083333333333337</v>
      </c>
      <c r="E2425" t="s">
        <v>881</v>
      </c>
      <c r="F2425" t="s">
        <v>26</v>
      </c>
      <c r="G2425" s="2">
        <v>46054</v>
      </c>
      <c r="H2425" t="s">
        <v>205</v>
      </c>
    </row>
    <row r="2426" spans="1:8" x14ac:dyDescent="0.3">
      <c r="A2426" t="s">
        <v>878</v>
      </c>
      <c r="B2426">
        <v>15</v>
      </c>
      <c r="C2426" t="s">
        <v>925</v>
      </c>
      <c r="D2426" s="1">
        <v>0.875</v>
      </c>
      <c r="E2426" t="s">
        <v>16</v>
      </c>
      <c r="F2426" t="s">
        <v>34</v>
      </c>
      <c r="G2426" s="2">
        <v>46024</v>
      </c>
      <c r="H2426" t="s">
        <v>883</v>
      </c>
    </row>
    <row r="2427" spans="1:8" x14ac:dyDescent="0.3">
      <c r="A2427" t="s">
        <v>878</v>
      </c>
      <c r="B2427">
        <v>15</v>
      </c>
      <c r="C2427" t="s">
        <v>926</v>
      </c>
      <c r="D2427" s="1">
        <v>0.5</v>
      </c>
      <c r="E2427" t="s">
        <v>27</v>
      </c>
      <c r="F2427" t="s">
        <v>466</v>
      </c>
      <c r="G2427" t="s">
        <v>18</v>
      </c>
      <c r="H2427" t="s">
        <v>341</v>
      </c>
    </row>
    <row r="2428" spans="1:8" x14ac:dyDescent="0.3">
      <c r="A2428" t="s">
        <v>878</v>
      </c>
      <c r="B2428">
        <v>15</v>
      </c>
      <c r="C2428" t="s">
        <v>926</v>
      </c>
      <c r="D2428" s="1">
        <v>0.58333333333333337</v>
      </c>
      <c r="E2428" t="s">
        <v>15</v>
      </c>
      <c r="F2428" t="s">
        <v>24</v>
      </c>
      <c r="G2428" t="s">
        <v>12</v>
      </c>
      <c r="H2428" t="s">
        <v>752</v>
      </c>
    </row>
    <row r="2429" spans="1:8" x14ac:dyDescent="0.3">
      <c r="A2429" t="s">
        <v>878</v>
      </c>
      <c r="B2429">
        <v>15</v>
      </c>
      <c r="C2429" t="s">
        <v>926</v>
      </c>
      <c r="D2429" s="1">
        <v>0.66666666666666663</v>
      </c>
      <c r="E2429" t="s">
        <v>36</v>
      </c>
      <c r="F2429" t="s">
        <v>23</v>
      </c>
      <c r="G2429" s="2">
        <v>46114</v>
      </c>
      <c r="H2429" t="s">
        <v>190</v>
      </c>
    </row>
    <row r="2430" spans="1:8" x14ac:dyDescent="0.3">
      <c r="A2430" t="s">
        <v>878</v>
      </c>
      <c r="B2430">
        <v>15</v>
      </c>
      <c r="C2430" t="s">
        <v>926</v>
      </c>
      <c r="D2430" s="1">
        <v>0.77083333333333337</v>
      </c>
      <c r="E2430" t="s">
        <v>11</v>
      </c>
      <c r="F2430" t="s">
        <v>21</v>
      </c>
      <c r="G2430" t="s">
        <v>88</v>
      </c>
      <c r="H2430" t="s">
        <v>198</v>
      </c>
    </row>
    <row r="2431" spans="1:8" x14ac:dyDescent="0.3">
      <c r="A2431" t="s">
        <v>878</v>
      </c>
      <c r="B2431">
        <v>15</v>
      </c>
      <c r="C2431" t="s">
        <v>926</v>
      </c>
      <c r="D2431" s="1">
        <v>0.875</v>
      </c>
      <c r="E2431" t="s">
        <v>28</v>
      </c>
      <c r="F2431" t="s">
        <v>20</v>
      </c>
      <c r="G2431" t="s">
        <v>42</v>
      </c>
      <c r="H2431" t="s">
        <v>181</v>
      </c>
    </row>
    <row r="2432" spans="1:8" x14ac:dyDescent="0.3">
      <c r="A2432" t="s">
        <v>878</v>
      </c>
      <c r="B2432">
        <v>16</v>
      </c>
      <c r="C2432" t="s">
        <v>927</v>
      </c>
      <c r="D2432" s="1">
        <v>0.875</v>
      </c>
      <c r="E2432" t="s">
        <v>34</v>
      </c>
      <c r="F2432" t="s">
        <v>28</v>
      </c>
      <c r="G2432" t="s">
        <v>41</v>
      </c>
      <c r="H2432" t="s">
        <v>185</v>
      </c>
    </row>
    <row r="2433" spans="1:8" x14ac:dyDescent="0.3">
      <c r="A2433" t="s">
        <v>878</v>
      </c>
      <c r="B2433">
        <v>16</v>
      </c>
      <c r="C2433" t="s">
        <v>928</v>
      </c>
      <c r="D2433" s="1">
        <v>0.54166666666666663</v>
      </c>
      <c r="E2433" t="s">
        <v>25</v>
      </c>
      <c r="F2433" t="s">
        <v>36</v>
      </c>
      <c r="G2433" t="s">
        <v>12</v>
      </c>
      <c r="H2433" t="s">
        <v>197</v>
      </c>
    </row>
    <row r="2434" spans="1:8" x14ac:dyDescent="0.3">
      <c r="A2434" t="s">
        <v>878</v>
      </c>
      <c r="B2434">
        <v>16</v>
      </c>
      <c r="C2434" t="s">
        <v>928</v>
      </c>
      <c r="D2434" s="1">
        <v>0.66666666666666663</v>
      </c>
      <c r="E2434" t="s">
        <v>24</v>
      </c>
      <c r="F2434" t="s">
        <v>464</v>
      </c>
      <c r="G2434" t="s">
        <v>32</v>
      </c>
      <c r="H2434" t="s">
        <v>194</v>
      </c>
    </row>
    <row r="2435" spans="1:8" x14ac:dyDescent="0.3">
      <c r="A2435" t="s">
        <v>878</v>
      </c>
      <c r="B2435">
        <v>16</v>
      </c>
      <c r="C2435" t="s">
        <v>928</v>
      </c>
      <c r="D2435" s="1">
        <v>0.77083333333333337</v>
      </c>
      <c r="E2435" t="s">
        <v>21</v>
      </c>
      <c r="F2435" t="s">
        <v>16</v>
      </c>
      <c r="G2435" s="2">
        <v>46114</v>
      </c>
      <c r="H2435" t="s">
        <v>609</v>
      </c>
    </row>
    <row r="2436" spans="1:8" x14ac:dyDescent="0.3">
      <c r="A2436" t="s">
        <v>878</v>
      </c>
      <c r="B2436">
        <v>16</v>
      </c>
      <c r="C2436" t="s">
        <v>928</v>
      </c>
      <c r="D2436" s="1">
        <v>0.875</v>
      </c>
      <c r="E2436" t="s">
        <v>20</v>
      </c>
      <c r="F2436" t="s">
        <v>881</v>
      </c>
      <c r="G2436" s="2">
        <v>46058</v>
      </c>
      <c r="H2436" t="s">
        <v>467</v>
      </c>
    </row>
    <row r="2437" spans="1:8" x14ac:dyDescent="0.3">
      <c r="A2437" t="s">
        <v>878</v>
      </c>
      <c r="B2437">
        <v>16</v>
      </c>
      <c r="C2437" t="s">
        <v>929</v>
      </c>
      <c r="D2437" s="1">
        <v>0.5</v>
      </c>
      <c r="E2437" t="s">
        <v>187</v>
      </c>
      <c r="F2437" t="s">
        <v>11</v>
      </c>
      <c r="G2437" t="s">
        <v>42</v>
      </c>
      <c r="H2437" t="s">
        <v>202</v>
      </c>
    </row>
    <row r="2438" spans="1:8" x14ac:dyDescent="0.3">
      <c r="A2438" t="s">
        <v>878</v>
      </c>
      <c r="B2438">
        <v>16</v>
      </c>
      <c r="C2438" t="s">
        <v>929</v>
      </c>
      <c r="D2438" s="1">
        <v>0.58333333333333337</v>
      </c>
      <c r="E2438" t="s">
        <v>26</v>
      </c>
      <c r="F2438" t="s">
        <v>15</v>
      </c>
      <c r="G2438" s="2">
        <v>46056</v>
      </c>
      <c r="H2438" t="s">
        <v>887</v>
      </c>
    </row>
    <row r="2439" spans="1:8" x14ac:dyDescent="0.3">
      <c r="A2439" t="s">
        <v>878</v>
      </c>
      <c r="B2439">
        <v>16</v>
      </c>
      <c r="C2439" t="s">
        <v>929</v>
      </c>
      <c r="D2439" s="1">
        <v>0.66666666666666663</v>
      </c>
      <c r="E2439" t="s">
        <v>14</v>
      </c>
      <c r="F2439" t="s">
        <v>10</v>
      </c>
      <c r="G2439" t="s">
        <v>41</v>
      </c>
      <c r="H2439" t="s">
        <v>614</v>
      </c>
    </row>
    <row r="2440" spans="1:8" x14ac:dyDescent="0.3">
      <c r="A2440" t="s">
        <v>878</v>
      </c>
      <c r="B2440">
        <v>16</v>
      </c>
      <c r="C2440" t="s">
        <v>929</v>
      </c>
      <c r="D2440" s="1">
        <v>0.77083333333333337</v>
      </c>
      <c r="E2440" t="s">
        <v>466</v>
      </c>
      <c r="F2440" t="s">
        <v>35</v>
      </c>
      <c r="G2440" s="2">
        <v>46056</v>
      </c>
      <c r="H2440" t="s">
        <v>345</v>
      </c>
    </row>
    <row r="2441" spans="1:8" x14ac:dyDescent="0.3">
      <c r="A2441" t="s">
        <v>878</v>
      </c>
      <c r="B2441">
        <v>16</v>
      </c>
      <c r="C2441" t="s">
        <v>929</v>
      </c>
      <c r="D2441" s="1">
        <v>0.875</v>
      </c>
      <c r="E2441" t="s">
        <v>23</v>
      </c>
      <c r="F2441" t="s">
        <v>27</v>
      </c>
      <c r="G2441" s="2">
        <v>46023</v>
      </c>
      <c r="H2441" t="s">
        <v>198</v>
      </c>
    </row>
    <row r="2442" spans="1:8" x14ac:dyDescent="0.3">
      <c r="A2442" t="s">
        <v>878</v>
      </c>
      <c r="B2442">
        <v>17</v>
      </c>
      <c r="C2442" t="s">
        <v>930</v>
      </c>
      <c r="D2442" s="1">
        <v>0.875</v>
      </c>
      <c r="E2442" t="s">
        <v>464</v>
      </c>
      <c r="F2442" t="s">
        <v>466</v>
      </c>
      <c r="G2442" s="2">
        <v>46023</v>
      </c>
      <c r="H2442" t="s">
        <v>883</v>
      </c>
    </row>
    <row r="2443" spans="1:8" x14ac:dyDescent="0.3">
      <c r="A2443" t="s">
        <v>878</v>
      </c>
      <c r="B2443">
        <v>17</v>
      </c>
      <c r="C2443" t="s">
        <v>931</v>
      </c>
      <c r="D2443" s="1">
        <v>0.54166666666666663</v>
      </c>
      <c r="E2443" t="s">
        <v>24</v>
      </c>
      <c r="F2443" t="s">
        <v>21</v>
      </c>
      <c r="G2443" s="2">
        <v>46054</v>
      </c>
      <c r="H2443" t="s">
        <v>184</v>
      </c>
    </row>
    <row r="2444" spans="1:8" x14ac:dyDescent="0.3">
      <c r="A2444" t="s">
        <v>878</v>
      </c>
      <c r="B2444">
        <v>17</v>
      </c>
      <c r="C2444" t="s">
        <v>931</v>
      </c>
      <c r="D2444" s="1">
        <v>0.66666666666666663</v>
      </c>
      <c r="E2444" t="s">
        <v>10</v>
      </c>
      <c r="F2444" t="s">
        <v>20</v>
      </c>
      <c r="G2444" s="2">
        <v>46055</v>
      </c>
      <c r="H2444" t="s">
        <v>612</v>
      </c>
    </row>
    <row r="2445" spans="1:8" x14ac:dyDescent="0.3">
      <c r="A2445" t="s">
        <v>878</v>
      </c>
      <c r="B2445">
        <v>17</v>
      </c>
      <c r="C2445" t="s">
        <v>931</v>
      </c>
      <c r="D2445" s="1">
        <v>0.77083333333333337</v>
      </c>
      <c r="E2445" t="s">
        <v>15</v>
      </c>
      <c r="F2445" t="s">
        <v>187</v>
      </c>
      <c r="G2445" t="s">
        <v>41</v>
      </c>
      <c r="H2445" t="s">
        <v>190</v>
      </c>
    </row>
    <row r="2446" spans="1:8" x14ac:dyDescent="0.3">
      <c r="A2446" t="s">
        <v>878</v>
      </c>
      <c r="B2446">
        <v>17</v>
      </c>
      <c r="C2446" t="s">
        <v>931</v>
      </c>
      <c r="D2446" s="1">
        <v>0.875</v>
      </c>
      <c r="E2446" t="s">
        <v>28</v>
      </c>
      <c r="F2446" t="s">
        <v>23</v>
      </c>
      <c r="G2446" t="s">
        <v>12</v>
      </c>
      <c r="H2446" t="s">
        <v>467</v>
      </c>
    </row>
    <row r="2447" spans="1:8" x14ac:dyDescent="0.3">
      <c r="A2447" t="s">
        <v>878</v>
      </c>
      <c r="B2447">
        <v>17</v>
      </c>
      <c r="C2447" t="s">
        <v>932</v>
      </c>
      <c r="D2447" s="1">
        <v>0.5</v>
      </c>
      <c r="E2447" t="s">
        <v>11</v>
      </c>
      <c r="F2447" t="s">
        <v>14</v>
      </c>
      <c r="G2447" t="s">
        <v>12</v>
      </c>
      <c r="H2447" t="s">
        <v>181</v>
      </c>
    </row>
    <row r="2448" spans="1:8" x14ac:dyDescent="0.3">
      <c r="A2448" t="s">
        <v>878</v>
      </c>
      <c r="B2448">
        <v>17</v>
      </c>
      <c r="C2448" t="s">
        <v>932</v>
      </c>
      <c r="D2448" s="1">
        <v>0.58333333333333337</v>
      </c>
      <c r="E2448" t="s">
        <v>35</v>
      </c>
      <c r="F2448" t="s">
        <v>881</v>
      </c>
      <c r="G2448" s="2">
        <v>46055</v>
      </c>
      <c r="H2448" t="s">
        <v>341</v>
      </c>
    </row>
    <row r="2449" spans="1:8" x14ac:dyDescent="0.3">
      <c r="A2449" t="s">
        <v>878</v>
      </c>
      <c r="B2449">
        <v>17</v>
      </c>
      <c r="C2449" t="s">
        <v>932</v>
      </c>
      <c r="D2449" s="1">
        <v>0.66666666666666663</v>
      </c>
      <c r="E2449" t="s">
        <v>36</v>
      </c>
      <c r="F2449" t="s">
        <v>26</v>
      </c>
      <c r="G2449" s="2">
        <v>46055</v>
      </c>
      <c r="H2449" t="s">
        <v>747</v>
      </c>
    </row>
    <row r="2450" spans="1:8" x14ac:dyDescent="0.3">
      <c r="A2450" t="s">
        <v>878</v>
      </c>
      <c r="B2450">
        <v>17</v>
      </c>
      <c r="C2450" t="s">
        <v>932</v>
      </c>
      <c r="D2450" s="1">
        <v>0.77083333333333337</v>
      </c>
      <c r="E2450" t="s">
        <v>27</v>
      </c>
      <c r="F2450" t="s">
        <v>34</v>
      </c>
      <c r="G2450" s="2">
        <v>46054</v>
      </c>
      <c r="H2450" t="s">
        <v>752</v>
      </c>
    </row>
    <row r="2451" spans="1:8" x14ac:dyDescent="0.3">
      <c r="A2451" t="s">
        <v>878</v>
      </c>
      <c r="B2451">
        <v>17</v>
      </c>
      <c r="C2451" t="s">
        <v>932</v>
      </c>
      <c r="D2451" s="1">
        <v>0.875</v>
      </c>
      <c r="E2451" t="s">
        <v>16</v>
      </c>
      <c r="F2451" t="s">
        <v>25</v>
      </c>
      <c r="G2451" s="2">
        <v>46023</v>
      </c>
      <c r="H2451" t="s">
        <v>345</v>
      </c>
    </row>
    <row r="2452" spans="1:8" x14ac:dyDescent="0.3">
      <c r="A2452" t="s">
        <v>878</v>
      </c>
      <c r="B2452">
        <v>18</v>
      </c>
      <c r="C2452" t="s">
        <v>933</v>
      </c>
      <c r="D2452" s="1">
        <v>0.875</v>
      </c>
      <c r="E2452" t="s">
        <v>187</v>
      </c>
      <c r="F2452" t="s">
        <v>24</v>
      </c>
      <c r="G2452" t="s">
        <v>32</v>
      </c>
      <c r="H2452" t="s">
        <v>614</v>
      </c>
    </row>
    <row r="2453" spans="1:8" x14ac:dyDescent="0.3">
      <c r="A2453" t="s">
        <v>878</v>
      </c>
      <c r="B2453">
        <v>18</v>
      </c>
      <c r="C2453" t="s">
        <v>934</v>
      </c>
      <c r="D2453" s="1">
        <v>0.54166666666666663</v>
      </c>
      <c r="E2453" t="s">
        <v>881</v>
      </c>
      <c r="F2453" t="s">
        <v>27</v>
      </c>
      <c r="G2453" t="s">
        <v>54</v>
      </c>
      <c r="H2453" t="s">
        <v>194</v>
      </c>
    </row>
    <row r="2454" spans="1:8" x14ac:dyDescent="0.3">
      <c r="A2454" t="s">
        <v>878</v>
      </c>
      <c r="B2454">
        <v>18</v>
      </c>
      <c r="C2454" t="s">
        <v>934</v>
      </c>
      <c r="D2454" s="1">
        <v>0.66666666666666663</v>
      </c>
      <c r="E2454" t="s">
        <v>20</v>
      </c>
      <c r="F2454" t="s">
        <v>464</v>
      </c>
      <c r="G2454" s="2">
        <v>46026</v>
      </c>
      <c r="H2454" t="s">
        <v>190</v>
      </c>
    </row>
    <row r="2455" spans="1:8" x14ac:dyDescent="0.3">
      <c r="A2455" t="s">
        <v>878</v>
      </c>
      <c r="B2455">
        <v>18</v>
      </c>
      <c r="C2455" t="s">
        <v>934</v>
      </c>
      <c r="D2455" s="1">
        <v>0.77083333333333337</v>
      </c>
      <c r="E2455" t="s">
        <v>34</v>
      </c>
      <c r="F2455" t="s">
        <v>11</v>
      </c>
      <c r="G2455" t="s">
        <v>18</v>
      </c>
      <c r="H2455" t="s">
        <v>197</v>
      </c>
    </row>
    <row r="2456" spans="1:8" x14ac:dyDescent="0.3">
      <c r="A2456" t="s">
        <v>878</v>
      </c>
      <c r="B2456">
        <v>18</v>
      </c>
      <c r="C2456" t="s">
        <v>934</v>
      </c>
      <c r="D2456" s="1">
        <v>0.875</v>
      </c>
      <c r="E2456" t="s">
        <v>14</v>
      </c>
      <c r="F2456" t="s">
        <v>16</v>
      </c>
      <c r="G2456" s="2">
        <v>46023</v>
      </c>
      <c r="H2456" t="s">
        <v>887</v>
      </c>
    </row>
    <row r="2457" spans="1:8" x14ac:dyDescent="0.3">
      <c r="A2457" t="s">
        <v>878</v>
      </c>
      <c r="B2457">
        <v>18</v>
      </c>
      <c r="C2457" t="s">
        <v>935</v>
      </c>
      <c r="D2457" s="1">
        <v>0.5</v>
      </c>
      <c r="E2457" t="s">
        <v>466</v>
      </c>
      <c r="F2457" t="s">
        <v>36</v>
      </c>
      <c r="G2457" t="s">
        <v>12</v>
      </c>
      <c r="H2457" t="s">
        <v>612</v>
      </c>
    </row>
    <row r="2458" spans="1:8" x14ac:dyDescent="0.3">
      <c r="A2458" t="s">
        <v>878</v>
      </c>
      <c r="B2458">
        <v>18</v>
      </c>
      <c r="C2458" t="s">
        <v>935</v>
      </c>
      <c r="D2458" s="1">
        <v>0.58333333333333337</v>
      </c>
      <c r="E2458" t="s">
        <v>23</v>
      </c>
      <c r="F2458" t="s">
        <v>10</v>
      </c>
      <c r="G2458" s="2">
        <v>46115</v>
      </c>
      <c r="H2458" t="s">
        <v>609</v>
      </c>
    </row>
    <row r="2459" spans="1:8" x14ac:dyDescent="0.3">
      <c r="A2459" t="s">
        <v>878</v>
      </c>
      <c r="B2459">
        <v>18</v>
      </c>
      <c r="C2459" t="s">
        <v>935</v>
      </c>
      <c r="D2459" s="1">
        <v>0.66666666666666663</v>
      </c>
      <c r="E2459" t="s">
        <v>26</v>
      </c>
      <c r="F2459" t="s">
        <v>28</v>
      </c>
      <c r="G2459" s="2">
        <v>46054</v>
      </c>
      <c r="H2459" t="s">
        <v>198</v>
      </c>
    </row>
    <row r="2460" spans="1:8" x14ac:dyDescent="0.3">
      <c r="A2460" t="s">
        <v>878</v>
      </c>
      <c r="B2460">
        <v>18</v>
      </c>
      <c r="C2460" t="s">
        <v>935</v>
      </c>
      <c r="D2460" s="1">
        <v>0.77083333333333337</v>
      </c>
      <c r="E2460" t="s">
        <v>21</v>
      </c>
      <c r="F2460" t="s">
        <v>35</v>
      </c>
      <c r="G2460" s="2">
        <v>46025</v>
      </c>
      <c r="H2460" t="s">
        <v>202</v>
      </c>
    </row>
    <row r="2461" spans="1:8" x14ac:dyDescent="0.3">
      <c r="A2461" t="s">
        <v>878</v>
      </c>
      <c r="B2461">
        <v>18</v>
      </c>
      <c r="C2461" t="s">
        <v>935</v>
      </c>
      <c r="D2461" s="1">
        <v>0.875</v>
      </c>
      <c r="E2461" t="s">
        <v>25</v>
      </c>
      <c r="F2461" t="s">
        <v>15</v>
      </c>
      <c r="G2461" t="s">
        <v>41</v>
      </c>
      <c r="H2461" t="s">
        <v>752</v>
      </c>
    </row>
    <row r="2462" spans="1:8" x14ac:dyDescent="0.3">
      <c r="A2462" t="s">
        <v>878</v>
      </c>
      <c r="B2462">
        <v>19</v>
      </c>
      <c r="C2462" t="s">
        <v>936</v>
      </c>
      <c r="D2462" s="1">
        <v>0.79166666666666663</v>
      </c>
      <c r="E2462" t="s">
        <v>14</v>
      </c>
      <c r="F2462" t="s">
        <v>466</v>
      </c>
      <c r="G2462" s="2">
        <v>46055</v>
      </c>
      <c r="H2462" t="s">
        <v>205</v>
      </c>
    </row>
    <row r="2463" spans="1:8" x14ac:dyDescent="0.3">
      <c r="A2463" t="s">
        <v>878</v>
      </c>
      <c r="B2463">
        <v>19</v>
      </c>
      <c r="C2463" t="s">
        <v>936</v>
      </c>
      <c r="D2463" s="1">
        <v>0.875</v>
      </c>
      <c r="E2463" t="s">
        <v>27</v>
      </c>
      <c r="F2463" t="s">
        <v>15</v>
      </c>
      <c r="G2463" s="2">
        <v>46023</v>
      </c>
      <c r="H2463" t="s">
        <v>206</v>
      </c>
    </row>
    <row r="2464" spans="1:8" x14ac:dyDescent="0.3">
      <c r="A2464" t="s">
        <v>878</v>
      </c>
      <c r="B2464">
        <v>19</v>
      </c>
      <c r="C2464" t="s">
        <v>937</v>
      </c>
      <c r="D2464" s="1">
        <v>0.54166666666666663</v>
      </c>
      <c r="E2464" t="s">
        <v>16</v>
      </c>
      <c r="F2464" t="s">
        <v>187</v>
      </c>
      <c r="G2464" t="s">
        <v>18</v>
      </c>
      <c r="H2464" t="s">
        <v>185</v>
      </c>
    </row>
    <row r="2465" spans="1:8" x14ac:dyDescent="0.3">
      <c r="A2465" t="s">
        <v>878</v>
      </c>
      <c r="B2465">
        <v>19</v>
      </c>
      <c r="C2465" t="s">
        <v>937</v>
      </c>
      <c r="D2465" s="1">
        <v>0.66666666666666663</v>
      </c>
      <c r="E2465" t="s">
        <v>11</v>
      </c>
      <c r="F2465" t="s">
        <v>25</v>
      </c>
      <c r="G2465" t="s">
        <v>46</v>
      </c>
      <c r="H2465" t="s">
        <v>467</v>
      </c>
    </row>
    <row r="2466" spans="1:8" x14ac:dyDescent="0.3">
      <c r="A2466" t="s">
        <v>878</v>
      </c>
      <c r="B2466">
        <v>19</v>
      </c>
      <c r="C2466" t="s">
        <v>937</v>
      </c>
      <c r="D2466" s="1">
        <v>0.77083333333333337</v>
      </c>
      <c r="E2466" t="s">
        <v>28</v>
      </c>
      <c r="F2466" t="s">
        <v>21</v>
      </c>
      <c r="G2466" s="2">
        <v>46024</v>
      </c>
      <c r="H2466" t="s">
        <v>341</v>
      </c>
    </row>
    <row r="2467" spans="1:8" x14ac:dyDescent="0.3">
      <c r="A2467" t="s">
        <v>878</v>
      </c>
      <c r="B2467">
        <v>19</v>
      </c>
      <c r="C2467" t="s">
        <v>937</v>
      </c>
      <c r="D2467" s="1">
        <v>0.875</v>
      </c>
      <c r="E2467" t="s">
        <v>36</v>
      </c>
      <c r="F2467" t="s">
        <v>20</v>
      </c>
      <c r="G2467" s="2">
        <v>46055</v>
      </c>
      <c r="H2467" t="s">
        <v>184</v>
      </c>
    </row>
    <row r="2468" spans="1:8" x14ac:dyDescent="0.3">
      <c r="A2468" t="s">
        <v>878</v>
      </c>
      <c r="B2468">
        <v>19</v>
      </c>
      <c r="C2468" t="s">
        <v>938</v>
      </c>
      <c r="D2468" s="1">
        <v>0.5</v>
      </c>
      <c r="E2468" t="s">
        <v>24</v>
      </c>
      <c r="F2468" t="s">
        <v>881</v>
      </c>
      <c r="G2468" t="s">
        <v>18</v>
      </c>
      <c r="H2468" t="s">
        <v>883</v>
      </c>
    </row>
    <row r="2469" spans="1:8" x14ac:dyDescent="0.3">
      <c r="A2469" t="s">
        <v>878</v>
      </c>
      <c r="B2469">
        <v>19</v>
      </c>
      <c r="C2469" t="s">
        <v>938</v>
      </c>
      <c r="D2469" s="1">
        <v>0.58333333333333337</v>
      </c>
      <c r="E2469" t="s">
        <v>10</v>
      </c>
      <c r="F2469" t="s">
        <v>34</v>
      </c>
      <c r="G2469" s="2">
        <v>46054</v>
      </c>
      <c r="H2469" t="s">
        <v>345</v>
      </c>
    </row>
    <row r="2470" spans="1:8" x14ac:dyDescent="0.3">
      <c r="A2470" t="s">
        <v>878</v>
      </c>
      <c r="B2470">
        <v>19</v>
      </c>
      <c r="C2470" t="s">
        <v>938</v>
      </c>
      <c r="D2470" s="1">
        <v>0.66666666666666663</v>
      </c>
      <c r="E2470" t="s">
        <v>464</v>
      </c>
      <c r="F2470" t="s">
        <v>26</v>
      </c>
      <c r="G2470" s="2">
        <v>46023</v>
      </c>
      <c r="H2470" t="s">
        <v>181</v>
      </c>
    </row>
    <row r="2471" spans="1:8" x14ac:dyDescent="0.3">
      <c r="A2471" t="s">
        <v>878</v>
      </c>
      <c r="B2471">
        <v>19</v>
      </c>
      <c r="C2471" t="s">
        <v>938</v>
      </c>
      <c r="D2471" s="1">
        <v>0.875</v>
      </c>
      <c r="E2471" t="s">
        <v>35</v>
      </c>
      <c r="F2471" t="s">
        <v>23</v>
      </c>
      <c r="G2471" s="2">
        <v>46023</v>
      </c>
      <c r="H2471" t="s">
        <v>747</v>
      </c>
    </row>
    <row r="2472" spans="1:8" x14ac:dyDescent="0.3">
      <c r="A2472" t="s">
        <v>878</v>
      </c>
      <c r="B2472">
        <v>20</v>
      </c>
      <c r="C2472" t="s">
        <v>939</v>
      </c>
      <c r="D2472" s="1">
        <v>0.875</v>
      </c>
      <c r="E2472" t="s">
        <v>466</v>
      </c>
      <c r="F2472" t="s">
        <v>11</v>
      </c>
      <c r="G2472" t="s">
        <v>46</v>
      </c>
      <c r="H2472" t="s">
        <v>198</v>
      </c>
    </row>
    <row r="2473" spans="1:8" x14ac:dyDescent="0.3">
      <c r="A2473" t="s">
        <v>878</v>
      </c>
      <c r="B2473">
        <v>20</v>
      </c>
      <c r="C2473" t="s">
        <v>940</v>
      </c>
      <c r="D2473" s="1">
        <v>0.54166666666666663</v>
      </c>
      <c r="E2473" t="s">
        <v>21</v>
      </c>
      <c r="F2473" t="s">
        <v>464</v>
      </c>
      <c r="G2473" t="s">
        <v>42</v>
      </c>
      <c r="H2473" t="s">
        <v>747</v>
      </c>
    </row>
    <row r="2474" spans="1:8" x14ac:dyDescent="0.3">
      <c r="A2474" t="s">
        <v>878</v>
      </c>
      <c r="B2474">
        <v>20</v>
      </c>
      <c r="C2474" t="s">
        <v>940</v>
      </c>
      <c r="D2474" s="1">
        <v>0.66666666666666663</v>
      </c>
      <c r="E2474" t="s">
        <v>25</v>
      </c>
      <c r="F2474" t="s">
        <v>27</v>
      </c>
      <c r="G2474" s="2">
        <v>46024</v>
      </c>
      <c r="H2474" t="s">
        <v>205</v>
      </c>
    </row>
    <row r="2475" spans="1:8" x14ac:dyDescent="0.3">
      <c r="A2475" t="s">
        <v>878</v>
      </c>
      <c r="B2475">
        <v>20</v>
      </c>
      <c r="C2475" t="s">
        <v>940</v>
      </c>
      <c r="D2475" s="1">
        <v>0.77083333333333337</v>
      </c>
      <c r="E2475" t="s">
        <v>23</v>
      </c>
      <c r="F2475" t="s">
        <v>14</v>
      </c>
      <c r="G2475" t="s">
        <v>41</v>
      </c>
      <c r="H2475" t="s">
        <v>612</v>
      </c>
    </row>
    <row r="2476" spans="1:8" x14ac:dyDescent="0.3">
      <c r="A2476" t="s">
        <v>878</v>
      </c>
      <c r="B2476">
        <v>20</v>
      </c>
      <c r="C2476" t="s">
        <v>940</v>
      </c>
      <c r="D2476" s="1">
        <v>0.875</v>
      </c>
      <c r="E2476" t="s">
        <v>187</v>
      </c>
      <c r="F2476" t="s">
        <v>28</v>
      </c>
      <c r="G2476" t="s">
        <v>12</v>
      </c>
      <c r="H2476" t="s">
        <v>194</v>
      </c>
    </row>
    <row r="2477" spans="1:8" x14ac:dyDescent="0.3">
      <c r="A2477" t="s">
        <v>878</v>
      </c>
      <c r="B2477">
        <v>20</v>
      </c>
      <c r="C2477" t="s">
        <v>941</v>
      </c>
      <c r="D2477" s="1">
        <v>0.5</v>
      </c>
      <c r="E2477" t="s">
        <v>881</v>
      </c>
      <c r="F2477" t="s">
        <v>16</v>
      </c>
      <c r="G2477" s="2">
        <v>46026</v>
      </c>
      <c r="H2477" t="s">
        <v>190</v>
      </c>
    </row>
    <row r="2478" spans="1:8" x14ac:dyDescent="0.3">
      <c r="A2478" t="s">
        <v>878</v>
      </c>
      <c r="B2478">
        <v>20</v>
      </c>
      <c r="C2478" t="s">
        <v>941</v>
      </c>
      <c r="D2478" s="1">
        <v>0.58333333333333337</v>
      </c>
      <c r="E2478" t="s">
        <v>26</v>
      </c>
      <c r="F2478" t="s">
        <v>10</v>
      </c>
      <c r="G2478" t="s">
        <v>32</v>
      </c>
      <c r="H2478" t="s">
        <v>752</v>
      </c>
    </row>
    <row r="2479" spans="1:8" x14ac:dyDescent="0.3">
      <c r="A2479" t="s">
        <v>878</v>
      </c>
      <c r="B2479">
        <v>20</v>
      </c>
      <c r="C2479" t="s">
        <v>941</v>
      </c>
      <c r="D2479" s="1">
        <v>0.66666666666666663</v>
      </c>
      <c r="E2479" t="s">
        <v>34</v>
      </c>
      <c r="F2479" t="s">
        <v>36</v>
      </c>
      <c r="G2479" s="2">
        <v>46054</v>
      </c>
      <c r="H2479" t="s">
        <v>614</v>
      </c>
    </row>
    <row r="2480" spans="1:8" x14ac:dyDescent="0.3">
      <c r="A2480" t="s">
        <v>878</v>
      </c>
      <c r="B2480">
        <v>20</v>
      </c>
      <c r="C2480" t="s">
        <v>941</v>
      </c>
      <c r="D2480" s="1">
        <v>0.77083333333333337</v>
      </c>
      <c r="E2480" t="s">
        <v>15</v>
      </c>
      <c r="F2480" t="s">
        <v>35</v>
      </c>
      <c r="G2480" s="2">
        <v>46023</v>
      </c>
      <c r="H2480" t="s">
        <v>609</v>
      </c>
    </row>
    <row r="2481" spans="1:8" x14ac:dyDescent="0.3">
      <c r="A2481" t="s">
        <v>878</v>
      </c>
      <c r="B2481">
        <v>20</v>
      </c>
      <c r="C2481" t="s">
        <v>941</v>
      </c>
      <c r="D2481" s="1">
        <v>0.875</v>
      </c>
      <c r="E2481" t="s">
        <v>20</v>
      </c>
      <c r="F2481" t="s">
        <v>24</v>
      </c>
      <c r="G2481" t="s">
        <v>18</v>
      </c>
      <c r="H2481" t="s">
        <v>887</v>
      </c>
    </row>
    <row r="2482" spans="1:8" x14ac:dyDescent="0.3">
      <c r="A2482" t="s">
        <v>878</v>
      </c>
      <c r="B2482">
        <v>21</v>
      </c>
      <c r="C2482" t="s">
        <v>942</v>
      </c>
      <c r="D2482" s="1">
        <v>0.875</v>
      </c>
      <c r="E2482" t="s">
        <v>23</v>
      </c>
      <c r="F2482" t="s">
        <v>21</v>
      </c>
      <c r="G2482" t="s">
        <v>12</v>
      </c>
      <c r="H2482" t="s">
        <v>883</v>
      </c>
    </row>
    <row r="2483" spans="1:8" x14ac:dyDescent="0.3">
      <c r="A2483" t="s">
        <v>878</v>
      </c>
      <c r="B2483">
        <v>21</v>
      </c>
      <c r="C2483" t="s">
        <v>943</v>
      </c>
      <c r="D2483" s="1">
        <v>0.54166666666666663</v>
      </c>
      <c r="E2483" t="s">
        <v>36</v>
      </c>
      <c r="F2483" t="s">
        <v>15</v>
      </c>
      <c r="G2483" s="2">
        <v>46023</v>
      </c>
      <c r="H2483" t="s">
        <v>345</v>
      </c>
    </row>
    <row r="2484" spans="1:8" x14ac:dyDescent="0.3">
      <c r="A2484" t="s">
        <v>878</v>
      </c>
      <c r="B2484">
        <v>21</v>
      </c>
      <c r="C2484" t="s">
        <v>943</v>
      </c>
      <c r="D2484" s="1">
        <v>0.66666666666666663</v>
      </c>
      <c r="E2484" t="s">
        <v>16</v>
      </c>
      <c r="F2484" t="s">
        <v>20</v>
      </c>
      <c r="G2484" t="s">
        <v>12</v>
      </c>
      <c r="H2484" t="s">
        <v>194</v>
      </c>
    </row>
    <row r="2485" spans="1:8" x14ac:dyDescent="0.3">
      <c r="A2485" t="s">
        <v>878</v>
      </c>
      <c r="B2485">
        <v>21</v>
      </c>
      <c r="C2485" t="s">
        <v>943</v>
      </c>
      <c r="D2485" s="1">
        <v>0.77083333333333337</v>
      </c>
      <c r="E2485" t="s">
        <v>464</v>
      </c>
      <c r="F2485" t="s">
        <v>34</v>
      </c>
      <c r="G2485" s="2">
        <v>46054</v>
      </c>
      <c r="H2485" t="s">
        <v>467</v>
      </c>
    </row>
    <row r="2486" spans="1:8" x14ac:dyDescent="0.3">
      <c r="A2486" t="s">
        <v>878</v>
      </c>
      <c r="B2486">
        <v>21</v>
      </c>
      <c r="C2486" t="s">
        <v>943</v>
      </c>
      <c r="D2486" s="1">
        <v>0.875</v>
      </c>
      <c r="E2486" t="s">
        <v>27</v>
      </c>
      <c r="F2486" t="s">
        <v>24</v>
      </c>
      <c r="G2486" t="s">
        <v>12</v>
      </c>
      <c r="H2486" t="s">
        <v>185</v>
      </c>
    </row>
    <row r="2487" spans="1:8" x14ac:dyDescent="0.3">
      <c r="A2487" t="s">
        <v>878</v>
      </c>
      <c r="B2487">
        <v>21</v>
      </c>
      <c r="C2487" t="s">
        <v>944</v>
      </c>
      <c r="D2487" s="1">
        <v>0.5</v>
      </c>
      <c r="E2487" t="s">
        <v>28</v>
      </c>
      <c r="F2487" t="s">
        <v>466</v>
      </c>
      <c r="G2487" t="s">
        <v>41</v>
      </c>
      <c r="H2487" t="s">
        <v>181</v>
      </c>
    </row>
    <row r="2488" spans="1:8" x14ac:dyDescent="0.3">
      <c r="A2488" t="s">
        <v>878</v>
      </c>
      <c r="B2488">
        <v>21</v>
      </c>
      <c r="C2488" t="s">
        <v>944</v>
      </c>
      <c r="D2488" s="1">
        <v>0.58333333333333337</v>
      </c>
      <c r="E2488" t="s">
        <v>35</v>
      </c>
      <c r="F2488" t="s">
        <v>187</v>
      </c>
      <c r="G2488" t="s">
        <v>41</v>
      </c>
      <c r="H2488" t="s">
        <v>206</v>
      </c>
    </row>
    <row r="2489" spans="1:8" x14ac:dyDescent="0.3">
      <c r="A2489" t="s">
        <v>878</v>
      </c>
      <c r="B2489">
        <v>21</v>
      </c>
      <c r="C2489" t="s">
        <v>944</v>
      </c>
      <c r="D2489" s="1">
        <v>0.66666666666666663</v>
      </c>
      <c r="E2489" t="s">
        <v>11</v>
      </c>
      <c r="F2489" t="s">
        <v>26</v>
      </c>
      <c r="G2489" t="s">
        <v>18</v>
      </c>
      <c r="H2489" t="s">
        <v>202</v>
      </c>
    </row>
    <row r="2490" spans="1:8" x14ac:dyDescent="0.3">
      <c r="A2490" t="s">
        <v>878</v>
      </c>
      <c r="B2490">
        <v>21</v>
      </c>
      <c r="C2490" t="s">
        <v>944</v>
      </c>
      <c r="D2490" s="1">
        <v>0.77083333333333337</v>
      </c>
      <c r="E2490" t="s">
        <v>10</v>
      </c>
      <c r="F2490" t="s">
        <v>881</v>
      </c>
      <c r="G2490" t="s">
        <v>32</v>
      </c>
      <c r="H2490" t="s">
        <v>197</v>
      </c>
    </row>
    <row r="2491" spans="1:8" x14ac:dyDescent="0.3">
      <c r="A2491" t="s">
        <v>878</v>
      </c>
      <c r="B2491">
        <v>21</v>
      </c>
      <c r="C2491" t="s">
        <v>944</v>
      </c>
      <c r="D2491" s="1">
        <v>0.875</v>
      </c>
      <c r="E2491" t="s">
        <v>14</v>
      </c>
      <c r="F2491" t="s">
        <v>25</v>
      </c>
      <c r="G2491" t="s">
        <v>42</v>
      </c>
      <c r="H2491" t="s">
        <v>341</v>
      </c>
    </row>
    <row r="2492" spans="1:8" x14ac:dyDescent="0.3">
      <c r="A2492" t="s">
        <v>878</v>
      </c>
      <c r="B2492">
        <v>22</v>
      </c>
      <c r="C2492" t="s">
        <v>945</v>
      </c>
      <c r="D2492" s="1">
        <v>0.54166666666666663</v>
      </c>
      <c r="E2492" t="s">
        <v>24</v>
      </c>
      <c r="F2492" t="s">
        <v>36</v>
      </c>
      <c r="G2492" s="2">
        <v>46024</v>
      </c>
      <c r="H2492" t="s">
        <v>747</v>
      </c>
    </row>
    <row r="2493" spans="1:8" x14ac:dyDescent="0.3">
      <c r="A2493" t="s">
        <v>878</v>
      </c>
      <c r="B2493">
        <v>22</v>
      </c>
      <c r="C2493" t="s">
        <v>945</v>
      </c>
      <c r="D2493" s="1">
        <v>0.66666666666666663</v>
      </c>
      <c r="E2493" t="s">
        <v>25</v>
      </c>
      <c r="F2493" t="s">
        <v>28</v>
      </c>
      <c r="G2493" t="s">
        <v>18</v>
      </c>
      <c r="H2493" t="s">
        <v>198</v>
      </c>
    </row>
    <row r="2494" spans="1:8" x14ac:dyDescent="0.3">
      <c r="A2494" t="s">
        <v>878</v>
      </c>
      <c r="B2494">
        <v>22</v>
      </c>
      <c r="C2494" t="s">
        <v>945</v>
      </c>
      <c r="D2494" s="1">
        <v>0.77083333333333337</v>
      </c>
      <c r="E2494" t="s">
        <v>881</v>
      </c>
      <c r="F2494" t="s">
        <v>14</v>
      </c>
      <c r="G2494" t="s">
        <v>42</v>
      </c>
      <c r="H2494" t="s">
        <v>609</v>
      </c>
    </row>
    <row r="2495" spans="1:8" x14ac:dyDescent="0.3">
      <c r="A2495" t="s">
        <v>878</v>
      </c>
      <c r="B2495">
        <v>22</v>
      </c>
      <c r="C2495" t="s">
        <v>945</v>
      </c>
      <c r="D2495" s="1">
        <v>0.875</v>
      </c>
      <c r="E2495" t="s">
        <v>16</v>
      </c>
      <c r="F2495" t="s">
        <v>35</v>
      </c>
      <c r="G2495" t="s">
        <v>18</v>
      </c>
      <c r="H2495" t="s">
        <v>614</v>
      </c>
    </row>
    <row r="2496" spans="1:8" x14ac:dyDescent="0.3">
      <c r="A2496" t="s">
        <v>878</v>
      </c>
      <c r="B2496">
        <v>22</v>
      </c>
      <c r="C2496" t="s">
        <v>946</v>
      </c>
      <c r="D2496" s="1">
        <v>0.5</v>
      </c>
      <c r="E2496" t="s">
        <v>466</v>
      </c>
      <c r="F2496" t="s">
        <v>10</v>
      </c>
      <c r="G2496" s="2">
        <v>46024</v>
      </c>
      <c r="H2496" t="s">
        <v>190</v>
      </c>
    </row>
    <row r="2497" spans="1:8" x14ac:dyDescent="0.3">
      <c r="A2497" t="s">
        <v>878</v>
      </c>
      <c r="B2497">
        <v>22</v>
      </c>
      <c r="C2497" t="s">
        <v>946</v>
      </c>
      <c r="D2497" s="1">
        <v>0.58333333333333337</v>
      </c>
      <c r="E2497" t="s">
        <v>187</v>
      </c>
      <c r="F2497" t="s">
        <v>26</v>
      </c>
      <c r="G2497" s="2">
        <v>46023</v>
      </c>
      <c r="H2497" t="s">
        <v>205</v>
      </c>
    </row>
    <row r="2498" spans="1:8" x14ac:dyDescent="0.3">
      <c r="A2498" t="s">
        <v>878</v>
      </c>
      <c r="B2498">
        <v>22</v>
      </c>
      <c r="C2498" t="s">
        <v>946</v>
      </c>
      <c r="D2498" s="1">
        <v>0.66666666666666663</v>
      </c>
      <c r="E2498" t="s">
        <v>15</v>
      </c>
      <c r="F2498" t="s">
        <v>11</v>
      </c>
      <c r="G2498" t="s">
        <v>54</v>
      </c>
      <c r="H2498" t="s">
        <v>612</v>
      </c>
    </row>
    <row r="2499" spans="1:8" x14ac:dyDescent="0.3">
      <c r="A2499" t="s">
        <v>878</v>
      </c>
      <c r="B2499">
        <v>22</v>
      </c>
      <c r="C2499" t="s">
        <v>946</v>
      </c>
      <c r="D2499" s="1">
        <v>0.77083333333333337</v>
      </c>
      <c r="E2499" t="s">
        <v>27</v>
      </c>
      <c r="F2499" t="s">
        <v>464</v>
      </c>
      <c r="G2499" s="2">
        <v>46023</v>
      </c>
      <c r="H2499" t="s">
        <v>184</v>
      </c>
    </row>
    <row r="2500" spans="1:8" x14ac:dyDescent="0.3">
      <c r="A2500" t="s">
        <v>878</v>
      </c>
      <c r="B2500">
        <v>22</v>
      </c>
      <c r="C2500" t="s">
        <v>946</v>
      </c>
      <c r="D2500" s="1">
        <v>0.77083333333333337</v>
      </c>
      <c r="E2500" t="s">
        <v>34</v>
      </c>
      <c r="F2500" t="s">
        <v>23</v>
      </c>
      <c r="G2500" s="2">
        <v>46025</v>
      </c>
      <c r="H2500" t="s">
        <v>887</v>
      </c>
    </row>
    <row r="2501" spans="1:8" x14ac:dyDescent="0.3">
      <c r="A2501" t="s">
        <v>878</v>
      </c>
      <c r="B2501">
        <v>22</v>
      </c>
      <c r="C2501" t="s">
        <v>946</v>
      </c>
      <c r="D2501" s="1">
        <v>0.875</v>
      </c>
      <c r="E2501" t="s">
        <v>20</v>
      </c>
      <c r="F2501" t="s">
        <v>21</v>
      </c>
      <c r="G2501" s="2">
        <v>46024</v>
      </c>
      <c r="H2501" t="s">
        <v>752</v>
      </c>
    </row>
    <row r="2502" spans="1:8" x14ac:dyDescent="0.3">
      <c r="A2502" t="s">
        <v>878</v>
      </c>
      <c r="B2502">
        <v>23</v>
      </c>
      <c r="C2502" t="s">
        <v>947</v>
      </c>
      <c r="D2502" s="1">
        <v>0.875</v>
      </c>
      <c r="E2502" t="s">
        <v>464</v>
      </c>
      <c r="F2502" t="s">
        <v>187</v>
      </c>
      <c r="G2502" s="2">
        <v>46024</v>
      </c>
      <c r="H2502" t="s">
        <v>202</v>
      </c>
    </row>
    <row r="2503" spans="1:8" x14ac:dyDescent="0.3">
      <c r="A2503" t="s">
        <v>878</v>
      </c>
      <c r="B2503">
        <v>23</v>
      </c>
      <c r="C2503" t="s">
        <v>948</v>
      </c>
      <c r="D2503" s="1">
        <v>0.54166666666666663</v>
      </c>
      <c r="E2503" t="s">
        <v>21</v>
      </c>
      <c r="F2503" t="s">
        <v>466</v>
      </c>
      <c r="G2503" t="s">
        <v>12</v>
      </c>
      <c r="H2503" t="s">
        <v>206</v>
      </c>
    </row>
    <row r="2504" spans="1:8" x14ac:dyDescent="0.3">
      <c r="A2504" t="s">
        <v>878</v>
      </c>
      <c r="B2504">
        <v>23</v>
      </c>
      <c r="C2504" t="s">
        <v>948</v>
      </c>
      <c r="D2504" s="1">
        <v>0.66666666666666663</v>
      </c>
      <c r="E2504" t="s">
        <v>11</v>
      </c>
      <c r="F2504" t="s">
        <v>16</v>
      </c>
      <c r="G2504" t="s">
        <v>32</v>
      </c>
      <c r="H2504" t="s">
        <v>341</v>
      </c>
    </row>
    <row r="2505" spans="1:8" x14ac:dyDescent="0.3">
      <c r="A2505" t="s">
        <v>878</v>
      </c>
      <c r="B2505">
        <v>23</v>
      </c>
      <c r="C2505" t="s">
        <v>948</v>
      </c>
      <c r="D2505" s="1">
        <v>0.77083333333333337</v>
      </c>
      <c r="E2505" t="s">
        <v>14</v>
      </c>
      <c r="F2505" t="s">
        <v>34</v>
      </c>
      <c r="G2505" s="2">
        <v>46023</v>
      </c>
      <c r="H2505" t="s">
        <v>185</v>
      </c>
    </row>
    <row r="2506" spans="1:8" x14ac:dyDescent="0.3">
      <c r="A2506" t="s">
        <v>878</v>
      </c>
      <c r="B2506">
        <v>23</v>
      </c>
      <c r="C2506" t="s">
        <v>948</v>
      </c>
      <c r="D2506" s="1">
        <v>0.875</v>
      </c>
      <c r="E2506" t="s">
        <v>28</v>
      </c>
      <c r="F2506" t="s">
        <v>24</v>
      </c>
      <c r="G2506" t="s">
        <v>18</v>
      </c>
      <c r="H2506" t="s">
        <v>883</v>
      </c>
    </row>
    <row r="2507" spans="1:8" x14ac:dyDescent="0.3">
      <c r="A2507" t="s">
        <v>878</v>
      </c>
      <c r="B2507">
        <v>23</v>
      </c>
      <c r="C2507" t="s">
        <v>949</v>
      </c>
      <c r="D2507" s="1">
        <v>0.5</v>
      </c>
      <c r="E2507" t="s">
        <v>36</v>
      </c>
      <c r="F2507" t="s">
        <v>881</v>
      </c>
      <c r="G2507" t="s">
        <v>18</v>
      </c>
      <c r="H2507" t="s">
        <v>181</v>
      </c>
    </row>
    <row r="2508" spans="1:8" x14ac:dyDescent="0.3">
      <c r="A2508" t="s">
        <v>878</v>
      </c>
      <c r="B2508">
        <v>23</v>
      </c>
      <c r="C2508" t="s">
        <v>949</v>
      </c>
      <c r="D2508" s="1">
        <v>0.58333333333333337</v>
      </c>
      <c r="E2508" t="s">
        <v>10</v>
      </c>
      <c r="F2508" t="s">
        <v>15</v>
      </c>
      <c r="G2508" s="2">
        <v>46024</v>
      </c>
      <c r="H2508" t="s">
        <v>467</v>
      </c>
    </row>
    <row r="2509" spans="1:8" x14ac:dyDescent="0.3">
      <c r="A2509" t="s">
        <v>878</v>
      </c>
      <c r="B2509">
        <v>23</v>
      </c>
      <c r="C2509" t="s">
        <v>949</v>
      </c>
      <c r="D2509" s="1">
        <v>0.66666666666666663</v>
      </c>
      <c r="E2509" t="s">
        <v>23</v>
      </c>
      <c r="F2509" t="s">
        <v>25</v>
      </c>
      <c r="G2509" s="2">
        <v>46113</v>
      </c>
      <c r="H2509" t="s">
        <v>194</v>
      </c>
    </row>
    <row r="2510" spans="1:8" x14ac:dyDescent="0.3">
      <c r="A2510" t="s">
        <v>878</v>
      </c>
      <c r="B2510">
        <v>23</v>
      </c>
      <c r="C2510" t="s">
        <v>949</v>
      </c>
      <c r="D2510" s="1">
        <v>0.77083333333333337</v>
      </c>
      <c r="E2510" t="s">
        <v>35</v>
      </c>
      <c r="F2510" t="s">
        <v>27</v>
      </c>
      <c r="G2510" s="2">
        <v>46024</v>
      </c>
      <c r="H2510" t="s">
        <v>197</v>
      </c>
    </row>
    <row r="2511" spans="1:8" x14ac:dyDescent="0.3">
      <c r="A2511" t="s">
        <v>878</v>
      </c>
      <c r="B2511">
        <v>23</v>
      </c>
      <c r="C2511" t="s">
        <v>949</v>
      </c>
      <c r="D2511" s="1">
        <v>0.875</v>
      </c>
      <c r="E2511" t="s">
        <v>26</v>
      </c>
      <c r="F2511" t="s">
        <v>20</v>
      </c>
      <c r="G2511" s="2">
        <v>46083</v>
      </c>
      <c r="H2511" t="s">
        <v>345</v>
      </c>
    </row>
    <row r="2512" spans="1:8" x14ac:dyDescent="0.3">
      <c r="A2512" t="s">
        <v>878</v>
      </c>
      <c r="B2512">
        <v>24</v>
      </c>
      <c r="C2512" t="s">
        <v>950</v>
      </c>
      <c r="D2512" s="1">
        <v>0.875</v>
      </c>
      <c r="E2512" t="s">
        <v>16</v>
      </c>
      <c r="F2512" t="s">
        <v>28</v>
      </c>
      <c r="G2512" s="2">
        <v>46055</v>
      </c>
      <c r="H2512" t="s">
        <v>609</v>
      </c>
    </row>
    <row r="2513" spans="1:8" x14ac:dyDescent="0.3">
      <c r="A2513" t="s">
        <v>878</v>
      </c>
      <c r="B2513">
        <v>24</v>
      </c>
      <c r="C2513" t="s">
        <v>951</v>
      </c>
      <c r="D2513" s="1">
        <v>0.54166666666666663</v>
      </c>
      <c r="E2513" t="s">
        <v>881</v>
      </c>
      <c r="F2513" t="s">
        <v>464</v>
      </c>
      <c r="G2513" t="s">
        <v>18</v>
      </c>
      <c r="H2513" t="s">
        <v>887</v>
      </c>
    </row>
    <row r="2514" spans="1:8" x14ac:dyDescent="0.3">
      <c r="A2514" t="s">
        <v>878</v>
      </c>
      <c r="B2514">
        <v>24</v>
      </c>
      <c r="C2514" t="s">
        <v>951</v>
      </c>
      <c r="D2514" s="1">
        <v>0.66666666666666663</v>
      </c>
      <c r="E2514" t="s">
        <v>20</v>
      </c>
      <c r="F2514" t="s">
        <v>11</v>
      </c>
      <c r="G2514" s="2">
        <v>46024</v>
      </c>
      <c r="H2514" t="s">
        <v>747</v>
      </c>
    </row>
    <row r="2515" spans="1:8" x14ac:dyDescent="0.3">
      <c r="A2515" t="s">
        <v>878</v>
      </c>
      <c r="B2515">
        <v>24</v>
      </c>
      <c r="C2515" t="s">
        <v>951</v>
      </c>
      <c r="D2515" s="1">
        <v>0.77083333333333337</v>
      </c>
      <c r="E2515" t="s">
        <v>34</v>
      </c>
      <c r="F2515" t="s">
        <v>21</v>
      </c>
      <c r="G2515" s="2">
        <v>46024</v>
      </c>
      <c r="H2515" t="s">
        <v>190</v>
      </c>
    </row>
    <row r="2516" spans="1:8" x14ac:dyDescent="0.3">
      <c r="A2516" t="s">
        <v>878</v>
      </c>
      <c r="B2516">
        <v>24</v>
      </c>
      <c r="C2516" t="s">
        <v>951</v>
      </c>
      <c r="D2516" s="1">
        <v>0.875</v>
      </c>
      <c r="E2516" t="s">
        <v>24</v>
      </c>
      <c r="F2516" t="s">
        <v>14</v>
      </c>
      <c r="G2516" s="2">
        <v>46024</v>
      </c>
      <c r="H2516" t="s">
        <v>205</v>
      </c>
    </row>
    <row r="2517" spans="1:8" x14ac:dyDescent="0.3">
      <c r="A2517" t="s">
        <v>878</v>
      </c>
      <c r="B2517">
        <v>24</v>
      </c>
      <c r="C2517" t="s">
        <v>952</v>
      </c>
      <c r="D2517" s="1">
        <v>0.5</v>
      </c>
      <c r="E2517" t="s">
        <v>27</v>
      </c>
      <c r="F2517" t="s">
        <v>36</v>
      </c>
      <c r="G2517" s="2">
        <v>46055</v>
      </c>
      <c r="H2517" t="s">
        <v>752</v>
      </c>
    </row>
    <row r="2518" spans="1:8" x14ac:dyDescent="0.3">
      <c r="A2518" t="s">
        <v>878</v>
      </c>
      <c r="B2518">
        <v>24</v>
      </c>
      <c r="C2518" t="s">
        <v>952</v>
      </c>
      <c r="D2518" s="1">
        <v>0.58333333333333337</v>
      </c>
      <c r="E2518" t="s">
        <v>466</v>
      </c>
      <c r="F2518" t="s">
        <v>26</v>
      </c>
      <c r="G2518" t="s">
        <v>41</v>
      </c>
      <c r="H2518" t="s">
        <v>198</v>
      </c>
    </row>
    <row r="2519" spans="1:8" x14ac:dyDescent="0.3">
      <c r="A2519" t="s">
        <v>878</v>
      </c>
      <c r="B2519">
        <v>24</v>
      </c>
      <c r="C2519" t="s">
        <v>952</v>
      </c>
      <c r="D2519" s="1">
        <v>0.77083333333333337</v>
      </c>
      <c r="E2519" t="s">
        <v>15</v>
      </c>
      <c r="F2519" t="s">
        <v>23</v>
      </c>
      <c r="G2519" t="s">
        <v>42</v>
      </c>
      <c r="H2519" t="s">
        <v>614</v>
      </c>
    </row>
    <row r="2520" spans="1:8" x14ac:dyDescent="0.3">
      <c r="A2520" t="s">
        <v>878</v>
      </c>
      <c r="B2520">
        <v>24</v>
      </c>
      <c r="C2520" t="s">
        <v>952</v>
      </c>
      <c r="D2520" s="1">
        <v>0.875</v>
      </c>
      <c r="E2520" t="s">
        <v>25</v>
      </c>
      <c r="F2520" t="s">
        <v>35</v>
      </c>
      <c r="G2520" s="2">
        <v>46055</v>
      </c>
      <c r="H2520" t="s">
        <v>612</v>
      </c>
    </row>
    <row r="2521" spans="1:8" x14ac:dyDescent="0.3">
      <c r="A2521" t="s">
        <v>878</v>
      </c>
      <c r="B2521">
        <v>24</v>
      </c>
      <c r="C2521" t="s">
        <v>953</v>
      </c>
      <c r="D2521" s="1">
        <v>0.83333333333333337</v>
      </c>
      <c r="E2521" t="s">
        <v>187</v>
      </c>
      <c r="F2521" t="s">
        <v>10</v>
      </c>
      <c r="G2521" s="2">
        <v>46054</v>
      </c>
      <c r="H2521" t="s">
        <v>609</v>
      </c>
    </row>
    <row r="2522" spans="1:8" x14ac:dyDescent="0.3">
      <c r="A2522" t="s">
        <v>878</v>
      </c>
      <c r="B2522">
        <v>25</v>
      </c>
      <c r="C2522" t="s">
        <v>954</v>
      </c>
      <c r="D2522" s="1">
        <v>0.875</v>
      </c>
      <c r="E2522" t="s">
        <v>26</v>
      </c>
      <c r="F2522" t="s">
        <v>881</v>
      </c>
      <c r="G2522" s="2">
        <v>46084</v>
      </c>
      <c r="H2522" t="s">
        <v>194</v>
      </c>
    </row>
    <row r="2523" spans="1:8" x14ac:dyDescent="0.3">
      <c r="A2523" t="s">
        <v>878</v>
      </c>
      <c r="B2523">
        <v>25</v>
      </c>
      <c r="C2523" t="s">
        <v>955</v>
      </c>
      <c r="D2523" s="1">
        <v>0.54166666666666663</v>
      </c>
      <c r="E2523" t="s">
        <v>35</v>
      </c>
      <c r="F2523" t="s">
        <v>466</v>
      </c>
      <c r="G2523" t="s">
        <v>18</v>
      </c>
      <c r="H2523" t="s">
        <v>467</v>
      </c>
    </row>
    <row r="2524" spans="1:8" x14ac:dyDescent="0.3">
      <c r="A2524" t="s">
        <v>878</v>
      </c>
      <c r="B2524">
        <v>25</v>
      </c>
      <c r="C2524" t="s">
        <v>955</v>
      </c>
      <c r="D2524" s="1">
        <v>0.66666666666666663</v>
      </c>
      <c r="E2524" t="s">
        <v>20</v>
      </c>
      <c r="F2524" t="s">
        <v>187</v>
      </c>
      <c r="G2524" t="s">
        <v>40</v>
      </c>
      <c r="H2524" t="s">
        <v>883</v>
      </c>
    </row>
    <row r="2525" spans="1:8" x14ac:dyDescent="0.3">
      <c r="A2525" t="s">
        <v>878</v>
      </c>
      <c r="B2525">
        <v>25</v>
      </c>
      <c r="C2525" t="s">
        <v>955</v>
      </c>
      <c r="D2525" s="1">
        <v>0.77083333333333337</v>
      </c>
      <c r="E2525" t="s">
        <v>10</v>
      </c>
      <c r="F2525" t="s">
        <v>16</v>
      </c>
      <c r="G2525" t="s">
        <v>32</v>
      </c>
      <c r="H2525" t="s">
        <v>206</v>
      </c>
    </row>
    <row r="2526" spans="1:8" x14ac:dyDescent="0.3">
      <c r="A2526" t="s">
        <v>878</v>
      </c>
      <c r="B2526">
        <v>25</v>
      </c>
      <c r="C2526" t="s">
        <v>955</v>
      </c>
      <c r="D2526" s="1">
        <v>0.875</v>
      </c>
      <c r="E2526" t="s">
        <v>21</v>
      </c>
      <c r="F2526" t="s">
        <v>25</v>
      </c>
      <c r="G2526" t="s">
        <v>18</v>
      </c>
      <c r="H2526" t="s">
        <v>185</v>
      </c>
    </row>
    <row r="2527" spans="1:8" x14ac:dyDescent="0.3">
      <c r="A2527" t="s">
        <v>878</v>
      </c>
      <c r="B2527">
        <v>25</v>
      </c>
      <c r="C2527" t="s">
        <v>956</v>
      </c>
      <c r="D2527" s="1">
        <v>0.5</v>
      </c>
      <c r="E2527" t="s">
        <v>23</v>
      </c>
      <c r="F2527" t="s">
        <v>24</v>
      </c>
      <c r="G2527" t="s">
        <v>46</v>
      </c>
      <c r="H2527" t="s">
        <v>345</v>
      </c>
    </row>
    <row r="2528" spans="1:8" x14ac:dyDescent="0.3">
      <c r="A2528" t="s">
        <v>878</v>
      </c>
      <c r="B2528">
        <v>25</v>
      </c>
      <c r="C2528" t="s">
        <v>956</v>
      </c>
      <c r="D2528" s="1">
        <v>0.58333333333333337</v>
      </c>
      <c r="E2528" t="s">
        <v>464</v>
      </c>
      <c r="F2528" t="s">
        <v>15</v>
      </c>
      <c r="G2528" s="2">
        <v>46024</v>
      </c>
      <c r="H2528" t="s">
        <v>181</v>
      </c>
    </row>
    <row r="2529" spans="1:8" x14ac:dyDescent="0.3">
      <c r="A2529" t="s">
        <v>878</v>
      </c>
      <c r="B2529">
        <v>25</v>
      </c>
      <c r="C2529" t="s">
        <v>956</v>
      </c>
      <c r="D2529" s="1">
        <v>0.66666666666666663</v>
      </c>
      <c r="E2529" t="s">
        <v>14</v>
      </c>
      <c r="F2529" t="s">
        <v>36</v>
      </c>
      <c r="G2529" s="2">
        <v>46024</v>
      </c>
      <c r="H2529" t="s">
        <v>202</v>
      </c>
    </row>
    <row r="2530" spans="1:8" x14ac:dyDescent="0.3">
      <c r="A2530" t="s">
        <v>878</v>
      </c>
      <c r="B2530">
        <v>25</v>
      </c>
      <c r="C2530" t="s">
        <v>956</v>
      </c>
      <c r="D2530" s="1">
        <v>0.77083333333333337</v>
      </c>
      <c r="E2530" t="s">
        <v>11</v>
      </c>
      <c r="F2530" t="s">
        <v>27</v>
      </c>
      <c r="G2530" t="s">
        <v>46</v>
      </c>
      <c r="H2530" t="s">
        <v>198</v>
      </c>
    </row>
    <row r="2531" spans="1:8" x14ac:dyDescent="0.3">
      <c r="A2531" t="s">
        <v>878</v>
      </c>
      <c r="B2531">
        <v>25</v>
      </c>
      <c r="C2531" t="s">
        <v>956</v>
      </c>
      <c r="D2531" s="1">
        <v>0.875</v>
      </c>
      <c r="E2531" t="s">
        <v>28</v>
      </c>
      <c r="F2531" t="s">
        <v>34</v>
      </c>
      <c r="G2531" s="2">
        <v>46025</v>
      </c>
      <c r="H2531" t="s">
        <v>341</v>
      </c>
    </row>
    <row r="2532" spans="1:8" x14ac:dyDescent="0.3">
      <c r="A2532" t="s">
        <v>878</v>
      </c>
      <c r="B2532">
        <v>26</v>
      </c>
      <c r="C2532" t="s">
        <v>957</v>
      </c>
      <c r="D2532" s="1">
        <v>0.875</v>
      </c>
      <c r="E2532" t="s">
        <v>10</v>
      </c>
      <c r="F2532" t="s">
        <v>14</v>
      </c>
      <c r="G2532" t="s">
        <v>18</v>
      </c>
      <c r="H2532" t="s">
        <v>887</v>
      </c>
    </row>
    <row r="2533" spans="1:8" x14ac:dyDescent="0.3">
      <c r="A2533" t="s">
        <v>878</v>
      </c>
      <c r="B2533">
        <v>26</v>
      </c>
      <c r="C2533" t="s">
        <v>958</v>
      </c>
      <c r="D2533" s="1">
        <v>0.54166666666666663</v>
      </c>
      <c r="E2533" t="s">
        <v>187</v>
      </c>
      <c r="F2533" t="s">
        <v>21</v>
      </c>
      <c r="G2533" t="s">
        <v>32</v>
      </c>
      <c r="H2533" t="s">
        <v>614</v>
      </c>
    </row>
    <row r="2534" spans="1:8" x14ac:dyDescent="0.3">
      <c r="A2534" t="s">
        <v>878</v>
      </c>
      <c r="B2534">
        <v>26</v>
      </c>
      <c r="C2534" t="s">
        <v>958</v>
      </c>
      <c r="D2534" s="1">
        <v>0.66666666666666663</v>
      </c>
      <c r="E2534" t="s">
        <v>16</v>
      </c>
      <c r="F2534" t="s">
        <v>26</v>
      </c>
      <c r="G2534" s="2">
        <v>46024</v>
      </c>
      <c r="H2534" t="s">
        <v>752</v>
      </c>
    </row>
    <row r="2535" spans="1:8" x14ac:dyDescent="0.3">
      <c r="A2535" t="s">
        <v>878</v>
      </c>
      <c r="B2535">
        <v>26</v>
      </c>
      <c r="C2535" t="s">
        <v>958</v>
      </c>
      <c r="D2535" s="1">
        <v>0.77083333333333337</v>
      </c>
      <c r="E2535" t="s">
        <v>466</v>
      </c>
      <c r="F2535" t="s">
        <v>464</v>
      </c>
      <c r="G2535" s="2">
        <v>46023</v>
      </c>
      <c r="H2535" t="s">
        <v>205</v>
      </c>
    </row>
    <row r="2536" spans="1:8" x14ac:dyDescent="0.3">
      <c r="A2536" t="s">
        <v>878</v>
      </c>
      <c r="B2536">
        <v>26</v>
      </c>
      <c r="C2536" t="s">
        <v>958</v>
      </c>
      <c r="D2536" s="1">
        <v>0.875</v>
      </c>
      <c r="E2536" t="s">
        <v>24</v>
      </c>
      <c r="F2536" t="s">
        <v>35</v>
      </c>
      <c r="G2536" t="s">
        <v>41</v>
      </c>
      <c r="H2536" t="s">
        <v>747</v>
      </c>
    </row>
    <row r="2537" spans="1:8" x14ac:dyDescent="0.3">
      <c r="A2537" t="s">
        <v>878</v>
      </c>
      <c r="B2537">
        <v>26</v>
      </c>
      <c r="C2537" t="s">
        <v>959</v>
      </c>
      <c r="D2537" s="1">
        <v>0.5</v>
      </c>
      <c r="E2537" t="s">
        <v>27</v>
      </c>
      <c r="F2537" t="s">
        <v>23</v>
      </c>
      <c r="G2537" s="2">
        <v>46056</v>
      </c>
      <c r="H2537" t="s">
        <v>184</v>
      </c>
    </row>
    <row r="2538" spans="1:8" x14ac:dyDescent="0.3">
      <c r="A2538" t="s">
        <v>878</v>
      </c>
      <c r="B2538">
        <v>26</v>
      </c>
      <c r="C2538" t="s">
        <v>959</v>
      </c>
      <c r="D2538" s="1">
        <v>0.58333333333333337</v>
      </c>
      <c r="E2538" t="s">
        <v>15</v>
      </c>
      <c r="F2538" t="s">
        <v>34</v>
      </c>
      <c r="G2538" t="s">
        <v>18</v>
      </c>
      <c r="H2538" t="s">
        <v>609</v>
      </c>
    </row>
    <row r="2539" spans="1:8" x14ac:dyDescent="0.3">
      <c r="A2539" t="s">
        <v>878</v>
      </c>
      <c r="B2539">
        <v>26</v>
      </c>
      <c r="C2539" t="s">
        <v>959</v>
      </c>
      <c r="D2539" s="1">
        <v>0.66666666666666663</v>
      </c>
      <c r="E2539" t="s">
        <v>36</v>
      </c>
      <c r="F2539" t="s">
        <v>28</v>
      </c>
      <c r="G2539" s="2">
        <v>46023</v>
      </c>
      <c r="H2539" t="s">
        <v>612</v>
      </c>
    </row>
    <row r="2540" spans="1:8" x14ac:dyDescent="0.3">
      <c r="A2540" t="s">
        <v>878</v>
      </c>
      <c r="B2540">
        <v>26</v>
      </c>
      <c r="C2540" t="s">
        <v>959</v>
      </c>
      <c r="D2540" s="1">
        <v>0.77083333333333337</v>
      </c>
      <c r="E2540" t="s">
        <v>881</v>
      </c>
      <c r="F2540" t="s">
        <v>11</v>
      </c>
      <c r="G2540" t="s">
        <v>42</v>
      </c>
      <c r="H2540" t="s">
        <v>190</v>
      </c>
    </row>
    <row r="2541" spans="1:8" x14ac:dyDescent="0.3">
      <c r="A2541" t="s">
        <v>878</v>
      </c>
      <c r="B2541">
        <v>26</v>
      </c>
      <c r="C2541" t="s">
        <v>959</v>
      </c>
      <c r="D2541" s="1">
        <v>0.875</v>
      </c>
      <c r="E2541" t="s">
        <v>25</v>
      </c>
      <c r="F2541" t="s">
        <v>20</v>
      </c>
      <c r="G2541" t="s">
        <v>12</v>
      </c>
      <c r="H2541" t="s">
        <v>181</v>
      </c>
    </row>
    <row r="2542" spans="1:8" x14ac:dyDescent="0.3">
      <c r="A2542" t="s">
        <v>878</v>
      </c>
      <c r="B2542">
        <v>27</v>
      </c>
      <c r="C2542" t="s">
        <v>960</v>
      </c>
      <c r="D2542" s="1">
        <v>0.875</v>
      </c>
      <c r="E2542" t="s">
        <v>464</v>
      </c>
      <c r="F2542" t="s">
        <v>16</v>
      </c>
      <c r="G2542" s="2">
        <v>46023</v>
      </c>
      <c r="H2542" t="s">
        <v>194</v>
      </c>
    </row>
    <row r="2543" spans="1:8" x14ac:dyDescent="0.3">
      <c r="A2543" t="s">
        <v>878</v>
      </c>
      <c r="B2543">
        <v>27</v>
      </c>
      <c r="C2543" t="s">
        <v>961</v>
      </c>
      <c r="D2543" s="1">
        <v>0.54166666666666663</v>
      </c>
      <c r="E2543" t="s">
        <v>187</v>
      </c>
      <c r="F2543" t="s">
        <v>881</v>
      </c>
      <c r="G2543" s="2">
        <v>46054</v>
      </c>
      <c r="H2543" t="s">
        <v>198</v>
      </c>
    </row>
    <row r="2544" spans="1:8" x14ac:dyDescent="0.3">
      <c r="A2544" t="s">
        <v>878</v>
      </c>
      <c r="B2544">
        <v>27</v>
      </c>
      <c r="C2544" t="s">
        <v>961</v>
      </c>
      <c r="D2544" s="1">
        <v>0.66666666666666663</v>
      </c>
      <c r="E2544" t="s">
        <v>28</v>
      </c>
      <c r="F2544" t="s">
        <v>27</v>
      </c>
      <c r="G2544" s="2">
        <v>46055</v>
      </c>
      <c r="H2544" t="s">
        <v>185</v>
      </c>
    </row>
    <row r="2545" spans="1:8" x14ac:dyDescent="0.3">
      <c r="A2545" t="s">
        <v>878</v>
      </c>
      <c r="B2545">
        <v>27</v>
      </c>
      <c r="C2545" t="s">
        <v>961</v>
      </c>
      <c r="D2545" s="1">
        <v>0.77083333333333337</v>
      </c>
      <c r="E2545" t="s">
        <v>20</v>
      </c>
      <c r="F2545" t="s">
        <v>10</v>
      </c>
      <c r="G2545" t="s">
        <v>18</v>
      </c>
      <c r="H2545" t="s">
        <v>205</v>
      </c>
    </row>
    <row r="2546" spans="1:8" x14ac:dyDescent="0.3">
      <c r="A2546" t="s">
        <v>878</v>
      </c>
      <c r="B2546">
        <v>27</v>
      </c>
      <c r="C2546" t="s">
        <v>961</v>
      </c>
      <c r="D2546" s="1">
        <v>0.875</v>
      </c>
      <c r="E2546" t="s">
        <v>11</v>
      </c>
      <c r="F2546" t="s">
        <v>35</v>
      </c>
      <c r="G2546" t="s">
        <v>41</v>
      </c>
      <c r="H2546" t="s">
        <v>345</v>
      </c>
    </row>
    <row r="2547" spans="1:8" x14ac:dyDescent="0.3">
      <c r="A2547" t="s">
        <v>878</v>
      </c>
      <c r="B2547">
        <v>27</v>
      </c>
      <c r="C2547" t="s">
        <v>962</v>
      </c>
      <c r="D2547" s="1">
        <v>0.5</v>
      </c>
      <c r="E2547" t="s">
        <v>23</v>
      </c>
      <c r="F2547" t="s">
        <v>36</v>
      </c>
      <c r="G2547" t="s">
        <v>18</v>
      </c>
      <c r="H2547" t="s">
        <v>341</v>
      </c>
    </row>
    <row r="2548" spans="1:8" x14ac:dyDescent="0.3">
      <c r="A2548" t="s">
        <v>878</v>
      </c>
      <c r="B2548">
        <v>27</v>
      </c>
      <c r="C2548" t="s">
        <v>962</v>
      </c>
      <c r="D2548" s="1">
        <v>0.58333333333333337</v>
      </c>
      <c r="E2548" t="s">
        <v>14</v>
      </c>
      <c r="F2548" t="s">
        <v>15</v>
      </c>
      <c r="G2548" s="2">
        <v>46113</v>
      </c>
      <c r="H2548" t="s">
        <v>467</v>
      </c>
    </row>
    <row r="2549" spans="1:8" x14ac:dyDescent="0.3">
      <c r="A2549" t="s">
        <v>878</v>
      </c>
      <c r="B2549">
        <v>27</v>
      </c>
      <c r="C2549" t="s">
        <v>962</v>
      </c>
      <c r="D2549" s="1">
        <v>0.66666666666666663</v>
      </c>
      <c r="E2549" t="s">
        <v>21</v>
      </c>
      <c r="F2549" t="s">
        <v>24</v>
      </c>
      <c r="G2549" s="2">
        <v>46023</v>
      </c>
      <c r="H2549" t="s">
        <v>202</v>
      </c>
    </row>
    <row r="2550" spans="1:8" x14ac:dyDescent="0.3">
      <c r="A2550" t="s">
        <v>878</v>
      </c>
      <c r="B2550">
        <v>27</v>
      </c>
      <c r="C2550" t="s">
        <v>962</v>
      </c>
      <c r="D2550" s="1">
        <v>0.77083333333333337</v>
      </c>
      <c r="E2550" t="s">
        <v>34</v>
      </c>
      <c r="F2550" t="s">
        <v>466</v>
      </c>
      <c r="G2550" s="2">
        <v>46054</v>
      </c>
      <c r="H2550" t="s">
        <v>883</v>
      </c>
    </row>
    <row r="2551" spans="1:8" x14ac:dyDescent="0.3">
      <c r="A2551" t="s">
        <v>878</v>
      </c>
      <c r="B2551">
        <v>27</v>
      </c>
      <c r="C2551" t="s">
        <v>962</v>
      </c>
      <c r="D2551" s="1">
        <v>0.875</v>
      </c>
      <c r="E2551" t="s">
        <v>26</v>
      </c>
      <c r="F2551" t="s">
        <v>25</v>
      </c>
      <c r="G2551" s="2">
        <v>46024</v>
      </c>
      <c r="H2551" t="s">
        <v>206</v>
      </c>
    </row>
    <row r="2552" spans="1:8" x14ac:dyDescent="0.3">
      <c r="A2552" t="s">
        <v>878</v>
      </c>
      <c r="B2552">
        <v>28</v>
      </c>
      <c r="C2552" t="s">
        <v>963</v>
      </c>
      <c r="D2552" s="1">
        <v>0.91666666666666663</v>
      </c>
      <c r="E2552" t="s">
        <v>27</v>
      </c>
      <c r="F2552" t="s">
        <v>26</v>
      </c>
      <c r="G2552" t="s">
        <v>12</v>
      </c>
      <c r="H2552" t="s">
        <v>181</v>
      </c>
    </row>
    <row r="2553" spans="1:8" x14ac:dyDescent="0.3">
      <c r="A2553" t="s">
        <v>878</v>
      </c>
      <c r="B2553">
        <v>28</v>
      </c>
      <c r="C2553" t="s">
        <v>964</v>
      </c>
      <c r="D2553" s="1">
        <v>0.8125</v>
      </c>
      <c r="E2553" t="s">
        <v>24</v>
      </c>
      <c r="F2553" t="s">
        <v>11</v>
      </c>
      <c r="G2553" s="2">
        <v>46024</v>
      </c>
      <c r="H2553" t="s">
        <v>609</v>
      </c>
    </row>
    <row r="2554" spans="1:8" x14ac:dyDescent="0.3">
      <c r="A2554" t="s">
        <v>878</v>
      </c>
      <c r="B2554">
        <v>28</v>
      </c>
      <c r="C2554" t="s">
        <v>964</v>
      </c>
      <c r="D2554" s="1">
        <v>0.91666666666666663</v>
      </c>
      <c r="E2554" t="s">
        <v>16</v>
      </c>
      <c r="F2554" t="s">
        <v>21</v>
      </c>
      <c r="G2554" s="2">
        <v>46023</v>
      </c>
      <c r="H2554" t="s">
        <v>612</v>
      </c>
    </row>
    <row r="2555" spans="1:8" x14ac:dyDescent="0.3">
      <c r="A2555" t="s">
        <v>878</v>
      </c>
      <c r="B2555">
        <v>28</v>
      </c>
      <c r="C2555" t="s">
        <v>965</v>
      </c>
      <c r="D2555" s="1">
        <v>0.58333333333333337</v>
      </c>
      <c r="E2555" t="s">
        <v>36</v>
      </c>
      <c r="F2555" t="s">
        <v>464</v>
      </c>
      <c r="G2555" t="s">
        <v>12</v>
      </c>
      <c r="H2555" t="s">
        <v>614</v>
      </c>
    </row>
    <row r="2556" spans="1:8" x14ac:dyDescent="0.3">
      <c r="A2556" t="s">
        <v>878</v>
      </c>
      <c r="B2556">
        <v>28</v>
      </c>
      <c r="C2556" t="s">
        <v>965</v>
      </c>
      <c r="D2556" s="1">
        <v>0.70833333333333337</v>
      </c>
      <c r="E2556" t="s">
        <v>35</v>
      </c>
      <c r="F2556" t="s">
        <v>34</v>
      </c>
      <c r="G2556" t="s">
        <v>42</v>
      </c>
      <c r="H2556" t="s">
        <v>887</v>
      </c>
    </row>
    <row r="2557" spans="1:8" x14ac:dyDescent="0.3">
      <c r="A2557" t="s">
        <v>878</v>
      </c>
      <c r="B2557">
        <v>28</v>
      </c>
      <c r="C2557" t="s">
        <v>965</v>
      </c>
      <c r="D2557" s="1">
        <v>0.8125</v>
      </c>
      <c r="E2557" t="s">
        <v>466</v>
      </c>
      <c r="F2557" t="s">
        <v>14</v>
      </c>
      <c r="G2557" s="2">
        <v>46054</v>
      </c>
      <c r="H2557" t="s">
        <v>190</v>
      </c>
    </row>
    <row r="2558" spans="1:8" x14ac:dyDescent="0.3">
      <c r="A2558" t="s">
        <v>878</v>
      </c>
      <c r="B2558">
        <v>28</v>
      </c>
      <c r="C2558" t="s">
        <v>965</v>
      </c>
      <c r="D2558" s="1">
        <v>0.91666666666666663</v>
      </c>
      <c r="E2558" t="s">
        <v>881</v>
      </c>
      <c r="F2558" t="s">
        <v>20</v>
      </c>
      <c r="G2558" t="s">
        <v>53</v>
      </c>
      <c r="H2558" t="s">
        <v>184</v>
      </c>
    </row>
    <row r="2559" spans="1:8" x14ac:dyDescent="0.3">
      <c r="A2559" t="s">
        <v>878</v>
      </c>
      <c r="B2559">
        <v>28</v>
      </c>
      <c r="C2559" t="s">
        <v>966</v>
      </c>
      <c r="D2559" s="1">
        <v>0.58333333333333337</v>
      </c>
      <c r="E2559" t="s">
        <v>15</v>
      </c>
      <c r="F2559" t="s">
        <v>28</v>
      </c>
      <c r="G2559" s="2">
        <v>46023</v>
      </c>
      <c r="H2559" t="s">
        <v>206</v>
      </c>
    </row>
    <row r="2560" spans="1:8" x14ac:dyDescent="0.3">
      <c r="A2560" t="s">
        <v>878</v>
      </c>
      <c r="B2560">
        <v>28</v>
      </c>
      <c r="C2560" t="s">
        <v>966</v>
      </c>
      <c r="D2560" s="1">
        <v>0.8125</v>
      </c>
      <c r="E2560" t="s">
        <v>25</v>
      </c>
      <c r="F2560" t="s">
        <v>187</v>
      </c>
      <c r="G2560" s="2">
        <v>46025</v>
      </c>
      <c r="H2560" t="s">
        <v>747</v>
      </c>
    </row>
    <row r="2561" spans="1:8" x14ac:dyDescent="0.3">
      <c r="A2561" t="s">
        <v>878</v>
      </c>
      <c r="B2561">
        <v>28</v>
      </c>
      <c r="C2561" t="s">
        <v>966</v>
      </c>
      <c r="D2561" s="1">
        <v>0.91666666666666663</v>
      </c>
      <c r="E2561" t="s">
        <v>10</v>
      </c>
      <c r="F2561" t="s">
        <v>23</v>
      </c>
      <c r="G2561" s="2">
        <v>46023</v>
      </c>
      <c r="H2561" t="s">
        <v>752</v>
      </c>
    </row>
    <row r="2562" spans="1:8" x14ac:dyDescent="0.3">
      <c r="A2562" t="s">
        <v>878</v>
      </c>
      <c r="B2562">
        <v>29</v>
      </c>
      <c r="C2562" t="s">
        <v>967</v>
      </c>
      <c r="D2562" s="1">
        <v>0.8125</v>
      </c>
      <c r="E2562" t="s">
        <v>21</v>
      </c>
      <c r="F2562" t="s">
        <v>27</v>
      </c>
      <c r="G2562" s="2">
        <v>46023</v>
      </c>
      <c r="H2562" t="s">
        <v>185</v>
      </c>
    </row>
    <row r="2563" spans="1:8" x14ac:dyDescent="0.3">
      <c r="A2563" t="s">
        <v>878</v>
      </c>
      <c r="B2563">
        <v>29</v>
      </c>
      <c r="C2563" t="s">
        <v>967</v>
      </c>
      <c r="D2563" s="1">
        <v>0.91666666666666663</v>
      </c>
      <c r="E2563" t="s">
        <v>26</v>
      </c>
      <c r="F2563" t="s">
        <v>24</v>
      </c>
      <c r="G2563" s="2">
        <v>46055</v>
      </c>
      <c r="H2563" t="s">
        <v>883</v>
      </c>
    </row>
    <row r="2564" spans="1:8" x14ac:dyDescent="0.3">
      <c r="A2564" t="s">
        <v>878</v>
      </c>
      <c r="B2564">
        <v>29</v>
      </c>
      <c r="C2564" t="s">
        <v>968</v>
      </c>
      <c r="D2564" s="1">
        <v>0.8125</v>
      </c>
      <c r="E2564" t="s">
        <v>11</v>
      </c>
      <c r="F2564" t="s">
        <v>36</v>
      </c>
      <c r="G2564" t="s">
        <v>41</v>
      </c>
      <c r="H2564" t="s">
        <v>467</v>
      </c>
    </row>
    <row r="2565" spans="1:8" x14ac:dyDescent="0.3">
      <c r="A2565" t="s">
        <v>878</v>
      </c>
      <c r="B2565">
        <v>29</v>
      </c>
      <c r="C2565" t="s">
        <v>968</v>
      </c>
      <c r="D2565" s="1">
        <v>0.8125</v>
      </c>
      <c r="E2565" t="s">
        <v>34</v>
      </c>
      <c r="F2565" t="s">
        <v>881</v>
      </c>
      <c r="G2565" t="s">
        <v>18</v>
      </c>
      <c r="H2565" t="s">
        <v>198</v>
      </c>
    </row>
    <row r="2566" spans="1:8" x14ac:dyDescent="0.3">
      <c r="A2566" t="s">
        <v>878</v>
      </c>
      <c r="B2566">
        <v>29</v>
      </c>
      <c r="C2566" t="s">
        <v>968</v>
      </c>
      <c r="D2566" s="1">
        <v>0.91666666666666663</v>
      </c>
      <c r="E2566" t="s">
        <v>20</v>
      </c>
      <c r="F2566" t="s">
        <v>466</v>
      </c>
      <c r="G2566" t="s">
        <v>12</v>
      </c>
      <c r="H2566" t="s">
        <v>205</v>
      </c>
    </row>
    <row r="2567" spans="1:8" x14ac:dyDescent="0.3">
      <c r="A2567" t="s">
        <v>878</v>
      </c>
      <c r="B2567">
        <v>29</v>
      </c>
      <c r="C2567" t="s">
        <v>969</v>
      </c>
      <c r="D2567" s="1">
        <v>0.8125</v>
      </c>
      <c r="E2567" t="s">
        <v>187</v>
      </c>
      <c r="F2567" t="s">
        <v>15</v>
      </c>
      <c r="G2567" s="2">
        <v>46055</v>
      </c>
      <c r="H2567" t="s">
        <v>202</v>
      </c>
    </row>
    <row r="2568" spans="1:8" x14ac:dyDescent="0.3">
      <c r="A2568" t="s">
        <v>878</v>
      </c>
      <c r="B2568">
        <v>29</v>
      </c>
      <c r="C2568" t="s">
        <v>969</v>
      </c>
      <c r="D2568" s="1">
        <v>0.8125</v>
      </c>
      <c r="E2568" t="s">
        <v>14</v>
      </c>
      <c r="F2568" t="s">
        <v>35</v>
      </c>
      <c r="G2568" t="s">
        <v>41</v>
      </c>
      <c r="H2568" t="s">
        <v>194</v>
      </c>
    </row>
    <row r="2569" spans="1:8" x14ac:dyDescent="0.3">
      <c r="A2569" t="s">
        <v>878</v>
      </c>
      <c r="B2569">
        <v>29</v>
      </c>
      <c r="C2569" t="s">
        <v>969</v>
      </c>
      <c r="D2569" s="1">
        <v>0.91666666666666663</v>
      </c>
      <c r="E2569" t="s">
        <v>23</v>
      </c>
      <c r="F2569" t="s">
        <v>28</v>
      </c>
      <c r="G2569" t="s">
        <v>72</v>
      </c>
      <c r="H2569" t="s">
        <v>341</v>
      </c>
    </row>
    <row r="2570" spans="1:8" x14ac:dyDescent="0.3">
      <c r="A2570" t="s">
        <v>878</v>
      </c>
      <c r="B2570">
        <v>29</v>
      </c>
      <c r="C2570" t="s">
        <v>970</v>
      </c>
      <c r="D2570" s="1">
        <v>0.8125</v>
      </c>
      <c r="E2570" t="s">
        <v>464</v>
      </c>
      <c r="F2570" t="s">
        <v>10</v>
      </c>
      <c r="G2570" t="s">
        <v>12</v>
      </c>
      <c r="H2570" t="s">
        <v>197</v>
      </c>
    </row>
    <row r="2571" spans="1:8" x14ac:dyDescent="0.3">
      <c r="A2571" t="s">
        <v>878</v>
      </c>
      <c r="B2571">
        <v>29</v>
      </c>
      <c r="C2571" t="s">
        <v>970</v>
      </c>
      <c r="D2571" s="1">
        <v>0.91666666666666663</v>
      </c>
      <c r="E2571" t="s">
        <v>25</v>
      </c>
      <c r="F2571" t="s">
        <v>16</v>
      </c>
      <c r="G2571" t="s">
        <v>32</v>
      </c>
      <c r="H2571" t="s">
        <v>345</v>
      </c>
    </row>
    <row r="2572" spans="1:8" x14ac:dyDescent="0.3">
      <c r="A2572" t="s">
        <v>878</v>
      </c>
      <c r="B2572">
        <v>30</v>
      </c>
      <c r="C2572" t="s">
        <v>971</v>
      </c>
      <c r="D2572" s="1">
        <v>0.8125</v>
      </c>
      <c r="E2572" t="s">
        <v>24</v>
      </c>
      <c r="F2572" t="s">
        <v>34</v>
      </c>
      <c r="G2572" t="s">
        <v>42</v>
      </c>
      <c r="H2572" t="s">
        <v>747</v>
      </c>
    </row>
    <row r="2573" spans="1:8" x14ac:dyDescent="0.3">
      <c r="A2573" t="s">
        <v>878</v>
      </c>
      <c r="B2573">
        <v>30</v>
      </c>
      <c r="C2573" t="s">
        <v>971</v>
      </c>
      <c r="D2573" s="1">
        <v>0.8125</v>
      </c>
      <c r="E2573" t="s">
        <v>881</v>
      </c>
      <c r="F2573" t="s">
        <v>466</v>
      </c>
      <c r="G2573" s="2">
        <v>46023</v>
      </c>
      <c r="H2573" t="s">
        <v>181</v>
      </c>
    </row>
    <row r="2574" spans="1:8" x14ac:dyDescent="0.3">
      <c r="A2574" t="s">
        <v>878</v>
      </c>
      <c r="B2574">
        <v>30</v>
      </c>
      <c r="C2574" t="s">
        <v>971</v>
      </c>
      <c r="D2574" s="1">
        <v>0.91666666666666663</v>
      </c>
      <c r="E2574" t="s">
        <v>27</v>
      </c>
      <c r="F2574" t="s">
        <v>20</v>
      </c>
      <c r="G2574" t="s">
        <v>41</v>
      </c>
      <c r="H2574" t="s">
        <v>206</v>
      </c>
    </row>
    <row r="2575" spans="1:8" x14ac:dyDescent="0.3">
      <c r="A2575" t="s">
        <v>878</v>
      </c>
      <c r="B2575">
        <v>30</v>
      </c>
      <c r="C2575" t="s">
        <v>972</v>
      </c>
      <c r="D2575" s="1">
        <v>0.58333333333333337</v>
      </c>
      <c r="E2575" t="s">
        <v>36</v>
      </c>
      <c r="F2575" t="s">
        <v>21</v>
      </c>
      <c r="G2575" s="2">
        <v>46082</v>
      </c>
      <c r="H2575" t="s">
        <v>184</v>
      </c>
    </row>
    <row r="2576" spans="1:8" x14ac:dyDescent="0.3">
      <c r="A2576" t="s">
        <v>878</v>
      </c>
      <c r="B2576">
        <v>30</v>
      </c>
      <c r="C2576" t="s">
        <v>972</v>
      </c>
      <c r="D2576" s="1">
        <v>0.70833333333333337</v>
      </c>
      <c r="E2576" t="s">
        <v>15</v>
      </c>
      <c r="F2576" t="s">
        <v>26</v>
      </c>
      <c r="G2576" t="s">
        <v>18</v>
      </c>
      <c r="H2576" t="s">
        <v>887</v>
      </c>
    </row>
    <row r="2577" spans="1:8" x14ac:dyDescent="0.3">
      <c r="A2577" t="s">
        <v>878</v>
      </c>
      <c r="B2577">
        <v>30</v>
      </c>
      <c r="C2577" t="s">
        <v>972</v>
      </c>
      <c r="D2577" s="1">
        <v>0.8125</v>
      </c>
      <c r="E2577" t="s">
        <v>11</v>
      </c>
      <c r="F2577" t="s">
        <v>187</v>
      </c>
      <c r="G2577" s="2">
        <v>46023</v>
      </c>
      <c r="H2577" t="s">
        <v>612</v>
      </c>
    </row>
    <row r="2578" spans="1:8" x14ac:dyDescent="0.3">
      <c r="A2578" t="s">
        <v>878</v>
      </c>
      <c r="B2578">
        <v>30</v>
      </c>
      <c r="C2578" t="s">
        <v>972</v>
      </c>
      <c r="D2578" s="1">
        <v>0.91666666666666663</v>
      </c>
      <c r="E2578" t="s">
        <v>28</v>
      </c>
      <c r="F2578" t="s">
        <v>14</v>
      </c>
      <c r="G2578" t="s">
        <v>18</v>
      </c>
      <c r="H2578" t="s">
        <v>614</v>
      </c>
    </row>
    <row r="2579" spans="1:8" x14ac:dyDescent="0.3">
      <c r="A2579" t="s">
        <v>878</v>
      </c>
      <c r="B2579">
        <v>30</v>
      </c>
      <c r="C2579" t="s">
        <v>973</v>
      </c>
      <c r="D2579" s="1">
        <v>0.58333333333333337</v>
      </c>
      <c r="E2579" t="s">
        <v>35</v>
      </c>
      <c r="F2579" t="s">
        <v>464</v>
      </c>
      <c r="G2579" t="s">
        <v>126</v>
      </c>
      <c r="H2579" t="s">
        <v>752</v>
      </c>
    </row>
    <row r="2580" spans="1:8" x14ac:dyDescent="0.3">
      <c r="A2580" t="s">
        <v>878</v>
      </c>
      <c r="B2580">
        <v>30</v>
      </c>
      <c r="C2580" t="s">
        <v>973</v>
      </c>
      <c r="D2580" s="1">
        <v>0.8125</v>
      </c>
      <c r="E2580" t="s">
        <v>16</v>
      </c>
      <c r="F2580" t="s">
        <v>23</v>
      </c>
      <c r="G2580" t="s">
        <v>12</v>
      </c>
      <c r="H2580" t="s">
        <v>609</v>
      </c>
    </row>
    <row r="2581" spans="1:8" x14ac:dyDescent="0.3">
      <c r="A2581" t="s">
        <v>878</v>
      </c>
      <c r="B2581">
        <v>30</v>
      </c>
      <c r="C2581" t="s">
        <v>973</v>
      </c>
      <c r="D2581" s="1">
        <v>0.91666666666666663</v>
      </c>
      <c r="E2581" t="s">
        <v>10</v>
      </c>
      <c r="F2581" t="s">
        <v>25</v>
      </c>
      <c r="G2581" s="2">
        <v>46054</v>
      </c>
      <c r="H2581" t="s">
        <v>198</v>
      </c>
    </row>
    <row r="2582" spans="1:8" x14ac:dyDescent="0.3">
      <c r="A2582" t="s">
        <v>878</v>
      </c>
      <c r="B2582">
        <v>31</v>
      </c>
      <c r="C2582" t="s">
        <v>974</v>
      </c>
      <c r="D2582" s="1">
        <v>0.8125</v>
      </c>
      <c r="E2582" t="s">
        <v>34</v>
      </c>
      <c r="F2582" t="s">
        <v>27</v>
      </c>
      <c r="G2582" s="2">
        <v>46055</v>
      </c>
      <c r="H2582" t="s">
        <v>345</v>
      </c>
    </row>
    <row r="2583" spans="1:8" x14ac:dyDescent="0.3">
      <c r="A2583" t="s">
        <v>878</v>
      </c>
      <c r="B2583">
        <v>31</v>
      </c>
      <c r="C2583" t="s">
        <v>974</v>
      </c>
      <c r="D2583" s="1">
        <v>0.91666666666666663</v>
      </c>
      <c r="E2583" t="s">
        <v>466</v>
      </c>
      <c r="F2583" t="s">
        <v>24</v>
      </c>
      <c r="G2583" t="s">
        <v>41</v>
      </c>
      <c r="H2583" t="s">
        <v>341</v>
      </c>
    </row>
    <row r="2584" spans="1:8" x14ac:dyDescent="0.3">
      <c r="A2584" t="s">
        <v>878</v>
      </c>
      <c r="B2584">
        <v>31</v>
      </c>
      <c r="C2584" t="s">
        <v>975</v>
      </c>
      <c r="D2584" s="1">
        <v>0.8125</v>
      </c>
      <c r="E2584" t="s">
        <v>21</v>
      </c>
      <c r="F2584" t="s">
        <v>28</v>
      </c>
      <c r="G2584" t="s">
        <v>42</v>
      </c>
      <c r="H2584" t="s">
        <v>467</v>
      </c>
    </row>
    <row r="2585" spans="1:8" x14ac:dyDescent="0.3">
      <c r="A2585" t="s">
        <v>878</v>
      </c>
      <c r="B2585">
        <v>31</v>
      </c>
      <c r="C2585" t="s">
        <v>975</v>
      </c>
      <c r="D2585" s="1">
        <v>0.8125</v>
      </c>
      <c r="E2585" t="s">
        <v>14</v>
      </c>
      <c r="F2585" t="s">
        <v>11</v>
      </c>
      <c r="G2585" s="2">
        <v>46023</v>
      </c>
      <c r="H2585" t="s">
        <v>883</v>
      </c>
    </row>
    <row r="2586" spans="1:8" x14ac:dyDescent="0.3">
      <c r="A2586" t="s">
        <v>878</v>
      </c>
      <c r="B2586">
        <v>31</v>
      </c>
      <c r="C2586" t="s">
        <v>975</v>
      </c>
      <c r="D2586" s="1">
        <v>0.91666666666666663</v>
      </c>
      <c r="E2586" t="s">
        <v>20</v>
      </c>
      <c r="F2586" t="s">
        <v>15</v>
      </c>
      <c r="G2586" t="s">
        <v>18</v>
      </c>
      <c r="H2586" t="s">
        <v>194</v>
      </c>
    </row>
    <row r="2587" spans="1:8" x14ac:dyDescent="0.3">
      <c r="A2587" t="s">
        <v>878</v>
      </c>
      <c r="B2587">
        <v>31</v>
      </c>
      <c r="C2587" t="s">
        <v>976</v>
      </c>
      <c r="D2587" s="1">
        <v>0.8125</v>
      </c>
      <c r="E2587" t="s">
        <v>464</v>
      </c>
      <c r="F2587" t="s">
        <v>23</v>
      </c>
      <c r="G2587" t="s">
        <v>42</v>
      </c>
      <c r="H2587" t="s">
        <v>185</v>
      </c>
    </row>
    <row r="2588" spans="1:8" x14ac:dyDescent="0.3">
      <c r="A2588" t="s">
        <v>878</v>
      </c>
      <c r="B2588">
        <v>31</v>
      </c>
      <c r="C2588" t="s">
        <v>976</v>
      </c>
      <c r="D2588" s="1">
        <v>0.8125</v>
      </c>
      <c r="E2588" t="s">
        <v>10</v>
      </c>
      <c r="F2588" t="s">
        <v>35</v>
      </c>
      <c r="G2588" t="s">
        <v>42</v>
      </c>
      <c r="H2588" t="s">
        <v>202</v>
      </c>
    </row>
    <row r="2589" spans="1:8" x14ac:dyDescent="0.3">
      <c r="A2589" t="s">
        <v>878</v>
      </c>
      <c r="B2589">
        <v>31</v>
      </c>
      <c r="C2589" t="s">
        <v>976</v>
      </c>
      <c r="D2589" s="1">
        <v>0.91666666666666663</v>
      </c>
      <c r="E2589" t="s">
        <v>25</v>
      </c>
      <c r="F2589" t="s">
        <v>881</v>
      </c>
      <c r="G2589" t="s">
        <v>12</v>
      </c>
      <c r="H2589" t="s">
        <v>190</v>
      </c>
    </row>
    <row r="2590" spans="1:8" x14ac:dyDescent="0.3">
      <c r="A2590" t="s">
        <v>878</v>
      </c>
      <c r="B2590">
        <v>31</v>
      </c>
      <c r="C2590" t="s">
        <v>977</v>
      </c>
      <c r="D2590" s="1">
        <v>0.8125</v>
      </c>
      <c r="E2590" t="s">
        <v>187</v>
      </c>
      <c r="F2590" t="s">
        <v>16</v>
      </c>
      <c r="G2590" t="s">
        <v>18</v>
      </c>
      <c r="H2590" t="s">
        <v>197</v>
      </c>
    </row>
    <row r="2591" spans="1:8" x14ac:dyDescent="0.3">
      <c r="A2591" t="s">
        <v>878</v>
      </c>
      <c r="B2591">
        <v>31</v>
      </c>
      <c r="C2591" t="s">
        <v>977</v>
      </c>
      <c r="D2591" s="1">
        <v>0.91666666666666663</v>
      </c>
      <c r="E2591" t="s">
        <v>26</v>
      </c>
      <c r="F2591" t="s">
        <v>36</v>
      </c>
      <c r="G2591" t="s">
        <v>18</v>
      </c>
      <c r="H2591" t="s">
        <v>205</v>
      </c>
    </row>
    <row r="2592" spans="1:8" x14ac:dyDescent="0.3">
      <c r="A2592" t="s">
        <v>878</v>
      </c>
      <c r="B2592">
        <v>32</v>
      </c>
      <c r="C2592" t="s">
        <v>978</v>
      </c>
      <c r="D2592" s="1">
        <v>0.91666666666666663</v>
      </c>
      <c r="E2592" t="s">
        <v>27</v>
      </c>
      <c r="F2592" t="s">
        <v>14</v>
      </c>
      <c r="G2592" s="2">
        <v>46023</v>
      </c>
      <c r="H2592" t="s">
        <v>887</v>
      </c>
    </row>
    <row r="2593" spans="1:8" x14ac:dyDescent="0.3">
      <c r="A2593" t="s">
        <v>878</v>
      </c>
      <c r="B2593">
        <v>32</v>
      </c>
      <c r="C2593" t="s">
        <v>979</v>
      </c>
      <c r="D2593" s="1">
        <v>0.58333333333333337</v>
      </c>
      <c r="E2593" t="s">
        <v>15</v>
      </c>
      <c r="F2593" t="s">
        <v>881</v>
      </c>
      <c r="G2593" s="2">
        <v>46025</v>
      </c>
      <c r="H2593" t="s">
        <v>614</v>
      </c>
    </row>
    <row r="2594" spans="1:8" x14ac:dyDescent="0.3">
      <c r="A2594" t="s">
        <v>878</v>
      </c>
      <c r="B2594">
        <v>32</v>
      </c>
      <c r="C2594" t="s">
        <v>979</v>
      </c>
      <c r="D2594" s="1">
        <v>0.70833333333333337</v>
      </c>
      <c r="E2594" t="s">
        <v>35</v>
      </c>
      <c r="F2594" t="s">
        <v>20</v>
      </c>
      <c r="G2594" s="2">
        <v>46055</v>
      </c>
      <c r="H2594" t="s">
        <v>747</v>
      </c>
    </row>
    <row r="2595" spans="1:8" x14ac:dyDescent="0.3">
      <c r="A2595" t="s">
        <v>878</v>
      </c>
      <c r="B2595">
        <v>32</v>
      </c>
      <c r="C2595" t="s">
        <v>979</v>
      </c>
      <c r="D2595" s="1">
        <v>0.8125</v>
      </c>
      <c r="E2595" t="s">
        <v>23</v>
      </c>
      <c r="F2595" t="s">
        <v>466</v>
      </c>
      <c r="G2595" s="2">
        <v>46024</v>
      </c>
      <c r="H2595" t="s">
        <v>612</v>
      </c>
    </row>
    <row r="2596" spans="1:8" x14ac:dyDescent="0.3">
      <c r="A2596" t="s">
        <v>878</v>
      </c>
      <c r="B2596">
        <v>32</v>
      </c>
      <c r="C2596" t="s">
        <v>979</v>
      </c>
      <c r="D2596" s="1">
        <v>0.91666666666666663</v>
      </c>
      <c r="E2596" t="s">
        <v>28</v>
      </c>
      <c r="F2596" t="s">
        <v>464</v>
      </c>
      <c r="G2596" s="2">
        <v>46024</v>
      </c>
      <c r="H2596" t="s">
        <v>190</v>
      </c>
    </row>
    <row r="2597" spans="1:8" x14ac:dyDescent="0.3">
      <c r="A2597" t="s">
        <v>878</v>
      </c>
      <c r="B2597">
        <v>32</v>
      </c>
      <c r="C2597" t="s">
        <v>980</v>
      </c>
      <c r="D2597" s="1">
        <v>0.58333333333333337</v>
      </c>
      <c r="E2597" t="s">
        <v>21</v>
      </c>
      <c r="F2597" t="s">
        <v>26</v>
      </c>
      <c r="G2597" s="2">
        <v>46057</v>
      </c>
      <c r="H2597" t="s">
        <v>197</v>
      </c>
    </row>
    <row r="2598" spans="1:8" x14ac:dyDescent="0.3">
      <c r="A2598" t="s">
        <v>878</v>
      </c>
      <c r="B2598">
        <v>32</v>
      </c>
      <c r="C2598" t="s">
        <v>980</v>
      </c>
      <c r="D2598" s="1">
        <v>0.70833333333333337</v>
      </c>
      <c r="E2598" t="s">
        <v>34</v>
      </c>
      <c r="F2598" t="s">
        <v>16</v>
      </c>
      <c r="G2598" t="s">
        <v>12</v>
      </c>
      <c r="H2598" t="s">
        <v>206</v>
      </c>
    </row>
    <row r="2599" spans="1:8" x14ac:dyDescent="0.3">
      <c r="A2599" t="s">
        <v>878</v>
      </c>
      <c r="B2599">
        <v>32</v>
      </c>
      <c r="C2599" t="s">
        <v>980</v>
      </c>
      <c r="D2599" s="1">
        <v>0.8125</v>
      </c>
      <c r="E2599" t="s">
        <v>24</v>
      </c>
      <c r="F2599" t="s">
        <v>187</v>
      </c>
      <c r="G2599" s="2">
        <v>46054</v>
      </c>
      <c r="H2599" t="s">
        <v>184</v>
      </c>
    </row>
    <row r="2600" spans="1:8" x14ac:dyDescent="0.3">
      <c r="A2600" t="s">
        <v>878</v>
      </c>
      <c r="B2600">
        <v>32</v>
      </c>
      <c r="C2600" t="s">
        <v>980</v>
      </c>
      <c r="D2600" s="1">
        <v>0.91666666666666663</v>
      </c>
      <c r="E2600" t="s">
        <v>36</v>
      </c>
      <c r="F2600" t="s">
        <v>25</v>
      </c>
      <c r="G2600" t="s">
        <v>42</v>
      </c>
      <c r="H2600" t="s">
        <v>181</v>
      </c>
    </row>
    <row r="2601" spans="1:8" x14ac:dyDescent="0.3">
      <c r="A2601" t="s">
        <v>878</v>
      </c>
      <c r="B2601">
        <v>32</v>
      </c>
      <c r="C2601" t="s">
        <v>981</v>
      </c>
      <c r="D2601" s="1">
        <v>0.91666666666666663</v>
      </c>
      <c r="E2601" t="s">
        <v>11</v>
      </c>
      <c r="F2601" t="s">
        <v>10</v>
      </c>
      <c r="G2601" s="2">
        <v>46024</v>
      </c>
      <c r="H2601" t="s">
        <v>752</v>
      </c>
    </row>
    <row r="2602" spans="1:8" x14ac:dyDescent="0.3">
      <c r="A2602" t="s">
        <v>878</v>
      </c>
      <c r="B2602">
        <v>33</v>
      </c>
      <c r="C2602" t="s">
        <v>982</v>
      </c>
      <c r="D2602" s="1">
        <v>0.8125</v>
      </c>
      <c r="E2602" t="s">
        <v>881</v>
      </c>
      <c r="F2602" t="s">
        <v>35</v>
      </c>
      <c r="G2602" s="2">
        <v>46027</v>
      </c>
      <c r="H2602" t="s">
        <v>341</v>
      </c>
    </row>
    <row r="2603" spans="1:8" x14ac:dyDescent="0.3">
      <c r="A2603" t="s">
        <v>878</v>
      </c>
      <c r="B2603">
        <v>33</v>
      </c>
      <c r="C2603" t="s">
        <v>982</v>
      </c>
      <c r="D2603" s="1">
        <v>0.875</v>
      </c>
      <c r="E2603" t="s">
        <v>466</v>
      </c>
      <c r="F2603" t="s">
        <v>27</v>
      </c>
      <c r="G2603" t="s">
        <v>46</v>
      </c>
      <c r="H2603" t="s">
        <v>883</v>
      </c>
    </row>
    <row r="2604" spans="1:8" x14ac:dyDescent="0.3">
      <c r="A2604" t="s">
        <v>878</v>
      </c>
      <c r="B2604">
        <v>33</v>
      </c>
      <c r="C2604" t="s">
        <v>982</v>
      </c>
      <c r="D2604" s="1">
        <v>0.91666666666666663</v>
      </c>
      <c r="E2604" t="s">
        <v>20</v>
      </c>
      <c r="F2604" t="s">
        <v>28</v>
      </c>
      <c r="G2604" s="2">
        <v>46055</v>
      </c>
      <c r="H2604" t="s">
        <v>185</v>
      </c>
    </row>
    <row r="2605" spans="1:8" x14ac:dyDescent="0.3">
      <c r="A2605" t="s">
        <v>878</v>
      </c>
      <c r="B2605">
        <v>33</v>
      </c>
      <c r="C2605" t="s">
        <v>983</v>
      </c>
      <c r="D2605" s="1">
        <v>0.8125</v>
      </c>
      <c r="E2605" t="s">
        <v>464</v>
      </c>
      <c r="F2605" t="s">
        <v>24</v>
      </c>
      <c r="G2605" t="s">
        <v>54</v>
      </c>
      <c r="H2605" t="s">
        <v>202</v>
      </c>
    </row>
    <row r="2606" spans="1:8" x14ac:dyDescent="0.3">
      <c r="A2606" t="s">
        <v>878</v>
      </c>
      <c r="B2606">
        <v>33</v>
      </c>
      <c r="C2606" t="s">
        <v>983</v>
      </c>
      <c r="D2606" s="1">
        <v>0.8125</v>
      </c>
      <c r="E2606" t="s">
        <v>16</v>
      </c>
      <c r="F2606" t="s">
        <v>15</v>
      </c>
      <c r="G2606" t="s">
        <v>54</v>
      </c>
      <c r="H2606" t="s">
        <v>198</v>
      </c>
    </row>
    <row r="2607" spans="1:8" x14ac:dyDescent="0.3">
      <c r="A2607" t="s">
        <v>878</v>
      </c>
      <c r="B2607">
        <v>33</v>
      </c>
      <c r="C2607" t="s">
        <v>983</v>
      </c>
      <c r="D2607" s="1">
        <v>0.91666666666666663</v>
      </c>
      <c r="E2607" t="s">
        <v>26</v>
      </c>
      <c r="F2607" t="s">
        <v>34</v>
      </c>
      <c r="G2607" t="s">
        <v>54</v>
      </c>
      <c r="H2607" t="s">
        <v>194</v>
      </c>
    </row>
    <row r="2608" spans="1:8" x14ac:dyDescent="0.3">
      <c r="A2608" t="s">
        <v>878</v>
      </c>
      <c r="B2608">
        <v>33</v>
      </c>
      <c r="C2608" t="s">
        <v>983</v>
      </c>
      <c r="D2608" s="1">
        <v>0.91666666666666663</v>
      </c>
      <c r="E2608" t="s">
        <v>14</v>
      </c>
      <c r="F2608" t="s">
        <v>21</v>
      </c>
      <c r="G2608" t="s">
        <v>41</v>
      </c>
      <c r="H2608" t="s">
        <v>609</v>
      </c>
    </row>
    <row r="2609" spans="1:8" x14ac:dyDescent="0.3">
      <c r="A2609" t="s">
        <v>878</v>
      </c>
      <c r="B2609">
        <v>33</v>
      </c>
      <c r="C2609" t="s">
        <v>984</v>
      </c>
      <c r="D2609" s="1">
        <v>0.8125</v>
      </c>
      <c r="E2609" t="s">
        <v>187</v>
      </c>
      <c r="F2609" t="s">
        <v>23</v>
      </c>
      <c r="G2609" t="s">
        <v>54</v>
      </c>
      <c r="H2609" t="s">
        <v>467</v>
      </c>
    </row>
    <row r="2610" spans="1:8" x14ac:dyDescent="0.3">
      <c r="A2610" t="s">
        <v>878</v>
      </c>
      <c r="B2610">
        <v>33</v>
      </c>
      <c r="C2610" t="s">
        <v>984</v>
      </c>
      <c r="D2610" s="1">
        <v>0.8125</v>
      </c>
      <c r="E2610" t="s">
        <v>10</v>
      </c>
      <c r="F2610" t="s">
        <v>36</v>
      </c>
      <c r="G2610" s="2">
        <v>46024</v>
      </c>
      <c r="H2610" t="s">
        <v>345</v>
      </c>
    </row>
    <row r="2611" spans="1:8" x14ac:dyDescent="0.3">
      <c r="A2611" t="s">
        <v>878</v>
      </c>
      <c r="B2611">
        <v>33</v>
      </c>
      <c r="C2611" t="s">
        <v>984</v>
      </c>
      <c r="D2611" s="1">
        <v>0.91666666666666663</v>
      </c>
      <c r="E2611" t="s">
        <v>25</v>
      </c>
      <c r="F2611" t="s">
        <v>11</v>
      </c>
      <c r="G2611" t="s">
        <v>18</v>
      </c>
      <c r="H2611" t="s">
        <v>205</v>
      </c>
    </row>
    <row r="2612" spans="1:8" x14ac:dyDescent="0.3">
      <c r="A2612" t="s">
        <v>878</v>
      </c>
      <c r="B2612">
        <v>34</v>
      </c>
      <c r="C2612" t="s">
        <v>985</v>
      </c>
      <c r="D2612" s="1">
        <v>0.91666666666666663</v>
      </c>
      <c r="E2612" t="s">
        <v>28</v>
      </c>
      <c r="F2612" t="s">
        <v>881</v>
      </c>
      <c r="G2612" t="s">
        <v>32</v>
      </c>
      <c r="H2612" t="s">
        <v>612</v>
      </c>
    </row>
    <row r="2613" spans="1:8" x14ac:dyDescent="0.3">
      <c r="A2613" t="s">
        <v>878</v>
      </c>
      <c r="B2613">
        <v>34</v>
      </c>
      <c r="C2613" t="s">
        <v>986</v>
      </c>
      <c r="D2613" s="1">
        <v>0.70833333333333337</v>
      </c>
      <c r="E2613" t="s">
        <v>35</v>
      </c>
      <c r="F2613" t="s">
        <v>26</v>
      </c>
      <c r="G2613" s="2">
        <v>46023</v>
      </c>
      <c r="H2613" t="s">
        <v>614</v>
      </c>
    </row>
    <row r="2614" spans="1:8" x14ac:dyDescent="0.3">
      <c r="A2614" t="s">
        <v>878</v>
      </c>
      <c r="B2614">
        <v>34</v>
      </c>
      <c r="C2614" t="s">
        <v>986</v>
      </c>
      <c r="D2614" s="1">
        <v>0.8125</v>
      </c>
      <c r="E2614" t="s">
        <v>14</v>
      </c>
      <c r="F2614" t="s">
        <v>464</v>
      </c>
      <c r="G2614" t="s">
        <v>18</v>
      </c>
      <c r="H2614" t="s">
        <v>197</v>
      </c>
    </row>
    <row r="2615" spans="1:8" x14ac:dyDescent="0.3">
      <c r="A2615" t="s">
        <v>878</v>
      </c>
      <c r="B2615">
        <v>34</v>
      </c>
      <c r="C2615" t="s">
        <v>986</v>
      </c>
      <c r="D2615" s="1">
        <v>0.91666666666666663</v>
      </c>
      <c r="E2615" t="s">
        <v>24</v>
      </c>
      <c r="F2615" t="s">
        <v>16</v>
      </c>
      <c r="G2615" s="2">
        <v>46055</v>
      </c>
      <c r="H2615" t="s">
        <v>752</v>
      </c>
    </row>
    <row r="2616" spans="1:8" x14ac:dyDescent="0.3">
      <c r="A2616" t="s">
        <v>878</v>
      </c>
      <c r="B2616">
        <v>34</v>
      </c>
      <c r="C2616" t="s">
        <v>987</v>
      </c>
      <c r="D2616" s="1">
        <v>0.58333333333333337</v>
      </c>
      <c r="E2616" t="s">
        <v>15</v>
      </c>
      <c r="F2616" t="s">
        <v>25</v>
      </c>
      <c r="G2616" t="s">
        <v>42</v>
      </c>
      <c r="H2616" t="s">
        <v>206</v>
      </c>
    </row>
    <row r="2617" spans="1:8" x14ac:dyDescent="0.3">
      <c r="A2617" t="s">
        <v>878</v>
      </c>
      <c r="B2617">
        <v>34</v>
      </c>
      <c r="C2617" t="s">
        <v>987</v>
      </c>
      <c r="D2617" s="1">
        <v>0.70833333333333337</v>
      </c>
      <c r="E2617" t="s">
        <v>36</v>
      </c>
      <c r="F2617" t="s">
        <v>466</v>
      </c>
      <c r="G2617" t="s">
        <v>42</v>
      </c>
      <c r="H2617" t="s">
        <v>747</v>
      </c>
    </row>
    <row r="2618" spans="1:8" x14ac:dyDescent="0.3">
      <c r="A2618" t="s">
        <v>878</v>
      </c>
      <c r="B2618">
        <v>34</v>
      </c>
      <c r="C2618" t="s">
        <v>987</v>
      </c>
      <c r="D2618" s="1">
        <v>0.8125</v>
      </c>
      <c r="E2618" t="s">
        <v>23</v>
      </c>
      <c r="F2618" t="s">
        <v>11</v>
      </c>
      <c r="G2618" t="s">
        <v>41</v>
      </c>
      <c r="H2618" t="s">
        <v>190</v>
      </c>
    </row>
    <row r="2619" spans="1:8" x14ac:dyDescent="0.3">
      <c r="A2619" t="s">
        <v>878</v>
      </c>
      <c r="B2619">
        <v>34</v>
      </c>
      <c r="C2619" t="s">
        <v>987</v>
      </c>
      <c r="D2619" s="1">
        <v>0.91666666666666663</v>
      </c>
      <c r="E2619" t="s">
        <v>34</v>
      </c>
      <c r="F2619" t="s">
        <v>20</v>
      </c>
      <c r="G2619" s="2">
        <v>46113</v>
      </c>
      <c r="H2619" t="s">
        <v>184</v>
      </c>
    </row>
    <row r="2620" spans="1:8" x14ac:dyDescent="0.3">
      <c r="A2620" t="s">
        <v>878</v>
      </c>
      <c r="B2620">
        <v>34</v>
      </c>
      <c r="C2620" t="s">
        <v>988</v>
      </c>
      <c r="D2620" s="1">
        <v>0.8125</v>
      </c>
      <c r="E2620" t="s">
        <v>21</v>
      </c>
      <c r="F2620" t="s">
        <v>10</v>
      </c>
      <c r="G2620" s="2">
        <v>46023</v>
      </c>
      <c r="H2620" t="s">
        <v>887</v>
      </c>
    </row>
    <row r="2621" spans="1:8" x14ac:dyDescent="0.3">
      <c r="A2621" t="s">
        <v>878</v>
      </c>
      <c r="B2621">
        <v>34</v>
      </c>
      <c r="C2621" t="s">
        <v>988</v>
      </c>
      <c r="D2621" s="1">
        <v>0.91666666666666663</v>
      </c>
      <c r="E2621" t="s">
        <v>27</v>
      </c>
      <c r="F2621" t="s">
        <v>187</v>
      </c>
      <c r="G2621" t="s">
        <v>18</v>
      </c>
      <c r="H2621" t="s">
        <v>181</v>
      </c>
    </row>
    <row r="2622" spans="1:8" x14ac:dyDescent="0.3">
      <c r="A2622" t="s">
        <v>878</v>
      </c>
      <c r="B2622">
        <v>35</v>
      </c>
      <c r="C2622" t="s">
        <v>989</v>
      </c>
      <c r="D2622" s="1">
        <v>0.8125</v>
      </c>
      <c r="E2622" t="s">
        <v>16</v>
      </c>
      <c r="F2622" t="s">
        <v>14</v>
      </c>
      <c r="G2622" s="2">
        <v>46024</v>
      </c>
      <c r="H2622" t="s">
        <v>341</v>
      </c>
    </row>
    <row r="2623" spans="1:8" x14ac:dyDescent="0.3">
      <c r="A2623" t="s">
        <v>878</v>
      </c>
      <c r="B2623">
        <v>35</v>
      </c>
      <c r="C2623" t="s">
        <v>989</v>
      </c>
      <c r="D2623" s="1">
        <v>0.91666666666666663</v>
      </c>
      <c r="E2623" t="s">
        <v>35</v>
      </c>
      <c r="F2623" t="s">
        <v>28</v>
      </c>
      <c r="G2623" s="2">
        <v>46023</v>
      </c>
      <c r="H2623" t="s">
        <v>345</v>
      </c>
    </row>
    <row r="2624" spans="1:8" x14ac:dyDescent="0.3">
      <c r="A2624" t="s">
        <v>878</v>
      </c>
      <c r="B2624">
        <v>35</v>
      </c>
      <c r="C2624" t="s">
        <v>990</v>
      </c>
      <c r="D2624" s="1">
        <v>0.85416666666666663</v>
      </c>
      <c r="E2624" t="s">
        <v>26</v>
      </c>
      <c r="F2624" t="s">
        <v>23</v>
      </c>
      <c r="G2624" t="s">
        <v>32</v>
      </c>
      <c r="H2624" t="s">
        <v>185</v>
      </c>
    </row>
    <row r="2625" spans="1:8" x14ac:dyDescent="0.3">
      <c r="A2625" t="s">
        <v>878</v>
      </c>
      <c r="B2625">
        <v>35</v>
      </c>
      <c r="C2625" t="s">
        <v>990</v>
      </c>
      <c r="D2625" s="1">
        <v>0.85416666666666663</v>
      </c>
      <c r="E2625" t="s">
        <v>11</v>
      </c>
      <c r="F2625" t="s">
        <v>34</v>
      </c>
      <c r="G2625" s="2">
        <v>46082</v>
      </c>
      <c r="H2625" t="s">
        <v>198</v>
      </c>
    </row>
    <row r="2626" spans="1:8" x14ac:dyDescent="0.3">
      <c r="A2626" t="s">
        <v>878</v>
      </c>
      <c r="B2626">
        <v>35</v>
      </c>
      <c r="C2626" t="s">
        <v>990</v>
      </c>
      <c r="D2626" s="1">
        <v>0.91666666666666663</v>
      </c>
      <c r="E2626" t="s">
        <v>20</v>
      </c>
      <c r="F2626" t="s">
        <v>36</v>
      </c>
      <c r="G2626" t="s">
        <v>18</v>
      </c>
      <c r="H2626" t="s">
        <v>467</v>
      </c>
    </row>
    <row r="2627" spans="1:8" x14ac:dyDescent="0.3">
      <c r="A2627" t="s">
        <v>878</v>
      </c>
      <c r="B2627">
        <v>35</v>
      </c>
      <c r="C2627" t="s">
        <v>991</v>
      </c>
      <c r="D2627" s="1">
        <v>0.8125</v>
      </c>
      <c r="E2627" t="s">
        <v>187</v>
      </c>
      <c r="F2627" t="s">
        <v>466</v>
      </c>
      <c r="G2627" t="s">
        <v>41</v>
      </c>
      <c r="H2627" t="s">
        <v>202</v>
      </c>
    </row>
    <row r="2628" spans="1:8" x14ac:dyDescent="0.3">
      <c r="A2628" t="s">
        <v>878</v>
      </c>
      <c r="B2628">
        <v>35</v>
      </c>
      <c r="C2628" t="s">
        <v>991</v>
      </c>
      <c r="D2628" s="1">
        <v>0.8125</v>
      </c>
      <c r="E2628" t="s">
        <v>881</v>
      </c>
      <c r="F2628" t="s">
        <v>21</v>
      </c>
      <c r="G2628" t="s">
        <v>12</v>
      </c>
      <c r="H2628" t="s">
        <v>883</v>
      </c>
    </row>
    <row r="2629" spans="1:8" x14ac:dyDescent="0.3">
      <c r="A2629" t="s">
        <v>878</v>
      </c>
      <c r="B2629">
        <v>35</v>
      </c>
      <c r="C2629" t="s">
        <v>991</v>
      </c>
      <c r="D2629" s="1">
        <v>0.91666666666666663</v>
      </c>
      <c r="E2629" t="s">
        <v>15</v>
      </c>
      <c r="F2629" t="s">
        <v>27</v>
      </c>
      <c r="G2629" s="2">
        <v>46054</v>
      </c>
      <c r="H2629" t="s">
        <v>609</v>
      </c>
    </row>
    <row r="2630" spans="1:8" x14ac:dyDescent="0.3">
      <c r="A2630" t="s">
        <v>878</v>
      </c>
      <c r="B2630">
        <v>35</v>
      </c>
      <c r="C2630" t="s">
        <v>992</v>
      </c>
      <c r="D2630" s="1">
        <v>0.8125</v>
      </c>
      <c r="E2630" t="s">
        <v>10</v>
      </c>
      <c r="F2630" t="s">
        <v>24</v>
      </c>
      <c r="G2630" s="2">
        <v>46083</v>
      </c>
      <c r="H2630" t="s">
        <v>205</v>
      </c>
    </row>
    <row r="2631" spans="1:8" x14ac:dyDescent="0.3">
      <c r="A2631" t="s">
        <v>878</v>
      </c>
      <c r="B2631">
        <v>35</v>
      </c>
      <c r="C2631" t="s">
        <v>992</v>
      </c>
      <c r="D2631" s="1">
        <v>0.91666666666666663</v>
      </c>
      <c r="E2631" t="s">
        <v>25</v>
      </c>
      <c r="F2631" t="s">
        <v>464</v>
      </c>
      <c r="G2631" t="s">
        <v>12</v>
      </c>
      <c r="H2631" t="s">
        <v>194</v>
      </c>
    </row>
    <row r="2632" spans="1:8" x14ac:dyDescent="0.3">
      <c r="A2632" t="s">
        <v>878</v>
      </c>
      <c r="B2632">
        <v>36</v>
      </c>
      <c r="C2632" t="s">
        <v>993</v>
      </c>
      <c r="D2632" s="1">
        <v>0.70833333333333337</v>
      </c>
      <c r="E2632" t="s">
        <v>23</v>
      </c>
      <c r="F2632" t="s">
        <v>35</v>
      </c>
      <c r="G2632" s="2">
        <v>46024</v>
      </c>
      <c r="H2632" t="s">
        <v>887</v>
      </c>
    </row>
    <row r="2633" spans="1:8" x14ac:dyDescent="0.3">
      <c r="A2633" t="s">
        <v>878</v>
      </c>
      <c r="B2633">
        <v>36</v>
      </c>
      <c r="C2633" t="s">
        <v>993</v>
      </c>
      <c r="D2633" s="1">
        <v>0.8125</v>
      </c>
      <c r="E2633" t="s">
        <v>14</v>
      </c>
      <c r="F2633" t="s">
        <v>20</v>
      </c>
      <c r="G2633" t="s">
        <v>42</v>
      </c>
      <c r="H2633" t="s">
        <v>181</v>
      </c>
    </row>
    <row r="2634" spans="1:8" x14ac:dyDescent="0.3">
      <c r="A2634" t="s">
        <v>878</v>
      </c>
      <c r="B2634">
        <v>36</v>
      </c>
      <c r="C2634" t="s">
        <v>993</v>
      </c>
      <c r="D2634" s="1">
        <v>0.91666666666666663</v>
      </c>
      <c r="E2634" t="s">
        <v>28</v>
      </c>
      <c r="F2634" t="s">
        <v>26</v>
      </c>
      <c r="G2634" t="s">
        <v>18</v>
      </c>
      <c r="H2634" t="s">
        <v>206</v>
      </c>
    </row>
    <row r="2635" spans="1:8" x14ac:dyDescent="0.3">
      <c r="A2635" t="s">
        <v>878</v>
      </c>
      <c r="B2635">
        <v>36</v>
      </c>
      <c r="C2635" t="s">
        <v>994</v>
      </c>
      <c r="D2635" s="1">
        <v>0.58333333333333337</v>
      </c>
      <c r="E2635" t="s">
        <v>36</v>
      </c>
      <c r="F2635" t="s">
        <v>187</v>
      </c>
      <c r="G2635" t="s">
        <v>54</v>
      </c>
      <c r="H2635" t="s">
        <v>184</v>
      </c>
    </row>
    <row r="2636" spans="1:8" x14ac:dyDescent="0.3">
      <c r="A2636" t="s">
        <v>878</v>
      </c>
      <c r="B2636">
        <v>36</v>
      </c>
      <c r="C2636" t="s">
        <v>994</v>
      </c>
      <c r="D2636" s="1">
        <v>0.70833333333333337</v>
      </c>
      <c r="E2636" t="s">
        <v>21</v>
      </c>
      <c r="F2636" t="s">
        <v>15</v>
      </c>
      <c r="G2636" s="2">
        <v>46054</v>
      </c>
      <c r="H2636" t="s">
        <v>612</v>
      </c>
    </row>
    <row r="2637" spans="1:8" x14ac:dyDescent="0.3">
      <c r="A2637" t="s">
        <v>878</v>
      </c>
      <c r="B2637">
        <v>36</v>
      </c>
      <c r="C2637" t="s">
        <v>994</v>
      </c>
      <c r="D2637" s="1">
        <v>0.8125</v>
      </c>
      <c r="E2637" t="s">
        <v>466</v>
      </c>
      <c r="F2637" t="s">
        <v>16</v>
      </c>
      <c r="G2637" t="s">
        <v>18</v>
      </c>
      <c r="H2637" t="s">
        <v>190</v>
      </c>
    </row>
    <row r="2638" spans="1:8" x14ac:dyDescent="0.3">
      <c r="A2638" t="s">
        <v>878</v>
      </c>
      <c r="B2638">
        <v>36</v>
      </c>
      <c r="C2638" t="s">
        <v>994</v>
      </c>
      <c r="D2638" s="1">
        <v>0.91666666666666663</v>
      </c>
      <c r="E2638" t="s">
        <v>27</v>
      </c>
      <c r="F2638" t="s">
        <v>881</v>
      </c>
      <c r="G2638" t="s">
        <v>12</v>
      </c>
      <c r="H2638" t="s">
        <v>752</v>
      </c>
    </row>
    <row r="2639" spans="1:8" x14ac:dyDescent="0.3">
      <c r="A2639" t="s">
        <v>878</v>
      </c>
      <c r="B2639">
        <v>36</v>
      </c>
      <c r="C2639" t="s">
        <v>995</v>
      </c>
      <c r="D2639" s="1">
        <v>0.8125</v>
      </c>
      <c r="E2639" t="s">
        <v>464</v>
      </c>
      <c r="F2639" t="s">
        <v>11</v>
      </c>
      <c r="G2639" t="s">
        <v>41</v>
      </c>
      <c r="H2639" t="s">
        <v>614</v>
      </c>
    </row>
    <row r="2640" spans="1:8" x14ac:dyDescent="0.3">
      <c r="A2640" t="s">
        <v>878</v>
      </c>
      <c r="B2640">
        <v>36</v>
      </c>
      <c r="C2640" t="s">
        <v>995</v>
      </c>
      <c r="D2640" s="1">
        <v>0.8125</v>
      </c>
      <c r="E2640" t="s">
        <v>34</v>
      </c>
      <c r="F2640" t="s">
        <v>10</v>
      </c>
      <c r="G2640" s="2">
        <v>46054</v>
      </c>
      <c r="H2640" t="s">
        <v>747</v>
      </c>
    </row>
    <row r="2641" spans="1:8" x14ac:dyDescent="0.3">
      <c r="A2641" t="s">
        <v>878</v>
      </c>
      <c r="B2641">
        <v>36</v>
      </c>
      <c r="C2641" t="s">
        <v>995</v>
      </c>
      <c r="D2641" s="1">
        <v>0.91666666666666663</v>
      </c>
      <c r="E2641" t="s">
        <v>24</v>
      </c>
      <c r="F2641" t="s">
        <v>25</v>
      </c>
      <c r="G2641" s="2">
        <v>46054</v>
      </c>
      <c r="H2641" t="s">
        <v>197</v>
      </c>
    </row>
    <row r="2642" spans="1:8" x14ac:dyDescent="0.3">
      <c r="A2642" t="s">
        <v>878</v>
      </c>
      <c r="B2642">
        <v>37</v>
      </c>
      <c r="C2642" t="s">
        <v>996</v>
      </c>
      <c r="D2642" s="1">
        <v>0.77083333333333337</v>
      </c>
      <c r="E2642" t="s">
        <v>187</v>
      </c>
      <c r="F2642" t="s">
        <v>14</v>
      </c>
      <c r="G2642" s="2">
        <v>46025</v>
      </c>
      <c r="H2642" t="s">
        <v>883</v>
      </c>
    </row>
    <row r="2643" spans="1:8" x14ac:dyDescent="0.3">
      <c r="A2643" t="s">
        <v>878</v>
      </c>
      <c r="B2643">
        <v>37</v>
      </c>
      <c r="C2643" t="s">
        <v>996</v>
      </c>
      <c r="D2643" s="1">
        <v>0.875</v>
      </c>
      <c r="E2643" t="s">
        <v>15</v>
      </c>
      <c r="F2643" t="s">
        <v>466</v>
      </c>
      <c r="G2643" t="s">
        <v>54</v>
      </c>
      <c r="H2643" t="s">
        <v>205</v>
      </c>
    </row>
    <row r="2644" spans="1:8" x14ac:dyDescent="0.3">
      <c r="A2644" t="s">
        <v>878</v>
      </c>
      <c r="B2644">
        <v>37</v>
      </c>
      <c r="C2644" t="s">
        <v>996</v>
      </c>
      <c r="D2644" s="1">
        <v>0.875</v>
      </c>
      <c r="E2644" t="s">
        <v>20</v>
      </c>
      <c r="F2644" t="s">
        <v>23</v>
      </c>
      <c r="G2644" s="2">
        <v>46054</v>
      </c>
      <c r="H2644" t="s">
        <v>345</v>
      </c>
    </row>
    <row r="2645" spans="1:8" x14ac:dyDescent="0.3">
      <c r="A2645" t="s">
        <v>878</v>
      </c>
      <c r="B2645">
        <v>37</v>
      </c>
      <c r="C2645" t="s">
        <v>996</v>
      </c>
      <c r="D2645" s="1">
        <v>0.875</v>
      </c>
      <c r="E2645" t="s">
        <v>26</v>
      </c>
      <c r="F2645" t="s">
        <v>464</v>
      </c>
      <c r="G2645" s="2">
        <v>46054</v>
      </c>
      <c r="H2645" t="s">
        <v>609</v>
      </c>
    </row>
    <row r="2646" spans="1:8" x14ac:dyDescent="0.3">
      <c r="A2646" t="s">
        <v>878</v>
      </c>
      <c r="B2646">
        <v>37</v>
      </c>
      <c r="C2646" t="s">
        <v>996</v>
      </c>
      <c r="D2646" s="1">
        <v>0.875</v>
      </c>
      <c r="E2646" t="s">
        <v>35</v>
      </c>
      <c r="F2646" t="s">
        <v>21</v>
      </c>
      <c r="G2646" s="2">
        <v>46083</v>
      </c>
      <c r="H2646" t="s">
        <v>467</v>
      </c>
    </row>
    <row r="2647" spans="1:8" x14ac:dyDescent="0.3">
      <c r="A2647" t="s">
        <v>878</v>
      </c>
      <c r="B2647">
        <v>37</v>
      </c>
      <c r="C2647" t="s">
        <v>996</v>
      </c>
      <c r="D2647" s="1">
        <v>0.875</v>
      </c>
      <c r="E2647" t="s">
        <v>11</v>
      </c>
      <c r="F2647" t="s">
        <v>28</v>
      </c>
      <c r="G2647" t="s">
        <v>54</v>
      </c>
      <c r="H2647" t="s">
        <v>181</v>
      </c>
    </row>
    <row r="2648" spans="1:8" x14ac:dyDescent="0.3">
      <c r="A2648" t="s">
        <v>878</v>
      </c>
      <c r="B2648">
        <v>37</v>
      </c>
      <c r="C2648" t="s">
        <v>996</v>
      </c>
      <c r="D2648" s="1">
        <v>0.875</v>
      </c>
      <c r="E2648" t="s">
        <v>881</v>
      </c>
      <c r="F2648" t="s">
        <v>24</v>
      </c>
      <c r="G2648" s="2">
        <v>46054</v>
      </c>
      <c r="H2648" t="s">
        <v>198</v>
      </c>
    </row>
    <row r="2649" spans="1:8" x14ac:dyDescent="0.3">
      <c r="A2649" t="s">
        <v>878</v>
      </c>
      <c r="B2649">
        <v>37</v>
      </c>
      <c r="C2649" t="s">
        <v>996</v>
      </c>
      <c r="D2649" s="1">
        <v>0.875</v>
      </c>
      <c r="E2649" t="s">
        <v>25</v>
      </c>
      <c r="F2649" t="s">
        <v>34</v>
      </c>
      <c r="G2649" s="2">
        <v>46024</v>
      </c>
      <c r="H2649" t="s">
        <v>185</v>
      </c>
    </row>
    <row r="2650" spans="1:8" x14ac:dyDescent="0.3">
      <c r="A2650" t="s">
        <v>878</v>
      </c>
      <c r="B2650">
        <v>37</v>
      </c>
      <c r="C2650" t="s">
        <v>996</v>
      </c>
      <c r="D2650" s="1">
        <v>0.875</v>
      </c>
      <c r="E2650" t="s">
        <v>10</v>
      </c>
      <c r="F2650" t="s">
        <v>27</v>
      </c>
      <c r="G2650" t="s">
        <v>41</v>
      </c>
      <c r="H2650" t="s">
        <v>184</v>
      </c>
    </row>
    <row r="2651" spans="1:8" x14ac:dyDescent="0.3">
      <c r="A2651" t="s">
        <v>878</v>
      </c>
      <c r="B2651">
        <v>37</v>
      </c>
      <c r="C2651" t="s">
        <v>996</v>
      </c>
      <c r="D2651" s="1">
        <v>0.875</v>
      </c>
      <c r="E2651" t="s">
        <v>16</v>
      </c>
      <c r="F2651" t="s">
        <v>36</v>
      </c>
      <c r="G2651" t="s">
        <v>18</v>
      </c>
      <c r="H2651" t="s">
        <v>202</v>
      </c>
    </row>
    <row r="2652" spans="1:8" x14ac:dyDescent="0.3">
      <c r="A2652" t="s">
        <v>878</v>
      </c>
      <c r="B2652">
        <v>38</v>
      </c>
      <c r="C2652" t="s">
        <v>997</v>
      </c>
      <c r="D2652" s="1">
        <v>0.70833333333333337</v>
      </c>
      <c r="E2652" t="s">
        <v>464</v>
      </c>
      <c r="F2652" t="s">
        <v>20</v>
      </c>
      <c r="G2652" t="s">
        <v>72</v>
      </c>
      <c r="H2652" t="s">
        <v>205</v>
      </c>
    </row>
    <row r="2653" spans="1:8" x14ac:dyDescent="0.3">
      <c r="A2653" t="s">
        <v>878</v>
      </c>
      <c r="B2653">
        <v>38</v>
      </c>
      <c r="C2653" t="s">
        <v>997</v>
      </c>
      <c r="D2653" s="1">
        <v>0.77083333333333337</v>
      </c>
      <c r="E2653" t="s">
        <v>34</v>
      </c>
      <c r="F2653" t="s">
        <v>187</v>
      </c>
      <c r="G2653" t="s">
        <v>88</v>
      </c>
      <c r="H2653" t="s">
        <v>612</v>
      </c>
    </row>
    <row r="2654" spans="1:8" x14ac:dyDescent="0.3">
      <c r="A2654" t="s">
        <v>878</v>
      </c>
      <c r="B2654">
        <v>38</v>
      </c>
      <c r="C2654" t="s">
        <v>997</v>
      </c>
      <c r="D2654" s="1">
        <v>0.77083333333333337</v>
      </c>
      <c r="E2654" t="s">
        <v>14</v>
      </c>
      <c r="F2654" t="s">
        <v>26</v>
      </c>
      <c r="G2654" t="s">
        <v>12</v>
      </c>
      <c r="H2654" t="s">
        <v>197</v>
      </c>
    </row>
    <row r="2655" spans="1:8" x14ac:dyDescent="0.3">
      <c r="A2655" t="s">
        <v>878</v>
      </c>
      <c r="B2655">
        <v>38</v>
      </c>
      <c r="C2655" t="s">
        <v>997</v>
      </c>
      <c r="D2655" s="1">
        <v>0.875</v>
      </c>
      <c r="E2655" t="s">
        <v>28</v>
      </c>
      <c r="F2655" t="s">
        <v>10</v>
      </c>
      <c r="G2655" s="2">
        <v>46023</v>
      </c>
      <c r="H2655" t="s">
        <v>614</v>
      </c>
    </row>
    <row r="2656" spans="1:8" x14ac:dyDescent="0.3">
      <c r="A2656" t="s">
        <v>878</v>
      </c>
      <c r="B2656">
        <v>38</v>
      </c>
      <c r="C2656" t="s">
        <v>997</v>
      </c>
      <c r="D2656" s="1">
        <v>0.875</v>
      </c>
      <c r="E2656" t="s">
        <v>36</v>
      </c>
      <c r="F2656" t="s">
        <v>35</v>
      </c>
      <c r="G2656" t="s">
        <v>41</v>
      </c>
      <c r="H2656" t="s">
        <v>752</v>
      </c>
    </row>
    <row r="2657" spans="1:8" x14ac:dyDescent="0.3">
      <c r="A2657" t="s">
        <v>878</v>
      </c>
      <c r="B2657">
        <v>38</v>
      </c>
      <c r="C2657" t="s">
        <v>997</v>
      </c>
      <c r="D2657" s="1">
        <v>0.875</v>
      </c>
      <c r="E2657" t="s">
        <v>24</v>
      </c>
      <c r="F2657" t="s">
        <v>15</v>
      </c>
      <c r="G2657" t="s">
        <v>88</v>
      </c>
      <c r="H2657" t="s">
        <v>184</v>
      </c>
    </row>
    <row r="2658" spans="1:8" x14ac:dyDescent="0.3">
      <c r="A2658" t="s">
        <v>878</v>
      </c>
      <c r="B2658">
        <v>38</v>
      </c>
      <c r="C2658" t="s">
        <v>997</v>
      </c>
      <c r="D2658" s="1">
        <v>0.875</v>
      </c>
      <c r="E2658" t="s">
        <v>466</v>
      </c>
      <c r="F2658" t="s">
        <v>25</v>
      </c>
      <c r="G2658" s="2">
        <v>46055</v>
      </c>
      <c r="H2658" t="s">
        <v>747</v>
      </c>
    </row>
    <row r="2659" spans="1:8" x14ac:dyDescent="0.3">
      <c r="A2659" t="s">
        <v>878</v>
      </c>
      <c r="B2659">
        <v>38</v>
      </c>
      <c r="C2659" t="s">
        <v>997</v>
      </c>
      <c r="D2659" s="1">
        <v>0.875</v>
      </c>
      <c r="E2659" t="s">
        <v>21</v>
      </c>
      <c r="F2659" t="s">
        <v>11</v>
      </c>
      <c r="G2659" t="s">
        <v>18</v>
      </c>
      <c r="H2659" t="s">
        <v>341</v>
      </c>
    </row>
    <row r="2660" spans="1:8" x14ac:dyDescent="0.3">
      <c r="A2660" t="s">
        <v>878</v>
      </c>
      <c r="B2660">
        <v>38</v>
      </c>
      <c r="C2660" t="s">
        <v>997</v>
      </c>
      <c r="D2660" s="1">
        <v>0.875</v>
      </c>
      <c r="E2660" t="s">
        <v>23</v>
      </c>
      <c r="F2660" t="s">
        <v>881</v>
      </c>
      <c r="G2660" s="2">
        <v>46055</v>
      </c>
      <c r="H2660" t="s">
        <v>181</v>
      </c>
    </row>
    <row r="2661" spans="1:8" x14ac:dyDescent="0.3">
      <c r="A2661" t="s">
        <v>878</v>
      </c>
      <c r="B2661">
        <v>38</v>
      </c>
      <c r="C2661" t="s">
        <v>997</v>
      </c>
      <c r="D2661" s="1">
        <v>0.875</v>
      </c>
      <c r="E2661" t="s">
        <v>27</v>
      </c>
      <c r="F2661" t="s">
        <v>16</v>
      </c>
      <c r="G2661" t="s">
        <v>18</v>
      </c>
      <c r="H2661" t="s">
        <v>206</v>
      </c>
    </row>
    <row r="2662" spans="1:8" x14ac:dyDescent="0.3">
      <c r="A2662" t="s">
        <v>998</v>
      </c>
      <c r="B2662">
        <v>1</v>
      </c>
      <c r="C2662" t="s">
        <v>999</v>
      </c>
      <c r="D2662" s="1">
        <v>0.66666666666666663</v>
      </c>
      <c r="E2662" t="s">
        <v>187</v>
      </c>
      <c r="F2662" t="s">
        <v>35</v>
      </c>
      <c r="G2662" t="s">
        <v>41</v>
      </c>
      <c r="H2662" t="s">
        <v>887</v>
      </c>
    </row>
    <row r="2663" spans="1:8" x14ac:dyDescent="0.3">
      <c r="A2663" t="s">
        <v>998</v>
      </c>
      <c r="B2663">
        <v>1</v>
      </c>
      <c r="C2663" t="s">
        <v>999</v>
      </c>
      <c r="D2663" s="1">
        <v>0.77083333333333337</v>
      </c>
      <c r="E2663" t="s">
        <v>24</v>
      </c>
      <c r="F2663" t="s">
        <v>15</v>
      </c>
      <c r="G2663" t="s">
        <v>12</v>
      </c>
      <c r="H2663" t="s">
        <v>181</v>
      </c>
    </row>
    <row r="2664" spans="1:8" x14ac:dyDescent="0.3">
      <c r="A2664" t="s">
        <v>998</v>
      </c>
      <c r="B2664">
        <v>1</v>
      </c>
      <c r="C2664" t="s">
        <v>999</v>
      </c>
      <c r="D2664" s="1">
        <v>0.875</v>
      </c>
      <c r="E2664" t="s">
        <v>1000</v>
      </c>
      <c r="F2664" t="s">
        <v>23</v>
      </c>
      <c r="G2664" t="s">
        <v>54</v>
      </c>
      <c r="H2664" t="s">
        <v>1001</v>
      </c>
    </row>
    <row r="2665" spans="1:8" x14ac:dyDescent="0.3">
      <c r="A2665" t="s">
        <v>998</v>
      </c>
      <c r="B2665">
        <v>1</v>
      </c>
      <c r="C2665" t="s">
        <v>1002</v>
      </c>
      <c r="D2665" s="1">
        <v>0.58333333333333337</v>
      </c>
      <c r="E2665" t="s">
        <v>464</v>
      </c>
      <c r="F2665" t="s">
        <v>26</v>
      </c>
      <c r="G2665" t="s">
        <v>42</v>
      </c>
      <c r="H2665" t="s">
        <v>614</v>
      </c>
    </row>
    <row r="2666" spans="1:8" x14ac:dyDescent="0.3">
      <c r="A2666" t="s">
        <v>998</v>
      </c>
      <c r="B2666">
        <v>1</v>
      </c>
      <c r="C2666" t="s">
        <v>1002</v>
      </c>
      <c r="D2666" s="1">
        <v>0.66666666666666663</v>
      </c>
      <c r="E2666" t="s">
        <v>14</v>
      </c>
      <c r="F2666" t="s">
        <v>10</v>
      </c>
      <c r="G2666" s="2">
        <v>46023</v>
      </c>
      <c r="H2666" t="s">
        <v>190</v>
      </c>
    </row>
    <row r="2667" spans="1:8" x14ac:dyDescent="0.3">
      <c r="A2667" t="s">
        <v>998</v>
      </c>
      <c r="B2667">
        <v>1</v>
      </c>
      <c r="C2667" t="s">
        <v>1002</v>
      </c>
      <c r="D2667" s="1">
        <v>0.77083333333333337</v>
      </c>
      <c r="E2667" t="s">
        <v>34</v>
      </c>
      <c r="F2667" t="s">
        <v>750</v>
      </c>
      <c r="G2667" s="2">
        <v>46023</v>
      </c>
      <c r="H2667" t="s">
        <v>198</v>
      </c>
    </row>
    <row r="2668" spans="1:8" x14ac:dyDescent="0.3">
      <c r="A2668" t="s">
        <v>998</v>
      </c>
      <c r="B2668">
        <v>1</v>
      </c>
      <c r="C2668" t="s">
        <v>1002</v>
      </c>
      <c r="D2668" s="1">
        <v>0.875</v>
      </c>
      <c r="E2668" t="s">
        <v>16</v>
      </c>
      <c r="F2668" t="s">
        <v>21</v>
      </c>
      <c r="G2668" s="2">
        <v>46057</v>
      </c>
      <c r="H2668" t="s">
        <v>345</v>
      </c>
    </row>
    <row r="2669" spans="1:8" x14ac:dyDescent="0.3">
      <c r="A2669" t="s">
        <v>998</v>
      </c>
      <c r="B2669">
        <v>1</v>
      </c>
      <c r="C2669" t="s">
        <v>1003</v>
      </c>
      <c r="D2669" s="1">
        <v>0.89583333333333337</v>
      </c>
      <c r="E2669" t="s">
        <v>28</v>
      </c>
      <c r="F2669" t="s">
        <v>27</v>
      </c>
      <c r="G2669" t="s">
        <v>12</v>
      </c>
      <c r="H2669" t="s">
        <v>198</v>
      </c>
    </row>
    <row r="2670" spans="1:8" x14ac:dyDescent="0.3">
      <c r="A2670" t="s">
        <v>998</v>
      </c>
      <c r="B2670">
        <v>1</v>
      </c>
      <c r="C2670" t="s">
        <v>1004</v>
      </c>
      <c r="D2670" s="1">
        <v>0.875</v>
      </c>
      <c r="E2670" t="s">
        <v>25</v>
      </c>
      <c r="F2670" t="s">
        <v>11</v>
      </c>
      <c r="G2670" t="s">
        <v>12</v>
      </c>
      <c r="H2670" t="s">
        <v>612</v>
      </c>
    </row>
    <row r="2671" spans="1:8" x14ac:dyDescent="0.3">
      <c r="A2671" t="s">
        <v>998</v>
      </c>
      <c r="B2671">
        <v>1</v>
      </c>
      <c r="C2671" t="s">
        <v>1005</v>
      </c>
      <c r="D2671" s="1">
        <v>0.79166666666666663</v>
      </c>
      <c r="E2671" t="s">
        <v>20</v>
      </c>
      <c r="F2671" t="s">
        <v>31</v>
      </c>
      <c r="G2671" t="s">
        <v>32</v>
      </c>
      <c r="H2671" t="s">
        <v>1001</v>
      </c>
    </row>
    <row r="2672" spans="1:8" x14ac:dyDescent="0.3">
      <c r="A2672" t="s">
        <v>998</v>
      </c>
      <c r="B2672">
        <v>2</v>
      </c>
      <c r="C2672" t="s">
        <v>1006</v>
      </c>
      <c r="D2672" s="1">
        <v>0.66666666666666663</v>
      </c>
      <c r="E2672" t="s">
        <v>34</v>
      </c>
      <c r="F2672" t="s">
        <v>187</v>
      </c>
      <c r="G2672" s="2">
        <v>46024</v>
      </c>
      <c r="H2672" t="s">
        <v>1007</v>
      </c>
    </row>
    <row r="2673" spans="1:8" x14ac:dyDescent="0.3">
      <c r="A2673" t="s">
        <v>998</v>
      </c>
      <c r="B2673">
        <v>2</v>
      </c>
      <c r="C2673" t="s">
        <v>1006</v>
      </c>
      <c r="D2673" s="1">
        <v>0.77083333333333337</v>
      </c>
      <c r="E2673" t="s">
        <v>11</v>
      </c>
      <c r="F2673" t="s">
        <v>23</v>
      </c>
      <c r="G2673" t="s">
        <v>18</v>
      </c>
      <c r="H2673" t="s">
        <v>185</v>
      </c>
    </row>
    <row r="2674" spans="1:8" x14ac:dyDescent="0.3">
      <c r="A2674" t="s">
        <v>998</v>
      </c>
      <c r="B2674">
        <v>2</v>
      </c>
      <c r="C2674" t="s">
        <v>1006</v>
      </c>
      <c r="D2674" s="1">
        <v>0.875</v>
      </c>
      <c r="E2674" t="s">
        <v>35</v>
      </c>
      <c r="F2674" t="s">
        <v>16</v>
      </c>
      <c r="G2674" s="2">
        <v>46024</v>
      </c>
      <c r="H2674" t="s">
        <v>194</v>
      </c>
    </row>
    <row r="2675" spans="1:8" x14ac:dyDescent="0.3">
      <c r="A2675" t="s">
        <v>998</v>
      </c>
      <c r="B2675">
        <v>2</v>
      </c>
      <c r="C2675" t="s">
        <v>1008</v>
      </c>
      <c r="D2675" s="1">
        <v>0.66666666666666663</v>
      </c>
      <c r="E2675" t="s">
        <v>750</v>
      </c>
      <c r="F2675" t="s">
        <v>1000</v>
      </c>
      <c r="G2675" t="s">
        <v>54</v>
      </c>
      <c r="H2675" t="s">
        <v>883</v>
      </c>
    </row>
    <row r="2676" spans="1:8" x14ac:dyDescent="0.3">
      <c r="A2676" t="s">
        <v>998</v>
      </c>
      <c r="B2676">
        <v>2</v>
      </c>
      <c r="C2676" t="s">
        <v>1008</v>
      </c>
      <c r="D2676" s="1">
        <v>0.77083333333333337</v>
      </c>
      <c r="E2676" t="s">
        <v>26</v>
      </c>
      <c r="F2676" t="s">
        <v>14</v>
      </c>
      <c r="G2676" t="s">
        <v>12</v>
      </c>
      <c r="H2676" t="s">
        <v>197</v>
      </c>
    </row>
    <row r="2677" spans="1:8" x14ac:dyDescent="0.3">
      <c r="A2677" t="s">
        <v>998</v>
      </c>
      <c r="B2677">
        <v>2</v>
      </c>
      <c r="C2677" t="s">
        <v>1008</v>
      </c>
      <c r="D2677" s="1">
        <v>0.77083333333333337</v>
      </c>
      <c r="E2677" t="s">
        <v>24</v>
      </c>
      <c r="F2677" t="s">
        <v>464</v>
      </c>
      <c r="G2677" s="2">
        <v>46024</v>
      </c>
      <c r="H2677" t="s">
        <v>184</v>
      </c>
    </row>
    <row r="2678" spans="1:8" x14ac:dyDescent="0.3">
      <c r="A2678" t="s">
        <v>998</v>
      </c>
      <c r="B2678">
        <v>2</v>
      </c>
      <c r="C2678" t="s">
        <v>1008</v>
      </c>
      <c r="D2678" s="1">
        <v>0.875</v>
      </c>
      <c r="E2678" t="s">
        <v>10</v>
      </c>
      <c r="F2678" t="s">
        <v>25</v>
      </c>
      <c r="G2678" t="s">
        <v>41</v>
      </c>
      <c r="H2678" t="s">
        <v>205</v>
      </c>
    </row>
    <row r="2679" spans="1:8" x14ac:dyDescent="0.3">
      <c r="A2679" t="s">
        <v>998</v>
      </c>
      <c r="B2679">
        <v>2</v>
      </c>
      <c r="C2679" t="s">
        <v>1009</v>
      </c>
      <c r="D2679" s="1">
        <v>0.875</v>
      </c>
      <c r="E2679" t="s">
        <v>15</v>
      </c>
      <c r="F2679" t="s">
        <v>20</v>
      </c>
      <c r="G2679" s="2">
        <v>46083</v>
      </c>
      <c r="H2679" t="s">
        <v>184</v>
      </c>
    </row>
    <row r="2680" spans="1:8" x14ac:dyDescent="0.3">
      <c r="A2680" t="s">
        <v>998</v>
      </c>
      <c r="B2680">
        <v>2</v>
      </c>
      <c r="C2680" t="s">
        <v>1010</v>
      </c>
      <c r="D2680" s="1">
        <v>0.79166666666666663</v>
      </c>
      <c r="E2680" t="s">
        <v>21</v>
      </c>
      <c r="F2680" t="s">
        <v>28</v>
      </c>
      <c r="G2680" s="2">
        <v>46023</v>
      </c>
      <c r="H2680" t="s">
        <v>467</v>
      </c>
    </row>
    <row r="2681" spans="1:8" x14ac:dyDescent="0.3">
      <c r="A2681" t="s">
        <v>998</v>
      </c>
      <c r="B2681">
        <v>2</v>
      </c>
      <c r="C2681" t="s">
        <v>1011</v>
      </c>
      <c r="D2681" s="1">
        <v>0.79166666666666663</v>
      </c>
      <c r="E2681" t="s">
        <v>27</v>
      </c>
      <c r="F2681" t="s">
        <v>31</v>
      </c>
      <c r="G2681" t="s">
        <v>12</v>
      </c>
      <c r="H2681" t="s">
        <v>612</v>
      </c>
    </row>
    <row r="2682" spans="1:8" x14ac:dyDescent="0.3">
      <c r="A2682" t="s">
        <v>998</v>
      </c>
      <c r="B2682">
        <v>3</v>
      </c>
      <c r="C2682" t="s">
        <v>1012</v>
      </c>
      <c r="D2682" s="1">
        <v>0.54166666666666663</v>
      </c>
      <c r="E2682" t="s">
        <v>464</v>
      </c>
      <c r="F2682" t="s">
        <v>11</v>
      </c>
      <c r="G2682" t="s">
        <v>41</v>
      </c>
      <c r="H2682" t="s">
        <v>612</v>
      </c>
    </row>
    <row r="2683" spans="1:8" x14ac:dyDescent="0.3">
      <c r="A2683" t="s">
        <v>998</v>
      </c>
      <c r="B2683">
        <v>3</v>
      </c>
      <c r="C2683" t="s">
        <v>1012</v>
      </c>
      <c r="D2683" s="1">
        <v>0.66666666666666663</v>
      </c>
      <c r="E2683" t="s">
        <v>16</v>
      </c>
      <c r="F2683" t="s">
        <v>750</v>
      </c>
      <c r="G2683" s="2">
        <v>46023</v>
      </c>
      <c r="H2683" t="s">
        <v>467</v>
      </c>
    </row>
    <row r="2684" spans="1:8" x14ac:dyDescent="0.3">
      <c r="A2684" t="s">
        <v>998</v>
      </c>
      <c r="B2684">
        <v>3</v>
      </c>
      <c r="C2684" t="s">
        <v>1012</v>
      </c>
      <c r="D2684" s="1">
        <v>0.77083333333333337</v>
      </c>
      <c r="E2684" t="s">
        <v>31</v>
      </c>
      <c r="F2684" t="s">
        <v>10</v>
      </c>
      <c r="G2684" t="s">
        <v>46</v>
      </c>
      <c r="H2684" t="s">
        <v>1001</v>
      </c>
    </row>
    <row r="2685" spans="1:8" x14ac:dyDescent="0.3">
      <c r="A2685" t="s">
        <v>998</v>
      </c>
      <c r="B2685">
        <v>3</v>
      </c>
      <c r="C2685" t="s">
        <v>1012</v>
      </c>
      <c r="D2685" s="1">
        <v>0.875</v>
      </c>
      <c r="E2685" t="s">
        <v>26</v>
      </c>
      <c r="F2685" t="s">
        <v>25</v>
      </c>
      <c r="G2685" s="2">
        <v>46083</v>
      </c>
      <c r="H2685" t="s">
        <v>341</v>
      </c>
    </row>
    <row r="2686" spans="1:8" x14ac:dyDescent="0.3">
      <c r="A2686" t="s">
        <v>998</v>
      </c>
      <c r="B2686">
        <v>3</v>
      </c>
      <c r="C2686" t="s">
        <v>1013</v>
      </c>
      <c r="D2686" s="1">
        <v>0.5</v>
      </c>
      <c r="E2686" t="s">
        <v>23</v>
      </c>
      <c r="F2686" t="s">
        <v>21</v>
      </c>
      <c r="G2686" s="2">
        <v>46082</v>
      </c>
      <c r="H2686" t="s">
        <v>190</v>
      </c>
    </row>
    <row r="2687" spans="1:8" x14ac:dyDescent="0.3">
      <c r="A2687" t="s">
        <v>998</v>
      </c>
      <c r="B2687">
        <v>3</v>
      </c>
      <c r="C2687" t="s">
        <v>1013</v>
      </c>
      <c r="D2687" s="1">
        <v>0.58333333333333337</v>
      </c>
      <c r="E2687" t="s">
        <v>187</v>
      </c>
      <c r="F2687" t="s">
        <v>15</v>
      </c>
      <c r="G2687" s="2">
        <v>46054</v>
      </c>
      <c r="H2687" t="s">
        <v>752</v>
      </c>
    </row>
    <row r="2688" spans="1:8" x14ac:dyDescent="0.3">
      <c r="A2688" t="s">
        <v>998</v>
      </c>
      <c r="B2688">
        <v>3</v>
      </c>
      <c r="C2688" t="s">
        <v>1013</v>
      </c>
      <c r="D2688" s="1">
        <v>0.66666666666666663</v>
      </c>
      <c r="E2688" t="s">
        <v>28</v>
      </c>
      <c r="F2688" t="s">
        <v>24</v>
      </c>
      <c r="G2688" s="2">
        <v>46028</v>
      </c>
      <c r="H2688" t="s">
        <v>198</v>
      </c>
    </row>
    <row r="2689" spans="1:8" x14ac:dyDescent="0.3">
      <c r="A2689" t="s">
        <v>998</v>
      </c>
      <c r="B2689">
        <v>3</v>
      </c>
      <c r="C2689" t="s">
        <v>1013</v>
      </c>
      <c r="D2689" s="1">
        <v>0.77083333333333337</v>
      </c>
      <c r="E2689" t="s">
        <v>1000</v>
      </c>
      <c r="F2689" t="s">
        <v>27</v>
      </c>
      <c r="G2689" s="2">
        <v>46082</v>
      </c>
      <c r="H2689" t="s">
        <v>609</v>
      </c>
    </row>
    <row r="2690" spans="1:8" x14ac:dyDescent="0.3">
      <c r="A2690" t="s">
        <v>998</v>
      </c>
      <c r="B2690">
        <v>3</v>
      </c>
      <c r="C2690" t="s">
        <v>1013</v>
      </c>
      <c r="D2690" s="1">
        <v>0.77083333333333337</v>
      </c>
      <c r="E2690" t="s">
        <v>14</v>
      </c>
      <c r="F2690" t="s">
        <v>35</v>
      </c>
      <c r="G2690" s="2">
        <v>46023</v>
      </c>
      <c r="H2690" t="s">
        <v>345</v>
      </c>
    </row>
    <row r="2691" spans="1:8" x14ac:dyDescent="0.3">
      <c r="A2691" t="s">
        <v>998</v>
      </c>
      <c r="B2691">
        <v>3</v>
      </c>
      <c r="C2691" t="s">
        <v>1013</v>
      </c>
      <c r="D2691" s="1">
        <v>0.875</v>
      </c>
      <c r="E2691" t="s">
        <v>20</v>
      </c>
      <c r="F2691" t="s">
        <v>34</v>
      </c>
      <c r="G2691" t="s">
        <v>88</v>
      </c>
      <c r="H2691" t="s">
        <v>747</v>
      </c>
    </row>
    <row r="2692" spans="1:8" x14ac:dyDescent="0.3">
      <c r="A2692" t="s">
        <v>998</v>
      </c>
      <c r="B2692">
        <v>4</v>
      </c>
      <c r="C2692" t="s">
        <v>1014</v>
      </c>
      <c r="D2692" s="1">
        <v>0.79166666666666663</v>
      </c>
      <c r="E2692" t="s">
        <v>10</v>
      </c>
      <c r="F2692" t="s">
        <v>16</v>
      </c>
      <c r="G2692" t="s">
        <v>42</v>
      </c>
      <c r="H2692" t="s">
        <v>1007</v>
      </c>
    </row>
    <row r="2693" spans="1:8" x14ac:dyDescent="0.3">
      <c r="A2693" t="s">
        <v>998</v>
      </c>
      <c r="B2693">
        <v>4</v>
      </c>
      <c r="C2693" t="s">
        <v>1014</v>
      </c>
      <c r="D2693" s="1">
        <v>0.89583333333333337</v>
      </c>
      <c r="E2693" t="s">
        <v>11</v>
      </c>
      <c r="F2693" t="s">
        <v>26</v>
      </c>
      <c r="G2693" t="s">
        <v>32</v>
      </c>
      <c r="H2693" t="s">
        <v>205</v>
      </c>
    </row>
    <row r="2694" spans="1:8" x14ac:dyDescent="0.3">
      <c r="A2694" t="s">
        <v>998</v>
      </c>
      <c r="B2694">
        <v>4</v>
      </c>
      <c r="C2694" t="s">
        <v>1015</v>
      </c>
      <c r="D2694" s="1">
        <v>0.79166666666666663</v>
      </c>
      <c r="E2694" t="s">
        <v>750</v>
      </c>
      <c r="F2694" t="s">
        <v>28</v>
      </c>
      <c r="G2694" t="s">
        <v>41</v>
      </c>
      <c r="H2694" t="s">
        <v>752</v>
      </c>
    </row>
    <row r="2695" spans="1:8" x14ac:dyDescent="0.3">
      <c r="A2695" t="s">
        <v>998</v>
      </c>
      <c r="B2695">
        <v>4</v>
      </c>
      <c r="C2695" t="s">
        <v>1015</v>
      </c>
      <c r="D2695" s="1">
        <v>0.89583333333333337</v>
      </c>
      <c r="E2695" t="s">
        <v>187</v>
      </c>
      <c r="F2695" t="s">
        <v>31</v>
      </c>
      <c r="G2695" t="s">
        <v>42</v>
      </c>
      <c r="H2695" t="s">
        <v>197</v>
      </c>
    </row>
    <row r="2696" spans="1:8" x14ac:dyDescent="0.3">
      <c r="A2696" t="s">
        <v>998</v>
      </c>
      <c r="B2696">
        <v>4</v>
      </c>
      <c r="C2696" t="s">
        <v>1015</v>
      </c>
      <c r="D2696" s="1">
        <v>0.89583333333333337</v>
      </c>
      <c r="E2696" t="s">
        <v>25</v>
      </c>
      <c r="F2696" t="s">
        <v>14</v>
      </c>
      <c r="G2696" t="s">
        <v>18</v>
      </c>
      <c r="H2696" t="s">
        <v>883</v>
      </c>
    </row>
    <row r="2697" spans="1:8" x14ac:dyDescent="0.3">
      <c r="A2697" t="s">
        <v>998</v>
      </c>
      <c r="B2697">
        <v>4</v>
      </c>
      <c r="C2697" t="s">
        <v>1016</v>
      </c>
      <c r="D2697" s="1">
        <v>0.79166666666666663</v>
      </c>
      <c r="E2697" t="s">
        <v>15</v>
      </c>
      <c r="F2697" t="s">
        <v>1000</v>
      </c>
      <c r="G2697" t="s">
        <v>42</v>
      </c>
      <c r="H2697" t="s">
        <v>614</v>
      </c>
    </row>
    <row r="2698" spans="1:8" x14ac:dyDescent="0.3">
      <c r="A2698" t="s">
        <v>998</v>
      </c>
      <c r="B2698">
        <v>4</v>
      </c>
      <c r="C2698" t="s">
        <v>1016</v>
      </c>
      <c r="D2698" s="1">
        <v>0.79166666666666663</v>
      </c>
      <c r="E2698" t="s">
        <v>27</v>
      </c>
      <c r="F2698" t="s">
        <v>21</v>
      </c>
      <c r="G2698" t="s">
        <v>18</v>
      </c>
      <c r="H2698" t="s">
        <v>198</v>
      </c>
    </row>
    <row r="2699" spans="1:8" x14ac:dyDescent="0.3">
      <c r="A2699" t="s">
        <v>998</v>
      </c>
      <c r="B2699">
        <v>4</v>
      </c>
      <c r="C2699" t="s">
        <v>1016</v>
      </c>
      <c r="D2699" s="1">
        <v>0.89583333333333337</v>
      </c>
      <c r="E2699" t="s">
        <v>35</v>
      </c>
      <c r="F2699" t="s">
        <v>20</v>
      </c>
      <c r="G2699" t="s">
        <v>46</v>
      </c>
      <c r="H2699" t="s">
        <v>184</v>
      </c>
    </row>
    <row r="2700" spans="1:8" x14ac:dyDescent="0.3">
      <c r="A2700" t="s">
        <v>998</v>
      </c>
      <c r="B2700">
        <v>4</v>
      </c>
      <c r="C2700" t="s">
        <v>1003</v>
      </c>
      <c r="D2700" s="1">
        <v>0.79166666666666663</v>
      </c>
      <c r="E2700" t="s">
        <v>24</v>
      </c>
      <c r="F2700" t="s">
        <v>23</v>
      </c>
      <c r="G2700" t="s">
        <v>12</v>
      </c>
      <c r="H2700" t="s">
        <v>614</v>
      </c>
    </row>
    <row r="2701" spans="1:8" x14ac:dyDescent="0.3">
      <c r="A2701" t="s">
        <v>998</v>
      </c>
      <c r="B2701">
        <v>4</v>
      </c>
      <c r="C2701" t="s">
        <v>1017</v>
      </c>
      <c r="D2701" t="s">
        <v>1018</v>
      </c>
      <c r="E2701" t="s">
        <v>34</v>
      </c>
      <c r="F2701" t="s">
        <v>464</v>
      </c>
      <c r="G2701" s="2">
        <v>46025</v>
      </c>
      <c r="H2701" t="s">
        <v>609</v>
      </c>
    </row>
    <row r="2702" spans="1:8" x14ac:dyDescent="0.3">
      <c r="A2702" t="s">
        <v>998</v>
      </c>
      <c r="B2702">
        <v>5</v>
      </c>
      <c r="C2702" t="s">
        <v>1019</v>
      </c>
      <c r="D2702" s="1">
        <v>0.54166666666666663</v>
      </c>
      <c r="E2702" t="s">
        <v>14</v>
      </c>
      <c r="F2702" t="s">
        <v>187</v>
      </c>
      <c r="G2702" s="2">
        <v>46054</v>
      </c>
      <c r="H2702" t="s">
        <v>1001</v>
      </c>
    </row>
    <row r="2703" spans="1:8" x14ac:dyDescent="0.3">
      <c r="A2703" t="s">
        <v>998</v>
      </c>
      <c r="B2703">
        <v>5</v>
      </c>
      <c r="C2703" t="s">
        <v>1019</v>
      </c>
      <c r="D2703" s="1">
        <v>0.66666666666666663</v>
      </c>
      <c r="E2703" t="s">
        <v>28</v>
      </c>
      <c r="F2703" t="s">
        <v>34</v>
      </c>
      <c r="G2703" t="s">
        <v>41</v>
      </c>
      <c r="H2703" t="s">
        <v>185</v>
      </c>
    </row>
    <row r="2704" spans="1:8" x14ac:dyDescent="0.3">
      <c r="A2704" t="s">
        <v>998</v>
      </c>
      <c r="B2704">
        <v>5</v>
      </c>
      <c r="C2704" t="s">
        <v>1019</v>
      </c>
      <c r="D2704" s="1">
        <v>0.77083333333333337</v>
      </c>
      <c r="E2704" t="s">
        <v>10</v>
      </c>
      <c r="F2704" t="s">
        <v>11</v>
      </c>
      <c r="G2704" t="s">
        <v>32</v>
      </c>
      <c r="H2704" t="s">
        <v>181</v>
      </c>
    </row>
    <row r="2705" spans="1:8" x14ac:dyDescent="0.3">
      <c r="A2705" t="s">
        <v>998</v>
      </c>
      <c r="B2705">
        <v>5</v>
      </c>
      <c r="C2705" t="s">
        <v>1019</v>
      </c>
      <c r="D2705" s="1">
        <v>0.77083333333333337</v>
      </c>
      <c r="E2705" t="s">
        <v>31</v>
      </c>
      <c r="F2705" t="s">
        <v>750</v>
      </c>
      <c r="G2705" t="s">
        <v>41</v>
      </c>
      <c r="H2705" t="s">
        <v>190</v>
      </c>
    </row>
    <row r="2706" spans="1:8" x14ac:dyDescent="0.3">
      <c r="A2706" t="s">
        <v>998</v>
      </c>
      <c r="B2706">
        <v>5</v>
      </c>
      <c r="C2706" t="s">
        <v>1019</v>
      </c>
      <c r="D2706" s="1">
        <v>0.875</v>
      </c>
      <c r="E2706" t="s">
        <v>16</v>
      </c>
      <c r="F2706" t="s">
        <v>26</v>
      </c>
      <c r="G2706" t="s">
        <v>54</v>
      </c>
      <c r="H2706" t="s">
        <v>747</v>
      </c>
    </row>
    <row r="2707" spans="1:8" x14ac:dyDescent="0.3">
      <c r="A2707" t="s">
        <v>998</v>
      </c>
      <c r="B2707">
        <v>5</v>
      </c>
      <c r="C2707" t="s">
        <v>1020</v>
      </c>
      <c r="D2707" s="1">
        <v>0.5</v>
      </c>
      <c r="E2707" t="s">
        <v>23</v>
      </c>
      <c r="F2707" t="s">
        <v>35</v>
      </c>
      <c r="G2707" t="s">
        <v>12</v>
      </c>
      <c r="H2707" t="s">
        <v>341</v>
      </c>
    </row>
    <row r="2708" spans="1:8" x14ac:dyDescent="0.3">
      <c r="A2708" t="s">
        <v>998</v>
      </c>
      <c r="B2708">
        <v>5</v>
      </c>
      <c r="C2708" t="s">
        <v>1020</v>
      </c>
      <c r="D2708" s="1">
        <v>0.58333333333333337</v>
      </c>
      <c r="E2708" t="s">
        <v>464</v>
      </c>
      <c r="F2708" t="s">
        <v>15</v>
      </c>
      <c r="G2708" t="s">
        <v>18</v>
      </c>
      <c r="H2708" t="s">
        <v>345</v>
      </c>
    </row>
    <row r="2709" spans="1:8" x14ac:dyDescent="0.3">
      <c r="A2709" t="s">
        <v>998</v>
      </c>
      <c r="B2709">
        <v>5</v>
      </c>
      <c r="C2709" t="s">
        <v>1020</v>
      </c>
      <c r="D2709" s="1">
        <v>0.66666666666666663</v>
      </c>
      <c r="E2709" t="s">
        <v>21</v>
      </c>
      <c r="F2709" t="s">
        <v>25</v>
      </c>
      <c r="G2709" t="s">
        <v>54</v>
      </c>
      <c r="H2709" t="s">
        <v>467</v>
      </c>
    </row>
    <row r="2710" spans="1:8" x14ac:dyDescent="0.3">
      <c r="A2710" t="s">
        <v>998</v>
      </c>
      <c r="B2710">
        <v>5</v>
      </c>
      <c r="C2710" t="s">
        <v>1020</v>
      </c>
      <c r="D2710" s="1">
        <v>0.77083333333333337</v>
      </c>
      <c r="E2710" t="s">
        <v>1000</v>
      </c>
      <c r="F2710" t="s">
        <v>24</v>
      </c>
      <c r="G2710" s="2">
        <v>46023</v>
      </c>
      <c r="H2710" t="s">
        <v>612</v>
      </c>
    </row>
    <row r="2711" spans="1:8" x14ac:dyDescent="0.3">
      <c r="A2711" t="s">
        <v>998</v>
      </c>
      <c r="B2711">
        <v>5</v>
      </c>
      <c r="C2711" t="s">
        <v>1020</v>
      </c>
      <c r="D2711" s="1">
        <v>0.875</v>
      </c>
      <c r="E2711" t="s">
        <v>20</v>
      </c>
      <c r="F2711" t="s">
        <v>27</v>
      </c>
      <c r="G2711" s="2">
        <v>46023</v>
      </c>
      <c r="H2711" t="s">
        <v>194</v>
      </c>
    </row>
    <row r="2712" spans="1:8" x14ac:dyDescent="0.3">
      <c r="A2712" t="s">
        <v>998</v>
      </c>
      <c r="B2712">
        <v>6</v>
      </c>
      <c r="C2712" t="s">
        <v>1021</v>
      </c>
      <c r="D2712" s="1">
        <v>0.54166666666666663</v>
      </c>
      <c r="E2712" t="s">
        <v>24</v>
      </c>
      <c r="F2712" t="s">
        <v>27</v>
      </c>
      <c r="G2712" t="s">
        <v>18</v>
      </c>
      <c r="H2712" t="s">
        <v>614</v>
      </c>
    </row>
    <row r="2713" spans="1:8" x14ac:dyDescent="0.3">
      <c r="A2713" t="s">
        <v>998</v>
      </c>
      <c r="B2713">
        <v>6</v>
      </c>
      <c r="C2713" t="s">
        <v>1021</v>
      </c>
      <c r="D2713" s="1">
        <v>0.66666666666666663</v>
      </c>
      <c r="E2713" t="s">
        <v>35</v>
      </c>
      <c r="F2713" t="s">
        <v>28</v>
      </c>
      <c r="G2713" t="s">
        <v>54</v>
      </c>
      <c r="H2713" t="s">
        <v>205</v>
      </c>
    </row>
    <row r="2714" spans="1:8" x14ac:dyDescent="0.3">
      <c r="A2714" t="s">
        <v>998</v>
      </c>
      <c r="B2714">
        <v>6</v>
      </c>
      <c r="C2714" t="s">
        <v>1021</v>
      </c>
      <c r="D2714" s="1">
        <v>0.77083333333333337</v>
      </c>
      <c r="E2714" t="s">
        <v>25</v>
      </c>
      <c r="F2714" t="s">
        <v>1000</v>
      </c>
      <c r="G2714" t="s">
        <v>42</v>
      </c>
      <c r="H2714" t="s">
        <v>197</v>
      </c>
    </row>
    <row r="2715" spans="1:8" x14ac:dyDescent="0.3">
      <c r="A2715" t="s">
        <v>998</v>
      </c>
      <c r="B2715">
        <v>6</v>
      </c>
      <c r="C2715" t="s">
        <v>1021</v>
      </c>
      <c r="D2715" s="1">
        <v>0.875</v>
      </c>
      <c r="E2715" t="s">
        <v>11</v>
      </c>
      <c r="F2715" t="s">
        <v>20</v>
      </c>
      <c r="G2715" t="s">
        <v>18</v>
      </c>
      <c r="H2715" t="s">
        <v>883</v>
      </c>
    </row>
    <row r="2716" spans="1:8" x14ac:dyDescent="0.3">
      <c r="A2716" t="s">
        <v>998</v>
      </c>
      <c r="B2716">
        <v>6</v>
      </c>
      <c r="C2716" t="s">
        <v>1022</v>
      </c>
      <c r="D2716" s="1">
        <v>0.5</v>
      </c>
      <c r="E2716" t="s">
        <v>187</v>
      </c>
      <c r="F2716" t="s">
        <v>23</v>
      </c>
      <c r="G2716" t="s">
        <v>41</v>
      </c>
      <c r="H2716" t="s">
        <v>609</v>
      </c>
    </row>
    <row r="2717" spans="1:8" x14ac:dyDescent="0.3">
      <c r="A2717" t="s">
        <v>998</v>
      </c>
      <c r="B2717">
        <v>6</v>
      </c>
      <c r="C2717" t="s">
        <v>1022</v>
      </c>
      <c r="D2717" s="1">
        <v>0.58333333333333337</v>
      </c>
      <c r="E2717" t="s">
        <v>15</v>
      </c>
      <c r="F2717" t="s">
        <v>21</v>
      </c>
      <c r="G2717" t="s">
        <v>12</v>
      </c>
      <c r="H2717" t="s">
        <v>612</v>
      </c>
    </row>
    <row r="2718" spans="1:8" x14ac:dyDescent="0.3">
      <c r="A2718" t="s">
        <v>998</v>
      </c>
      <c r="B2718">
        <v>6</v>
      </c>
      <c r="C2718" t="s">
        <v>1022</v>
      </c>
      <c r="D2718" s="1">
        <v>0.66666666666666663</v>
      </c>
      <c r="E2718" t="s">
        <v>34</v>
      </c>
      <c r="F2718" t="s">
        <v>16</v>
      </c>
      <c r="G2718" s="2">
        <v>46024</v>
      </c>
      <c r="H2718" t="s">
        <v>184</v>
      </c>
    </row>
    <row r="2719" spans="1:8" x14ac:dyDescent="0.3">
      <c r="A2719" t="s">
        <v>998</v>
      </c>
      <c r="B2719">
        <v>6</v>
      </c>
      <c r="C2719" t="s">
        <v>1022</v>
      </c>
      <c r="D2719" s="1">
        <v>0.77083333333333337</v>
      </c>
      <c r="E2719" t="s">
        <v>464</v>
      </c>
      <c r="F2719" t="s">
        <v>31</v>
      </c>
      <c r="G2719" t="s">
        <v>54</v>
      </c>
      <c r="H2719" t="s">
        <v>752</v>
      </c>
    </row>
    <row r="2720" spans="1:8" x14ac:dyDescent="0.3">
      <c r="A2720" t="s">
        <v>998</v>
      </c>
      <c r="B2720">
        <v>6</v>
      </c>
      <c r="C2720" t="s">
        <v>1022</v>
      </c>
      <c r="D2720" s="1">
        <v>0.77083333333333337</v>
      </c>
      <c r="E2720" t="s">
        <v>750</v>
      </c>
      <c r="F2720" t="s">
        <v>14</v>
      </c>
      <c r="G2720" s="2">
        <v>46055</v>
      </c>
      <c r="H2720" t="s">
        <v>1007</v>
      </c>
    </row>
    <row r="2721" spans="1:8" x14ac:dyDescent="0.3">
      <c r="A2721" t="s">
        <v>998</v>
      </c>
      <c r="B2721">
        <v>6</v>
      </c>
      <c r="C2721" t="s">
        <v>1022</v>
      </c>
      <c r="D2721" s="1">
        <v>0.875</v>
      </c>
      <c r="E2721" t="s">
        <v>26</v>
      </c>
      <c r="F2721" t="s">
        <v>10</v>
      </c>
      <c r="G2721" t="s">
        <v>46</v>
      </c>
      <c r="H2721" t="s">
        <v>198</v>
      </c>
    </row>
    <row r="2722" spans="1:8" x14ac:dyDescent="0.3">
      <c r="A2722" t="s">
        <v>998</v>
      </c>
      <c r="B2722">
        <v>7</v>
      </c>
      <c r="C2722" t="s">
        <v>1023</v>
      </c>
      <c r="D2722" s="1">
        <v>0.875</v>
      </c>
      <c r="E2722" t="s">
        <v>31</v>
      </c>
      <c r="F2722" t="s">
        <v>16</v>
      </c>
      <c r="G2722" s="2">
        <v>46024</v>
      </c>
      <c r="H2722" t="s">
        <v>883</v>
      </c>
    </row>
    <row r="2723" spans="1:8" x14ac:dyDescent="0.3">
      <c r="A2723" t="s">
        <v>998</v>
      </c>
      <c r="B2723">
        <v>7</v>
      </c>
      <c r="C2723" t="s">
        <v>1024</v>
      </c>
      <c r="D2723" s="1">
        <v>0.66666666666666663</v>
      </c>
      <c r="E2723" t="s">
        <v>20</v>
      </c>
      <c r="F2723" t="s">
        <v>25</v>
      </c>
      <c r="G2723" s="2">
        <v>46082</v>
      </c>
      <c r="H2723" t="s">
        <v>205</v>
      </c>
    </row>
    <row r="2724" spans="1:8" x14ac:dyDescent="0.3">
      <c r="A2724" t="s">
        <v>998</v>
      </c>
      <c r="B2724">
        <v>7</v>
      </c>
      <c r="C2724" t="s">
        <v>1024</v>
      </c>
      <c r="D2724" s="1">
        <v>0.77083333333333337</v>
      </c>
      <c r="E2724" t="s">
        <v>23</v>
      </c>
      <c r="F2724" t="s">
        <v>15</v>
      </c>
      <c r="G2724" t="s">
        <v>18</v>
      </c>
      <c r="H2724" t="s">
        <v>747</v>
      </c>
    </row>
    <row r="2725" spans="1:8" x14ac:dyDescent="0.3">
      <c r="A2725" t="s">
        <v>998</v>
      </c>
      <c r="B2725">
        <v>7</v>
      </c>
      <c r="C2725" t="s">
        <v>1024</v>
      </c>
      <c r="D2725" s="1">
        <v>0.77083333333333337</v>
      </c>
      <c r="E2725" t="s">
        <v>27</v>
      </c>
      <c r="F2725" t="s">
        <v>187</v>
      </c>
      <c r="G2725" t="s">
        <v>42</v>
      </c>
      <c r="H2725" t="s">
        <v>185</v>
      </c>
    </row>
    <row r="2726" spans="1:8" x14ac:dyDescent="0.3">
      <c r="A2726" t="s">
        <v>998</v>
      </c>
      <c r="B2726">
        <v>7</v>
      </c>
      <c r="C2726" t="s">
        <v>1024</v>
      </c>
      <c r="D2726" s="1">
        <v>0.875</v>
      </c>
      <c r="E2726" t="s">
        <v>28</v>
      </c>
      <c r="F2726" t="s">
        <v>26</v>
      </c>
      <c r="G2726" t="s">
        <v>12</v>
      </c>
      <c r="H2726" t="s">
        <v>181</v>
      </c>
    </row>
    <row r="2727" spans="1:8" x14ac:dyDescent="0.3">
      <c r="A2727" t="s">
        <v>998</v>
      </c>
      <c r="B2727">
        <v>7</v>
      </c>
      <c r="C2727" t="s">
        <v>1025</v>
      </c>
      <c r="D2727" s="1">
        <v>0.58333333333333337</v>
      </c>
      <c r="E2727" t="s">
        <v>14</v>
      </c>
      <c r="F2727" t="s">
        <v>464</v>
      </c>
      <c r="G2727" t="s">
        <v>54</v>
      </c>
      <c r="H2727" t="s">
        <v>467</v>
      </c>
    </row>
    <row r="2728" spans="1:8" x14ac:dyDescent="0.3">
      <c r="A2728" t="s">
        <v>998</v>
      </c>
      <c r="B2728">
        <v>7</v>
      </c>
      <c r="C2728" t="s">
        <v>1025</v>
      </c>
      <c r="D2728" s="1">
        <v>0.66666666666666663</v>
      </c>
      <c r="E2728" t="s">
        <v>1000</v>
      </c>
      <c r="F2728" t="s">
        <v>34</v>
      </c>
      <c r="G2728" t="s">
        <v>41</v>
      </c>
      <c r="H2728" t="s">
        <v>341</v>
      </c>
    </row>
    <row r="2729" spans="1:8" x14ac:dyDescent="0.3">
      <c r="A2729" t="s">
        <v>998</v>
      </c>
      <c r="B2729">
        <v>7</v>
      </c>
      <c r="C2729" t="s">
        <v>1025</v>
      </c>
      <c r="D2729" s="1">
        <v>0.77083333333333337</v>
      </c>
      <c r="E2729" t="s">
        <v>11</v>
      </c>
      <c r="F2729" t="s">
        <v>24</v>
      </c>
      <c r="G2729" t="s">
        <v>42</v>
      </c>
      <c r="H2729" t="s">
        <v>194</v>
      </c>
    </row>
    <row r="2730" spans="1:8" x14ac:dyDescent="0.3">
      <c r="A2730" t="s">
        <v>998</v>
      </c>
      <c r="B2730">
        <v>7</v>
      </c>
      <c r="C2730" t="s">
        <v>1025</v>
      </c>
      <c r="D2730" s="1">
        <v>0.875</v>
      </c>
      <c r="E2730" t="s">
        <v>10</v>
      </c>
      <c r="F2730" t="s">
        <v>750</v>
      </c>
      <c r="G2730" s="2">
        <v>46026</v>
      </c>
      <c r="H2730" t="s">
        <v>1001</v>
      </c>
    </row>
    <row r="2731" spans="1:8" x14ac:dyDescent="0.3">
      <c r="A2731" t="s">
        <v>998</v>
      </c>
      <c r="B2731">
        <v>7</v>
      </c>
      <c r="C2731" t="s">
        <v>1026</v>
      </c>
      <c r="D2731" s="1">
        <v>0.875</v>
      </c>
      <c r="E2731" t="s">
        <v>21</v>
      </c>
      <c r="F2731" t="s">
        <v>35</v>
      </c>
      <c r="G2731" s="2">
        <v>46023</v>
      </c>
      <c r="H2731" t="s">
        <v>190</v>
      </c>
    </row>
    <row r="2732" spans="1:8" x14ac:dyDescent="0.3">
      <c r="A2732" t="s">
        <v>998</v>
      </c>
      <c r="B2732">
        <v>8</v>
      </c>
      <c r="C2732" t="s">
        <v>1027</v>
      </c>
      <c r="D2732" s="1">
        <v>0.875</v>
      </c>
      <c r="E2732" t="s">
        <v>187</v>
      </c>
      <c r="F2732" t="s">
        <v>1000</v>
      </c>
      <c r="G2732" t="s">
        <v>54</v>
      </c>
      <c r="H2732" t="s">
        <v>181</v>
      </c>
    </row>
    <row r="2733" spans="1:8" x14ac:dyDescent="0.3">
      <c r="A2733" t="s">
        <v>998</v>
      </c>
      <c r="B2733">
        <v>8</v>
      </c>
      <c r="C2733" t="s">
        <v>1028</v>
      </c>
      <c r="D2733" s="1">
        <v>0.58333333333333337</v>
      </c>
      <c r="E2733" t="s">
        <v>25</v>
      </c>
      <c r="F2733" t="s">
        <v>750</v>
      </c>
      <c r="G2733" s="2">
        <v>46026</v>
      </c>
      <c r="H2733" t="s">
        <v>614</v>
      </c>
    </row>
    <row r="2734" spans="1:8" x14ac:dyDescent="0.3">
      <c r="A2734" t="s">
        <v>998</v>
      </c>
      <c r="B2734">
        <v>8</v>
      </c>
      <c r="C2734" t="s">
        <v>1028</v>
      </c>
      <c r="D2734" s="1">
        <v>0.67708333333333337</v>
      </c>
      <c r="E2734" t="s">
        <v>15</v>
      </c>
      <c r="F2734" t="s">
        <v>27</v>
      </c>
      <c r="G2734" s="2">
        <v>46024</v>
      </c>
      <c r="H2734" t="s">
        <v>184</v>
      </c>
    </row>
    <row r="2735" spans="1:8" x14ac:dyDescent="0.3">
      <c r="A2735" t="s">
        <v>998</v>
      </c>
      <c r="B2735">
        <v>8</v>
      </c>
      <c r="C2735" t="s">
        <v>1028</v>
      </c>
      <c r="D2735" s="1">
        <v>0.77083333333333337</v>
      </c>
      <c r="E2735" t="s">
        <v>23</v>
      </c>
      <c r="F2735" t="s">
        <v>28</v>
      </c>
      <c r="G2735" s="2">
        <v>46082</v>
      </c>
      <c r="H2735" t="s">
        <v>198</v>
      </c>
    </row>
    <row r="2736" spans="1:8" x14ac:dyDescent="0.3">
      <c r="A2736" t="s">
        <v>998</v>
      </c>
      <c r="B2736">
        <v>8</v>
      </c>
      <c r="C2736" t="s">
        <v>1028</v>
      </c>
      <c r="D2736" s="1">
        <v>0.875</v>
      </c>
      <c r="E2736" t="s">
        <v>464</v>
      </c>
      <c r="F2736" t="s">
        <v>20</v>
      </c>
      <c r="G2736" s="2">
        <v>46023</v>
      </c>
      <c r="H2736" t="s">
        <v>185</v>
      </c>
    </row>
    <row r="2737" spans="1:8" x14ac:dyDescent="0.3">
      <c r="A2737" t="s">
        <v>998</v>
      </c>
      <c r="B2737">
        <v>8</v>
      </c>
      <c r="C2737" t="s">
        <v>1029</v>
      </c>
      <c r="D2737" s="1">
        <v>0.58333333333333337</v>
      </c>
      <c r="E2737" t="s">
        <v>26</v>
      </c>
      <c r="F2737" t="s">
        <v>31</v>
      </c>
      <c r="G2737" s="2">
        <v>46025</v>
      </c>
      <c r="H2737" t="s">
        <v>609</v>
      </c>
    </row>
    <row r="2738" spans="1:8" x14ac:dyDescent="0.3">
      <c r="A2738" t="s">
        <v>998</v>
      </c>
      <c r="B2738">
        <v>8</v>
      </c>
      <c r="C2738" t="s">
        <v>1029</v>
      </c>
      <c r="D2738" s="1">
        <v>0.66666666666666663</v>
      </c>
      <c r="E2738" t="s">
        <v>35</v>
      </c>
      <c r="F2738" t="s">
        <v>10</v>
      </c>
      <c r="G2738" s="2">
        <v>46113</v>
      </c>
      <c r="H2738" t="s">
        <v>752</v>
      </c>
    </row>
    <row r="2739" spans="1:8" x14ac:dyDescent="0.3">
      <c r="A2739" t="s">
        <v>998</v>
      </c>
      <c r="B2739">
        <v>8</v>
      </c>
      <c r="C2739" t="s">
        <v>1029</v>
      </c>
      <c r="D2739" s="1">
        <v>0.77083333333333337</v>
      </c>
      <c r="E2739" t="s">
        <v>24</v>
      </c>
      <c r="F2739" t="s">
        <v>21</v>
      </c>
      <c r="G2739" s="2">
        <v>46023</v>
      </c>
      <c r="H2739" t="s">
        <v>197</v>
      </c>
    </row>
    <row r="2740" spans="1:8" x14ac:dyDescent="0.3">
      <c r="A2740" t="s">
        <v>998</v>
      </c>
      <c r="B2740">
        <v>8</v>
      </c>
      <c r="C2740" t="s">
        <v>1029</v>
      </c>
      <c r="D2740" s="1">
        <v>0.875</v>
      </c>
      <c r="E2740" t="s">
        <v>16</v>
      </c>
      <c r="F2740" t="s">
        <v>11</v>
      </c>
      <c r="G2740" s="2">
        <v>46055</v>
      </c>
      <c r="H2740" t="s">
        <v>1007</v>
      </c>
    </row>
    <row r="2741" spans="1:8" x14ac:dyDescent="0.3">
      <c r="A2741" t="s">
        <v>998</v>
      </c>
      <c r="B2741">
        <v>8</v>
      </c>
      <c r="C2741" t="s">
        <v>1030</v>
      </c>
      <c r="D2741" s="1">
        <v>0.875</v>
      </c>
      <c r="E2741" t="s">
        <v>34</v>
      </c>
      <c r="F2741" t="s">
        <v>14</v>
      </c>
      <c r="G2741" t="s">
        <v>12</v>
      </c>
      <c r="H2741" t="s">
        <v>612</v>
      </c>
    </row>
    <row r="2742" spans="1:8" x14ac:dyDescent="0.3">
      <c r="A2742" t="s">
        <v>998</v>
      </c>
      <c r="B2742">
        <v>9</v>
      </c>
      <c r="C2742" t="s">
        <v>1031</v>
      </c>
      <c r="D2742" s="1">
        <v>0.875</v>
      </c>
      <c r="E2742" t="s">
        <v>31</v>
      </c>
      <c r="F2742" t="s">
        <v>35</v>
      </c>
      <c r="G2742" s="2">
        <v>46023</v>
      </c>
      <c r="H2742" t="s">
        <v>341</v>
      </c>
    </row>
    <row r="2743" spans="1:8" x14ac:dyDescent="0.3">
      <c r="A2743" t="s">
        <v>998</v>
      </c>
      <c r="B2743">
        <v>9</v>
      </c>
      <c r="C2743" t="s">
        <v>1032</v>
      </c>
      <c r="D2743" s="1">
        <v>0.58333333333333337</v>
      </c>
      <c r="E2743" t="s">
        <v>750</v>
      </c>
      <c r="F2743" t="s">
        <v>187</v>
      </c>
      <c r="G2743" s="2">
        <v>46023</v>
      </c>
      <c r="H2743" t="s">
        <v>190</v>
      </c>
    </row>
    <row r="2744" spans="1:8" x14ac:dyDescent="0.3">
      <c r="A2744" t="s">
        <v>998</v>
      </c>
      <c r="B2744">
        <v>9</v>
      </c>
      <c r="C2744" t="s">
        <v>1032</v>
      </c>
      <c r="D2744" s="1">
        <v>0.67708333333333337</v>
      </c>
      <c r="E2744" t="s">
        <v>20</v>
      </c>
      <c r="F2744" t="s">
        <v>26</v>
      </c>
      <c r="G2744" s="2">
        <v>46058</v>
      </c>
      <c r="H2744" t="s">
        <v>747</v>
      </c>
    </row>
    <row r="2745" spans="1:8" x14ac:dyDescent="0.3">
      <c r="A2745" t="s">
        <v>998</v>
      </c>
      <c r="B2745">
        <v>9</v>
      </c>
      <c r="C2745" t="s">
        <v>1032</v>
      </c>
      <c r="D2745" s="1">
        <v>0.77083333333333337</v>
      </c>
      <c r="E2745" t="s">
        <v>27</v>
      </c>
      <c r="F2745" t="s">
        <v>23</v>
      </c>
      <c r="G2745" t="s">
        <v>18</v>
      </c>
      <c r="H2745" t="s">
        <v>205</v>
      </c>
    </row>
    <row r="2746" spans="1:8" x14ac:dyDescent="0.3">
      <c r="A2746" t="s">
        <v>998</v>
      </c>
      <c r="B2746">
        <v>9</v>
      </c>
      <c r="C2746" t="s">
        <v>1032</v>
      </c>
      <c r="D2746" s="1">
        <v>0.875</v>
      </c>
      <c r="E2746" t="s">
        <v>28</v>
      </c>
      <c r="F2746" t="s">
        <v>1000</v>
      </c>
      <c r="G2746" t="s">
        <v>88</v>
      </c>
      <c r="H2746" t="s">
        <v>752</v>
      </c>
    </row>
    <row r="2747" spans="1:8" x14ac:dyDescent="0.3">
      <c r="A2747" t="s">
        <v>998</v>
      </c>
      <c r="B2747">
        <v>9</v>
      </c>
      <c r="C2747" t="s">
        <v>1033</v>
      </c>
      <c r="D2747" s="1">
        <v>0.58333333333333337</v>
      </c>
      <c r="E2747" t="s">
        <v>11</v>
      </c>
      <c r="F2747" t="s">
        <v>34</v>
      </c>
      <c r="G2747" s="2">
        <v>46082</v>
      </c>
      <c r="H2747" t="s">
        <v>467</v>
      </c>
    </row>
    <row r="2748" spans="1:8" x14ac:dyDescent="0.3">
      <c r="A2748" t="s">
        <v>998</v>
      </c>
      <c r="B2748">
        <v>9</v>
      </c>
      <c r="C2748" t="s">
        <v>1033</v>
      </c>
      <c r="D2748" s="1">
        <v>0.67708333333333337</v>
      </c>
      <c r="E2748" t="s">
        <v>10</v>
      </c>
      <c r="F2748" t="s">
        <v>24</v>
      </c>
      <c r="G2748" t="s">
        <v>12</v>
      </c>
      <c r="H2748" t="s">
        <v>184</v>
      </c>
    </row>
    <row r="2749" spans="1:8" x14ac:dyDescent="0.3">
      <c r="A2749" t="s">
        <v>998</v>
      </c>
      <c r="B2749">
        <v>9</v>
      </c>
      <c r="C2749" t="s">
        <v>1033</v>
      </c>
      <c r="D2749" s="1">
        <v>0.77083333333333337</v>
      </c>
      <c r="E2749" t="s">
        <v>21</v>
      </c>
      <c r="F2749" t="s">
        <v>464</v>
      </c>
      <c r="G2749" s="2">
        <v>46023</v>
      </c>
      <c r="H2749" t="s">
        <v>1001</v>
      </c>
    </row>
    <row r="2750" spans="1:8" x14ac:dyDescent="0.3">
      <c r="A2750" t="s">
        <v>998</v>
      </c>
      <c r="B2750">
        <v>9</v>
      </c>
      <c r="C2750" t="s">
        <v>1033</v>
      </c>
      <c r="D2750" s="1">
        <v>0.77083333333333337</v>
      </c>
      <c r="E2750" t="s">
        <v>14</v>
      </c>
      <c r="F2750" t="s">
        <v>15</v>
      </c>
      <c r="G2750" s="2">
        <v>46024</v>
      </c>
      <c r="H2750" t="s">
        <v>883</v>
      </c>
    </row>
    <row r="2751" spans="1:8" x14ac:dyDescent="0.3">
      <c r="A2751" t="s">
        <v>998</v>
      </c>
      <c r="B2751">
        <v>9</v>
      </c>
      <c r="C2751" t="s">
        <v>1033</v>
      </c>
      <c r="D2751" s="1">
        <v>0.875</v>
      </c>
      <c r="E2751" t="s">
        <v>16</v>
      </c>
      <c r="F2751" t="s">
        <v>25</v>
      </c>
      <c r="G2751" s="2">
        <v>46026</v>
      </c>
      <c r="H2751" t="s">
        <v>194</v>
      </c>
    </row>
    <row r="2752" spans="1:8" x14ac:dyDescent="0.3">
      <c r="A2752" t="s">
        <v>998</v>
      </c>
      <c r="B2752">
        <v>10</v>
      </c>
      <c r="C2752" t="s">
        <v>1034</v>
      </c>
      <c r="D2752" s="1">
        <v>0.875</v>
      </c>
      <c r="E2752" t="s">
        <v>23</v>
      </c>
      <c r="F2752" t="s">
        <v>750</v>
      </c>
      <c r="G2752" s="2">
        <v>46023</v>
      </c>
      <c r="H2752" t="s">
        <v>887</v>
      </c>
    </row>
    <row r="2753" spans="1:8" x14ac:dyDescent="0.3">
      <c r="A2753" t="s">
        <v>998</v>
      </c>
      <c r="B2753">
        <v>10</v>
      </c>
      <c r="C2753" t="s">
        <v>1035</v>
      </c>
      <c r="D2753" s="1">
        <v>0.58333333333333337</v>
      </c>
      <c r="E2753" t="s">
        <v>21</v>
      </c>
      <c r="F2753" t="s">
        <v>31</v>
      </c>
      <c r="G2753" s="2">
        <v>46023</v>
      </c>
      <c r="H2753" t="s">
        <v>1007</v>
      </c>
    </row>
    <row r="2754" spans="1:8" x14ac:dyDescent="0.3">
      <c r="A2754" t="s">
        <v>998</v>
      </c>
      <c r="B2754">
        <v>10</v>
      </c>
      <c r="C2754" t="s">
        <v>1035</v>
      </c>
      <c r="D2754" s="1">
        <v>0.67708333333333337</v>
      </c>
      <c r="E2754" t="s">
        <v>34</v>
      </c>
      <c r="F2754" t="s">
        <v>25</v>
      </c>
      <c r="G2754" s="2">
        <v>46023</v>
      </c>
      <c r="H2754" t="s">
        <v>185</v>
      </c>
    </row>
    <row r="2755" spans="1:8" x14ac:dyDescent="0.3">
      <c r="A2755" t="s">
        <v>998</v>
      </c>
      <c r="B2755">
        <v>10</v>
      </c>
      <c r="C2755" t="s">
        <v>1035</v>
      </c>
      <c r="D2755" s="1">
        <v>0.77083333333333337</v>
      </c>
      <c r="E2755" t="s">
        <v>27</v>
      </c>
      <c r="F2755" t="s">
        <v>35</v>
      </c>
      <c r="G2755" s="2">
        <v>46057</v>
      </c>
      <c r="H2755" t="s">
        <v>883</v>
      </c>
    </row>
    <row r="2756" spans="1:8" x14ac:dyDescent="0.3">
      <c r="A2756" t="s">
        <v>998</v>
      </c>
      <c r="B2756">
        <v>10</v>
      </c>
      <c r="C2756" t="s">
        <v>1035</v>
      </c>
      <c r="D2756" s="1">
        <v>0.875</v>
      </c>
      <c r="E2756" t="s">
        <v>28</v>
      </c>
      <c r="F2756" t="s">
        <v>20</v>
      </c>
      <c r="G2756" t="s">
        <v>18</v>
      </c>
      <c r="H2756" t="s">
        <v>467</v>
      </c>
    </row>
    <row r="2757" spans="1:8" x14ac:dyDescent="0.3">
      <c r="A2757" t="s">
        <v>998</v>
      </c>
      <c r="B2757">
        <v>10</v>
      </c>
      <c r="C2757" t="s">
        <v>1036</v>
      </c>
      <c r="D2757" s="1">
        <v>0.58333333333333337</v>
      </c>
      <c r="E2757" t="s">
        <v>187</v>
      </c>
      <c r="F2757" t="s">
        <v>11</v>
      </c>
      <c r="G2757" t="s">
        <v>41</v>
      </c>
      <c r="H2757" t="s">
        <v>614</v>
      </c>
    </row>
    <row r="2758" spans="1:8" x14ac:dyDescent="0.3">
      <c r="A2758" t="s">
        <v>998</v>
      </c>
      <c r="B2758">
        <v>10</v>
      </c>
      <c r="C2758" t="s">
        <v>1036</v>
      </c>
      <c r="D2758" s="1">
        <v>0.67708333333333337</v>
      </c>
      <c r="E2758" t="s">
        <v>1000</v>
      </c>
      <c r="F2758" t="s">
        <v>10</v>
      </c>
      <c r="G2758" t="s">
        <v>42</v>
      </c>
      <c r="H2758" t="s">
        <v>198</v>
      </c>
    </row>
    <row r="2759" spans="1:8" x14ac:dyDescent="0.3">
      <c r="A2759" t="s">
        <v>998</v>
      </c>
      <c r="B2759">
        <v>10</v>
      </c>
      <c r="C2759" t="s">
        <v>1036</v>
      </c>
      <c r="D2759" s="1">
        <v>0.77083333333333337</v>
      </c>
      <c r="E2759" t="s">
        <v>24</v>
      </c>
      <c r="F2759" t="s">
        <v>14</v>
      </c>
      <c r="G2759" s="2">
        <v>46082</v>
      </c>
      <c r="H2759" t="s">
        <v>609</v>
      </c>
    </row>
    <row r="2760" spans="1:8" x14ac:dyDescent="0.3">
      <c r="A2760" t="s">
        <v>998</v>
      </c>
      <c r="B2760">
        <v>10</v>
      </c>
      <c r="C2760" t="s">
        <v>1036</v>
      </c>
      <c r="D2760" s="1">
        <v>0.875</v>
      </c>
      <c r="E2760" t="s">
        <v>464</v>
      </c>
      <c r="F2760" t="s">
        <v>16</v>
      </c>
      <c r="G2760" s="2">
        <v>46055</v>
      </c>
      <c r="H2760" t="s">
        <v>197</v>
      </c>
    </row>
    <row r="2761" spans="1:8" x14ac:dyDescent="0.3">
      <c r="A2761" t="s">
        <v>998</v>
      </c>
      <c r="B2761">
        <v>10</v>
      </c>
      <c r="C2761" t="s">
        <v>1037</v>
      </c>
      <c r="D2761" s="1">
        <v>0.875</v>
      </c>
      <c r="E2761" t="s">
        <v>15</v>
      </c>
      <c r="F2761" t="s">
        <v>26</v>
      </c>
      <c r="G2761" t="s">
        <v>88</v>
      </c>
      <c r="H2761" t="s">
        <v>612</v>
      </c>
    </row>
    <row r="2762" spans="1:8" x14ac:dyDescent="0.3">
      <c r="A2762" t="s">
        <v>998</v>
      </c>
      <c r="B2762">
        <v>11</v>
      </c>
      <c r="C2762" t="s">
        <v>1038</v>
      </c>
      <c r="D2762" s="1">
        <v>0.875</v>
      </c>
      <c r="E2762" t="s">
        <v>14</v>
      </c>
      <c r="F2762" t="s">
        <v>21</v>
      </c>
      <c r="G2762" s="2">
        <v>46023</v>
      </c>
      <c r="H2762" t="s">
        <v>887</v>
      </c>
    </row>
    <row r="2763" spans="1:8" x14ac:dyDescent="0.3">
      <c r="A2763" t="s">
        <v>998</v>
      </c>
      <c r="B2763">
        <v>11</v>
      </c>
      <c r="C2763" t="s">
        <v>1039</v>
      </c>
      <c r="D2763" s="1">
        <v>0.58333333333333337</v>
      </c>
      <c r="E2763" t="s">
        <v>31</v>
      </c>
      <c r="F2763" t="s">
        <v>1000</v>
      </c>
      <c r="G2763" s="2">
        <v>46023</v>
      </c>
      <c r="H2763" t="s">
        <v>184</v>
      </c>
    </row>
    <row r="2764" spans="1:8" x14ac:dyDescent="0.3">
      <c r="A2764" t="s">
        <v>998</v>
      </c>
      <c r="B2764">
        <v>11</v>
      </c>
      <c r="C2764" t="s">
        <v>1039</v>
      </c>
      <c r="D2764" s="1">
        <v>0.67708333333333337</v>
      </c>
      <c r="E2764" t="s">
        <v>16</v>
      </c>
      <c r="F2764" t="s">
        <v>28</v>
      </c>
      <c r="G2764" t="s">
        <v>42</v>
      </c>
      <c r="H2764" t="s">
        <v>341</v>
      </c>
    </row>
    <row r="2765" spans="1:8" x14ac:dyDescent="0.3">
      <c r="A2765" t="s">
        <v>998</v>
      </c>
      <c r="B2765">
        <v>11</v>
      </c>
      <c r="C2765" t="s">
        <v>1039</v>
      </c>
      <c r="D2765" s="1">
        <v>0.77083333333333337</v>
      </c>
      <c r="E2765" t="s">
        <v>750</v>
      </c>
      <c r="F2765" t="s">
        <v>27</v>
      </c>
      <c r="G2765" t="s">
        <v>42</v>
      </c>
      <c r="H2765" t="s">
        <v>747</v>
      </c>
    </row>
    <row r="2766" spans="1:8" x14ac:dyDescent="0.3">
      <c r="A2766" t="s">
        <v>998</v>
      </c>
      <c r="B2766">
        <v>11</v>
      </c>
      <c r="C2766" t="s">
        <v>1039</v>
      </c>
      <c r="D2766" s="1">
        <v>0.875</v>
      </c>
      <c r="E2766" t="s">
        <v>25</v>
      </c>
      <c r="F2766" t="s">
        <v>464</v>
      </c>
      <c r="G2766" s="2">
        <v>46054</v>
      </c>
      <c r="H2766" t="s">
        <v>752</v>
      </c>
    </row>
    <row r="2767" spans="1:8" x14ac:dyDescent="0.3">
      <c r="A2767" t="s">
        <v>998</v>
      </c>
      <c r="B2767">
        <v>11</v>
      </c>
      <c r="C2767" t="s">
        <v>1040</v>
      </c>
      <c r="D2767" s="1">
        <v>0.58333333333333337</v>
      </c>
      <c r="E2767" t="s">
        <v>20</v>
      </c>
      <c r="F2767" t="s">
        <v>23</v>
      </c>
      <c r="G2767" t="s">
        <v>88</v>
      </c>
      <c r="H2767" t="s">
        <v>181</v>
      </c>
    </row>
    <row r="2768" spans="1:8" x14ac:dyDescent="0.3">
      <c r="A2768" t="s">
        <v>998</v>
      </c>
      <c r="B2768">
        <v>11</v>
      </c>
      <c r="C2768" t="s">
        <v>1040</v>
      </c>
      <c r="D2768" s="1">
        <v>0.67708333333333337</v>
      </c>
      <c r="E2768" t="s">
        <v>11</v>
      </c>
      <c r="F2768" t="s">
        <v>15</v>
      </c>
      <c r="G2768" s="2">
        <v>46023</v>
      </c>
      <c r="H2768" t="s">
        <v>190</v>
      </c>
    </row>
    <row r="2769" spans="1:8" x14ac:dyDescent="0.3">
      <c r="A2769" t="s">
        <v>998</v>
      </c>
      <c r="B2769">
        <v>11</v>
      </c>
      <c r="C2769" t="s">
        <v>1040</v>
      </c>
      <c r="D2769" s="1">
        <v>0.77083333333333337</v>
      </c>
      <c r="E2769" t="s">
        <v>35</v>
      </c>
      <c r="F2769" t="s">
        <v>24</v>
      </c>
      <c r="G2769" s="2">
        <v>46025</v>
      </c>
      <c r="H2769" t="s">
        <v>1001</v>
      </c>
    </row>
    <row r="2770" spans="1:8" x14ac:dyDescent="0.3">
      <c r="A2770" t="s">
        <v>998</v>
      </c>
      <c r="B2770">
        <v>11</v>
      </c>
      <c r="C2770" t="s">
        <v>1040</v>
      </c>
      <c r="D2770" s="1">
        <v>0.875</v>
      </c>
      <c r="E2770" t="s">
        <v>10</v>
      </c>
      <c r="F2770" t="s">
        <v>34</v>
      </c>
      <c r="G2770" s="2">
        <v>46023</v>
      </c>
      <c r="H2770" t="s">
        <v>194</v>
      </c>
    </row>
    <row r="2771" spans="1:8" x14ac:dyDescent="0.3">
      <c r="A2771" t="s">
        <v>998</v>
      </c>
      <c r="B2771">
        <v>11</v>
      </c>
      <c r="C2771" t="s">
        <v>1041</v>
      </c>
      <c r="D2771" s="1">
        <v>0.875</v>
      </c>
      <c r="E2771" t="s">
        <v>26</v>
      </c>
      <c r="F2771" t="s">
        <v>187</v>
      </c>
      <c r="G2771" t="s">
        <v>54</v>
      </c>
      <c r="H2771" t="s">
        <v>205</v>
      </c>
    </row>
    <row r="2772" spans="1:8" x14ac:dyDescent="0.3">
      <c r="A2772" t="s">
        <v>998</v>
      </c>
      <c r="B2772">
        <v>12</v>
      </c>
      <c r="C2772" t="s">
        <v>1042</v>
      </c>
      <c r="D2772" s="1">
        <v>0.875</v>
      </c>
      <c r="E2772" t="s">
        <v>15</v>
      </c>
      <c r="F2772" t="s">
        <v>35</v>
      </c>
      <c r="G2772" t="s">
        <v>54</v>
      </c>
      <c r="H2772" t="s">
        <v>1007</v>
      </c>
    </row>
    <row r="2773" spans="1:8" x14ac:dyDescent="0.3">
      <c r="A2773" t="s">
        <v>998</v>
      </c>
      <c r="B2773">
        <v>12</v>
      </c>
      <c r="C2773" t="s">
        <v>1043</v>
      </c>
      <c r="D2773" s="1">
        <v>0.58333333333333337</v>
      </c>
      <c r="E2773" t="s">
        <v>21</v>
      </c>
      <c r="F2773" t="s">
        <v>11</v>
      </c>
      <c r="G2773" t="s">
        <v>32</v>
      </c>
      <c r="H2773" t="s">
        <v>609</v>
      </c>
    </row>
    <row r="2774" spans="1:8" x14ac:dyDescent="0.3">
      <c r="A2774" t="s">
        <v>998</v>
      </c>
      <c r="B2774">
        <v>12</v>
      </c>
      <c r="C2774" t="s">
        <v>1043</v>
      </c>
      <c r="D2774" s="1">
        <v>0.67708333333333337</v>
      </c>
      <c r="E2774" t="s">
        <v>27</v>
      </c>
      <c r="F2774" t="s">
        <v>25</v>
      </c>
      <c r="G2774" t="s">
        <v>42</v>
      </c>
      <c r="H2774" t="s">
        <v>345</v>
      </c>
    </row>
    <row r="2775" spans="1:8" x14ac:dyDescent="0.3">
      <c r="A2775" t="s">
        <v>998</v>
      </c>
      <c r="B2775">
        <v>12</v>
      </c>
      <c r="C2775" t="s">
        <v>1043</v>
      </c>
      <c r="D2775" s="1">
        <v>0.77083333333333337</v>
      </c>
      <c r="E2775" t="s">
        <v>28</v>
      </c>
      <c r="F2775" t="s">
        <v>14</v>
      </c>
      <c r="G2775" t="s">
        <v>12</v>
      </c>
      <c r="H2775" t="s">
        <v>614</v>
      </c>
    </row>
    <row r="2776" spans="1:8" x14ac:dyDescent="0.3">
      <c r="A2776" t="s">
        <v>998</v>
      </c>
      <c r="B2776">
        <v>12</v>
      </c>
      <c r="C2776" t="s">
        <v>1043</v>
      </c>
      <c r="D2776" s="1">
        <v>0.875</v>
      </c>
      <c r="E2776" t="s">
        <v>1000</v>
      </c>
      <c r="F2776" t="s">
        <v>20</v>
      </c>
      <c r="G2776" s="2">
        <v>46024</v>
      </c>
      <c r="H2776" t="s">
        <v>883</v>
      </c>
    </row>
    <row r="2777" spans="1:8" x14ac:dyDescent="0.3">
      <c r="A2777" t="s">
        <v>998</v>
      </c>
      <c r="B2777">
        <v>12</v>
      </c>
      <c r="C2777" t="s">
        <v>1044</v>
      </c>
      <c r="D2777" s="1">
        <v>0.58333333333333337</v>
      </c>
      <c r="E2777" t="s">
        <v>24</v>
      </c>
      <c r="F2777" t="s">
        <v>750</v>
      </c>
      <c r="G2777" s="2">
        <v>46084</v>
      </c>
      <c r="H2777" t="s">
        <v>612</v>
      </c>
    </row>
    <row r="2778" spans="1:8" x14ac:dyDescent="0.3">
      <c r="A2778" t="s">
        <v>998</v>
      </c>
      <c r="B2778">
        <v>12</v>
      </c>
      <c r="C2778" t="s">
        <v>1044</v>
      </c>
      <c r="D2778" s="1">
        <v>0.67708333333333337</v>
      </c>
      <c r="E2778" t="s">
        <v>23</v>
      </c>
      <c r="F2778" t="s">
        <v>26</v>
      </c>
      <c r="G2778" t="s">
        <v>54</v>
      </c>
      <c r="H2778" t="s">
        <v>185</v>
      </c>
    </row>
    <row r="2779" spans="1:8" x14ac:dyDescent="0.3">
      <c r="A2779" t="s">
        <v>998</v>
      </c>
      <c r="B2779">
        <v>12</v>
      </c>
      <c r="C2779" t="s">
        <v>1044</v>
      </c>
      <c r="D2779" s="1">
        <v>0.77083333333333337</v>
      </c>
      <c r="E2779" t="s">
        <v>34</v>
      </c>
      <c r="F2779" t="s">
        <v>31</v>
      </c>
      <c r="G2779" t="s">
        <v>41</v>
      </c>
      <c r="H2779" t="s">
        <v>197</v>
      </c>
    </row>
    <row r="2780" spans="1:8" x14ac:dyDescent="0.3">
      <c r="A2780" t="s">
        <v>998</v>
      </c>
      <c r="B2780">
        <v>12</v>
      </c>
      <c r="C2780" t="s">
        <v>1044</v>
      </c>
      <c r="D2780" s="1">
        <v>0.875</v>
      </c>
      <c r="E2780" t="s">
        <v>464</v>
      </c>
      <c r="F2780" t="s">
        <v>10</v>
      </c>
      <c r="G2780" t="s">
        <v>41</v>
      </c>
      <c r="H2780" t="s">
        <v>467</v>
      </c>
    </row>
    <row r="2781" spans="1:8" x14ac:dyDescent="0.3">
      <c r="A2781" t="s">
        <v>998</v>
      </c>
      <c r="B2781">
        <v>12</v>
      </c>
      <c r="C2781" t="s">
        <v>1045</v>
      </c>
      <c r="D2781" s="1">
        <v>0.875</v>
      </c>
      <c r="E2781" t="s">
        <v>187</v>
      </c>
      <c r="F2781" t="s">
        <v>16</v>
      </c>
      <c r="G2781" t="s">
        <v>41</v>
      </c>
      <c r="H2781" t="s">
        <v>198</v>
      </c>
    </row>
    <row r="2782" spans="1:8" x14ac:dyDescent="0.3">
      <c r="A2782" t="s">
        <v>998</v>
      </c>
      <c r="B2782">
        <v>13</v>
      </c>
      <c r="C2782" t="s">
        <v>1046</v>
      </c>
      <c r="D2782" s="1">
        <v>0.875</v>
      </c>
      <c r="E2782" t="s">
        <v>14</v>
      </c>
      <c r="F2782" t="s">
        <v>23</v>
      </c>
      <c r="G2782" s="2">
        <v>46056</v>
      </c>
      <c r="H2782" t="s">
        <v>752</v>
      </c>
    </row>
    <row r="2783" spans="1:8" x14ac:dyDescent="0.3">
      <c r="A2783" t="s">
        <v>998</v>
      </c>
      <c r="B2783">
        <v>13</v>
      </c>
      <c r="C2783" t="s">
        <v>1047</v>
      </c>
      <c r="D2783" s="1">
        <v>0.58333333333333337</v>
      </c>
      <c r="E2783" t="s">
        <v>16</v>
      </c>
      <c r="F2783" t="s">
        <v>15</v>
      </c>
      <c r="G2783" s="2">
        <v>46055</v>
      </c>
      <c r="H2783" t="s">
        <v>184</v>
      </c>
    </row>
    <row r="2784" spans="1:8" x14ac:dyDescent="0.3">
      <c r="A2784" t="s">
        <v>998</v>
      </c>
      <c r="B2784">
        <v>13</v>
      </c>
      <c r="C2784" t="s">
        <v>1047</v>
      </c>
      <c r="D2784" s="1">
        <v>0.67708333333333337</v>
      </c>
      <c r="E2784" t="s">
        <v>11</v>
      </c>
      <c r="F2784" t="s">
        <v>27</v>
      </c>
      <c r="G2784" t="s">
        <v>42</v>
      </c>
      <c r="H2784" t="s">
        <v>205</v>
      </c>
    </row>
    <row r="2785" spans="1:8" x14ac:dyDescent="0.3">
      <c r="A2785" t="s">
        <v>998</v>
      </c>
      <c r="B2785">
        <v>13</v>
      </c>
      <c r="C2785" t="s">
        <v>1047</v>
      </c>
      <c r="D2785" s="1">
        <v>0.77083333333333337</v>
      </c>
      <c r="E2785" t="s">
        <v>750</v>
      </c>
      <c r="F2785" t="s">
        <v>464</v>
      </c>
      <c r="G2785" t="s">
        <v>18</v>
      </c>
      <c r="H2785" t="s">
        <v>190</v>
      </c>
    </row>
    <row r="2786" spans="1:8" x14ac:dyDescent="0.3">
      <c r="A2786" t="s">
        <v>998</v>
      </c>
      <c r="B2786">
        <v>13</v>
      </c>
      <c r="C2786" t="s">
        <v>1047</v>
      </c>
      <c r="D2786" s="1">
        <v>0.875</v>
      </c>
      <c r="E2786" t="s">
        <v>25</v>
      </c>
      <c r="F2786" t="s">
        <v>28</v>
      </c>
      <c r="G2786" t="s">
        <v>12</v>
      </c>
      <c r="H2786" t="s">
        <v>181</v>
      </c>
    </row>
    <row r="2787" spans="1:8" x14ac:dyDescent="0.3">
      <c r="A2787" t="s">
        <v>998</v>
      </c>
      <c r="B2787">
        <v>13</v>
      </c>
      <c r="C2787" t="s">
        <v>1048</v>
      </c>
      <c r="D2787" s="1">
        <v>0.58333333333333337</v>
      </c>
      <c r="E2787" t="s">
        <v>10</v>
      </c>
      <c r="F2787" t="s">
        <v>187</v>
      </c>
      <c r="G2787" s="2">
        <v>46023</v>
      </c>
      <c r="H2787" t="s">
        <v>1001</v>
      </c>
    </row>
    <row r="2788" spans="1:8" x14ac:dyDescent="0.3">
      <c r="A2788" t="s">
        <v>998</v>
      </c>
      <c r="B2788">
        <v>13</v>
      </c>
      <c r="C2788" t="s">
        <v>1048</v>
      </c>
      <c r="D2788" s="1">
        <v>0.67708333333333337</v>
      </c>
      <c r="E2788" t="s">
        <v>26</v>
      </c>
      <c r="F2788" t="s">
        <v>34</v>
      </c>
      <c r="G2788" s="2">
        <v>46023</v>
      </c>
      <c r="H2788" t="s">
        <v>887</v>
      </c>
    </row>
    <row r="2789" spans="1:8" x14ac:dyDescent="0.3">
      <c r="A2789" t="s">
        <v>998</v>
      </c>
      <c r="B2789">
        <v>13</v>
      </c>
      <c r="C2789" t="s">
        <v>1048</v>
      </c>
      <c r="D2789" s="1">
        <v>0.77083333333333337</v>
      </c>
      <c r="E2789" t="s">
        <v>31</v>
      </c>
      <c r="F2789" t="s">
        <v>24</v>
      </c>
      <c r="G2789" t="s">
        <v>42</v>
      </c>
      <c r="H2789" t="s">
        <v>614</v>
      </c>
    </row>
    <row r="2790" spans="1:8" x14ac:dyDescent="0.3">
      <c r="A2790" t="s">
        <v>998</v>
      </c>
      <c r="B2790">
        <v>13</v>
      </c>
      <c r="C2790" t="s">
        <v>1048</v>
      </c>
      <c r="D2790" s="1">
        <v>0.875</v>
      </c>
      <c r="E2790" t="s">
        <v>20</v>
      </c>
      <c r="F2790" t="s">
        <v>21</v>
      </c>
      <c r="G2790" t="s">
        <v>18</v>
      </c>
      <c r="H2790" t="s">
        <v>341</v>
      </c>
    </row>
    <row r="2791" spans="1:8" x14ac:dyDescent="0.3">
      <c r="A2791" t="s">
        <v>998</v>
      </c>
      <c r="B2791">
        <v>13</v>
      </c>
      <c r="C2791" t="s">
        <v>1049</v>
      </c>
      <c r="D2791" s="1">
        <v>0.875</v>
      </c>
      <c r="E2791" t="s">
        <v>35</v>
      </c>
      <c r="F2791" t="s">
        <v>1000</v>
      </c>
      <c r="G2791" t="s">
        <v>88</v>
      </c>
      <c r="H2791" t="s">
        <v>747</v>
      </c>
    </row>
    <row r="2792" spans="1:8" x14ac:dyDescent="0.3">
      <c r="A2792" t="s">
        <v>998</v>
      </c>
      <c r="B2792">
        <v>14</v>
      </c>
      <c r="C2792" t="s">
        <v>1050</v>
      </c>
      <c r="D2792" s="1">
        <v>0.875</v>
      </c>
      <c r="E2792" t="s">
        <v>15</v>
      </c>
      <c r="F2792" t="s">
        <v>750</v>
      </c>
      <c r="G2792" t="s">
        <v>12</v>
      </c>
      <c r="H2792" t="s">
        <v>887</v>
      </c>
    </row>
    <row r="2793" spans="1:8" x14ac:dyDescent="0.3">
      <c r="A2793" t="s">
        <v>998</v>
      </c>
      <c r="B2793">
        <v>14</v>
      </c>
      <c r="C2793" t="s">
        <v>1051</v>
      </c>
      <c r="D2793" s="1">
        <v>0.58333333333333337</v>
      </c>
      <c r="E2793" t="s">
        <v>28</v>
      </c>
      <c r="F2793" t="s">
        <v>31</v>
      </c>
      <c r="G2793" s="2">
        <v>46025</v>
      </c>
      <c r="H2793" t="s">
        <v>198</v>
      </c>
    </row>
    <row r="2794" spans="1:8" x14ac:dyDescent="0.3">
      <c r="A2794" t="s">
        <v>998</v>
      </c>
      <c r="B2794">
        <v>14</v>
      </c>
      <c r="C2794" t="s">
        <v>1051</v>
      </c>
      <c r="D2794" s="1">
        <v>0.67708333333333337</v>
      </c>
      <c r="E2794" t="s">
        <v>20</v>
      </c>
      <c r="F2794" t="s">
        <v>16</v>
      </c>
      <c r="G2794" s="2">
        <v>46055</v>
      </c>
      <c r="H2794" t="s">
        <v>185</v>
      </c>
    </row>
    <row r="2795" spans="1:8" x14ac:dyDescent="0.3">
      <c r="A2795" t="s">
        <v>998</v>
      </c>
      <c r="B2795">
        <v>14</v>
      </c>
      <c r="C2795" t="s">
        <v>1051</v>
      </c>
      <c r="D2795" s="1">
        <v>0.77083333333333337</v>
      </c>
      <c r="E2795" t="s">
        <v>21</v>
      </c>
      <c r="F2795" t="s">
        <v>10</v>
      </c>
      <c r="G2795" s="2">
        <v>46024</v>
      </c>
      <c r="H2795" t="s">
        <v>883</v>
      </c>
    </row>
    <row r="2796" spans="1:8" x14ac:dyDescent="0.3">
      <c r="A2796" t="s">
        <v>998</v>
      </c>
      <c r="B2796">
        <v>14</v>
      </c>
      <c r="C2796" t="s">
        <v>1051</v>
      </c>
      <c r="D2796" s="1">
        <v>0.77083333333333337</v>
      </c>
      <c r="E2796" t="s">
        <v>23</v>
      </c>
      <c r="F2796" t="s">
        <v>34</v>
      </c>
      <c r="G2796" s="2">
        <v>46082</v>
      </c>
      <c r="H2796" t="s">
        <v>1007</v>
      </c>
    </row>
    <row r="2797" spans="1:8" x14ac:dyDescent="0.3">
      <c r="A2797" t="s">
        <v>998</v>
      </c>
      <c r="B2797">
        <v>14</v>
      </c>
      <c r="C2797" t="s">
        <v>1051</v>
      </c>
      <c r="D2797" s="1">
        <v>0.875</v>
      </c>
      <c r="E2797" t="s">
        <v>27</v>
      </c>
      <c r="F2797" t="s">
        <v>14</v>
      </c>
      <c r="G2797" s="2">
        <v>46023</v>
      </c>
      <c r="H2797" t="s">
        <v>194</v>
      </c>
    </row>
    <row r="2798" spans="1:8" x14ac:dyDescent="0.3">
      <c r="A2798" t="s">
        <v>998</v>
      </c>
      <c r="B2798">
        <v>14</v>
      </c>
      <c r="C2798" t="s">
        <v>1052</v>
      </c>
      <c r="D2798" s="1">
        <v>0.58333333333333337</v>
      </c>
      <c r="E2798" t="s">
        <v>35</v>
      </c>
      <c r="F2798" t="s">
        <v>464</v>
      </c>
      <c r="G2798" t="s">
        <v>12</v>
      </c>
      <c r="H2798" t="s">
        <v>612</v>
      </c>
    </row>
    <row r="2799" spans="1:8" x14ac:dyDescent="0.3">
      <c r="A2799" t="s">
        <v>998</v>
      </c>
      <c r="B2799">
        <v>14</v>
      </c>
      <c r="C2799" t="s">
        <v>1052</v>
      </c>
      <c r="D2799" s="1">
        <v>0.67708333333333337</v>
      </c>
      <c r="E2799" t="s">
        <v>24</v>
      </c>
      <c r="F2799" t="s">
        <v>26</v>
      </c>
      <c r="G2799" t="s">
        <v>12</v>
      </c>
      <c r="H2799" t="s">
        <v>345</v>
      </c>
    </row>
    <row r="2800" spans="1:8" x14ac:dyDescent="0.3">
      <c r="A2800" t="s">
        <v>998</v>
      </c>
      <c r="B2800">
        <v>14</v>
      </c>
      <c r="C2800" t="s">
        <v>1052</v>
      </c>
      <c r="D2800" s="1">
        <v>0.77083333333333337</v>
      </c>
      <c r="E2800" t="s">
        <v>1000</v>
      </c>
      <c r="F2800" t="s">
        <v>11</v>
      </c>
      <c r="G2800" t="s">
        <v>54</v>
      </c>
      <c r="H2800" t="s">
        <v>197</v>
      </c>
    </row>
    <row r="2801" spans="1:8" x14ac:dyDescent="0.3">
      <c r="A2801" t="s">
        <v>998</v>
      </c>
      <c r="B2801">
        <v>14</v>
      </c>
      <c r="C2801" t="s">
        <v>1052</v>
      </c>
      <c r="D2801" s="1">
        <v>0.875</v>
      </c>
      <c r="E2801" t="s">
        <v>187</v>
      </c>
      <c r="F2801" t="s">
        <v>25</v>
      </c>
      <c r="G2801" s="2">
        <v>46082</v>
      </c>
      <c r="H2801" t="s">
        <v>467</v>
      </c>
    </row>
    <row r="2802" spans="1:8" x14ac:dyDescent="0.3">
      <c r="A2802" t="s">
        <v>998</v>
      </c>
      <c r="B2802">
        <v>15</v>
      </c>
      <c r="C2802" t="s">
        <v>1053</v>
      </c>
      <c r="D2802" s="1">
        <v>0.72916666666666663</v>
      </c>
      <c r="E2802" t="s">
        <v>16</v>
      </c>
      <c r="F2802" t="s">
        <v>27</v>
      </c>
      <c r="G2802" t="s">
        <v>42</v>
      </c>
      <c r="H2802" t="s">
        <v>887</v>
      </c>
    </row>
    <row r="2803" spans="1:8" x14ac:dyDescent="0.3">
      <c r="A2803" t="s">
        <v>998</v>
      </c>
      <c r="B2803">
        <v>15</v>
      </c>
      <c r="C2803" t="s">
        <v>1053</v>
      </c>
      <c r="D2803" s="1">
        <v>0.72916666666666663</v>
      </c>
      <c r="E2803" t="s">
        <v>31</v>
      </c>
      <c r="F2803" t="s">
        <v>23</v>
      </c>
      <c r="G2803" s="2">
        <v>46055</v>
      </c>
      <c r="H2803" t="s">
        <v>341</v>
      </c>
    </row>
    <row r="2804" spans="1:8" x14ac:dyDescent="0.3">
      <c r="A2804" t="s">
        <v>998</v>
      </c>
      <c r="B2804">
        <v>15</v>
      </c>
      <c r="C2804" t="s">
        <v>1053</v>
      </c>
      <c r="D2804" s="1">
        <v>0.82291666666666663</v>
      </c>
      <c r="E2804" t="s">
        <v>750</v>
      </c>
      <c r="F2804" t="s">
        <v>21</v>
      </c>
      <c r="G2804" s="2">
        <v>46023</v>
      </c>
      <c r="H2804" t="s">
        <v>1001</v>
      </c>
    </row>
    <row r="2805" spans="1:8" x14ac:dyDescent="0.3">
      <c r="A2805" t="s">
        <v>998</v>
      </c>
      <c r="B2805">
        <v>15</v>
      </c>
      <c r="C2805" t="s">
        <v>1053</v>
      </c>
      <c r="D2805" s="1">
        <v>0.82291666666666663</v>
      </c>
      <c r="E2805" t="s">
        <v>10</v>
      </c>
      <c r="F2805" t="s">
        <v>28</v>
      </c>
      <c r="G2805" t="s">
        <v>54</v>
      </c>
      <c r="H2805" t="s">
        <v>747</v>
      </c>
    </row>
    <row r="2806" spans="1:8" x14ac:dyDescent="0.3">
      <c r="A2806" t="s">
        <v>998</v>
      </c>
      <c r="B2806">
        <v>15</v>
      </c>
      <c r="C2806" t="s">
        <v>1053</v>
      </c>
      <c r="D2806" s="1">
        <v>0.91666666666666663</v>
      </c>
      <c r="E2806" t="s">
        <v>14</v>
      </c>
      <c r="F2806" t="s">
        <v>20</v>
      </c>
      <c r="G2806" t="s">
        <v>46</v>
      </c>
      <c r="H2806" t="s">
        <v>190</v>
      </c>
    </row>
    <row r="2807" spans="1:8" x14ac:dyDescent="0.3">
      <c r="A2807" t="s">
        <v>998</v>
      </c>
      <c r="B2807">
        <v>15</v>
      </c>
      <c r="C2807" t="s">
        <v>1053</v>
      </c>
      <c r="D2807" s="1">
        <v>0.91666666666666663</v>
      </c>
      <c r="E2807" t="s">
        <v>34</v>
      </c>
      <c r="F2807" t="s">
        <v>15</v>
      </c>
      <c r="G2807" s="2">
        <v>46023</v>
      </c>
      <c r="H2807" t="s">
        <v>609</v>
      </c>
    </row>
    <row r="2808" spans="1:8" x14ac:dyDescent="0.3">
      <c r="A2808" t="s">
        <v>998</v>
      </c>
      <c r="B2808">
        <v>15</v>
      </c>
      <c r="C2808" t="s">
        <v>1054</v>
      </c>
      <c r="D2808" s="1">
        <v>0.72916666666666663</v>
      </c>
      <c r="E2808" t="s">
        <v>11</v>
      </c>
      <c r="F2808" t="s">
        <v>35</v>
      </c>
      <c r="G2808" s="2">
        <v>46023</v>
      </c>
      <c r="H2808" t="s">
        <v>614</v>
      </c>
    </row>
    <row r="2809" spans="1:8" x14ac:dyDescent="0.3">
      <c r="A2809" t="s">
        <v>998</v>
      </c>
      <c r="B2809">
        <v>15</v>
      </c>
      <c r="C2809" t="s">
        <v>1054</v>
      </c>
      <c r="D2809" s="1">
        <v>0.82291666666666663</v>
      </c>
      <c r="E2809" t="s">
        <v>25</v>
      </c>
      <c r="F2809" t="s">
        <v>24</v>
      </c>
      <c r="G2809" t="s">
        <v>12</v>
      </c>
      <c r="H2809" t="s">
        <v>205</v>
      </c>
    </row>
    <row r="2810" spans="1:8" x14ac:dyDescent="0.3">
      <c r="A2810" t="s">
        <v>998</v>
      </c>
      <c r="B2810">
        <v>15</v>
      </c>
      <c r="C2810" t="s">
        <v>1054</v>
      </c>
      <c r="D2810" s="1">
        <v>0.91666666666666663</v>
      </c>
      <c r="E2810" t="s">
        <v>464</v>
      </c>
      <c r="F2810" t="s">
        <v>187</v>
      </c>
      <c r="G2810" s="2">
        <v>46024</v>
      </c>
      <c r="H2810" t="s">
        <v>184</v>
      </c>
    </row>
    <row r="2811" spans="1:8" x14ac:dyDescent="0.3">
      <c r="A2811" t="s">
        <v>998</v>
      </c>
      <c r="B2811">
        <v>15</v>
      </c>
      <c r="C2811" t="s">
        <v>1054</v>
      </c>
      <c r="D2811" s="1">
        <v>0.91666666666666663</v>
      </c>
      <c r="E2811" t="s">
        <v>26</v>
      </c>
      <c r="F2811" t="s">
        <v>1000</v>
      </c>
      <c r="G2811" t="s">
        <v>18</v>
      </c>
      <c r="H2811" t="s">
        <v>181</v>
      </c>
    </row>
    <row r="2812" spans="1:8" x14ac:dyDescent="0.3">
      <c r="A2812" t="s">
        <v>998</v>
      </c>
      <c r="B2812">
        <v>16</v>
      </c>
      <c r="C2812" t="s">
        <v>1055</v>
      </c>
      <c r="D2812" s="1">
        <v>0.70833333333333337</v>
      </c>
      <c r="E2812" t="s">
        <v>27</v>
      </c>
      <c r="F2812" t="s">
        <v>34</v>
      </c>
      <c r="G2812" t="s">
        <v>12</v>
      </c>
      <c r="H2812" t="s">
        <v>883</v>
      </c>
    </row>
    <row r="2813" spans="1:8" x14ac:dyDescent="0.3">
      <c r="A2813" t="s">
        <v>998</v>
      </c>
      <c r="B2813">
        <v>16</v>
      </c>
      <c r="C2813" t="s">
        <v>1055</v>
      </c>
      <c r="D2813" s="1">
        <v>0.80208333333333337</v>
      </c>
      <c r="E2813" t="s">
        <v>20</v>
      </c>
      <c r="F2813" t="s">
        <v>187</v>
      </c>
      <c r="G2813" s="2">
        <v>46023</v>
      </c>
      <c r="H2813" t="s">
        <v>612</v>
      </c>
    </row>
    <row r="2814" spans="1:8" x14ac:dyDescent="0.3">
      <c r="A2814" t="s">
        <v>998</v>
      </c>
      <c r="B2814">
        <v>16</v>
      </c>
      <c r="C2814" t="s">
        <v>1055</v>
      </c>
      <c r="D2814" s="1">
        <v>0.89583333333333337</v>
      </c>
      <c r="E2814" t="s">
        <v>1000</v>
      </c>
      <c r="F2814" t="s">
        <v>14</v>
      </c>
      <c r="G2814" t="s">
        <v>41</v>
      </c>
      <c r="H2814" t="s">
        <v>185</v>
      </c>
    </row>
    <row r="2815" spans="1:8" x14ac:dyDescent="0.3">
      <c r="A2815" t="s">
        <v>998</v>
      </c>
      <c r="B2815">
        <v>16</v>
      </c>
      <c r="C2815" t="s">
        <v>1055</v>
      </c>
      <c r="D2815" s="1">
        <v>0.89583333333333337</v>
      </c>
      <c r="E2815" t="s">
        <v>21</v>
      </c>
      <c r="F2815" t="s">
        <v>26</v>
      </c>
      <c r="G2815" s="2">
        <v>46085</v>
      </c>
      <c r="H2815" t="s">
        <v>198</v>
      </c>
    </row>
    <row r="2816" spans="1:8" x14ac:dyDescent="0.3">
      <c r="A2816" t="s">
        <v>998</v>
      </c>
      <c r="B2816">
        <v>16</v>
      </c>
      <c r="C2816" t="s">
        <v>1056</v>
      </c>
      <c r="D2816" s="1">
        <v>0.70833333333333337</v>
      </c>
      <c r="E2816" t="s">
        <v>24</v>
      </c>
      <c r="F2816" t="s">
        <v>16</v>
      </c>
      <c r="G2816" s="2">
        <v>46024</v>
      </c>
      <c r="H2816" t="s">
        <v>752</v>
      </c>
    </row>
    <row r="2817" spans="1:8" x14ac:dyDescent="0.3">
      <c r="A2817" t="s">
        <v>998</v>
      </c>
      <c r="B2817">
        <v>16</v>
      </c>
      <c r="C2817" t="s">
        <v>1056</v>
      </c>
      <c r="D2817" s="1">
        <v>0.80208333333333337</v>
      </c>
      <c r="E2817" t="s">
        <v>28</v>
      </c>
      <c r="F2817" t="s">
        <v>11</v>
      </c>
      <c r="G2817" t="s">
        <v>18</v>
      </c>
      <c r="H2817" t="s">
        <v>194</v>
      </c>
    </row>
    <row r="2818" spans="1:8" x14ac:dyDescent="0.3">
      <c r="A2818" t="s">
        <v>998</v>
      </c>
      <c r="B2818">
        <v>16</v>
      </c>
      <c r="C2818" t="s">
        <v>1056</v>
      </c>
      <c r="D2818" s="1">
        <v>0.80208333333333337</v>
      </c>
      <c r="E2818" t="s">
        <v>35</v>
      </c>
      <c r="F2818" t="s">
        <v>750</v>
      </c>
      <c r="G2818" s="2">
        <v>46024</v>
      </c>
      <c r="H2818" t="s">
        <v>467</v>
      </c>
    </row>
    <row r="2819" spans="1:8" x14ac:dyDescent="0.3">
      <c r="A2819" t="s">
        <v>998</v>
      </c>
      <c r="B2819">
        <v>16</v>
      </c>
      <c r="C2819" t="s">
        <v>1056</v>
      </c>
      <c r="D2819" s="1">
        <v>0.89583333333333337</v>
      </c>
      <c r="E2819" t="s">
        <v>31</v>
      </c>
      <c r="F2819" t="s">
        <v>25</v>
      </c>
      <c r="G2819" s="2">
        <v>46023</v>
      </c>
      <c r="H2819" t="s">
        <v>1007</v>
      </c>
    </row>
    <row r="2820" spans="1:8" x14ac:dyDescent="0.3">
      <c r="A2820" t="s">
        <v>998</v>
      </c>
      <c r="B2820">
        <v>16</v>
      </c>
      <c r="C2820" t="s">
        <v>1057</v>
      </c>
      <c r="D2820" s="1">
        <v>0.58333333333333337</v>
      </c>
      <c r="E2820" t="s">
        <v>15</v>
      </c>
      <c r="F2820" t="s">
        <v>10</v>
      </c>
      <c r="G2820" t="s">
        <v>42</v>
      </c>
      <c r="H2820" t="s">
        <v>345</v>
      </c>
    </row>
    <row r="2821" spans="1:8" x14ac:dyDescent="0.3">
      <c r="A2821" t="s">
        <v>998</v>
      </c>
      <c r="B2821">
        <v>16</v>
      </c>
      <c r="C2821" t="s">
        <v>1057</v>
      </c>
      <c r="D2821" s="1">
        <v>0.67708333333333337</v>
      </c>
      <c r="E2821" t="s">
        <v>23</v>
      </c>
      <c r="F2821" t="s">
        <v>464</v>
      </c>
      <c r="G2821" s="2">
        <v>46023</v>
      </c>
      <c r="H2821" t="s">
        <v>197</v>
      </c>
    </row>
    <row r="2822" spans="1:8" x14ac:dyDescent="0.3">
      <c r="A2822" t="s">
        <v>998</v>
      </c>
      <c r="B2822">
        <v>17</v>
      </c>
      <c r="C2822" t="s">
        <v>1058</v>
      </c>
      <c r="D2822" s="1">
        <v>0.58333333333333337</v>
      </c>
      <c r="E2822" t="s">
        <v>34</v>
      </c>
      <c r="F2822" t="s">
        <v>21</v>
      </c>
      <c r="G2822" s="2">
        <v>46024</v>
      </c>
      <c r="H2822" t="s">
        <v>614</v>
      </c>
    </row>
    <row r="2823" spans="1:8" x14ac:dyDescent="0.3">
      <c r="A2823" t="s">
        <v>998</v>
      </c>
      <c r="B2823">
        <v>17</v>
      </c>
      <c r="C2823" t="s">
        <v>1058</v>
      </c>
      <c r="D2823" s="1">
        <v>0.67708333333333337</v>
      </c>
      <c r="E2823" t="s">
        <v>26</v>
      </c>
      <c r="F2823" t="s">
        <v>27</v>
      </c>
      <c r="G2823" s="2">
        <v>46023</v>
      </c>
      <c r="H2823" t="s">
        <v>184</v>
      </c>
    </row>
    <row r="2824" spans="1:8" x14ac:dyDescent="0.3">
      <c r="A2824" t="s">
        <v>998</v>
      </c>
      <c r="B2824">
        <v>17</v>
      </c>
      <c r="C2824" t="s">
        <v>1058</v>
      </c>
      <c r="D2824" s="1">
        <v>0.77083333333333337</v>
      </c>
      <c r="E2824" t="s">
        <v>11</v>
      </c>
      <c r="F2824" t="s">
        <v>14</v>
      </c>
      <c r="G2824" t="s">
        <v>42</v>
      </c>
      <c r="H2824" t="s">
        <v>1001</v>
      </c>
    </row>
    <row r="2825" spans="1:8" x14ac:dyDescent="0.3">
      <c r="A2825" t="s">
        <v>998</v>
      </c>
      <c r="B2825">
        <v>17</v>
      </c>
      <c r="C2825" t="s">
        <v>1058</v>
      </c>
      <c r="D2825" s="1">
        <v>0.875</v>
      </c>
      <c r="E2825" t="s">
        <v>25</v>
      </c>
      <c r="F2825" t="s">
        <v>35</v>
      </c>
      <c r="G2825" t="s">
        <v>12</v>
      </c>
      <c r="H2825" t="s">
        <v>341</v>
      </c>
    </row>
    <row r="2826" spans="1:8" x14ac:dyDescent="0.3">
      <c r="A2826" t="s">
        <v>998</v>
      </c>
      <c r="B2826">
        <v>17</v>
      </c>
      <c r="C2826" t="s">
        <v>1059</v>
      </c>
      <c r="D2826" s="1">
        <v>0.58333333333333337</v>
      </c>
      <c r="E2826" t="s">
        <v>15</v>
      </c>
      <c r="F2826" t="s">
        <v>31</v>
      </c>
      <c r="G2826" t="s">
        <v>18</v>
      </c>
      <c r="H2826" t="s">
        <v>190</v>
      </c>
    </row>
    <row r="2827" spans="1:8" x14ac:dyDescent="0.3">
      <c r="A2827" t="s">
        <v>998</v>
      </c>
      <c r="B2827">
        <v>17</v>
      </c>
      <c r="C2827" t="s">
        <v>1059</v>
      </c>
      <c r="D2827" s="1">
        <v>0.67708333333333337</v>
      </c>
      <c r="E2827" t="s">
        <v>464</v>
      </c>
      <c r="F2827" t="s">
        <v>28</v>
      </c>
      <c r="G2827" s="2">
        <v>46054</v>
      </c>
      <c r="H2827" t="s">
        <v>205</v>
      </c>
    </row>
    <row r="2828" spans="1:8" x14ac:dyDescent="0.3">
      <c r="A2828" t="s">
        <v>998</v>
      </c>
      <c r="B2828">
        <v>17</v>
      </c>
      <c r="C2828" t="s">
        <v>1059</v>
      </c>
      <c r="D2828" s="1">
        <v>0.77083333333333337</v>
      </c>
      <c r="E2828" t="s">
        <v>187</v>
      </c>
      <c r="F2828" t="s">
        <v>24</v>
      </c>
      <c r="G2828" t="s">
        <v>12</v>
      </c>
      <c r="H2828" t="s">
        <v>181</v>
      </c>
    </row>
    <row r="2829" spans="1:8" x14ac:dyDescent="0.3">
      <c r="A2829" t="s">
        <v>998</v>
      </c>
      <c r="B2829">
        <v>17</v>
      </c>
      <c r="C2829" t="s">
        <v>1059</v>
      </c>
      <c r="D2829" s="1">
        <v>0.77083333333333337</v>
      </c>
      <c r="E2829" t="s">
        <v>10</v>
      </c>
      <c r="F2829" t="s">
        <v>23</v>
      </c>
      <c r="G2829" s="2">
        <v>46023</v>
      </c>
      <c r="H2829" t="s">
        <v>887</v>
      </c>
    </row>
    <row r="2830" spans="1:8" x14ac:dyDescent="0.3">
      <c r="A2830" t="s">
        <v>998</v>
      </c>
      <c r="B2830">
        <v>17</v>
      </c>
      <c r="C2830" t="s">
        <v>1059</v>
      </c>
      <c r="D2830" s="1">
        <v>0.875</v>
      </c>
      <c r="E2830" t="s">
        <v>750</v>
      </c>
      <c r="F2830" t="s">
        <v>20</v>
      </c>
      <c r="G2830" t="s">
        <v>42</v>
      </c>
      <c r="H2830" t="s">
        <v>747</v>
      </c>
    </row>
    <row r="2831" spans="1:8" x14ac:dyDescent="0.3">
      <c r="A2831" t="s">
        <v>998</v>
      </c>
      <c r="B2831">
        <v>17</v>
      </c>
      <c r="C2831" t="s">
        <v>1060</v>
      </c>
      <c r="D2831" s="1">
        <v>0.875</v>
      </c>
      <c r="E2831" t="s">
        <v>16</v>
      </c>
      <c r="F2831" t="s">
        <v>1000</v>
      </c>
      <c r="G2831" s="2">
        <v>46023</v>
      </c>
      <c r="H2831" t="s">
        <v>609</v>
      </c>
    </row>
    <row r="2832" spans="1:8" x14ac:dyDescent="0.3">
      <c r="A2832" t="s">
        <v>998</v>
      </c>
      <c r="B2832">
        <v>18</v>
      </c>
      <c r="C2832" t="s">
        <v>1061</v>
      </c>
      <c r="D2832" s="1">
        <v>0.875</v>
      </c>
      <c r="E2832" t="s">
        <v>35</v>
      </c>
      <c r="F2832" t="s">
        <v>34</v>
      </c>
      <c r="G2832" t="s">
        <v>53</v>
      </c>
      <c r="H2832" t="s">
        <v>198</v>
      </c>
    </row>
    <row r="2833" spans="1:8" x14ac:dyDescent="0.3">
      <c r="A2833" t="s">
        <v>998</v>
      </c>
      <c r="B2833">
        <v>18</v>
      </c>
      <c r="C2833" t="s">
        <v>1062</v>
      </c>
      <c r="D2833" s="1">
        <v>0.58333333333333337</v>
      </c>
      <c r="E2833" t="s">
        <v>27</v>
      </c>
      <c r="F2833" t="s">
        <v>10</v>
      </c>
      <c r="G2833" s="2">
        <v>46056</v>
      </c>
      <c r="H2833" t="s">
        <v>612</v>
      </c>
    </row>
    <row r="2834" spans="1:8" x14ac:dyDescent="0.3">
      <c r="A2834" t="s">
        <v>998</v>
      </c>
      <c r="B2834">
        <v>18</v>
      </c>
      <c r="C2834" t="s">
        <v>1062</v>
      </c>
      <c r="D2834" s="1">
        <v>0.77083333333333337</v>
      </c>
      <c r="E2834" t="s">
        <v>24</v>
      </c>
      <c r="F2834" t="s">
        <v>20</v>
      </c>
      <c r="G2834" t="s">
        <v>53</v>
      </c>
      <c r="H2834" t="s">
        <v>341</v>
      </c>
    </row>
    <row r="2835" spans="1:8" x14ac:dyDescent="0.3">
      <c r="A2835" t="s">
        <v>998</v>
      </c>
      <c r="B2835">
        <v>18</v>
      </c>
      <c r="C2835" t="s">
        <v>1062</v>
      </c>
      <c r="D2835" s="1">
        <v>0.875</v>
      </c>
      <c r="E2835" t="s">
        <v>23</v>
      </c>
      <c r="F2835" t="s">
        <v>25</v>
      </c>
      <c r="G2835" t="s">
        <v>41</v>
      </c>
      <c r="H2835" t="s">
        <v>883</v>
      </c>
    </row>
    <row r="2836" spans="1:8" x14ac:dyDescent="0.3">
      <c r="A2836" t="s">
        <v>998</v>
      </c>
      <c r="B2836">
        <v>18</v>
      </c>
      <c r="C2836" t="s">
        <v>1063</v>
      </c>
      <c r="D2836" s="1">
        <v>0.58333333333333337</v>
      </c>
      <c r="E2836" t="s">
        <v>21</v>
      </c>
      <c r="F2836" t="s">
        <v>187</v>
      </c>
      <c r="G2836" s="2">
        <v>46024</v>
      </c>
      <c r="H2836" t="s">
        <v>198</v>
      </c>
    </row>
    <row r="2837" spans="1:8" x14ac:dyDescent="0.3">
      <c r="A2837" t="s">
        <v>998</v>
      </c>
      <c r="B2837">
        <v>18</v>
      </c>
      <c r="C2837" t="s">
        <v>1063</v>
      </c>
      <c r="D2837" s="1">
        <v>0.67708333333333337</v>
      </c>
      <c r="E2837" t="s">
        <v>1000</v>
      </c>
      <c r="F2837" t="s">
        <v>464</v>
      </c>
      <c r="G2837" s="2">
        <v>46025</v>
      </c>
      <c r="H2837" t="s">
        <v>345</v>
      </c>
    </row>
    <row r="2838" spans="1:8" x14ac:dyDescent="0.3">
      <c r="A2838" t="s">
        <v>998</v>
      </c>
      <c r="B2838">
        <v>18</v>
      </c>
      <c r="C2838" t="s">
        <v>1063</v>
      </c>
      <c r="D2838" s="1">
        <v>0.875</v>
      </c>
      <c r="E2838" t="s">
        <v>14</v>
      </c>
      <c r="F2838" t="s">
        <v>16</v>
      </c>
      <c r="G2838" t="s">
        <v>42</v>
      </c>
      <c r="H2838" t="s">
        <v>747</v>
      </c>
    </row>
    <row r="2839" spans="1:8" x14ac:dyDescent="0.3">
      <c r="A2839" t="s">
        <v>998</v>
      </c>
      <c r="B2839">
        <v>18</v>
      </c>
      <c r="C2839" t="s">
        <v>1064</v>
      </c>
      <c r="D2839" s="1">
        <v>0.79166666666666663</v>
      </c>
      <c r="E2839" t="s">
        <v>31</v>
      </c>
      <c r="F2839" t="s">
        <v>11</v>
      </c>
      <c r="G2839" s="2">
        <v>46082</v>
      </c>
      <c r="H2839" t="s">
        <v>467</v>
      </c>
    </row>
    <row r="2840" spans="1:8" x14ac:dyDescent="0.3">
      <c r="A2840" t="s">
        <v>998</v>
      </c>
      <c r="B2840">
        <v>18</v>
      </c>
      <c r="C2840" t="s">
        <v>1064</v>
      </c>
      <c r="D2840" s="1">
        <v>0.875</v>
      </c>
      <c r="E2840" t="s">
        <v>750</v>
      </c>
      <c r="F2840" t="s">
        <v>26</v>
      </c>
      <c r="G2840" t="s">
        <v>54</v>
      </c>
      <c r="H2840" t="s">
        <v>752</v>
      </c>
    </row>
    <row r="2841" spans="1:8" x14ac:dyDescent="0.3">
      <c r="A2841" t="s">
        <v>998</v>
      </c>
      <c r="B2841">
        <v>18</v>
      </c>
      <c r="C2841" t="s">
        <v>1065</v>
      </c>
      <c r="D2841" s="1">
        <v>0.79166666666666663</v>
      </c>
      <c r="E2841" t="s">
        <v>28</v>
      </c>
      <c r="F2841" t="s">
        <v>15</v>
      </c>
      <c r="G2841" s="2">
        <v>46024</v>
      </c>
      <c r="H2841" t="s">
        <v>194</v>
      </c>
    </row>
    <row r="2842" spans="1:8" x14ac:dyDescent="0.3">
      <c r="A2842" t="s">
        <v>998</v>
      </c>
      <c r="B2842">
        <v>19</v>
      </c>
      <c r="C2842" t="s">
        <v>1066</v>
      </c>
      <c r="D2842" s="1">
        <v>0.91666666666666663</v>
      </c>
      <c r="E2842" t="s">
        <v>25</v>
      </c>
      <c r="F2842" t="s">
        <v>15</v>
      </c>
      <c r="G2842" s="2">
        <v>46025</v>
      </c>
      <c r="H2842" t="s">
        <v>194</v>
      </c>
    </row>
    <row r="2843" spans="1:8" x14ac:dyDescent="0.3">
      <c r="A2843" t="s">
        <v>998</v>
      </c>
      <c r="B2843">
        <v>19</v>
      </c>
      <c r="C2843" t="s">
        <v>1067</v>
      </c>
      <c r="D2843" s="1">
        <v>0.875</v>
      </c>
      <c r="E2843" t="s">
        <v>20</v>
      </c>
      <c r="F2843" t="s">
        <v>10</v>
      </c>
      <c r="G2843" s="2">
        <v>46024</v>
      </c>
      <c r="H2843" t="s">
        <v>345</v>
      </c>
    </row>
    <row r="2844" spans="1:8" x14ac:dyDescent="0.3">
      <c r="A2844" t="s">
        <v>998</v>
      </c>
      <c r="B2844">
        <v>19</v>
      </c>
      <c r="C2844" t="s">
        <v>1068</v>
      </c>
      <c r="D2844" s="1">
        <v>0.79166666666666663</v>
      </c>
      <c r="E2844" t="s">
        <v>1000</v>
      </c>
      <c r="F2844" t="s">
        <v>21</v>
      </c>
      <c r="G2844" s="2">
        <v>46055</v>
      </c>
      <c r="H2844" t="s">
        <v>184</v>
      </c>
    </row>
    <row r="2845" spans="1:8" x14ac:dyDescent="0.3">
      <c r="A2845" t="s">
        <v>998</v>
      </c>
      <c r="B2845">
        <v>19</v>
      </c>
      <c r="C2845" t="s">
        <v>1068</v>
      </c>
      <c r="D2845" s="1">
        <v>0.79166666666666663</v>
      </c>
      <c r="E2845" t="s">
        <v>14</v>
      </c>
      <c r="F2845" t="s">
        <v>31</v>
      </c>
      <c r="G2845" s="2">
        <v>46055</v>
      </c>
      <c r="H2845" t="s">
        <v>197</v>
      </c>
    </row>
    <row r="2846" spans="1:8" x14ac:dyDescent="0.3">
      <c r="A2846" t="s">
        <v>998</v>
      </c>
      <c r="B2846">
        <v>19</v>
      </c>
      <c r="C2846" t="s">
        <v>1068</v>
      </c>
      <c r="D2846" s="1">
        <v>0.89583333333333337</v>
      </c>
      <c r="E2846" t="s">
        <v>464</v>
      </c>
      <c r="F2846" t="s">
        <v>27</v>
      </c>
      <c r="G2846" s="2">
        <v>46054</v>
      </c>
      <c r="H2846" t="s">
        <v>1001</v>
      </c>
    </row>
    <row r="2847" spans="1:8" x14ac:dyDescent="0.3">
      <c r="A2847" t="s">
        <v>998</v>
      </c>
      <c r="B2847">
        <v>19</v>
      </c>
      <c r="C2847" t="s">
        <v>1069</v>
      </c>
      <c r="D2847" s="1">
        <v>0.79166666666666663</v>
      </c>
      <c r="E2847" t="s">
        <v>11</v>
      </c>
      <c r="F2847" t="s">
        <v>750</v>
      </c>
      <c r="G2847" t="s">
        <v>18</v>
      </c>
      <c r="H2847" t="s">
        <v>609</v>
      </c>
    </row>
    <row r="2848" spans="1:8" x14ac:dyDescent="0.3">
      <c r="A2848" t="s">
        <v>998</v>
      </c>
      <c r="B2848">
        <v>19</v>
      </c>
      <c r="C2848" t="s">
        <v>1069</v>
      </c>
      <c r="D2848" s="1">
        <v>0.875</v>
      </c>
      <c r="E2848" t="s">
        <v>26</v>
      </c>
      <c r="F2848" t="s">
        <v>35</v>
      </c>
      <c r="G2848" s="2">
        <v>46024</v>
      </c>
      <c r="H2848" t="s">
        <v>205</v>
      </c>
    </row>
    <row r="2849" spans="1:8" x14ac:dyDescent="0.3">
      <c r="A2849" t="s">
        <v>998</v>
      </c>
      <c r="B2849">
        <v>19</v>
      </c>
      <c r="C2849" t="s">
        <v>1069</v>
      </c>
      <c r="D2849" s="1">
        <v>0.89583333333333337</v>
      </c>
      <c r="E2849" t="s">
        <v>34</v>
      </c>
      <c r="F2849" t="s">
        <v>24</v>
      </c>
      <c r="G2849" s="2">
        <v>46055</v>
      </c>
      <c r="H2849" t="s">
        <v>887</v>
      </c>
    </row>
    <row r="2850" spans="1:8" x14ac:dyDescent="0.3">
      <c r="A2850" t="s">
        <v>998</v>
      </c>
      <c r="B2850">
        <v>19</v>
      </c>
      <c r="C2850" t="s">
        <v>1070</v>
      </c>
      <c r="D2850" s="1">
        <v>0.79166666666666663</v>
      </c>
      <c r="E2850" t="s">
        <v>16</v>
      </c>
      <c r="F2850" t="s">
        <v>23</v>
      </c>
      <c r="G2850" s="2">
        <v>46023</v>
      </c>
      <c r="H2850" t="s">
        <v>185</v>
      </c>
    </row>
    <row r="2851" spans="1:8" x14ac:dyDescent="0.3">
      <c r="A2851" t="s">
        <v>998</v>
      </c>
      <c r="B2851">
        <v>19</v>
      </c>
      <c r="C2851" t="s">
        <v>1070</v>
      </c>
      <c r="D2851" s="1">
        <v>0.89583333333333337</v>
      </c>
      <c r="E2851" t="s">
        <v>187</v>
      </c>
      <c r="F2851" t="s">
        <v>28</v>
      </c>
      <c r="G2851" s="2">
        <v>46054</v>
      </c>
      <c r="H2851" t="s">
        <v>190</v>
      </c>
    </row>
    <row r="2852" spans="1:8" x14ac:dyDescent="0.3">
      <c r="A2852" t="s">
        <v>998</v>
      </c>
      <c r="B2852">
        <v>20</v>
      </c>
      <c r="C2852" t="s">
        <v>1071</v>
      </c>
      <c r="D2852" s="1">
        <v>0.875</v>
      </c>
      <c r="E2852" t="s">
        <v>21</v>
      </c>
      <c r="F2852" t="s">
        <v>14</v>
      </c>
      <c r="G2852" s="2">
        <v>46055</v>
      </c>
      <c r="H2852" t="s">
        <v>467</v>
      </c>
    </row>
    <row r="2853" spans="1:8" x14ac:dyDescent="0.3">
      <c r="A2853" t="s">
        <v>998</v>
      </c>
      <c r="B2853">
        <v>20</v>
      </c>
      <c r="C2853" t="s">
        <v>1072</v>
      </c>
      <c r="D2853" s="1">
        <v>0.58333333333333337</v>
      </c>
      <c r="E2853" t="s">
        <v>750</v>
      </c>
      <c r="F2853" t="s">
        <v>34</v>
      </c>
      <c r="G2853" t="s">
        <v>41</v>
      </c>
      <c r="H2853" t="s">
        <v>612</v>
      </c>
    </row>
    <row r="2854" spans="1:8" x14ac:dyDescent="0.3">
      <c r="A2854" t="s">
        <v>998</v>
      </c>
      <c r="B2854">
        <v>20</v>
      </c>
      <c r="C2854" t="s">
        <v>1072</v>
      </c>
      <c r="D2854" s="1">
        <v>0.67708333333333337</v>
      </c>
      <c r="E2854" t="s">
        <v>27</v>
      </c>
      <c r="F2854" t="s">
        <v>1000</v>
      </c>
      <c r="G2854" t="s">
        <v>32</v>
      </c>
      <c r="H2854" t="s">
        <v>747</v>
      </c>
    </row>
    <row r="2855" spans="1:8" x14ac:dyDescent="0.3">
      <c r="A2855" t="s">
        <v>998</v>
      </c>
      <c r="B2855">
        <v>20</v>
      </c>
      <c r="C2855" t="s">
        <v>1072</v>
      </c>
      <c r="D2855" s="1">
        <v>0.77083333333333337</v>
      </c>
      <c r="E2855" t="s">
        <v>10</v>
      </c>
      <c r="F2855" t="s">
        <v>26</v>
      </c>
      <c r="G2855" s="2">
        <v>46055</v>
      </c>
      <c r="H2855" t="s">
        <v>883</v>
      </c>
    </row>
    <row r="2856" spans="1:8" x14ac:dyDescent="0.3">
      <c r="A2856" t="s">
        <v>998</v>
      </c>
      <c r="B2856">
        <v>20</v>
      </c>
      <c r="C2856" t="s">
        <v>1072</v>
      </c>
      <c r="D2856" s="1">
        <v>0.875</v>
      </c>
      <c r="E2856" t="s">
        <v>464</v>
      </c>
      <c r="F2856" t="s">
        <v>25</v>
      </c>
      <c r="G2856" s="2">
        <v>46113</v>
      </c>
      <c r="H2856" t="s">
        <v>185</v>
      </c>
    </row>
    <row r="2857" spans="1:8" x14ac:dyDescent="0.3">
      <c r="A2857" t="s">
        <v>998</v>
      </c>
      <c r="B2857">
        <v>20</v>
      </c>
      <c r="C2857" t="s">
        <v>1073</v>
      </c>
      <c r="D2857" s="1">
        <v>0.58333333333333337</v>
      </c>
      <c r="E2857" t="s">
        <v>23</v>
      </c>
      <c r="F2857" t="s">
        <v>24</v>
      </c>
      <c r="G2857" s="2">
        <v>46025</v>
      </c>
      <c r="H2857" t="s">
        <v>198</v>
      </c>
    </row>
    <row r="2858" spans="1:8" x14ac:dyDescent="0.3">
      <c r="A2858" t="s">
        <v>998</v>
      </c>
      <c r="B2858">
        <v>20</v>
      </c>
      <c r="C2858" t="s">
        <v>1073</v>
      </c>
      <c r="D2858" s="1">
        <v>0.67708333333333337</v>
      </c>
      <c r="E2858" t="s">
        <v>31</v>
      </c>
      <c r="F2858" t="s">
        <v>20</v>
      </c>
      <c r="G2858" t="s">
        <v>54</v>
      </c>
      <c r="H2858" t="s">
        <v>887</v>
      </c>
    </row>
    <row r="2859" spans="1:8" x14ac:dyDescent="0.3">
      <c r="A2859" t="s">
        <v>998</v>
      </c>
      <c r="B2859">
        <v>20</v>
      </c>
      <c r="C2859" t="s">
        <v>1073</v>
      </c>
      <c r="D2859" s="1">
        <v>0.77083333333333337</v>
      </c>
      <c r="E2859" t="s">
        <v>35</v>
      </c>
      <c r="F2859" t="s">
        <v>187</v>
      </c>
      <c r="G2859" s="2">
        <v>46023</v>
      </c>
      <c r="H2859" t="s">
        <v>614</v>
      </c>
    </row>
    <row r="2860" spans="1:8" x14ac:dyDescent="0.3">
      <c r="A2860" t="s">
        <v>998</v>
      </c>
      <c r="B2860">
        <v>20</v>
      </c>
      <c r="C2860" t="s">
        <v>1073</v>
      </c>
      <c r="D2860" s="1">
        <v>0.875</v>
      </c>
      <c r="E2860" t="s">
        <v>28</v>
      </c>
      <c r="F2860" t="s">
        <v>16</v>
      </c>
      <c r="G2860" s="2">
        <v>46025</v>
      </c>
      <c r="H2860" t="s">
        <v>341</v>
      </c>
    </row>
    <row r="2861" spans="1:8" x14ac:dyDescent="0.3">
      <c r="A2861" t="s">
        <v>998</v>
      </c>
      <c r="B2861">
        <v>20</v>
      </c>
      <c r="C2861" t="s">
        <v>1074</v>
      </c>
      <c r="D2861" s="1">
        <v>0.875</v>
      </c>
      <c r="E2861" t="s">
        <v>15</v>
      </c>
      <c r="F2861" t="s">
        <v>11</v>
      </c>
      <c r="G2861" s="2">
        <v>46027</v>
      </c>
      <c r="H2861" t="s">
        <v>752</v>
      </c>
    </row>
    <row r="2862" spans="1:8" x14ac:dyDescent="0.3">
      <c r="A2862" t="s">
        <v>998</v>
      </c>
      <c r="B2862">
        <v>21</v>
      </c>
      <c r="C2862" t="s">
        <v>1075</v>
      </c>
      <c r="D2862" s="1">
        <v>0.875</v>
      </c>
      <c r="E2862" t="s">
        <v>14</v>
      </c>
      <c r="F2862" t="s">
        <v>750</v>
      </c>
      <c r="G2862" s="2">
        <v>46082</v>
      </c>
      <c r="H2862" t="s">
        <v>341</v>
      </c>
    </row>
    <row r="2863" spans="1:8" x14ac:dyDescent="0.3">
      <c r="A2863" t="s">
        <v>998</v>
      </c>
      <c r="B2863">
        <v>21</v>
      </c>
      <c r="C2863" t="s">
        <v>1076</v>
      </c>
      <c r="D2863" s="1">
        <v>0.58333333333333337</v>
      </c>
      <c r="E2863" t="s">
        <v>187</v>
      </c>
      <c r="F2863" t="s">
        <v>27</v>
      </c>
      <c r="G2863" t="s">
        <v>54</v>
      </c>
      <c r="H2863" t="s">
        <v>345</v>
      </c>
    </row>
    <row r="2864" spans="1:8" x14ac:dyDescent="0.3">
      <c r="A2864" t="s">
        <v>998</v>
      </c>
      <c r="B2864">
        <v>21</v>
      </c>
      <c r="C2864" t="s">
        <v>1076</v>
      </c>
      <c r="D2864" s="1">
        <v>0.67708333333333337</v>
      </c>
      <c r="E2864" t="s">
        <v>25</v>
      </c>
      <c r="F2864" t="s">
        <v>21</v>
      </c>
      <c r="G2864" s="2">
        <v>46054</v>
      </c>
      <c r="H2864" t="s">
        <v>609</v>
      </c>
    </row>
    <row r="2865" spans="1:8" x14ac:dyDescent="0.3">
      <c r="A2865" t="s">
        <v>998</v>
      </c>
      <c r="B2865">
        <v>21</v>
      </c>
      <c r="C2865" t="s">
        <v>1076</v>
      </c>
      <c r="D2865" s="1">
        <v>0.77083333333333337</v>
      </c>
      <c r="E2865" t="s">
        <v>16</v>
      </c>
      <c r="F2865" t="s">
        <v>31</v>
      </c>
      <c r="G2865" t="s">
        <v>18</v>
      </c>
      <c r="H2865" t="s">
        <v>614</v>
      </c>
    </row>
    <row r="2866" spans="1:8" x14ac:dyDescent="0.3">
      <c r="A2866" t="s">
        <v>998</v>
      </c>
      <c r="B2866">
        <v>21</v>
      </c>
      <c r="C2866" t="s">
        <v>1076</v>
      </c>
      <c r="D2866" s="1">
        <v>0.875</v>
      </c>
      <c r="E2866" t="s">
        <v>34</v>
      </c>
      <c r="F2866" t="s">
        <v>10</v>
      </c>
      <c r="G2866" s="2">
        <v>46023</v>
      </c>
      <c r="H2866" t="s">
        <v>1001</v>
      </c>
    </row>
    <row r="2867" spans="1:8" x14ac:dyDescent="0.3">
      <c r="A2867" t="s">
        <v>998</v>
      </c>
      <c r="B2867">
        <v>21</v>
      </c>
      <c r="C2867" t="s">
        <v>1077</v>
      </c>
      <c r="D2867" s="1">
        <v>0.58333333333333337</v>
      </c>
      <c r="E2867" t="s">
        <v>11</v>
      </c>
      <c r="F2867" t="s">
        <v>464</v>
      </c>
      <c r="G2867" t="s">
        <v>41</v>
      </c>
      <c r="H2867" t="s">
        <v>197</v>
      </c>
    </row>
    <row r="2868" spans="1:8" x14ac:dyDescent="0.3">
      <c r="A2868" t="s">
        <v>998</v>
      </c>
      <c r="B2868">
        <v>21</v>
      </c>
      <c r="C2868" t="s">
        <v>1077</v>
      </c>
      <c r="D2868" s="1">
        <v>0.67708333333333337</v>
      </c>
      <c r="E2868" t="s">
        <v>1000</v>
      </c>
      <c r="F2868" t="s">
        <v>28</v>
      </c>
      <c r="G2868" s="2">
        <v>46114</v>
      </c>
      <c r="H2868" t="s">
        <v>194</v>
      </c>
    </row>
    <row r="2869" spans="1:8" x14ac:dyDescent="0.3">
      <c r="A2869" t="s">
        <v>998</v>
      </c>
      <c r="B2869">
        <v>21</v>
      </c>
      <c r="C2869" t="s">
        <v>1077</v>
      </c>
      <c r="D2869" s="1">
        <v>0.77083333333333337</v>
      </c>
      <c r="E2869" t="s">
        <v>24</v>
      </c>
      <c r="F2869" t="s">
        <v>35</v>
      </c>
      <c r="G2869" t="s">
        <v>41</v>
      </c>
      <c r="H2869" t="s">
        <v>184</v>
      </c>
    </row>
    <row r="2870" spans="1:8" x14ac:dyDescent="0.3">
      <c r="A2870" t="s">
        <v>998</v>
      </c>
      <c r="B2870">
        <v>21</v>
      </c>
      <c r="C2870" t="s">
        <v>1077</v>
      </c>
      <c r="D2870" s="1">
        <v>0.875</v>
      </c>
      <c r="E2870" t="s">
        <v>20</v>
      </c>
      <c r="F2870" t="s">
        <v>15</v>
      </c>
      <c r="G2870" s="2">
        <v>46024</v>
      </c>
      <c r="H2870" t="s">
        <v>181</v>
      </c>
    </row>
    <row r="2871" spans="1:8" x14ac:dyDescent="0.3">
      <c r="A2871" t="s">
        <v>998</v>
      </c>
      <c r="B2871">
        <v>21</v>
      </c>
      <c r="C2871" t="s">
        <v>1078</v>
      </c>
      <c r="D2871" s="1">
        <v>0.875</v>
      </c>
      <c r="E2871" t="s">
        <v>26</v>
      </c>
      <c r="F2871" t="s">
        <v>23</v>
      </c>
      <c r="G2871" t="s">
        <v>18</v>
      </c>
      <c r="H2871" t="s">
        <v>612</v>
      </c>
    </row>
    <row r="2872" spans="1:8" x14ac:dyDescent="0.3">
      <c r="A2872" t="s">
        <v>998</v>
      </c>
      <c r="B2872">
        <v>22</v>
      </c>
      <c r="C2872" t="s">
        <v>1079</v>
      </c>
      <c r="D2872" s="1">
        <v>0.875</v>
      </c>
      <c r="E2872" t="s">
        <v>464</v>
      </c>
      <c r="F2872" t="s">
        <v>14</v>
      </c>
      <c r="G2872" t="s">
        <v>18</v>
      </c>
      <c r="H2872" t="s">
        <v>883</v>
      </c>
    </row>
    <row r="2873" spans="1:8" x14ac:dyDescent="0.3">
      <c r="A2873" t="s">
        <v>998</v>
      </c>
      <c r="B2873">
        <v>22</v>
      </c>
      <c r="C2873" t="s">
        <v>1080</v>
      </c>
      <c r="D2873" s="1">
        <v>0.58333333333333337</v>
      </c>
      <c r="E2873" t="s">
        <v>21</v>
      </c>
      <c r="F2873" t="s">
        <v>24</v>
      </c>
      <c r="G2873" s="2">
        <v>46055</v>
      </c>
      <c r="H2873" t="s">
        <v>752</v>
      </c>
    </row>
    <row r="2874" spans="1:8" x14ac:dyDescent="0.3">
      <c r="A2874" t="s">
        <v>998</v>
      </c>
      <c r="B2874">
        <v>22</v>
      </c>
      <c r="C2874" t="s">
        <v>1080</v>
      </c>
      <c r="D2874" s="1">
        <v>0.67708333333333337</v>
      </c>
      <c r="E2874" t="s">
        <v>750</v>
      </c>
      <c r="F2874" t="s">
        <v>25</v>
      </c>
      <c r="G2874" s="2">
        <v>46054</v>
      </c>
      <c r="H2874" t="s">
        <v>198</v>
      </c>
    </row>
    <row r="2875" spans="1:8" x14ac:dyDescent="0.3">
      <c r="A2875" t="s">
        <v>998</v>
      </c>
      <c r="B2875">
        <v>22</v>
      </c>
      <c r="C2875" t="s">
        <v>1080</v>
      </c>
      <c r="D2875" s="1">
        <v>0.77083333333333337</v>
      </c>
      <c r="E2875" t="s">
        <v>31</v>
      </c>
      <c r="F2875" t="s">
        <v>34</v>
      </c>
      <c r="G2875" s="2">
        <v>46055</v>
      </c>
      <c r="H2875" t="s">
        <v>190</v>
      </c>
    </row>
    <row r="2876" spans="1:8" x14ac:dyDescent="0.3">
      <c r="A2876" t="s">
        <v>998</v>
      </c>
      <c r="B2876">
        <v>22</v>
      </c>
      <c r="C2876" t="s">
        <v>1080</v>
      </c>
      <c r="D2876" s="1">
        <v>0.875</v>
      </c>
      <c r="E2876" t="s">
        <v>27</v>
      </c>
      <c r="F2876" t="s">
        <v>11</v>
      </c>
      <c r="G2876" t="s">
        <v>32</v>
      </c>
      <c r="H2876" t="s">
        <v>205</v>
      </c>
    </row>
    <row r="2877" spans="1:8" x14ac:dyDescent="0.3">
      <c r="A2877" t="s">
        <v>998</v>
      </c>
      <c r="B2877">
        <v>22</v>
      </c>
      <c r="C2877" t="s">
        <v>1081</v>
      </c>
      <c r="D2877" s="1">
        <v>0.58333333333333337</v>
      </c>
      <c r="E2877" t="s">
        <v>10</v>
      </c>
      <c r="F2877" t="s">
        <v>1000</v>
      </c>
      <c r="G2877" s="2">
        <v>46026</v>
      </c>
      <c r="H2877" t="s">
        <v>887</v>
      </c>
    </row>
    <row r="2878" spans="1:8" x14ac:dyDescent="0.3">
      <c r="A2878" t="s">
        <v>998</v>
      </c>
      <c r="B2878">
        <v>22</v>
      </c>
      <c r="C2878" t="s">
        <v>1081</v>
      </c>
      <c r="D2878" s="1">
        <v>0.67708333333333337</v>
      </c>
      <c r="E2878" t="s">
        <v>15</v>
      </c>
      <c r="F2878" t="s">
        <v>16</v>
      </c>
      <c r="G2878" s="2">
        <v>46023</v>
      </c>
      <c r="H2878" t="s">
        <v>467</v>
      </c>
    </row>
    <row r="2879" spans="1:8" x14ac:dyDescent="0.3">
      <c r="A2879" t="s">
        <v>998</v>
      </c>
      <c r="B2879">
        <v>22</v>
      </c>
      <c r="C2879" t="s">
        <v>1081</v>
      </c>
      <c r="D2879" s="1">
        <v>0.77083333333333337</v>
      </c>
      <c r="E2879" t="s">
        <v>23</v>
      </c>
      <c r="F2879" t="s">
        <v>187</v>
      </c>
      <c r="G2879" s="2">
        <v>46024</v>
      </c>
      <c r="H2879" t="s">
        <v>1007</v>
      </c>
    </row>
    <row r="2880" spans="1:8" x14ac:dyDescent="0.3">
      <c r="A2880" t="s">
        <v>998</v>
      </c>
      <c r="B2880">
        <v>22</v>
      </c>
      <c r="C2880" t="s">
        <v>1081</v>
      </c>
      <c r="D2880" s="1">
        <v>0.875</v>
      </c>
      <c r="E2880" t="s">
        <v>26</v>
      </c>
      <c r="F2880" t="s">
        <v>20</v>
      </c>
      <c r="G2880" s="2">
        <v>46083</v>
      </c>
      <c r="H2880" t="s">
        <v>184</v>
      </c>
    </row>
    <row r="2881" spans="1:8" x14ac:dyDescent="0.3">
      <c r="A2881" t="s">
        <v>998</v>
      </c>
      <c r="B2881">
        <v>22</v>
      </c>
      <c r="C2881" t="s">
        <v>1082</v>
      </c>
      <c r="D2881" s="1">
        <v>0.875</v>
      </c>
      <c r="E2881" t="s">
        <v>28</v>
      </c>
      <c r="F2881" t="s">
        <v>35</v>
      </c>
      <c r="G2881" s="2">
        <v>46055</v>
      </c>
      <c r="H2881" t="s">
        <v>747</v>
      </c>
    </row>
    <row r="2882" spans="1:8" x14ac:dyDescent="0.3">
      <c r="A2882" t="s">
        <v>998</v>
      </c>
      <c r="B2882">
        <v>23</v>
      </c>
      <c r="C2882" t="s">
        <v>1083</v>
      </c>
      <c r="D2882" s="1">
        <v>0.875</v>
      </c>
      <c r="E2882" t="s">
        <v>35</v>
      </c>
      <c r="F2882" t="s">
        <v>31</v>
      </c>
      <c r="G2882" s="2">
        <v>46025</v>
      </c>
      <c r="H2882" t="s">
        <v>341</v>
      </c>
    </row>
    <row r="2883" spans="1:8" x14ac:dyDescent="0.3">
      <c r="A2883" t="s">
        <v>998</v>
      </c>
      <c r="B2883">
        <v>23</v>
      </c>
      <c r="C2883" t="s">
        <v>1084</v>
      </c>
      <c r="D2883" s="1">
        <v>0.58333333333333337</v>
      </c>
      <c r="E2883" t="s">
        <v>24</v>
      </c>
      <c r="F2883" t="s">
        <v>28</v>
      </c>
      <c r="G2883" s="2">
        <v>46054</v>
      </c>
      <c r="H2883" t="s">
        <v>181</v>
      </c>
    </row>
    <row r="2884" spans="1:8" x14ac:dyDescent="0.3">
      <c r="A2884" t="s">
        <v>998</v>
      </c>
      <c r="B2884">
        <v>23</v>
      </c>
      <c r="C2884" t="s">
        <v>1084</v>
      </c>
      <c r="D2884" s="1">
        <v>0.67708333333333337</v>
      </c>
      <c r="E2884" t="s">
        <v>27</v>
      </c>
      <c r="F2884" t="s">
        <v>750</v>
      </c>
      <c r="G2884" t="s">
        <v>18</v>
      </c>
      <c r="H2884" t="s">
        <v>609</v>
      </c>
    </row>
    <row r="2885" spans="1:8" x14ac:dyDescent="0.3">
      <c r="A2885" t="s">
        <v>998</v>
      </c>
      <c r="B2885">
        <v>23</v>
      </c>
      <c r="C2885" t="s">
        <v>1084</v>
      </c>
      <c r="D2885" s="1">
        <v>0.77083333333333337</v>
      </c>
      <c r="E2885" t="s">
        <v>187</v>
      </c>
      <c r="F2885" t="s">
        <v>14</v>
      </c>
      <c r="G2885" s="2">
        <v>46023</v>
      </c>
      <c r="H2885" t="s">
        <v>1001</v>
      </c>
    </row>
    <row r="2886" spans="1:8" x14ac:dyDescent="0.3">
      <c r="A2886" t="s">
        <v>998</v>
      </c>
      <c r="B2886">
        <v>23</v>
      </c>
      <c r="C2886" t="s">
        <v>1084</v>
      </c>
      <c r="D2886" s="1">
        <v>0.875</v>
      </c>
      <c r="E2886" t="s">
        <v>20</v>
      </c>
      <c r="F2886" t="s">
        <v>464</v>
      </c>
      <c r="G2886" s="2">
        <v>46027</v>
      </c>
      <c r="H2886" t="s">
        <v>1007</v>
      </c>
    </row>
    <row r="2887" spans="1:8" x14ac:dyDescent="0.3">
      <c r="A2887" t="s">
        <v>998</v>
      </c>
      <c r="B2887">
        <v>23</v>
      </c>
      <c r="C2887" t="s">
        <v>1085</v>
      </c>
      <c r="D2887" s="1">
        <v>0.58333333333333337</v>
      </c>
      <c r="E2887" t="s">
        <v>11</v>
      </c>
      <c r="F2887" t="s">
        <v>10</v>
      </c>
      <c r="G2887" t="s">
        <v>42</v>
      </c>
      <c r="H2887" t="s">
        <v>614</v>
      </c>
    </row>
    <row r="2888" spans="1:8" x14ac:dyDescent="0.3">
      <c r="A2888" t="s">
        <v>998</v>
      </c>
      <c r="B2888">
        <v>23</v>
      </c>
      <c r="C2888" t="s">
        <v>1085</v>
      </c>
      <c r="D2888" s="1">
        <v>0.67708333333333337</v>
      </c>
      <c r="E2888" t="s">
        <v>25</v>
      </c>
      <c r="F2888" t="s">
        <v>16</v>
      </c>
      <c r="G2888" t="s">
        <v>12</v>
      </c>
      <c r="H2888" t="s">
        <v>345</v>
      </c>
    </row>
    <row r="2889" spans="1:8" x14ac:dyDescent="0.3">
      <c r="A2889" t="s">
        <v>998</v>
      </c>
      <c r="B2889">
        <v>23</v>
      </c>
      <c r="C2889" t="s">
        <v>1085</v>
      </c>
      <c r="D2889" s="1">
        <v>0.77083333333333337</v>
      </c>
      <c r="E2889" t="s">
        <v>21</v>
      </c>
      <c r="F2889" t="s">
        <v>23</v>
      </c>
      <c r="G2889" t="s">
        <v>42</v>
      </c>
      <c r="H2889" t="s">
        <v>197</v>
      </c>
    </row>
    <row r="2890" spans="1:8" x14ac:dyDescent="0.3">
      <c r="A2890" t="s">
        <v>998</v>
      </c>
      <c r="B2890">
        <v>23</v>
      </c>
      <c r="C2890" t="s">
        <v>1085</v>
      </c>
      <c r="D2890" s="1">
        <v>0.875</v>
      </c>
      <c r="E2890" t="s">
        <v>34</v>
      </c>
      <c r="F2890" t="s">
        <v>26</v>
      </c>
      <c r="G2890" s="2">
        <v>46054</v>
      </c>
      <c r="H2890" t="s">
        <v>194</v>
      </c>
    </row>
    <row r="2891" spans="1:8" x14ac:dyDescent="0.3">
      <c r="A2891" t="s">
        <v>998</v>
      </c>
      <c r="B2891">
        <v>23</v>
      </c>
      <c r="C2891" t="s">
        <v>1086</v>
      </c>
      <c r="D2891" s="1">
        <v>0.875</v>
      </c>
      <c r="E2891" t="s">
        <v>1000</v>
      </c>
      <c r="F2891" t="s">
        <v>15</v>
      </c>
      <c r="G2891" t="s">
        <v>53</v>
      </c>
      <c r="H2891" t="s">
        <v>185</v>
      </c>
    </row>
    <row r="2892" spans="1:8" x14ac:dyDescent="0.3">
      <c r="A2892" t="s">
        <v>998</v>
      </c>
      <c r="B2892">
        <v>24</v>
      </c>
      <c r="C2892" t="s">
        <v>1087</v>
      </c>
      <c r="D2892" s="1">
        <v>0.875</v>
      </c>
      <c r="E2892" t="s">
        <v>26</v>
      </c>
      <c r="F2892" t="s">
        <v>11</v>
      </c>
      <c r="G2892" t="s">
        <v>18</v>
      </c>
      <c r="H2892" t="s">
        <v>198</v>
      </c>
    </row>
    <row r="2893" spans="1:8" x14ac:dyDescent="0.3">
      <c r="A2893" t="s">
        <v>998</v>
      </c>
      <c r="B2893">
        <v>24</v>
      </c>
      <c r="C2893" t="s">
        <v>1088</v>
      </c>
      <c r="D2893" s="1">
        <v>0.58333333333333337</v>
      </c>
      <c r="E2893" t="s">
        <v>31</v>
      </c>
      <c r="F2893" t="s">
        <v>187</v>
      </c>
      <c r="G2893" t="s">
        <v>18</v>
      </c>
      <c r="H2893" t="s">
        <v>752</v>
      </c>
    </row>
    <row r="2894" spans="1:8" x14ac:dyDescent="0.3">
      <c r="A2894" t="s">
        <v>998</v>
      </c>
      <c r="B2894">
        <v>24</v>
      </c>
      <c r="C2894" t="s">
        <v>1088</v>
      </c>
      <c r="D2894" s="1">
        <v>0.67708333333333337</v>
      </c>
      <c r="E2894" t="s">
        <v>28</v>
      </c>
      <c r="F2894" t="s">
        <v>21</v>
      </c>
      <c r="G2894" t="s">
        <v>54</v>
      </c>
      <c r="H2894" t="s">
        <v>190</v>
      </c>
    </row>
    <row r="2895" spans="1:8" x14ac:dyDescent="0.3">
      <c r="A2895" t="s">
        <v>998</v>
      </c>
      <c r="B2895">
        <v>24</v>
      </c>
      <c r="C2895" t="s">
        <v>1088</v>
      </c>
      <c r="D2895" s="1">
        <v>0.77083333333333337</v>
      </c>
      <c r="E2895" t="s">
        <v>16</v>
      </c>
      <c r="F2895" t="s">
        <v>35</v>
      </c>
      <c r="G2895" t="s">
        <v>12</v>
      </c>
      <c r="H2895" t="s">
        <v>887</v>
      </c>
    </row>
    <row r="2896" spans="1:8" x14ac:dyDescent="0.3">
      <c r="A2896" t="s">
        <v>998</v>
      </c>
      <c r="B2896">
        <v>24</v>
      </c>
      <c r="C2896" t="s">
        <v>1088</v>
      </c>
      <c r="D2896" s="1">
        <v>0.875</v>
      </c>
      <c r="E2896" t="s">
        <v>14</v>
      </c>
      <c r="F2896" t="s">
        <v>25</v>
      </c>
      <c r="G2896" t="s">
        <v>42</v>
      </c>
      <c r="H2896" t="s">
        <v>747</v>
      </c>
    </row>
    <row r="2897" spans="1:8" x14ac:dyDescent="0.3">
      <c r="A2897" t="s">
        <v>998</v>
      </c>
      <c r="B2897">
        <v>24</v>
      </c>
      <c r="C2897" t="s">
        <v>1089</v>
      </c>
      <c r="D2897" s="1">
        <v>0.58333333333333337</v>
      </c>
      <c r="E2897" t="s">
        <v>20</v>
      </c>
      <c r="F2897" t="s">
        <v>1000</v>
      </c>
      <c r="G2897" s="2">
        <v>46023</v>
      </c>
      <c r="H2897" t="s">
        <v>205</v>
      </c>
    </row>
    <row r="2898" spans="1:8" x14ac:dyDescent="0.3">
      <c r="A2898" t="s">
        <v>998</v>
      </c>
      <c r="B2898">
        <v>24</v>
      </c>
      <c r="C2898" t="s">
        <v>1089</v>
      </c>
      <c r="D2898" s="1">
        <v>0.67708333333333337</v>
      </c>
      <c r="E2898" t="s">
        <v>10</v>
      </c>
      <c r="F2898" t="s">
        <v>464</v>
      </c>
      <c r="G2898" t="s">
        <v>88</v>
      </c>
      <c r="H2898" t="s">
        <v>467</v>
      </c>
    </row>
    <row r="2899" spans="1:8" x14ac:dyDescent="0.3">
      <c r="A2899" t="s">
        <v>998</v>
      </c>
      <c r="B2899">
        <v>24</v>
      </c>
      <c r="C2899" t="s">
        <v>1089</v>
      </c>
      <c r="D2899" s="1">
        <v>0.77083333333333337</v>
      </c>
      <c r="E2899" t="s">
        <v>750</v>
      </c>
      <c r="F2899" t="s">
        <v>24</v>
      </c>
      <c r="G2899" s="2">
        <v>46056</v>
      </c>
      <c r="H2899" t="s">
        <v>883</v>
      </c>
    </row>
    <row r="2900" spans="1:8" x14ac:dyDescent="0.3">
      <c r="A2900" t="s">
        <v>998</v>
      </c>
      <c r="B2900">
        <v>24</v>
      </c>
      <c r="C2900" t="s">
        <v>1089</v>
      </c>
      <c r="D2900" s="1">
        <v>0.875</v>
      </c>
      <c r="E2900" t="s">
        <v>15</v>
      </c>
      <c r="F2900" t="s">
        <v>34</v>
      </c>
      <c r="G2900" s="2">
        <v>46023</v>
      </c>
      <c r="H2900" t="s">
        <v>184</v>
      </c>
    </row>
    <row r="2901" spans="1:8" x14ac:dyDescent="0.3">
      <c r="A2901" t="s">
        <v>998</v>
      </c>
      <c r="B2901">
        <v>24</v>
      </c>
      <c r="C2901" t="s">
        <v>1090</v>
      </c>
      <c r="D2901" s="1">
        <v>0.875</v>
      </c>
      <c r="E2901" t="s">
        <v>23</v>
      </c>
      <c r="F2901" t="s">
        <v>27</v>
      </c>
      <c r="G2901" t="s">
        <v>54</v>
      </c>
      <c r="H2901" t="s">
        <v>612</v>
      </c>
    </row>
    <row r="2902" spans="1:8" x14ac:dyDescent="0.3">
      <c r="A2902" t="s">
        <v>998</v>
      </c>
      <c r="B2902">
        <v>25</v>
      </c>
      <c r="C2902" t="s">
        <v>1091</v>
      </c>
      <c r="D2902" s="1">
        <v>0.875</v>
      </c>
      <c r="E2902" t="s">
        <v>21</v>
      </c>
      <c r="F2902" t="s">
        <v>15</v>
      </c>
      <c r="G2902" s="2">
        <v>46023</v>
      </c>
      <c r="H2902" t="s">
        <v>1001</v>
      </c>
    </row>
    <row r="2903" spans="1:8" x14ac:dyDescent="0.3">
      <c r="A2903" t="s">
        <v>998</v>
      </c>
      <c r="B2903">
        <v>25</v>
      </c>
      <c r="C2903" t="s">
        <v>1092</v>
      </c>
      <c r="D2903" s="1">
        <v>0.58333333333333337</v>
      </c>
      <c r="E2903" t="s">
        <v>187</v>
      </c>
      <c r="F2903" t="s">
        <v>750</v>
      </c>
      <c r="G2903" s="2">
        <v>46023</v>
      </c>
      <c r="H2903" t="s">
        <v>614</v>
      </c>
    </row>
    <row r="2904" spans="1:8" x14ac:dyDescent="0.3">
      <c r="A2904" t="s">
        <v>998</v>
      </c>
      <c r="B2904">
        <v>25</v>
      </c>
      <c r="C2904" t="s">
        <v>1092</v>
      </c>
      <c r="D2904" s="1">
        <v>0.67708333333333337</v>
      </c>
      <c r="E2904" t="s">
        <v>27</v>
      </c>
      <c r="F2904" t="s">
        <v>20</v>
      </c>
      <c r="G2904" t="s">
        <v>54</v>
      </c>
      <c r="H2904" t="s">
        <v>185</v>
      </c>
    </row>
    <row r="2905" spans="1:8" x14ac:dyDescent="0.3">
      <c r="A2905" t="s">
        <v>998</v>
      </c>
      <c r="B2905">
        <v>25</v>
      </c>
      <c r="C2905" t="s">
        <v>1092</v>
      </c>
      <c r="D2905" s="1">
        <v>0.77083333333333337</v>
      </c>
      <c r="E2905" t="s">
        <v>464</v>
      </c>
      <c r="F2905" t="s">
        <v>23</v>
      </c>
      <c r="G2905" t="s">
        <v>42</v>
      </c>
      <c r="H2905" t="s">
        <v>345</v>
      </c>
    </row>
    <row r="2906" spans="1:8" x14ac:dyDescent="0.3">
      <c r="A2906" t="s">
        <v>998</v>
      </c>
      <c r="B2906">
        <v>25</v>
      </c>
      <c r="C2906" t="s">
        <v>1092</v>
      </c>
      <c r="D2906" s="1">
        <v>0.875</v>
      </c>
      <c r="E2906" t="s">
        <v>11</v>
      </c>
      <c r="F2906" t="s">
        <v>16</v>
      </c>
      <c r="G2906" t="s">
        <v>32</v>
      </c>
      <c r="H2906" t="s">
        <v>1007</v>
      </c>
    </row>
    <row r="2907" spans="1:8" x14ac:dyDescent="0.3">
      <c r="A2907" t="s">
        <v>998</v>
      </c>
      <c r="B2907">
        <v>25</v>
      </c>
      <c r="C2907" t="s">
        <v>1093</v>
      </c>
      <c r="D2907" s="1">
        <v>0.58333333333333337</v>
      </c>
      <c r="E2907" t="s">
        <v>35</v>
      </c>
      <c r="F2907" t="s">
        <v>14</v>
      </c>
      <c r="G2907" s="2">
        <v>46023</v>
      </c>
      <c r="H2907" t="s">
        <v>609</v>
      </c>
    </row>
    <row r="2908" spans="1:8" x14ac:dyDescent="0.3">
      <c r="A2908" t="s">
        <v>998</v>
      </c>
      <c r="B2908">
        <v>25</v>
      </c>
      <c r="C2908" t="s">
        <v>1093</v>
      </c>
      <c r="D2908" s="1">
        <v>0.67708333333333337</v>
      </c>
      <c r="E2908" t="s">
        <v>1000</v>
      </c>
      <c r="F2908" t="s">
        <v>26</v>
      </c>
      <c r="G2908" t="s">
        <v>42</v>
      </c>
      <c r="H2908" t="s">
        <v>181</v>
      </c>
    </row>
    <row r="2909" spans="1:8" x14ac:dyDescent="0.3">
      <c r="A2909" t="s">
        <v>998</v>
      </c>
      <c r="B2909">
        <v>25</v>
      </c>
      <c r="C2909" t="s">
        <v>1093</v>
      </c>
      <c r="D2909" s="1">
        <v>0.77083333333333337</v>
      </c>
      <c r="E2909" t="s">
        <v>24</v>
      </c>
      <c r="F2909" t="s">
        <v>31</v>
      </c>
      <c r="G2909" s="2">
        <v>46024</v>
      </c>
      <c r="H2909" t="s">
        <v>197</v>
      </c>
    </row>
    <row r="2910" spans="1:8" x14ac:dyDescent="0.3">
      <c r="A2910" t="s">
        <v>998</v>
      </c>
      <c r="B2910">
        <v>25</v>
      </c>
      <c r="C2910" t="s">
        <v>1093</v>
      </c>
      <c r="D2910" s="1">
        <v>0.875</v>
      </c>
      <c r="E2910" t="s">
        <v>34</v>
      </c>
      <c r="F2910" t="s">
        <v>28</v>
      </c>
      <c r="G2910" t="s">
        <v>54</v>
      </c>
      <c r="H2910" t="s">
        <v>341</v>
      </c>
    </row>
    <row r="2911" spans="1:8" x14ac:dyDescent="0.3">
      <c r="A2911" t="s">
        <v>998</v>
      </c>
      <c r="B2911">
        <v>25</v>
      </c>
      <c r="C2911" t="s">
        <v>1094</v>
      </c>
      <c r="D2911" s="1">
        <v>0.875</v>
      </c>
      <c r="E2911" t="s">
        <v>25</v>
      </c>
      <c r="F2911" t="s">
        <v>10</v>
      </c>
      <c r="G2911" s="2">
        <v>46023</v>
      </c>
      <c r="H2911" t="s">
        <v>194</v>
      </c>
    </row>
    <row r="2912" spans="1:8" x14ac:dyDescent="0.3">
      <c r="A2912" t="s">
        <v>998</v>
      </c>
      <c r="B2912">
        <v>26</v>
      </c>
      <c r="C2912" t="s">
        <v>1095</v>
      </c>
      <c r="D2912" s="1">
        <v>0.875</v>
      </c>
      <c r="E2912" t="s">
        <v>16</v>
      </c>
      <c r="F2912" t="s">
        <v>34</v>
      </c>
      <c r="G2912" s="2">
        <v>46024</v>
      </c>
      <c r="H2912" t="s">
        <v>198</v>
      </c>
    </row>
    <row r="2913" spans="1:8" x14ac:dyDescent="0.3">
      <c r="A2913" t="s">
        <v>998</v>
      </c>
      <c r="B2913">
        <v>26</v>
      </c>
      <c r="C2913" t="s">
        <v>1096</v>
      </c>
      <c r="D2913" s="1">
        <v>0.58333333333333337</v>
      </c>
      <c r="E2913" t="s">
        <v>14</v>
      </c>
      <c r="F2913" t="s">
        <v>11</v>
      </c>
      <c r="G2913" s="2">
        <v>46024</v>
      </c>
      <c r="H2913" t="s">
        <v>190</v>
      </c>
    </row>
    <row r="2914" spans="1:8" x14ac:dyDescent="0.3">
      <c r="A2914" t="s">
        <v>998</v>
      </c>
      <c r="B2914">
        <v>26</v>
      </c>
      <c r="C2914" t="s">
        <v>1096</v>
      </c>
      <c r="D2914" s="1">
        <v>0.67708333333333337</v>
      </c>
      <c r="E2914" t="s">
        <v>31</v>
      </c>
      <c r="F2914" t="s">
        <v>27</v>
      </c>
      <c r="G2914" s="2">
        <v>46024</v>
      </c>
      <c r="H2914" t="s">
        <v>887</v>
      </c>
    </row>
    <row r="2915" spans="1:8" x14ac:dyDescent="0.3">
      <c r="A2915" t="s">
        <v>998</v>
      </c>
      <c r="B2915">
        <v>26</v>
      </c>
      <c r="C2915" t="s">
        <v>1096</v>
      </c>
      <c r="D2915" s="1">
        <v>0.77083333333333337</v>
      </c>
      <c r="E2915" t="s">
        <v>1000</v>
      </c>
      <c r="F2915" t="s">
        <v>187</v>
      </c>
      <c r="G2915" t="s">
        <v>18</v>
      </c>
      <c r="H2915" t="s">
        <v>184</v>
      </c>
    </row>
    <row r="2916" spans="1:8" x14ac:dyDescent="0.3">
      <c r="A2916" t="s">
        <v>998</v>
      </c>
      <c r="B2916">
        <v>26</v>
      </c>
      <c r="C2916" t="s">
        <v>1096</v>
      </c>
      <c r="D2916" s="1">
        <v>0.875</v>
      </c>
      <c r="E2916" t="s">
        <v>23</v>
      </c>
      <c r="F2916" t="s">
        <v>20</v>
      </c>
      <c r="G2916" t="s">
        <v>54</v>
      </c>
      <c r="H2916" t="s">
        <v>747</v>
      </c>
    </row>
    <row r="2917" spans="1:8" x14ac:dyDescent="0.3">
      <c r="A2917" t="s">
        <v>998</v>
      </c>
      <c r="B2917">
        <v>26</v>
      </c>
      <c r="C2917" t="s">
        <v>1097</v>
      </c>
      <c r="D2917" s="1">
        <v>0.58333333333333337</v>
      </c>
      <c r="E2917" t="s">
        <v>750</v>
      </c>
      <c r="F2917" t="s">
        <v>35</v>
      </c>
      <c r="G2917" s="2">
        <v>46115</v>
      </c>
      <c r="H2917" t="s">
        <v>467</v>
      </c>
    </row>
    <row r="2918" spans="1:8" x14ac:dyDescent="0.3">
      <c r="A2918" t="s">
        <v>998</v>
      </c>
      <c r="B2918">
        <v>26</v>
      </c>
      <c r="C2918" t="s">
        <v>1097</v>
      </c>
      <c r="D2918" s="1">
        <v>0.67708333333333337</v>
      </c>
      <c r="E2918" t="s">
        <v>28</v>
      </c>
      <c r="F2918" t="s">
        <v>25</v>
      </c>
      <c r="G2918" s="2">
        <v>46023</v>
      </c>
      <c r="H2918" t="s">
        <v>185</v>
      </c>
    </row>
    <row r="2919" spans="1:8" x14ac:dyDescent="0.3">
      <c r="A2919" t="s">
        <v>998</v>
      </c>
      <c r="B2919">
        <v>26</v>
      </c>
      <c r="C2919" t="s">
        <v>1097</v>
      </c>
      <c r="D2919" s="1">
        <v>0.77083333333333337</v>
      </c>
      <c r="E2919" t="s">
        <v>10</v>
      </c>
      <c r="F2919" t="s">
        <v>21</v>
      </c>
      <c r="G2919" t="s">
        <v>18</v>
      </c>
      <c r="H2919" t="s">
        <v>883</v>
      </c>
    </row>
    <row r="2920" spans="1:8" x14ac:dyDescent="0.3">
      <c r="A2920" t="s">
        <v>998</v>
      </c>
      <c r="B2920">
        <v>26</v>
      </c>
      <c r="C2920" t="s">
        <v>1097</v>
      </c>
      <c r="D2920" s="1">
        <v>0.875</v>
      </c>
      <c r="E2920" t="s">
        <v>15</v>
      </c>
      <c r="F2920" t="s">
        <v>24</v>
      </c>
      <c r="G2920" s="2">
        <v>46024</v>
      </c>
      <c r="H2920" t="s">
        <v>205</v>
      </c>
    </row>
    <row r="2921" spans="1:8" x14ac:dyDescent="0.3">
      <c r="A2921" t="s">
        <v>998</v>
      </c>
      <c r="B2921">
        <v>26</v>
      </c>
      <c r="C2921" t="s">
        <v>1098</v>
      </c>
      <c r="D2921" s="1">
        <v>0.875</v>
      </c>
      <c r="E2921" t="s">
        <v>26</v>
      </c>
      <c r="F2921" t="s">
        <v>464</v>
      </c>
      <c r="G2921" s="2">
        <v>46056</v>
      </c>
      <c r="H2921" t="s">
        <v>612</v>
      </c>
    </row>
    <row r="2922" spans="1:8" x14ac:dyDescent="0.3">
      <c r="A2922" t="s">
        <v>998</v>
      </c>
      <c r="B2922">
        <v>27</v>
      </c>
      <c r="C2922" t="s">
        <v>1099</v>
      </c>
      <c r="D2922" s="1">
        <v>0.875</v>
      </c>
      <c r="E2922" t="s">
        <v>21</v>
      </c>
      <c r="F2922" t="s">
        <v>16</v>
      </c>
      <c r="G2922" t="s">
        <v>18</v>
      </c>
      <c r="H2922" t="s">
        <v>747</v>
      </c>
    </row>
    <row r="2923" spans="1:8" x14ac:dyDescent="0.3">
      <c r="A2923" t="s">
        <v>998</v>
      </c>
      <c r="B2923">
        <v>27</v>
      </c>
      <c r="C2923" t="s">
        <v>1100</v>
      </c>
      <c r="D2923" s="1">
        <v>0.58333333333333337</v>
      </c>
      <c r="E2923" t="s">
        <v>464</v>
      </c>
      <c r="F2923" t="s">
        <v>1000</v>
      </c>
      <c r="G2923" s="2">
        <v>46023</v>
      </c>
      <c r="H2923" t="s">
        <v>1001</v>
      </c>
    </row>
    <row r="2924" spans="1:8" x14ac:dyDescent="0.3">
      <c r="A2924" t="s">
        <v>998</v>
      </c>
      <c r="B2924">
        <v>27</v>
      </c>
      <c r="C2924" t="s">
        <v>1100</v>
      </c>
      <c r="D2924" s="1">
        <v>0.67708333333333337</v>
      </c>
      <c r="E2924" t="s">
        <v>25</v>
      </c>
      <c r="F2924" t="s">
        <v>31</v>
      </c>
      <c r="G2924" s="2">
        <v>46024</v>
      </c>
      <c r="H2924" t="s">
        <v>1007</v>
      </c>
    </row>
    <row r="2925" spans="1:8" x14ac:dyDescent="0.3">
      <c r="A2925" t="s">
        <v>998</v>
      </c>
      <c r="B2925">
        <v>27</v>
      </c>
      <c r="C2925" t="s">
        <v>1100</v>
      </c>
      <c r="D2925" s="1">
        <v>0.77083333333333337</v>
      </c>
      <c r="E2925" t="s">
        <v>23</v>
      </c>
      <c r="F2925" t="s">
        <v>14</v>
      </c>
      <c r="G2925" t="s">
        <v>41</v>
      </c>
      <c r="H2925" t="s">
        <v>341</v>
      </c>
    </row>
    <row r="2926" spans="1:8" x14ac:dyDescent="0.3">
      <c r="A2926" t="s">
        <v>998</v>
      </c>
      <c r="B2926">
        <v>27</v>
      </c>
      <c r="C2926" t="s">
        <v>1100</v>
      </c>
      <c r="D2926" s="1">
        <v>0.875</v>
      </c>
      <c r="E2926" t="s">
        <v>11</v>
      </c>
      <c r="F2926" t="s">
        <v>28</v>
      </c>
      <c r="G2926" t="s">
        <v>41</v>
      </c>
      <c r="H2926" t="s">
        <v>345</v>
      </c>
    </row>
    <row r="2927" spans="1:8" x14ac:dyDescent="0.3">
      <c r="A2927" t="s">
        <v>998</v>
      </c>
      <c r="B2927">
        <v>27</v>
      </c>
      <c r="C2927" t="s">
        <v>1101</v>
      </c>
      <c r="D2927" s="1">
        <v>0.58333333333333337</v>
      </c>
      <c r="E2927" t="s">
        <v>35</v>
      </c>
      <c r="F2927" t="s">
        <v>15</v>
      </c>
      <c r="G2927" t="s">
        <v>41</v>
      </c>
      <c r="H2927" t="s">
        <v>197</v>
      </c>
    </row>
    <row r="2928" spans="1:8" x14ac:dyDescent="0.3">
      <c r="A2928" t="s">
        <v>998</v>
      </c>
      <c r="B2928">
        <v>27</v>
      </c>
      <c r="C2928" t="s">
        <v>1101</v>
      </c>
      <c r="D2928" s="1">
        <v>0.67708333333333337</v>
      </c>
      <c r="E2928" t="s">
        <v>24</v>
      </c>
      <c r="F2928" t="s">
        <v>10</v>
      </c>
      <c r="G2928" t="s">
        <v>18</v>
      </c>
      <c r="H2928" t="s">
        <v>614</v>
      </c>
    </row>
    <row r="2929" spans="1:8" x14ac:dyDescent="0.3">
      <c r="A2929" t="s">
        <v>998</v>
      </c>
      <c r="B2929">
        <v>27</v>
      </c>
      <c r="C2929" t="s">
        <v>1101</v>
      </c>
      <c r="D2929" s="1">
        <v>0.77083333333333337</v>
      </c>
      <c r="E2929" t="s">
        <v>187</v>
      </c>
      <c r="F2929" t="s">
        <v>34</v>
      </c>
      <c r="G2929" s="2">
        <v>46082</v>
      </c>
      <c r="H2929" t="s">
        <v>609</v>
      </c>
    </row>
    <row r="2930" spans="1:8" x14ac:dyDescent="0.3">
      <c r="A2930" t="s">
        <v>998</v>
      </c>
      <c r="B2930">
        <v>27</v>
      </c>
      <c r="C2930" t="s">
        <v>1101</v>
      </c>
      <c r="D2930" s="1">
        <v>0.875</v>
      </c>
      <c r="E2930" t="s">
        <v>27</v>
      </c>
      <c r="F2930" t="s">
        <v>26</v>
      </c>
      <c r="G2930" t="s">
        <v>18</v>
      </c>
      <c r="H2930" t="s">
        <v>181</v>
      </c>
    </row>
    <row r="2931" spans="1:8" x14ac:dyDescent="0.3">
      <c r="A2931" t="s">
        <v>998</v>
      </c>
      <c r="B2931">
        <v>27</v>
      </c>
      <c r="C2931" t="s">
        <v>1102</v>
      </c>
      <c r="D2931" s="1">
        <v>0.875</v>
      </c>
      <c r="E2931" t="s">
        <v>20</v>
      </c>
      <c r="F2931" t="s">
        <v>750</v>
      </c>
      <c r="G2931" s="2">
        <v>46026</v>
      </c>
      <c r="H2931" t="s">
        <v>752</v>
      </c>
    </row>
    <row r="2932" spans="1:8" x14ac:dyDescent="0.3">
      <c r="A2932" t="s">
        <v>998</v>
      </c>
      <c r="B2932">
        <v>28</v>
      </c>
      <c r="C2932" t="s">
        <v>1103</v>
      </c>
      <c r="D2932" s="1">
        <v>0.875</v>
      </c>
      <c r="E2932" t="s">
        <v>26</v>
      </c>
      <c r="F2932" t="s">
        <v>21</v>
      </c>
      <c r="G2932" t="s">
        <v>12</v>
      </c>
      <c r="H2932" t="s">
        <v>194</v>
      </c>
    </row>
    <row r="2933" spans="1:8" x14ac:dyDescent="0.3">
      <c r="A2933" t="s">
        <v>998</v>
      </c>
      <c r="B2933">
        <v>28</v>
      </c>
      <c r="C2933" t="s">
        <v>1104</v>
      </c>
      <c r="D2933" s="1">
        <v>0.58333333333333337</v>
      </c>
      <c r="E2933" t="s">
        <v>15</v>
      </c>
      <c r="F2933" t="s">
        <v>187</v>
      </c>
      <c r="G2933" s="2">
        <v>46023</v>
      </c>
      <c r="H2933" t="s">
        <v>887</v>
      </c>
    </row>
    <row r="2934" spans="1:8" x14ac:dyDescent="0.3">
      <c r="A2934" t="s">
        <v>998</v>
      </c>
      <c r="B2934">
        <v>28</v>
      </c>
      <c r="C2934" t="s">
        <v>1104</v>
      </c>
      <c r="D2934" s="1">
        <v>0.67708333333333337</v>
      </c>
      <c r="E2934" t="s">
        <v>35</v>
      </c>
      <c r="F2934" t="s">
        <v>25</v>
      </c>
      <c r="G2934" s="2">
        <v>46082</v>
      </c>
      <c r="H2934" t="s">
        <v>190</v>
      </c>
    </row>
    <row r="2935" spans="1:8" x14ac:dyDescent="0.3">
      <c r="A2935" t="s">
        <v>998</v>
      </c>
      <c r="B2935">
        <v>28</v>
      </c>
      <c r="C2935" t="s">
        <v>1104</v>
      </c>
      <c r="D2935" s="1">
        <v>0.77083333333333337</v>
      </c>
      <c r="E2935" t="s">
        <v>750</v>
      </c>
      <c r="F2935" t="s">
        <v>23</v>
      </c>
      <c r="G2935" t="s">
        <v>41</v>
      </c>
      <c r="H2935" t="s">
        <v>184</v>
      </c>
    </row>
    <row r="2936" spans="1:8" x14ac:dyDescent="0.3">
      <c r="A2936" t="s">
        <v>998</v>
      </c>
      <c r="B2936">
        <v>28</v>
      </c>
      <c r="C2936" t="s">
        <v>1104</v>
      </c>
      <c r="D2936" s="1">
        <v>0.875</v>
      </c>
      <c r="E2936" t="s">
        <v>14</v>
      </c>
      <c r="F2936" t="s">
        <v>27</v>
      </c>
      <c r="G2936" s="2">
        <v>46023</v>
      </c>
      <c r="H2936" t="s">
        <v>198</v>
      </c>
    </row>
    <row r="2937" spans="1:8" x14ac:dyDescent="0.3">
      <c r="A2937" t="s">
        <v>998</v>
      </c>
      <c r="B2937">
        <v>28</v>
      </c>
      <c r="C2937" t="s">
        <v>1105</v>
      </c>
      <c r="D2937" s="1">
        <v>0.58333333333333337</v>
      </c>
      <c r="E2937" t="s">
        <v>11</v>
      </c>
      <c r="F2937" t="s">
        <v>31</v>
      </c>
      <c r="G2937" s="2">
        <v>46023</v>
      </c>
      <c r="H2937" t="s">
        <v>185</v>
      </c>
    </row>
    <row r="2938" spans="1:8" x14ac:dyDescent="0.3">
      <c r="A2938" t="s">
        <v>998</v>
      </c>
      <c r="B2938">
        <v>28</v>
      </c>
      <c r="C2938" t="s">
        <v>1105</v>
      </c>
      <c r="D2938" s="1">
        <v>0.67708333333333337</v>
      </c>
      <c r="E2938" t="s">
        <v>16</v>
      </c>
      <c r="F2938" t="s">
        <v>24</v>
      </c>
      <c r="G2938" s="2">
        <v>46024</v>
      </c>
      <c r="H2938" t="s">
        <v>612</v>
      </c>
    </row>
    <row r="2939" spans="1:8" x14ac:dyDescent="0.3">
      <c r="A2939" t="s">
        <v>998</v>
      </c>
      <c r="B2939">
        <v>28</v>
      </c>
      <c r="C2939" t="s">
        <v>1105</v>
      </c>
      <c r="D2939" s="1">
        <v>0.67708333333333337</v>
      </c>
      <c r="E2939" t="s">
        <v>34</v>
      </c>
      <c r="F2939" t="s">
        <v>1000</v>
      </c>
      <c r="G2939" s="2">
        <v>46024</v>
      </c>
      <c r="H2939" t="s">
        <v>883</v>
      </c>
    </row>
    <row r="2940" spans="1:8" x14ac:dyDescent="0.3">
      <c r="A2940" t="s">
        <v>998</v>
      </c>
      <c r="B2940">
        <v>28</v>
      </c>
      <c r="C2940" t="s">
        <v>1105</v>
      </c>
      <c r="D2940" s="1">
        <v>0.77083333333333337</v>
      </c>
      <c r="E2940" t="s">
        <v>28</v>
      </c>
      <c r="F2940" t="s">
        <v>464</v>
      </c>
      <c r="G2940" t="s">
        <v>18</v>
      </c>
      <c r="H2940" t="s">
        <v>205</v>
      </c>
    </row>
    <row r="2941" spans="1:8" x14ac:dyDescent="0.3">
      <c r="A2941" t="s">
        <v>998</v>
      </c>
      <c r="B2941">
        <v>28</v>
      </c>
      <c r="C2941" t="s">
        <v>1105</v>
      </c>
      <c r="D2941" s="1">
        <v>0.875</v>
      </c>
      <c r="E2941" t="s">
        <v>10</v>
      </c>
      <c r="F2941" t="s">
        <v>20</v>
      </c>
      <c r="G2941" s="2">
        <v>46174</v>
      </c>
      <c r="H2941" t="s">
        <v>467</v>
      </c>
    </row>
    <row r="2942" spans="1:8" x14ac:dyDescent="0.3">
      <c r="A2942" t="s">
        <v>998</v>
      </c>
      <c r="B2942">
        <v>29</v>
      </c>
      <c r="C2942" t="s">
        <v>1106</v>
      </c>
      <c r="D2942" s="1">
        <v>0.875</v>
      </c>
      <c r="E2942" t="s">
        <v>21</v>
      </c>
      <c r="F2942" t="s">
        <v>750</v>
      </c>
      <c r="G2942" t="s">
        <v>54</v>
      </c>
      <c r="H2942" t="s">
        <v>1007</v>
      </c>
    </row>
    <row r="2943" spans="1:8" x14ac:dyDescent="0.3">
      <c r="A2943" t="s">
        <v>998</v>
      </c>
      <c r="B2943">
        <v>29</v>
      </c>
      <c r="C2943" t="s">
        <v>1107</v>
      </c>
      <c r="D2943" s="1">
        <v>0.58333333333333337</v>
      </c>
      <c r="E2943" t="s">
        <v>24</v>
      </c>
      <c r="F2943" t="s">
        <v>34</v>
      </c>
      <c r="G2943" t="s">
        <v>46</v>
      </c>
      <c r="H2943" t="s">
        <v>747</v>
      </c>
    </row>
    <row r="2944" spans="1:8" x14ac:dyDescent="0.3">
      <c r="A2944" t="s">
        <v>998</v>
      </c>
      <c r="B2944">
        <v>29</v>
      </c>
      <c r="C2944" t="s">
        <v>1107</v>
      </c>
      <c r="D2944" s="1">
        <v>0.67708333333333337</v>
      </c>
      <c r="E2944" t="s">
        <v>25</v>
      </c>
      <c r="F2944" t="s">
        <v>187</v>
      </c>
      <c r="G2944" t="s">
        <v>12</v>
      </c>
      <c r="H2944" t="s">
        <v>1001</v>
      </c>
    </row>
    <row r="2945" spans="1:8" x14ac:dyDescent="0.3">
      <c r="A2945" t="s">
        <v>998</v>
      </c>
      <c r="B2945">
        <v>29</v>
      </c>
      <c r="C2945" t="s">
        <v>1107</v>
      </c>
      <c r="D2945" s="1">
        <v>0.77083333333333337</v>
      </c>
      <c r="E2945" t="s">
        <v>23</v>
      </c>
      <c r="F2945" t="s">
        <v>11</v>
      </c>
      <c r="G2945" t="s">
        <v>41</v>
      </c>
      <c r="H2945" t="s">
        <v>614</v>
      </c>
    </row>
    <row r="2946" spans="1:8" x14ac:dyDescent="0.3">
      <c r="A2946" t="s">
        <v>998</v>
      </c>
      <c r="B2946">
        <v>29</v>
      </c>
      <c r="C2946" t="s">
        <v>1108</v>
      </c>
      <c r="D2946" s="1">
        <v>0.58333333333333337</v>
      </c>
      <c r="E2946" t="s">
        <v>464</v>
      </c>
      <c r="F2946" t="s">
        <v>35</v>
      </c>
      <c r="G2946" s="2">
        <v>46082</v>
      </c>
      <c r="H2946" t="s">
        <v>181</v>
      </c>
    </row>
    <row r="2947" spans="1:8" x14ac:dyDescent="0.3">
      <c r="A2947" t="s">
        <v>998</v>
      </c>
      <c r="B2947">
        <v>29</v>
      </c>
      <c r="C2947" t="s">
        <v>1108</v>
      </c>
      <c r="D2947" s="1">
        <v>0.67708333333333337</v>
      </c>
      <c r="E2947" t="s">
        <v>31</v>
      </c>
      <c r="F2947" t="s">
        <v>26</v>
      </c>
      <c r="G2947" s="2">
        <v>46023</v>
      </c>
      <c r="H2947" t="s">
        <v>752</v>
      </c>
    </row>
    <row r="2948" spans="1:8" x14ac:dyDescent="0.3">
      <c r="A2948" t="s">
        <v>998</v>
      </c>
      <c r="B2948">
        <v>29</v>
      </c>
      <c r="C2948" t="s">
        <v>1108</v>
      </c>
      <c r="D2948" s="1">
        <v>0.77083333333333337</v>
      </c>
      <c r="E2948" t="s">
        <v>1000</v>
      </c>
      <c r="F2948" t="s">
        <v>16</v>
      </c>
      <c r="G2948" s="2">
        <v>46024</v>
      </c>
      <c r="H2948" t="s">
        <v>609</v>
      </c>
    </row>
    <row r="2949" spans="1:8" x14ac:dyDescent="0.3">
      <c r="A2949" t="s">
        <v>998</v>
      </c>
      <c r="B2949">
        <v>29</v>
      </c>
      <c r="C2949" t="s">
        <v>1108</v>
      </c>
      <c r="D2949" s="1">
        <v>0.875</v>
      </c>
      <c r="E2949" t="s">
        <v>27</v>
      </c>
      <c r="F2949" t="s">
        <v>28</v>
      </c>
      <c r="G2949" t="s">
        <v>18</v>
      </c>
      <c r="H2949" t="s">
        <v>194</v>
      </c>
    </row>
    <row r="2950" spans="1:8" x14ac:dyDescent="0.3">
      <c r="A2950" t="s">
        <v>998</v>
      </c>
      <c r="B2950">
        <v>29</v>
      </c>
      <c r="C2950" t="s">
        <v>1109</v>
      </c>
      <c r="D2950" s="1">
        <v>0.875</v>
      </c>
      <c r="E2950" t="s">
        <v>20</v>
      </c>
      <c r="F2950" t="s">
        <v>14</v>
      </c>
      <c r="G2950" t="s">
        <v>18</v>
      </c>
      <c r="H2950" t="s">
        <v>197</v>
      </c>
    </row>
    <row r="2951" spans="1:8" x14ac:dyDescent="0.3">
      <c r="A2951" t="s">
        <v>998</v>
      </c>
      <c r="B2951">
        <v>29</v>
      </c>
      <c r="C2951" t="s">
        <v>1110</v>
      </c>
      <c r="D2951" s="1">
        <v>0.875</v>
      </c>
      <c r="E2951" t="s">
        <v>10</v>
      </c>
      <c r="F2951" t="s">
        <v>15</v>
      </c>
      <c r="G2951" s="2">
        <v>46023</v>
      </c>
      <c r="H2951" t="s">
        <v>345</v>
      </c>
    </row>
    <row r="2952" spans="1:8" x14ac:dyDescent="0.3">
      <c r="A2952" t="s">
        <v>998</v>
      </c>
      <c r="B2952">
        <v>30</v>
      </c>
      <c r="C2952" t="s">
        <v>1111</v>
      </c>
      <c r="D2952" s="1">
        <v>0.875</v>
      </c>
      <c r="E2952" t="s">
        <v>750</v>
      </c>
      <c r="F2952" t="s">
        <v>31</v>
      </c>
      <c r="G2952" s="2">
        <v>46025</v>
      </c>
      <c r="H2952" t="s">
        <v>612</v>
      </c>
    </row>
    <row r="2953" spans="1:8" x14ac:dyDescent="0.3">
      <c r="A2953" t="s">
        <v>998</v>
      </c>
      <c r="B2953">
        <v>30</v>
      </c>
      <c r="C2953" t="s">
        <v>1112</v>
      </c>
      <c r="D2953" s="1">
        <v>0.58333333333333337</v>
      </c>
      <c r="E2953" t="s">
        <v>11</v>
      </c>
      <c r="F2953" t="s">
        <v>1000</v>
      </c>
      <c r="G2953" t="s">
        <v>42</v>
      </c>
      <c r="H2953" t="s">
        <v>341</v>
      </c>
    </row>
    <row r="2954" spans="1:8" x14ac:dyDescent="0.3">
      <c r="A2954" t="s">
        <v>998</v>
      </c>
      <c r="B2954">
        <v>30</v>
      </c>
      <c r="C2954" t="s">
        <v>1112</v>
      </c>
      <c r="D2954" s="1">
        <v>0.67708333333333337</v>
      </c>
      <c r="E2954" t="s">
        <v>15</v>
      </c>
      <c r="F2954" t="s">
        <v>464</v>
      </c>
      <c r="G2954" t="s">
        <v>41</v>
      </c>
      <c r="H2954" t="s">
        <v>190</v>
      </c>
    </row>
    <row r="2955" spans="1:8" x14ac:dyDescent="0.3">
      <c r="A2955" t="s">
        <v>998</v>
      </c>
      <c r="B2955">
        <v>30</v>
      </c>
      <c r="C2955" t="s">
        <v>1112</v>
      </c>
      <c r="D2955" s="1">
        <v>0.77083333333333337</v>
      </c>
      <c r="E2955" t="s">
        <v>187</v>
      </c>
      <c r="F2955" t="s">
        <v>21</v>
      </c>
      <c r="G2955" t="s">
        <v>42</v>
      </c>
      <c r="H2955" t="s">
        <v>198</v>
      </c>
    </row>
    <row r="2956" spans="1:8" x14ac:dyDescent="0.3">
      <c r="A2956" t="s">
        <v>998</v>
      </c>
      <c r="B2956">
        <v>30</v>
      </c>
      <c r="C2956" t="s">
        <v>1112</v>
      </c>
      <c r="D2956" s="1">
        <v>0.875</v>
      </c>
      <c r="E2956" t="s">
        <v>25</v>
      </c>
      <c r="F2956" t="s">
        <v>20</v>
      </c>
      <c r="G2956" s="2">
        <v>46024</v>
      </c>
      <c r="H2956" t="s">
        <v>194</v>
      </c>
    </row>
    <row r="2957" spans="1:8" x14ac:dyDescent="0.3">
      <c r="A2957" t="s">
        <v>998</v>
      </c>
      <c r="B2957">
        <v>30</v>
      </c>
      <c r="C2957" t="s">
        <v>1113</v>
      </c>
      <c r="D2957" s="1">
        <v>0.58333333333333337</v>
      </c>
      <c r="E2957" t="s">
        <v>34</v>
      </c>
      <c r="F2957" t="s">
        <v>23</v>
      </c>
      <c r="G2957" s="2">
        <v>46054</v>
      </c>
      <c r="H2957" t="s">
        <v>467</v>
      </c>
    </row>
    <row r="2958" spans="1:8" x14ac:dyDescent="0.3">
      <c r="A2958" t="s">
        <v>998</v>
      </c>
      <c r="B2958">
        <v>30</v>
      </c>
      <c r="C2958" t="s">
        <v>1113</v>
      </c>
      <c r="D2958" s="1">
        <v>0.67708333333333337</v>
      </c>
      <c r="E2958" t="s">
        <v>16</v>
      </c>
      <c r="F2958" t="s">
        <v>10</v>
      </c>
      <c r="G2958" s="2">
        <v>46055</v>
      </c>
      <c r="H2958" t="s">
        <v>887</v>
      </c>
    </row>
    <row r="2959" spans="1:8" x14ac:dyDescent="0.3">
      <c r="A2959" t="s">
        <v>998</v>
      </c>
      <c r="B2959">
        <v>30</v>
      </c>
      <c r="C2959" t="s">
        <v>1113</v>
      </c>
      <c r="D2959" s="1">
        <v>0.77083333333333337</v>
      </c>
      <c r="E2959" t="s">
        <v>14</v>
      </c>
      <c r="F2959" t="s">
        <v>24</v>
      </c>
      <c r="G2959" s="2">
        <v>46054</v>
      </c>
      <c r="H2959" t="s">
        <v>184</v>
      </c>
    </row>
    <row r="2960" spans="1:8" x14ac:dyDescent="0.3">
      <c r="A2960" t="s">
        <v>998</v>
      </c>
      <c r="B2960">
        <v>30</v>
      </c>
      <c r="C2960" t="s">
        <v>1113</v>
      </c>
      <c r="D2960" s="1">
        <v>0.875</v>
      </c>
      <c r="E2960" t="s">
        <v>26</v>
      </c>
      <c r="F2960" t="s">
        <v>28</v>
      </c>
      <c r="G2960" s="2">
        <v>46023</v>
      </c>
      <c r="H2960" t="s">
        <v>747</v>
      </c>
    </row>
    <row r="2961" spans="1:8" x14ac:dyDescent="0.3">
      <c r="A2961" t="s">
        <v>998</v>
      </c>
      <c r="B2961">
        <v>30</v>
      </c>
      <c r="C2961" t="s">
        <v>1114</v>
      </c>
      <c r="D2961" s="1">
        <v>0.875</v>
      </c>
      <c r="E2961" t="s">
        <v>35</v>
      </c>
      <c r="F2961" t="s">
        <v>27</v>
      </c>
      <c r="G2961" s="2">
        <v>46115</v>
      </c>
      <c r="H2961" t="s">
        <v>185</v>
      </c>
    </row>
    <row r="2962" spans="1:8" x14ac:dyDescent="0.3">
      <c r="A2962" t="s">
        <v>998</v>
      </c>
      <c r="B2962">
        <v>31</v>
      </c>
      <c r="C2962" t="s">
        <v>1115</v>
      </c>
      <c r="D2962" s="1">
        <v>0.79166666666666663</v>
      </c>
      <c r="E2962" t="s">
        <v>21</v>
      </c>
      <c r="F2962" t="s">
        <v>27</v>
      </c>
      <c r="G2962" t="s">
        <v>42</v>
      </c>
      <c r="H2962" t="s">
        <v>887</v>
      </c>
    </row>
    <row r="2963" spans="1:8" x14ac:dyDescent="0.3">
      <c r="A2963" t="s">
        <v>998</v>
      </c>
      <c r="B2963">
        <v>31</v>
      </c>
      <c r="C2963" t="s">
        <v>1115</v>
      </c>
      <c r="D2963" s="1">
        <v>0.79166666666666663</v>
      </c>
      <c r="E2963" t="s">
        <v>23</v>
      </c>
      <c r="F2963" t="s">
        <v>16</v>
      </c>
      <c r="G2963" s="2">
        <v>46025</v>
      </c>
      <c r="H2963" t="s">
        <v>190</v>
      </c>
    </row>
    <row r="2964" spans="1:8" x14ac:dyDescent="0.3">
      <c r="A2964" t="s">
        <v>998</v>
      </c>
      <c r="B2964">
        <v>31</v>
      </c>
      <c r="C2964" t="s">
        <v>1115</v>
      </c>
      <c r="D2964" s="1">
        <v>0.83333333333333337</v>
      </c>
      <c r="E2964" t="s">
        <v>26</v>
      </c>
      <c r="F2964" t="s">
        <v>15</v>
      </c>
      <c r="G2964" t="s">
        <v>41</v>
      </c>
      <c r="H2964" t="s">
        <v>609</v>
      </c>
    </row>
    <row r="2965" spans="1:8" x14ac:dyDescent="0.3">
      <c r="A2965" t="s">
        <v>998</v>
      </c>
      <c r="B2965">
        <v>31</v>
      </c>
      <c r="C2965" t="s">
        <v>1115</v>
      </c>
      <c r="D2965" s="1">
        <v>0.875</v>
      </c>
      <c r="E2965" t="s">
        <v>464</v>
      </c>
      <c r="F2965" t="s">
        <v>34</v>
      </c>
      <c r="G2965" s="2">
        <v>46024</v>
      </c>
      <c r="H2965" t="s">
        <v>752</v>
      </c>
    </row>
    <row r="2966" spans="1:8" x14ac:dyDescent="0.3">
      <c r="A2966" t="s">
        <v>998</v>
      </c>
      <c r="B2966">
        <v>31</v>
      </c>
      <c r="C2966" t="s">
        <v>1115</v>
      </c>
      <c r="D2966" s="1">
        <v>0.875</v>
      </c>
      <c r="E2966" t="s">
        <v>31</v>
      </c>
      <c r="F2966" t="s">
        <v>14</v>
      </c>
      <c r="G2966" s="2">
        <v>46023</v>
      </c>
      <c r="H2966" t="s">
        <v>345</v>
      </c>
    </row>
    <row r="2967" spans="1:8" x14ac:dyDescent="0.3">
      <c r="A2967" t="s">
        <v>998</v>
      </c>
      <c r="B2967">
        <v>31</v>
      </c>
      <c r="C2967" t="s">
        <v>1115</v>
      </c>
      <c r="D2967" s="1">
        <v>0.91666666666666663</v>
      </c>
      <c r="E2967" t="s">
        <v>1000</v>
      </c>
      <c r="F2967" t="s">
        <v>25</v>
      </c>
      <c r="G2967" t="s">
        <v>46</v>
      </c>
      <c r="H2967" t="s">
        <v>181</v>
      </c>
    </row>
    <row r="2968" spans="1:8" x14ac:dyDescent="0.3">
      <c r="A2968" t="s">
        <v>998</v>
      </c>
      <c r="B2968">
        <v>31</v>
      </c>
      <c r="C2968" t="s">
        <v>1116</v>
      </c>
      <c r="D2968" s="1">
        <v>0.79166666666666663</v>
      </c>
      <c r="E2968" t="s">
        <v>28</v>
      </c>
      <c r="F2968" t="s">
        <v>750</v>
      </c>
      <c r="G2968" t="s">
        <v>12</v>
      </c>
      <c r="H2968" t="s">
        <v>467</v>
      </c>
    </row>
    <row r="2969" spans="1:8" x14ac:dyDescent="0.3">
      <c r="A2969" t="s">
        <v>998</v>
      </c>
      <c r="B2969">
        <v>31</v>
      </c>
      <c r="C2969" t="s">
        <v>1116</v>
      </c>
      <c r="D2969" s="1">
        <v>0.875</v>
      </c>
      <c r="E2969" t="s">
        <v>24</v>
      </c>
      <c r="F2969" t="s">
        <v>187</v>
      </c>
      <c r="G2969" s="2">
        <v>46026</v>
      </c>
      <c r="H2969" t="s">
        <v>197</v>
      </c>
    </row>
    <row r="2970" spans="1:8" x14ac:dyDescent="0.3">
      <c r="A2970" t="s">
        <v>998</v>
      </c>
      <c r="B2970">
        <v>31</v>
      </c>
      <c r="C2970" t="s">
        <v>1116</v>
      </c>
      <c r="D2970" s="1">
        <v>0.875</v>
      </c>
      <c r="E2970" t="s">
        <v>10</v>
      </c>
      <c r="F2970" t="s">
        <v>35</v>
      </c>
      <c r="G2970" s="2">
        <v>46024</v>
      </c>
      <c r="H2970" t="s">
        <v>194</v>
      </c>
    </row>
    <row r="2971" spans="1:8" x14ac:dyDescent="0.3">
      <c r="A2971" t="s">
        <v>998</v>
      </c>
      <c r="B2971">
        <v>31</v>
      </c>
      <c r="C2971" t="s">
        <v>1116</v>
      </c>
      <c r="D2971" s="1">
        <v>0.91666666666666663</v>
      </c>
      <c r="E2971" t="s">
        <v>20</v>
      </c>
      <c r="F2971" t="s">
        <v>11</v>
      </c>
      <c r="G2971" s="2">
        <v>46058</v>
      </c>
      <c r="H2971" t="s">
        <v>1007</v>
      </c>
    </row>
    <row r="2972" spans="1:8" x14ac:dyDescent="0.3">
      <c r="A2972" t="s">
        <v>998</v>
      </c>
      <c r="B2972">
        <v>32</v>
      </c>
      <c r="C2972" t="s">
        <v>1117</v>
      </c>
      <c r="D2972" s="1">
        <v>0.58333333333333337</v>
      </c>
      <c r="E2972" t="s">
        <v>31</v>
      </c>
      <c r="F2972" t="s">
        <v>21</v>
      </c>
      <c r="G2972" t="s">
        <v>18</v>
      </c>
      <c r="H2972" t="s">
        <v>609</v>
      </c>
    </row>
    <row r="2973" spans="1:8" x14ac:dyDescent="0.3">
      <c r="A2973" t="s">
        <v>998</v>
      </c>
      <c r="B2973">
        <v>32</v>
      </c>
      <c r="C2973" t="s">
        <v>1117</v>
      </c>
      <c r="D2973" s="1">
        <v>0.67708333333333337</v>
      </c>
      <c r="E2973" t="s">
        <v>14</v>
      </c>
      <c r="F2973" t="s">
        <v>1000</v>
      </c>
      <c r="G2973" s="2">
        <v>46023</v>
      </c>
      <c r="H2973" t="s">
        <v>612</v>
      </c>
    </row>
    <row r="2974" spans="1:8" x14ac:dyDescent="0.3">
      <c r="A2974" t="s">
        <v>998</v>
      </c>
      <c r="B2974">
        <v>32</v>
      </c>
      <c r="C2974" t="s">
        <v>1117</v>
      </c>
      <c r="D2974" s="1">
        <v>0.77083333333333337</v>
      </c>
      <c r="E2974" t="s">
        <v>16</v>
      </c>
      <c r="F2974" t="s">
        <v>464</v>
      </c>
      <c r="G2974" s="2">
        <v>46023</v>
      </c>
      <c r="H2974" t="s">
        <v>747</v>
      </c>
    </row>
    <row r="2975" spans="1:8" x14ac:dyDescent="0.3">
      <c r="A2975" t="s">
        <v>998</v>
      </c>
      <c r="B2975">
        <v>32</v>
      </c>
      <c r="C2975" t="s">
        <v>1117</v>
      </c>
      <c r="D2975" s="1">
        <v>0.875</v>
      </c>
      <c r="E2975" t="s">
        <v>25</v>
      </c>
      <c r="F2975" t="s">
        <v>26</v>
      </c>
      <c r="G2975" t="s">
        <v>41</v>
      </c>
      <c r="H2975" t="s">
        <v>198</v>
      </c>
    </row>
    <row r="2976" spans="1:8" x14ac:dyDescent="0.3">
      <c r="A2976" t="s">
        <v>998</v>
      </c>
      <c r="B2976">
        <v>32</v>
      </c>
      <c r="C2976" t="s">
        <v>1118</v>
      </c>
      <c r="D2976" s="1">
        <v>0.58333333333333337</v>
      </c>
      <c r="E2976" t="s">
        <v>750</v>
      </c>
      <c r="F2976" t="s">
        <v>11</v>
      </c>
      <c r="G2976" t="s">
        <v>54</v>
      </c>
      <c r="H2976" t="s">
        <v>205</v>
      </c>
    </row>
    <row r="2977" spans="1:8" x14ac:dyDescent="0.3">
      <c r="A2977" t="s">
        <v>998</v>
      </c>
      <c r="B2977">
        <v>32</v>
      </c>
      <c r="C2977" t="s">
        <v>1118</v>
      </c>
      <c r="D2977" s="1">
        <v>0.67708333333333337</v>
      </c>
      <c r="E2977" t="s">
        <v>34</v>
      </c>
      <c r="F2977" t="s">
        <v>20</v>
      </c>
      <c r="G2977" s="2">
        <v>46054</v>
      </c>
      <c r="H2977" t="s">
        <v>184</v>
      </c>
    </row>
    <row r="2978" spans="1:8" x14ac:dyDescent="0.3">
      <c r="A2978" t="s">
        <v>998</v>
      </c>
      <c r="B2978">
        <v>32</v>
      </c>
      <c r="C2978" t="s">
        <v>1118</v>
      </c>
      <c r="D2978" s="1">
        <v>0.77083333333333337</v>
      </c>
      <c r="E2978" t="s">
        <v>35</v>
      </c>
      <c r="F2978" t="s">
        <v>23</v>
      </c>
      <c r="G2978" s="2">
        <v>46024</v>
      </c>
      <c r="H2978" t="s">
        <v>883</v>
      </c>
    </row>
    <row r="2979" spans="1:8" x14ac:dyDescent="0.3">
      <c r="A2979" t="s">
        <v>998</v>
      </c>
      <c r="B2979">
        <v>32</v>
      </c>
      <c r="C2979" t="s">
        <v>1118</v>
      </c>
      <c r="D2979" s="1">
        <v>0.77083333333333337</v>
      </c>
      <c r="E2979" t="s">
        <v>27</v>
      </c>
      <c r="F2979" t="s">
        <v>24</v>
      </c>
      <c r="G2979" s="2">
        <v>46024</v>
      </c>
      <c r="H2979" t="s">
        <v>341</v>
      </c>
    </row>
    <row r="2980" spans="1:8" x14ac:dyDescent="0.3">
      <c r="A2980" t="s">
        <v>998</v>
      </c>
      <c r="B2980">
        <v>32</v>
      </c>
      <c r="C2980" t="s">
        <v>1118</v>
      </c>
      <c r="D2980" s="1">
        <v>0.875</v>
      </c>
      <c r="E2980" t="s">
        <v>15</v>
      </c>
      <c r="F2980" t="s">
        <v>28</v>
      </c>
      <c r="G2980" s="2">
        <v>46024</v>
      </c>
      <c r="H2980" t="s">
        <v>614</v>
      </c>
    </row>
    <row r="2981" spans="1:8" x14ac:dyDescent="0.3">
      <c r="A2981" t="s">
        <v>998</v>
      </c>
      <c r="B2981">
        <v>32</v>
      </c>
      <c r="C2981" t="s">
        <v>1119</v>
      </c>
      <c r="D2981" s="1">
        <v>0.875</v>
      </c>
      <c r="E2981" t="s">
        <v>187</v>
      </c>
      <c r="F2981" t="s">
        <v>10</v>
      </c>
      <c r="G2981" t="s">
        <v>42</v>
      </c>
      <c r="H2981" t="s">
        <v>1007</v>
      </c>
    </row>
    <row r="2982" spans="1:8" x14ac:dyDescent="0.3">
      <c r="A2982" t="s">
        <v>998</v>
      </c>
      <c r="B2982">
        <v>33</v>
      </c>
      <c r="C2982" t="s">
        <v>1120</v>
      </c>
      <c r="D2982" s="1">
        <v>0.58333333333333337</v>
      </c>
      <c r="E2982" t="s">
        <v>23</v>
      </c>
      <c r="F2982" t="s">
        <v>31</v>
      </c>
      <c r="G2982" t="s">
        <v>12</v>
      </c>
      <c r="H2982" t="s">
        <v>1007</v>
      </c>
    </row>
    <row r="2983" spans="1:8" x14ac:dyDescent="0.3">
      <c r="A2983" t="s">
        <v>998</v>
      </c>
      <c r="B2983">
        <v>33</v>
      </c>
      <c r="C2983" t="s">
        <v>1120</v>
      </c>
      <c r="D2983" s="1">
        <v>0.58333333333333337</v>
      </c>
      <c r="E2983" t="s">
        <v>10</v>
      </c>
      <c r="F2983" t="s">
        <v>27</v>
      </c>
      <c r="G2983" s="2">
        <v>46054</v>
      </c>
      <c r="H2983" t="s">
        <v>197</v>
      </c>
    </row>
    <row r="2984" spans="1:8" x14ac:dyDescent="0.3">
      <c r="A2984" t="s">
        <v>998</v>
      </c>
      <c r="B2984">
        <v>33</v>
      </c>
      <c r="C2984" t="s">
        <v>1120</v>
      </c>
      <c r="D2984" s="1">
        <v>0.67708333333333337</v>
      </c>
      <c r="E2984" t="s">
        <v>464</v>
      </c>
      <c r="F2984" t="s">
        <v>750</v>
      </c>
      <c r="G2984" t="s">
        <v>18</v>
      </c>
      <c r="H2984" t="s">
        <v>185</v>
      </c>
    </row>
    <row r="2985" spans="1:8" x14ac:dyDescent="0.3">
      <c r="A2985" t="s">
        <v>998</v>
      </c>
      <c r="B2985">
        <v>33</v>
      </c>
      <c r="C2985" t="s">
        <v>1120</v>
      </c>
      <c r="D2985" s="1">
        <v>0.67708333333333337</v>
      </c>
      <c r="E2985" t="s">
        <v>28</v>
      </c>
      <c r="F2985" t="s">
        <v>187</v>
      </c>
      <c r="G2985" t="s">
        <v>40</v>
      </c>
      <c r="H2985" t="s">
        <v>883</v>
      </c>
    </row>
    <row r="2986" spans="1:8" x14ac:dyDescent="0.3">
      <c r="A2986" t="s">
        <v>998</v>
      </c>
      <c r="B2986">
        <v>33</v>
      </c>
      <c r="C2986" t="s">
        <v>1120</v>
      </c>
      <c r="D2986" s="1">
        <v>0.77083333333333337</v>
      </c>
      <c r="E2986" t="s">
        <v>26</v>
      </c>
      <c r="F2986" t="s">
        <v>16</v>
      </c>
      <c r="G2986" s="2">
        <v>46055</v>
      </c>
      <c r="H2986" t="s">
        <v>612</v>
      </c>
    </row>
    <row r="2987" spans="1:8" x14ac:dyDescent="0.3">
      <c r="A2987" t="s">
        <v>998</v>
      </c>
      <c r="B2987">
        <v>33</v>
      </c>
      <c r="C2987" t="s">
        <v>1120</v>
      </c>
      <c r="D2987" s="1">
        <v>0.77083333333333337</v>
      </c>
      <c r="E2987" t="s">
        <v>1000</v>
      </c>
      <c r="F2987" t="s">
        <v>35</v>
      </c>
      <c r="G2987" t="s">
        <v>41</v>
      </c>
      <c r="H2987" t="s">
        <v>614</v>
      </c>
    </row>
    <row r="2988" spans="1:8" x14ac:dyDescent="0.3">
      <c r="A2988" t="s">
        <v>998</v>
      </c>
      <c r="B2988">
        <v>33</v>
      </c>
      <c r="C2988" t="s">
        <v>1120</v>
      </c>
      <c r="D2988" s="1">
        <v>0.875</v>
      </c>
      <c r="E2988" t="s">
        <v>11</v>
      </c>
      <c r="F2988" t="s">
        <v>25</v>
      </c>
      <c r="G2988" t="s">
        <v>41</v>
      </c>
      <c r="H2988" t="s">
        <v>345</v>
      </c>
    </row>
    <row r="2989" spans="1:8" x14ac:dyDescent="0.3">
      <c r="A2989" t="s">
        <v>998</v>
      </c>
      <c r="B2989">
        <v>33</v>
      </c>
      <c r="C2989" t="s">
        <v>1120</v>
      </c>
      <c r="D2989" s="1">
        <v>0.875</v>
      </c>
      <c r="E2989" t="s">
        <v>21</v>
      </c>
      <c r="F2989" t="s">
        <v>34</v>
      </c>
      <c r="G2989" s="2">
        <v>46143</v>
      </c>
      <c r="H2989" t="s">
        <v>341</v>
      </c>
    </row>
    <row r="2990" spans="1:8" x14ac:dyDescent="0.3">
      <c r="A2990" t="s">
        <v>998</v>
      </c>
      <c r="B2990">
        <v>33</v>
      </c>
      <c r="C2990" t="s">
        <v>1121</v>
      </c>
      <c r="D2990" s="1">
        <v>0.79166666666666663</v>
      </c>
      <c r="E2990" t="s">
        <v>15</v>
      </c>
      <c r="F2990" t="s">
        <v>14</v>
      </c>
      <c r="G2990" s="2">
        <v>46055</v>
      </c>
      <c r="H2990" t="s">
        <v>752</v>
      </c>
    </row>
    <row r="2991" spans="1:8" x14ac:dyDescent="0.3">
      <c r="A2991" t="s">
        <v>998</v>
      </c>
      <c r="B2991">
        <v>33</v>
      </c>
      <c r="C2991" t="s">
        <v>1122</v>
      </c>
      <c r="D2991" s="1">
        <v>0.79166666666666663</v>
      </c>
      <c r="E2991" t="s">
        <v>20</v>
      </c>
      <c r="F2991" t="s">
        <v>24</v>
      </c>
      <c r="G2991" s="2">
        <v>46054</v>
      </c>
      <c r="H2991" t="s">
        <v>614</v>
      </c>
    </row>
    <row r="2992" spans="1:8" x14ac:dyDescent="0.3">
      <c r="A2992" t="s">
        <v>998</v>
      </c>
      <c r="B2992">
        <v>34</v>
      </c>
      <c r="C2992" t="s">
        <v>1123</v>
      </c>
      <c r="D2992" s="1">
        <v>0.875</v>
      </c>
      <c r="E2992" t="s">
        <v>35</v>
      </c>
      <c r="F2992" t="s">
        <v>21</v>
      </c>
      <c r="G2992" t="s">
        <v>12</v>
      </c>
      <c r="H2992" t="s">
        <v>197</v>
      </c>
    </row>
    <row r="2993" spans="1:8" x14ac:dyDescent="0.3">
      <c r="A2993" t="s">
        <v>998</v>
      </c>
      <c r="B2993">
        <v>34</v>
      </c>
      <c r="C2993" t="s">
        <v>1124</v>
      </c>
      <c r="D2993" s="1">
        <v>0.58333333333333337</v>
      </c>
      <c r="E2993" t="s">
        <v>187</v>
      </c>
      <c r="F2993" t="s">
        <v>464</v>
      </c>
      <c r="G2993" t="s">
        <v>32</v>
      </c>
      <c r="H2993" t="s">
        <v>467</v>
      </c>
    </row>
    <row r="2994" spans="1:8" x14ac:dyDescent="0.3">
      <c r="A2994" t="s">
        <v>998</v>
      </c>
      <c r="B2994">
        <v>34</v>
      </c>
      <c r="C2994" t="s">
        <v>1124</v>
      </c>
      <c r="D2994" s="1">
        <v>0.67708333333333337</v>
      </c>
      <c r="E2994" t="s">
        <v>31</v>
      </c>
      <c r="F2994" t="s">
        <v>28</v>
      </c>
      <c r="G2994" t="s">
        <v>42</v>
      </c>
      <c r="H2994" t="s">
        <v>190</v>
      </c>
    </row>
    <row r="2995" spans="1:8" x14ac:dyDescent="0.3">
      <c r="A2995" t="s">
        <v>998</v>
      </c>
      <c r="B2995">
        <v>34</v>
      </c>
      <c r="C2995" t="s">
        <v>1124</v>
      </c>
      <c r="D2995" s="1">
        <v>0.77083333333333337</v>
      </c>
      <c r="E2995" t="s">
        <v>750</v>
      </c>
      <c r="F2995" t="s">
        <v>10</v>
      </c>
      <c r="G2995" t="s">
        <v>18</v>
      </c>
      <c r="H2995" t="s">
        <v>181</v>
      </c>
    </row>
    <row r="2996" spans="1:8" x14ac:dyDescent="0.3">
      <c r="A2996" t="s">
        <v>998</v>
      </c>
      <c r="B2996">
        <v>34</v>
      </c>
      <c r="C2996" t="s">
        <v>1124</v>
      </c>
      <c r="D2996" s="1">
        <v>0.875</v>
      </c>
      <c r="E2996" t="s">
        <v>25</v>
      </c>
      <c r="F2996" t="s">
        <v>23</v>
      </c>
      <c r="G2996" t="s">
        <v>12</v>
      </c>
      <c r="H2996" t="s">
        <v>747</v>
      </c>
    </row>
    <row r="2997" spans="1:8" x14ac:dyDescent="0.3">
      <c r="A2997" t="s">
        <v>998</v>
      </c>
      <c r="B2997">
        <v>34</v>
      </c>
      <c r="C2997" t="s">
        <v>1125</v>
      </c>
      <c r="D2997" s="1">
        <v>0.58333333333333337</v>
      </c>
      <c r="E2997" t="s">
        <v>14</v>
      </c>
      <c r="F2997" t="s">
        <v>26</v>
      </c>
      <c r="G2997" s="2">
        <v>46023</v>
      </c>
      <c r="H2997" t="s">
        <v>887</v>
      </c>
    </row>
    <row r="2998" spans="1:8" x14ac:dyDescent="0.3">
      <c r="A2998" t="s">
        <v>998</v>
      </c>
      <c r="B2998">
        <v>34</v>
      </c>
      <c r="C2998" t="s">
        <v>1125</v>
      </c>
      <c r="D2998" s="1">
        <v>0.67708333333333337</v>
      </c>
      <c r="E2998" t="s">
        <v>34</v>
      </c>
      <c r="F2998" t="s">
        <v>11</v>
      </c>
      <c r="G2998" t="s">
        <v>18</v>
      </c>
      <c r="H2998" t="s">
        <v>198</v>
      </c>
    </row>
    <row r="2999" spans="1:8" x14ac:dyDescent="0.3">
      <c r="A2999" t="s">
        <v>998</v>
      </c>
      <c r="B2999">
        <v>34</v>
      </c>
      <c r="C2999" t="s">
        <v>1125</v>
      </c>
      <c r="D2999" s="1">
        <v>0.77083333333333337</v>
      </c>
      <c r="E2999" t="s">
        <v>24</v>
      </c>
      <c r="F2999" t="s">
        <v>1000</v>
      </c>
      <c r="G2999" t="s">
        <v>42</v>
      </c>
      <c r="H2999" t="s">
        <v>1001</v>
      </c>
    </row>
    <row r="3000" spans="1:8" x14ac:dyDescent="0.3">
      <c r="A3000" t="s">
        <v>998</v>
      </c>
      <c r="B3000">
        <v>34</v>
      </c>
      <c r="C3000" t="s">
        <v>1125</v>
      </c>
      <c r="D3000" s="1">
        <v>0.875</v>
      </c>
      <c r="E3000" t="s">
        <v>16</v>
      </c>
      <c r="F3000" t="s">
        <v>20</v>
      </c>
      <c r="G3000" s="2">
        <v>46083</v>
      </c>
      <c r="H3000" t="s">
        <v>345</v>
      </c>
    </row>
    <row r="3001" spans="1:8" x14ac:dyDescent="0.3">
      <c r="A3001" t="s">
        <v>998</v>
      </c>
      <c r="B3001">
        <v>34</v>
      </c>
      <c r="C3001" t="s">
        <v>1126</v>
      </c>
      <c r="D3001" s="1">
        <v>0.875</v>
      </c>
      <c r="E3001" t="s">
        <v>27</v>
      </c>
      <c r="F3001" t="s">
        <v>15</v>
      </c>
      <c r="G3001" t="s">
        <v>42</v>
      </c>
      <c r="H3001" t="s">
        <v>194</v>
      </c>
    </row>
    <row r="3002" spans="1:8" x14ac:dyDescent="0.3">
      <c r="A3002" t="s">
        <v>998</v>
      </c>
      <c r="B3002">
        <v>35</v>
      </c>
      <c r="C3002" t="s">
        <v>1127</v>
      </c>
      <c r="D3002" s="1">
        <v>0.875</v>
      </c>
      <c r="E3002" t="s">
        <v>10</v>
      </c>
      <c r="F3002" t="s">
        <v>31</v>
      </c>
      <c r="G3002" t="s">
        <v>12</v>
      </c>
      <c r="H3002" t="s">
        <v>752</v>
      </c>
    </row>
    <row r="3003" spans="1:8" x14ac:dyDescent="0.3">
      <c r="A3003" t="s">
        <v>998</v>
      </c>
      <c r="B3003">
        <v>35</v>
      </c>
      <c r="C3003" t="s">
        <v>1128</v>
      </c>
      <c r="D3003" s="1">
        <v>0.58333333333333337</v>
      </c>
      <c r="E3003" t="s">
        <v>464</v>
      </c>
      <c r="F3003" t="s">
        <v>21</v>
      </c>
      <c r="G3003" s="2">
        <v>46055</v>
      </c>
      <c r="H3003" t="s">
        <v>184</v>
      </c>
    </row>
    <row r="3004" spans="1:8" x14ac:dyDescent="0.3">
      <c r="A3004" t="s">
        <v>998</v>
      </c>
      <c r="B3004">
        <v>35</v>
      </c>
      <c r="C3004" t="s">
        <v>1128</v>
      </c>
      <c r="D3004" s="1">
        <v>0.67708333333333337</v>
      </c>
      <c r="E3004" t="s">
        <v>20</v>
      </c>
      <c r="F3004" t="s">
        <v>28</v>
      </c>
      <c r="G3004" t="s">
        <v>41</v>
      </c>
      <c r="H3004" t="s">
        <v>181</v>
      </c>
    </row>
    <row r="3005" spans="1:8" x14ac:dyDescent="0.3">
      <c r="A3005" t="s">
        <v>998</v>
      </c>
      <c r="B3005">
        <v>35</v>
      </c>
      <c r="C3005" t="s">
        <v>1128</v>
      </c>
      <c r="D3005" s="1">
        <v>0.77083333333333337</v>
      </c>
      <c r="E3005" t="s">
        <v>1000</v>
      </c>
      <c r="F3005" t="s">
        <v>750</v>
      </c>
      <c r="G3005" s="2">
        <v>46024</v>
      </c>
      <c r="H3005" t="s">
        <v>185</v>
      </c>
    </row>
    <row r="3006" spans="1:8" x14ac:dyDescent="0.3">
      <c r="A3006" t="s">
        <v>998</v>
      </c>
      <c r="B3006">
        <v>35</v>
      </c>
      <c r="C3006" t="s">
        <v>1128</v>
      </c>
      <c r="D3006" s="1">
        <v>0.875</v>
      </c>
      <c r="E3006" t="s">
        <v>15</v>
      </c>
      <c r="F3006" t="s">
        <v>23</v>
      </c>
      <c r="G3006" s="2">
        <v>46055</v>
      </c>
      <c r="H3006" t="s">
        <v>887</v>
      </c>
    </row>
    <row r="3007" spans="1:8" x14ac:dyDescent="0.3">
      <c r="A3007" t="s">
        <v>998</v>
      </c>
      <c r="B3007">
        <v>35</v>
      </c>
      <c r="C3007" t="s">
        <v>1129</v>
      </c>
      <c r="D3007" s="1">
        <v>0.58333333333333337</v>
      </c>
      <c r="E3007" t="s">
        <v>11</v>
      </c>
      <c r="F3007" t="s">
        <v>187</v>
      </c>
      <c r="G3007" t="s">
        <v>42</v>
      </c>
      <c r="H3007" t="s">
        <v>612</v>
      </c>
    </row>
    <row r="3008" spans="1:8" x14ac:dyDescent="0.3">
      <c r="A3008" t="s">
        <v>998</v>
      </c>
      <c r="B3008">
        <v>35</v>
      </c>
      <c r="C3008" t="s">
        <v>1129</v>
      </c>
      <c r="D3008" s="1">
        <v>0.67708333333333337</v>
      </c>
      <c r="E3008" t="s">
        <v>16</v>
      </c>
      <c r="F3008" t="s">
        <v>14</v>
      </c>
      <c r="G3008" t="s">
        <v>32</v>
      </c>
      <c r="H3008" t="s">
        <v>194</v>
      </c>
    </row>
    <row r="3009" spans="1:8" x14ac:dyDescent="0.3">
      <c r="A3009" t="s">
        <v>998</v>
      </c>
      <c r="B3009">
        <v>35</v>
      </c>
      <c r="C3009" t="s">
        <v>1129</v>
      </c>
      <c r="D3009" s="1">
        <v>0.77083333333333337</v>
      </c>
      <c r="E3009" t="s">
        <v>34</v>
      </c>
      <c r="F3009" t="s">
        <v>35</v>
      </c>
      <c r="G3009" s="2">
        <v>46114</v>
      </c>
      <c r="H3009" t="s">
        <v>609</v>
      </c>
    </row>
    <row r="3010" spans="1:8" x14ac:dyDescent="0.3">
      <c r="A3010" t="s">
        <v>998</v>
      </c>
      <c r="B3010">
        <v>35</v>
      </c>
      <c r="C3010" t="s">
        <v>1129</v>
      </c>
      <c r="D3010" s="1">
        <v>0.875</v>
      </c>
      <c r="E3010" t="s">
        <v>25</v>
      </c>
      <c r="F3010" t="s">
        <v>27</v>
      </c>
      <c r="G3010" s="2">
        <v>46055</v>
      </c>
      <c r="H3010" t="s">
        <v>205</v>
      </c>
    </row>
    <row r="3011" spans="1:8" x14ac:dyDescent="0.3">
      <c r="A3011" t="s">
        <v>998</v>
      </c>
      <c r="B3011">
        <v>35</v>
      </c>
      <c r="C3011" t="s">
        <v>1130</v>
      </c>
      <c r="D3011" s="1">
        <v>0.875</v>
      </c>
      <c r="E3011" t="s">
        <v>26</v>
      </c>
      <c r="F3011" t="s">
        <v>24</v>
      </c>
      <c r="G3011" s="2">
        <v>46024</v>
      </c>
      <c r="H3011" t="s">
        <v>883</v>
      </c>
    </row>
    <row r="3012" spans="1:8" x14ac:dyDescent="0.3">
      <c r="A3012" t="s">
        <v>998</v>
      </c>
      <c r="B3012">
        <v>36</v>
      </c>
      <c r="C3012" t="s">
        <v>1131</v>
      </c>
      <c r="D3012" s="1">
        <v>0.79166666666666663</v>
      </c>
      <c r="E3012" t="s">
        <v>23</v>
      </c>
      <c r="F3012" t="s">
        <v>1000</v>
      </c>
      <c r="G3012" s="2">
        <v>46056</v>
      </c>
      <c r="H3012" t="s">
        <v>197</v>
      </c>
    </row>
    <row r="3013" spans="1:8" x14ac:dyDescent="0.3">
      <c r="A3013" t="s">
        <v>998</v>
      </c>
      <c r="B3013">
        <v>36</v>
      </c>
      <c r="C3013" t="s">
        <v>1131</v>
      </c>
      <c r="D3013" s="1">
        <v>0.83333333333333337</v>
      </c>
      <c r="E3013" t="s">
        <v>31</v>
      </c>
      <c r="F3013" t="s">
        <v>464</v>
      </c>
      <c r="G3013" t="s">
        <v>54</v>
      </c>
      <c r="H3013" t="s">
        <v>614</v>
      </c>
    </row>
    <row r="3014" spans="1:8" x14ac:dyDescent="0.3">
      <c r="A3014" t="s">
        <v>998</v>
      </c>
      <c r="B3014">
        <v>36</v>
      </c>
      <c r="C3014" t="s">
        <v>1131</v>
      </c>
      <c r="D3014" s="1">
        <v>0.91666666666666663</v>
      </c>
      <c r="E3014" t="s">
        <v>21</v>
      </c>
      <c r="F3014" t="s">
        <v>20</v>
      </c>
      <c r="G3014" s="2">
        <v>46084</v>
      </c>
      <c r="H3014" t="s">
        <v>467</v>
      </c>
    </row>
    <row r="3015" spans="1:8" x14ac:dyDescent="0.3">
      <c r="A3015" t="s">
        <v>998</v>
      </c>
      <c r="B3015">
        <v>36</v>
      </c>
      <c r="C3015" t="s">
        <v>1132</v>
      </c>
      <c r="D3015" s="1">
        <v>0.79166666666666663</v>
      </c>
      <c r="E3015" t="s">
        <v>27</v>
      </c>
      <c r="F3015" t="s">
        <v>16</v>
      </c>
      <c r="G3015" t="s">
        <v>18</v>
      </c>
      <c r="H3015" t="s">
        <v>198</v>
      </c>
    </row>
    <row r="3016" spans="1:8" x14ac:dyDescent="0.3">
      <c r="A3016" t="s">
        <v>998</v>
      </c>
      <c r="B3016">
        <v>36</v>
      </c>
      <c r="C3016" t="s">
        <v>1132</v>
      </c>
      <c r="D3016" s="1">
        <v>0.83333333333333337</v>
      </c>
      <c r="E3016" t="s">
        <v>35</v>
      </c>
      <c r="F3016" t="s">
        <v>11</v>
      </c>
      <c r="G3016" t="s">
        <v>18</v>
      </c>
      <c r="H3016" t="s">
        <v>190</v>
      </c>
    </row>
    <row r="3017" spans="1:8" x14ac:dyDescent="0.3">
      <c r="A3017" t="s">
        <v>998</v>
      </c>
      <c r="B3017">
        <v>36</v>
      </c>
      <c r="C3017" t="s">
        <v>1132</v>
      </c>
      <c r="D3017" s="1">
        <v>0.83333333333333337</v>
      </c>
      <c r="E3017" t="s">
        <v>750</v>
      </c>
      <c r="F3017" t="s">
        <v>15</v>
      </c>
      <c r="G3017" t="s">
        <v>18</v>
      </c>
      <c r="H3017" t="s">
        <v>1007</v>
      </c>
    </row>
    <row r="3018" spans="1:8" x14ac:dyDescent="0.3">
      <c r="A3018" t="s">
        <v>998</v>
      </c>
      <c r="B3018">
        <v>36</v>
      </c>
      <c r="C3018" t="s">
        <v>1132</v>
      </c>
      <c r="D3018" s="1">
        <v>0.91666666666666663</v>
      </c>
      <c r="E3018" t="s">
        <v>28</v>
      </c>
      <c r="F3018" t="s">
        <v>10</v>
      </c>
      <c r="G3018" s="2">
        <v>46024</v>
      </c>
      <c r="H3018" t="s">
        <v>747</v>
      </c>
    </row>
    <row r="3019" spans="1:8" x14ac:dyDescent="0.3">
      <c r="A3019" t="s">
        <v>998</v>
      </c>
      <c r="B3019">
        <v>36</v>
      </c>
      <c r="C3019" t="s">
        <v>1133</v>
      </c>
      <c r="D3019" s="1">
        <v>0.79166666666666663</v>
      </c>
      <c r="E3019" t="s">
        <v>14</v>
      </c>
      <c r="F3019" t="s">
        <v>34</v>
      </c>
      <c r="G3019" t="s">
        <v>54</v>
      </c>
      <c r="H3019" t="s">
        <v>341</v>
      </c>
    </row>
    <row r="3020" spans="1:8" x14ac:dyDescent="0.3">
      <c r="A3020" t="s">
        <v>998</v>
      </c>
      <c r="B3020">
        <v>36</v>
      </c>
      <c r="C3020" t="s">
        <v>1133</v>
      </c>
      <c r="D3020" s="1">
        <v>0.83333333333333337</v>
      </c>
      <c r="E3020" t="s">
        <v>187</v>
      </c>
      <c r="F3020" t="s">
        <v>26</v>
      </c>
      <c r="G3020" s="2">
        <v>46023</v>
      </c>
      <c r="H3020" t="s">
        <v>1001</v>
      </c>
    </row>
    <row r="3021" spans="1:8" x14ac:dyDescent="0.3">
      <c r="A3021" t="s">
        <v>998</v>
      </c>
      <c r="B3021">
        <v>36</v>
      </c>
      <c r="C3021" t="s">
        <v>1133</v>
      </c>
      <c r="D3021" s="1">
        <v>0.91666666666666663</v>
      </c>
      <c r="E3021" t="s">
        <v>24</v>
      </c>
      <c r="F3021" t="s">
        <v>25</v>
      </c>
      <c r="G3021" s="2">
        <v>46113</v>
      </c>
      <c r="H3021" t="s">
        <v>194</v>
      </c>
    </row>
    <row r="3022" spans="1:8" x14ac:dyDescent="0.3">
      <c r="A3022" t="s">
        <v>998</v>
      </c>
      <c r="B3022">
        <v>37</v>
      </c>
      <c r="C3022" t="s">
        <v>1134</v>
      </c>
      <c r="D3022" s="1">
        <v>0.77083333333333337</v>
      </c>
      <c r="E3022" t="s">
        <v>464</v>
      </c>
      <c r="F3022" t="s">
        <v>24</v>
      </c>
      <c r="G3022" s="2">
        <v>46057</v>
      </c>
      <c r="H3022" t="s">
        <v>345</v>
      </c>
    </row>
    <row r="3023" spans="1:8" x14ac:dyDescent="0.3">
      <c r="A3023" t="s">
        <v>998</v>
      </c>
      <c r="B3023">
        <v>37</v>
      </c>
      <c r="C3023" t="s">
        <v>1134</v>
      </c>
      <c r="D3023" s="1">
        <v>0.77083333333333337</v>
      </c>
      <c r="E3023" t="s">
        <v>15</v>
      </c>
      <c r="F3023" t="s">
        <v>25</v>
      </c>
      <c r="G3023" t="s">
        <v>42</v>
      </c>
      <c r="H3023" t="s">
        <v>181</v>
      </c>
    </row>
    <row r="3024" spans="1:8" x14ac:dyDescent="0.3">
      <c r="A3024" t="s">
        <v>998</v>
      </c>
      <c r="B3024">
        <v>37</v>
      </c>
      <c r="C3024" t="s">
        <v>1134</v>
      </c>
      <c r="D3024" s="1">
        <v>0.77083333333333337</v>
      </c>
      <c r="E3024" t="s">
        <v>28</v>
      </c>
      <c r="F3024" t="s">
        <v>23</v>
      </c>
      <c r="G3024" s="2">
        <v>46024</v>
      </c>
      <c r="H3024" t="s">
        <v>205</v>
      </c>
    </row>
    <row r="3025" spans="1:8" x14ac:dyDescent="0.3">
      <c r="A3025" t="s">
        <v>998</v>
      </c>
      <c r="B3025">
        <v>37</v>
      </c>
      <c r="C3025" t="s">
        <v>1134</v>
      </c>
      <c r="D3025" s="1">
        <v>0.77083333333333337</v>
      </c>
      <c r="E3025" t="s">
        <v>20</v>
      </c>
      <c r="F3025" t="s">
        <v>35</v>
      </c>
      <c r="G3025" s="2">
        <v>46054</v>
      </c>
      <c r="H3025" t="s">
        <v>341</v>
      </c>
    </row>
    <row r="3026" spans="1:8" x14ac:dyDescent="0.3">
      <c r="A3026" t="s">
        <v>998</v>
      </c>
      <c r="B3026">
        <v>37</v>
      </c>
      <c r="C3026" t="s">
        <v>1134</v>
      </c>
      <c r="D3026" s="1">
        <v>0.77083333333333337</v>
      </c>
      <c r="E3026" t="s">
        <v>26</v>
      </c>
      <c r="F3026" t="s">
        <v>750</v>
      </c>
      <c r="G3026" t="s">
        <v>18</v>
      </c>
      <c r="H3026" t="s">
        <v>614</v>
      </c>
    </row>
    <row r="3027" spans="1:8" x14ac:dyDescent="0.3">
      <c r="A3027" t="s">
        <v>998</v>
      </c>
      <c r="B3027">
        <v>37</v>
      </c>
      <c r="C3027" t="s">
        <v>1134</v>
      </c>
      <c r="D3027" s="1">
        <v>0.77083333333333337</v>
      </c>
      <c r="E3027" t="s">
        <v>11</v>
      </c>
      <c r="F3027" t="s">
        <v>21</v>
      </c>
      <c r="G3027" s="2">
        <v>46024</v>
      </c>
      <c r="H3027" t="s">
        <v>752</v>
      </c>
    </row>
    <row r="3028" spans="1:8" x14ac:dyDescent="0.3">
      <c r="A3028" t="s">
        <v>998</v>
      </c>
      <c r="B3028">
        <v>37</v>
      </c>
      <c r="C3028" t="s">
        <v>1134</v>
      </c>
      <c r="D3028" s="1">
        <v>0.77083333333333337</v>
      </c>
      <c r="E3028" t="s">
        <v>1000</v>
      </c>
      <c r="F3028" t="s">
        <v>31</v>
      </c>
      <c r="G3028" s="2">
        <v>46082</v>
      </c>
      <c r="H3028" t="s">
        <v>883</v>
      </c>
    </row>
    <row r="3029" spans="1:8" x14ac:dyDescent="0.3">
      <c r="A3029" t="s">
        <v>998</v>
      </c>
      <c r="B3029">
        <v>37</v>
      </c>
      <c r="C3029" t="s">
        <v>1134</v>
      </c>
      <c r="D3029" s="1">
        <v>0.77083333333333337</v>
      </c>
      <c r="E3029" t="s">
        <v>10</v>
      </c>
      <c r="F3029" t="s">
        <v>14</v>
      </c>
      <c r="G3029" s="2">
        <v>46026</v>
      </c>
      <c r="H3029" t="s">
        <v>184</v>
      </c>
    </row>
    <row r="3030" spans="1:8" x14ac:dyDescent="0.3">
      <c r="A3030" t="s">
        <v>998</v>
      </c>
      <c r="B3030">
        <v>37</v>
      </c>
      <c r="C3030" t="s">
        <v>1134</v>
      </c>
      <c r="D3030" s="1">
        <v>0.77083333333333337</v>
      </c>
      <c r="E3030" t="s">
        <v>16</v>
      </c>
      <c r="F3030" t="s">
        <v>187</v>
      </c>
      <c r="G3030" s="2">
        <v>46026</v>
      </c>
      <c r="H3030" t="s">
        <v>887</v>
      </c>
    </row>
    <row r="3031" spans="1:8" x14ac:dyDescent="0.3">
      <c r="A3031" t="s">
        <v>998</v>
      </c>
      <c r="B3031">
        <v>37</v>
      </c>
      <c r="C3031" t="s">
        <v>1134</v>
      </c>
      <c r="D3031" s="1">
        <v>0.77083333333333337</v>
      </c>
      <c r="E3031" t="s">
        <v>34</v>
      </c>
      <c r="F3031" t="s">
        <v>27</v>
      </c>
      <c r="G3031" t="s">
        <v>88</v>
      </c>
      <c r="H3031" t="s">
        <v>747</v>
      </c>
    </row>
    <row r="3032" spans="1:8" x14ac:dyDescent="0.3">
      <c r="A3032" t="s">
        <v>998</v>
      </c>
      <c r="B3032">
        <v>38</v>
      </c>
      <c r="C3032" t="s">
        <v>1135</v>
      </c>
      <c r="D3032" s="1">
        <v>0.875</v>
      </c>
      <c r="E3032" t="s">
        <v>21</v>
      </c>
      <c r="F3032" t="s">
        <v>1000</v>
      </c>
      <c r="G3032" s="2">
        <v>46055</v>
      </c>
      <c r="H3032" t="s">
        <v>198</v>
      </c>
    </row>
    <row r="3033" spans="1:8" x14ac:dyDescent="0.3">
      <c r="A3033" t="s">
        <v>998</v>
      </c>
      <c r="B3033">
        <v>38</v>
      </c>
      <c r="C3033" t="s">
        <v>1136</v>
      </c>
      <c r="D3033" s="1">
        <v>0.75</v>
      </c>
      <c r="E3033" t="s">
        <v>35</v>
      </c>
      <c r="F3033" t="s">
        <v>26</v>
      </c>
      <c r="G3033" s="2">
        <v>46083</v>
      </c>
      <c r="H3033" t="s">
        <v>194</v>
      </c>
    </row>
    <row r="3034" spans="1:8" x14ac:dyDescent="0.3">
      <c r="A3034" t="s">
        <v>998</v>
      </c>
      <c r="B3034">
        <v>38</v>
      </c>
      <c r="C3034" t="s">
        <v>1136</v>
      </c>
      <c r="D3034" s="1">
        <v>0.75</v>
      </c>
      <c r="E3034" t="s">
        <v>187</v>
      </c>
      <c r="F3034" t="s">
        <v>20</v>
      </c>
      <c r="G3034" t="s">
        <v>42</v>
      </c>
      <c r="H3034" t="s">
        <v>197</v>
      </c>
    </row>
    <row r="3035" spans="1:8" x14ac:dyDescent="0.3">
      <c r="A3035" t="s">
        <v>998</v>
      </c>
      <c r="B3035">
        <v>38</v>
      </c>
      <c r="C3035" t="s">
        <v>1136</v>
      </c>
      <c r="D3035" s="1">
        <v>0.75</v>
      </c>
      <c r="E3035" t="s">
        <v>750</v>
      </c>
      <c r="F3035" t="s">
        <v>16</v>
      </c>
      <c r="G3035" t="s">
        <v>41</v>
      </c>
      <c r="H3035" t="s">
        <v>747</v>
      </c>
    </row>
    <row r="3036" spans="1:8" x14ac:dyDescent="0.3">
      <c r="A3036" t="s">
        <v>998</v>
      </c>
      <c r="B3036">
        <v>38</v>
      </c>
      <c r="C3036" t="s">
        <v>1136</v>
      </c>
      <c r="D3036" s="1">
        <v>0.75</v>
      </c>
      <c r="E3036" t="s">
        <v>23</v>
      </c>
      <c r="F3036" t="s">
        <v>10</v>
      </c>
      <c r="G3036" t="s">
        <v>42</v>
      </c>
      <c r="H3036" t="s">
        <v>1007</v>
      </c>
    </row>
    <row r="3037" spans="1:8" x14ac:dyDescent="0.3">
      <c r="A3037" t="s">
        <v>998</v>
      </c>
      <c r="B3037">
        <v>38</v>
      </c>
      <c r="C3037" t="s">
        <v>1136</v>
      </c>
      <c r="D3037" s="1">
        <v>0.75</v>
      </c>
      <c r="E3037" t="s">
        <v>25</v>
      </c>
      <c r="F3037" t="s">
        <v>34</v>
      </c>
      <c r="G3037" s="2">
        <v>46024</v>
      </c>
      <c r="H3037" t="s">
        <v>467</v>
      </c>
    </row>
    <row r="3038" spans="1:8" x14ac:dyDescent="0.3">
      <c r="A3038" t="s">
        <v>998</v>
      </c>
      <c r="B3038">
        <v>38</v>
      </c>
      <c r="C3038" t="s">
        <v>1136</v>
      </c>
      <c r="D3038" s="1">
        <v>0.75</v>
      </c>
      <c r="E3038" t="s">
        <v>14</v>
      </c>
      <c r="F3038" t="s">
        <v>28</v>
      </c>
      <c r="G3038" s="2">
        <v>46054</v>
      </c>
      <c r="H3038" t="s">
        <v>345</v>
      </c>
    </row>
    <row r="3039" spans="1:8" x14ac:dyDescent="0.3">
      <c r="A3039" t="s">
        <v>998</v>
      </c>
      <c r="B3039">
        <v>38</v>
      </c>
      <c r="C3039" t="s">
        <v>1136</v>
      </c>
      <c r="D3039" s="1">
        <v>0.75</v>
      </c>
      <c r="E3039" t="s">
        <v>31</v>
      </c>
      <c r="F3039" t="s">
        <v>15</v>
      </c>
      <c r="G3039" t="s">
        <v>12</v>
      </c>
      <c r="H3039" t="s">
        <v>184</v>
      </c>
    </row>
    <row r="3040" spans="1:8" x14ac:dyDescent="0.3">
      <c r="A3040" t="s">
        <v>998</v>
      </c>
      <c r="B3040">
        <v>38</v>
      </c>
      <c r="C3040" t="s">
        <v>1137</v>
      </c>
      <c r="D3040" s="1">
        <v>0.77083333333333337</v>
      </c>
      <c r="E3040" t="s">
        <v>24</v>
      </c>
      <c r="F3040" t="s">
        <v>11</v>
      </c>
      <c r="G3040" t="s">
        <v>41</v>
      </c>
      <c r="H3040" t="s">
        <v>609</v>
      </c>
    </row>
    <row r="3041" spans="1:8" x14ac:dyDescent="0.3">
      <c r="A3041" t="s">
        <v>998</v>
      </c>
      <c r="B3041">
        <v>38</v>
      </c>
      <c r="C3041" t="s">
        <v>1137</v>
      </c>
      <c r="D3041" s="1">
        <v>0.875</v>
      </c>
      <c r="E3041" t="s">
        <v>27</v>
      </c>
      <c r="F3041" t="s">
        <v>464</v>
      </c>
      <c r="G3041" t="s">
        <v>18</v>
      </c>
      <c r="H3041" t="s">
        <v>1001</v>
      </c>
    </row>
    <row r="3042" spans="1:8" x14ac:dyDescent="0.3">
      <c r="A3042" t="s">
        <v>1138</v>
      </c>
      <c r="B3042">
        <v>1</v>
      </c>
      <c r="C3042" t="s">
        <v>1139</v>
      </c>
      <c r="D3042" s="1">
        <v>0.875</v>
      </c>
      <c r="E3042" t="s">
        <v>16</v>
      </c>
      <c r="F3042" t="s">
        <v>11</v>
      </c>
      <c r="G3042" t="s">
        <v>18</v>
      </c>
      <c r="H3042" t="s">
        <v>194</v>
      </c>
    </row>
    <row r="3043" spans="1:8" x14ac:dyDescent="0.3">
      <c r="A3043" t="s">
        <v>1138</v>
      </c>
      <c r="B3043">
        <v>1</v>
      </c>
      <c r="C3043" t="s">
        <v>1140</v>
      </c>
      <c r="D3043" s="1">
        <v>0.8125</v>
      </c>
      <c r="E3043" t="s">
        <v>881</v>
      </c>
      <c r="F3043" t="s">
        <v>26</v>
      </c>
      <c r="G3043" s="2">
        <v>46023</v>
      </c>
      <c r="H3043" t="s">
        <v>181</v>
      </c>
    </row>
    <row r="3044" spans="1:8" x14ac:dyDescent="0.3">
      <c r="A3044" t="s">
        <v>1138</v>
      </c>
      <c r="B3044">
        <v>1</v>
      </c>
      <c r="C3044" t="s">
        <v>1140</v>
      </c>
      <c r="D3044" s="1">
        <v>0.8125</v>
      </c>
      <c r="E3044" t="s">
        <v>1000</v>
      </c>
      <c r="F3044" t="s">
        <v>21</v>
      </c>
      <c r="G3044" s="2">
        <v>46023</v>
      </c>
      <c r="H3044" t="s">
        <v>197</v>
      </c>
    </row>
    <row r="3045" spans="1:8" x14ac:dyDescent="0.3">
      <c r="A3045" t="s">
        <v>1138</v>
      </c>
      <c r="B3045">
        <v>1</v>
      </c>
      <c r="C3045" t="s">
        <v>1140</v>
      </c>
      <c r="D3045" s="1">
        <v>0.91666666666666663</v>
      </c>
      <c r="E3045" t="s">
        <v>464</v>
      </c>
      <c r="F3045" t="s">
        <v>25</v>
      </c>
      <c r="G3045" s="2">
        <v>46113</v>
      </c>
      <c r="H3045" t="s">
        <v>883</v>
      </c>
    </row>
    <row r="3046" spans="1:8" x14ac:dyDescent="0.3">
      <c r="A3046" t="s">
        <v>1138</v>
      </c>
      <c r="B3046">
        <v>1</v>
      </c>
      <c r="C3046" t="s">
        <v>1140</v>
      </c>
      <c r="D3046" s="1">
        <v>0.91666666666666663</v>
      </c>
      <c r="E3046" t="s">
        <v>23</v>
      </c>
      <c r="F3046" t="s">
        <v>36</v>
      </c>
      <c r="G3046" t="s">
        <v>41</v>
      </c>
      <c r="H3046" t="s">
        <v>1141</v>
      </c>
    </row>
    <row r="3047" spans="1:8" x14ac:dyDescent="0.3">
      <c r="A3047" t="s">
        <v>1138</v>
      </c>
      <c r="B3047">
        <v>1</v>
      </c>
      <c r="C3047" t="s">
        <v>1142</v>
      </c>
      <c r="D3047" s="1">
        <v>0.72916666666666663</v>
      </c>
      <c r="E3047" t="s">
        <v>35</v>
      </c>
      <c r="F3047" t="s">
        <v>28</v>
      </c>
      <c r="G3047" s="2">
        <v>46054</v>
      </c>
      <c r="H3047" t="s">
        <v>467</v>
      </c>
    </row>
    <row r="3048" spans="1:8" x14ac:dyDescent="0.3">
      <c r="A3048" t="s">
        <v>1138</v>
      </c>
      <c r="B3048">
        <v>1</v>
      </c>
      <c r="C3048" t="s">
        <v>1142</v>
      </c>
      <c r="D3048" s="1">
        <v>0.83333333333333337</v>
      </c>
      <c r="E3048" t="s">
        <v>20</v>
      </c>
      <c r="F3048" t="s">
        <v>10</v>
      </c>
      <c r="G3048" s="2">
        <v>46057</v>
      </c>
      <c r="H3048" t="s">
        <v>185</v>
      </c>
    </row>
    <row r="3049" spans="1:8" x14ac:dyDescent="0.3">
      <c r="A3049" t="s">
        <v>1138</v>
      </c>
      <c r="B3049">
        <v>1</v>
      </c>
      <c r="C3049" t="s">
        <v>1142</v>
      </c>
      <c r="D3049" s="1">
        <v>0.92708333333333337</v>
      </c>
      <c r="E3049" t="s">
        <v>27</v>
      </c>
      <c r="F3049" t="s">
        <v>30</v>
      </c>
      <c r="G3049" t="s">
        <v>32</v>
      </c>
      <c r="H3049" t="s">
        <v>1001</v>
      </c>
    </row>
    <row r="3050" spans="1:8" x14ac:dyDescent="0.3">
      <c r="A3050" t="s">
        <v>1138</v>
      </c>
      <c r="B3050">
        <v>1</v>
      </c>
      <c r="C3050" t="s">
        <v>1143</v>
      </c>
      <c r="D3050" s="1">
        <v>0.83333333333333337</v>
      </c>
      <c r="E3050" t="s">
        <v>34</v>
      </c>
      <c r="F3050" t="s">
        <v>24</v>
      </c>
      <c r="G3050" t="s">
        <v>41</v>
      </c>
      <c r="H3050" t="s">
        <v>614</v>
      </c>
    </row>
    <row r="3051" spans="1:8" x14ac:dyDescent="0.3">
      <c r="A3051" t="s">
        <v>1138</v>
      </c>
      <c r="B3051">
        <v>1</v>
      </c>
      <c r="C3051" t="s">
        <v>1143</v>
      </c>
      <c r="D3051" s="1">
        <v>0.91666666666666663</v>
      </c>
      <c r="E3051" t="s">
        <v>31</v>
      </c>
      <c r="F3051" t="s">
        <v>15</v>
      </c>
      <c r="G3051" t="s">
        <v>41</v>
      </c>
      <c r="H3051" t="s">
        <v>752</v>
      </c>
    </row>
    <row r="3052" spans="1:8" x14ac:dyDescent="0.3">
      <c r="A3052" t="s">
        <v>1138</v>
      </c>
      <c r="B3052">
        <v>2</v>
      </c>
      <c r="C3052" t="s">
        <v>1144</v>
      </c>
      <c r="D3052" s="1">
        <v>0.875</v>
      </c>
      <c r="E3052" t="s">
        <v>26</v>
      </c>
      <c r="F3052" t="s">
        <v>1000</v>
      </c>
      <c r="G3052" s="2">
        <v>46023</v>
      </c>
      <c r="H3052" t="s">
        <v>887</v>
      </c>
    </row>
    <row r="3053" spans="1:8" x14ac:dyDescent="0.3">
      <c r="A3053" t="s">
        <v>1138</v>
      </c>
      <c r="B3053">
        <v>2</v>
      </c>
      <c r="C3053" t="s">
        <v>1145</v>
      </c>
      <c r="D3053" s="1">
        <v>0.70833333333333337</v>
      </c>
      <c r="E3053" t="s">
        <v>464</v>
      </c>
      <c r="F3053" t="s">
        <v>881</v>
      </c>
      <c r="G3053" t="s">
        <v>42</v>
      </c>
      <c r="H3053" t="s">
        <v>1146</v>
      </c>
    </row>
    <row r="3054" spans="1:8" x14ac:dyDescent="0.3">
      <c r="A3054" t="s">
        <v>1138</v>
      </c>
      <c r="B3054">
        <v>2</v>
      </c>
      <c r="C3054" t="s">
        <v>1145</v>
      </c>
      <c r="D3054" s="1">
        <v>0.8125</v>
      </c>
      <c r="E3054" t="s">
        <v>24</v>
      </c>
      <c r="F3054" t="s">
        <v>16</v>
      </c>
      <c r="G3054" s="2">
        <v>46023</v>
      </c>
      <c r="H3054" t="s">
        <v>184</v>
      </c>
    </row>
    <row r="3055" spans="1:8" x14ac:dyDescent="0.3">
      <c r="A3055" t="s">
        <v>1138</v>
      </c>
      <c r="B3055">
        <v>2</v>
      </c>
      <c r="C3055" t="s">
        <v>1145</v>
      </c>
      <c r="D3055" s="1">
        <v>0.8125</v>
      </c>
      <c r="E3055" t="s">
        <v>36</v>
      </c>
      <c r="F3055" t="s">
        <v>34</v>
      </c>
      <c r="G3055" t="s">
        <v>41</v>
      </c>
      <c r="H3055" t="s">
        <v>1007</v>
      </c>
    </row>
    <row r="3056" spans="1:8" x14ac:dyDescent="0.3">
      <c r="A3056" t="s">
        <v>1138</v>
      </c>
      <c r="B3056">
        <v>2</v>
      </c>
      <c r="C3056" t="s">
        <v>1145</v>
      </c>
      <c r="D3056" s="1">
        <v>0.91666666666666663</v>
      </c>
      <c r="E3056" t="s">
        <v>15</v>
      </c>
      <c r="F3056" t="s">
        <v>20</v>
      </c>
      <c r="G3056" s="2">
        <v>46023</v>
      </c>
      <c r="H3056" t="s">
        <v>205</v>
      </c>
    </row>
    <row r="3057" spans="1:8" x14ac:dyDescent="0.3">
      <c r="A3057" t="s">
        <v>1138</v>
      </c>
      <c r="B3057">
        <v>2</v>
      </c>
      <c r="C3057" t="s">
        <v>1147</v>
      </c>
      <c r="D3057" s="1">
        <v>0.70833333333333337</v>
      </c>
      <c r="E3057" t="s">
        <v>10</v>
      </c>
      <c r="F3057" t="s">
        <v>30</v>
      </c>
      <c r="G3057" t="s">
        <v>18</v>
      </c>
      <c r="H3057" t="s">
        <v>197</v>
      </c>
    </row>
    <row r="3058" spans="1:8" x14ac:dyDescent="0.3">
      <c r="A3058" t="s">
        <v>1138</v>
      </c>
      <c r="B3058">
        <v>2</v>
      </c>
      <c r="C3058" t="s">
        <v>1147</v>
      </c>
      <c r="D3058" s="1">
        <v>0.8125</v>
      </c>
      <c r="E3058" t="s">
        <v>28</v>
      </c>
      <c r="F3058" t="s">
        <v>31</v>
      </c>
      <c r="G3058" t="s">
        <v>18</v>
      </c>
      <c r="H3058" t="s">
        <v>341</v>
      </c>
    </row>
    <row r="3059" spans="1:8" x14ac:dyDescent="0.3">
      <c r="A3059" t="s">
        <v>1138</v>
      </c>
      <c r="B3059">
        <v>2</v>
      </c>
      <c r="C3059" t="s">
        <v>1147</v>
      </c>
      <c r="D3059" s="1">
        <v>0.91666666666666663</v>
      </c>
      <c r="E3059" t="s">
        <v>21</v>
      </c>
      <c r="F3059" t="s">
        <v>25</v>
      </c>
      <c r="G3059" s="2">
        <v>46084</v>
      </c>
      <c r="H3059" t="s">
        <v>747</v>
      </c>
    </row>
    <row r="3060" spans="1:8" x14ac:dyDescent="0.3">
      <c r="A3060" t="s">
        <v>1138</v>
      </c>
      <c r="B3060">
        <v>2</v>
      </c>
      <c r="C3060" t="s">
        <v>1148</v>
      </c>
      <c r="D3060" s="1">
        <v>0.83333333333333337</v>
      </c>
      <c r="E3060" t="s">
        <v>11</v>
      </c>
      <c r="F3060" t="s">
        <v>27</v>
      </c>
      <c r="G3060" t="s">
        <v>42</v>
      </c>
      <c r="H3060" t="s">
        <v>345</v>
      </c>
    </row>
    <row r="3061" spans="1:8" x14ac:dyDescent="0.3">
      <c r="A3061" t="s">
        <v>1138</v>
      </c>
      <c r="B3061">
        <v>2</v>
      </c>
      <c r="C3061" t="s">
        <v>1148</v>
      </c>
      <c r="D3061" s="1">
        <v>0.91666666666666663</v>
      </c>
      <c r="E3061" t="s">
        <v>23</v>
      </c>
      <c r="F3061" t="s">
        <v>35</v>
      </c>
      <c r="G3061" t="s">
        <v>41</v>
      </c>
      <c r="H3061" t="s">
        <v>612</v>
      </c>
    </row>
    <row r="3062" spans="1:8" x14ac:dyDescent="0.3">
      <c r="A3062" t="s">
        <v>1138</v>
      </c>
      <c r="B3062">
        <v>3</v>
      </c>
      <c r="C3062" t="s">
        <v>1149</v>
      </c>
      <c r="D3062" s="1">
        <v>0.83333333333333337</v>
      </c>
      <c r="E3062" t="s">
        <v>881</v>
      </c>
      <c r="F3062" t="s">
        <v>36</v>
      </c>
      <c r="G3062" t="s">
        <v>18</v>
      </c>
      <c r="H3062" t="s">
        <v>1001</v>
      </c>
    </row>
    <row r="3063" spans="1:8" x14ac:dyDescent="0.3">
      <c r="A3063" t="s">
        <v>1138</v>
      </c>
      <c r="B3063">
        <v>3</v>
      </c>
      <c r="C3063" t="s">
        <v>1149</v>
      </c>
      <c r="D3063" s="1">
        <v>0.92708333333333337</v>
      </c>
      <c r="E3063" t="s">
        <v>16</v>
      </c>
      <c r="F3063" t="s">
        <v>464</v>
      </c>
      <c r="G3063" t="s">
        <v>32</v>
      </c>
      <c r="H3063" t="s">
        <v>1141</v>
      </c>
    </row>
    <row r="3064" spans="1:8" x14ac:dyDescent="0.3">
      <c r="A3064" t="s">
        <v>1138</v>
      </c>
      <c r="B3064">
        <v>3</v>
      </c>
      <c r="C3064" t="s">
        <v>1150</v>
      </c>
      <c r="D3064" s="1">
        <v>0.70833333333333337</v>
      </c>
      <c r="E3064" t="s">
        <v>35</v>
      </c>
      <c r="F3064" t="s">
        <v>15</v>
      </c>
      <c r="G3064" t="s">
        <v>42</v>
      </c>
      <c r="H3064" t="s">
        <v>181</v>
      </c>
    </row>
    <row r="3065" spans="1:8" x14ac:dyDescent="0.3">
      <c r="A3065" t="s">
        <v>1138</v>
      </c>
      <c r="B3065">
        <v>3</v>
      </c>
      <c r="C3065" t="s">
        <v>1150</v>
      </c>
      <c r="D3065" s="1">
        <v>0.8125</v>
      </c>
      <c r="E3065" t="s">
        <v>10</v>
      </c>
      <c r="F3065" t="s">
        <v>21</v>
      </c>
      <c r="G3065" t="s">
        <v>18</v>
      </c>
      <c r="H3065" t="s">
        <v>467</v>
      </c>
    </row>
    <row r="3066" spans="1:8" x14ac:dyDescent="0.3">
      <c r="A3066" t="s">
        <v>1138</v>
      </c>
      <c r="B3066">
        <v>3</v>
      </c>
      <c r="C3066" t="s">
        <v>1150</v>
      </c>
      <c r="D3066" s="1">
        <v>0.8125</v>
      </c>
      <c r="E3066" t="s">
        <v>31</v>
      </c>
      <c r="F3066" t="s">
        <v>27</v>
      </c>
      <c r="G3066" s="2">
        <v>46023</v>
      </c>
      <c r="H3066" t="s">
        <v>887</v>
      </c>
    </row>
    <row r="3067" spans="1:8" x14ac:dyDescent="0.3">
      <c r="A3067" t="s">
        <v>1138</v>
      </c>
      <c r="B3067">
        <v>3</v>
      </c>
      <c r="C3067" t="s">
        <v>1150</v>
      </c>
      <c r="D3067" s="1">
        <v>0.91666666666666663</v>
      </c>
      <c r="E3067" t="s">
        <v>26</v>
      </c>
      <c r="F3067" t="s">
        <v>25</v>
      </c>
      <c r="G3067" t="s">
        <v>42</v>
      </c>
      <c r="H3067" t="s">
        <v>185</v>
      </c>
    </row>
    <row r="3068" spans="1:8" x14ac:dyDescent="0.3">
      <c r="A3068" t="s">
        <v>1138</v>
      </c>
      <c r="B3068">
        <v>3</v>
      </c>
      <c r="C3068" t="s">
        <v>1151</v>
      </c>
      <c r="D3068" s="1">
        <v>0.70833333333333337</v>
      </c>
      <c r="E3068" t="s">
        <v>20</v>
      </c>
      <c r="F3068" t="s">
        <v>11</v>
      </c>
      <c r="G3068" s="2">
        <v>46024</v>
      </c>
      <c r="H3068" t="s">
        <v>614</v>
      </c>
    </row>
    <row r="3069" spans="1:8" x14ac:dyDescent="0.3">
      <c r="A3069" t="s">
        <v>1138</v>
      </c>
      <c r="B3069">
        <v>3</v>
      </c>
      <c r="C3069" t="s">
        <v>1151</v>
      </c>
      <c r="D3069" s="1">
        <v>0.8125</v>
      </c>
      <c r="E3069" t="s">
        <v>1000</v>
      </c>
      <c r="F3069" t="s">
        <v>23</v>
      </c>
      <c r="G3069" s="2">
        <v>46083</v>
      </c>
      <c r="H3069" t="s">
        <v>752</v>
      </c>
    </row>
    <row r="3070" spans="1:8" x14ac:dyDescent="0.3">
      <c r="A3070" t="s">
        <v>1138</v>
      </c>
      <c r="B3070">
        <v>3</v>
      </c>
      <c r="C3070" t="s">
        <v>1151</v>
      </c>
      <c r="D3070" s="1">
        <v>0.8125</v>
      </c>
      <c r="E3070" t="s">
        <v>30</v>
      </c>
      <c r="F3070" t="s">
        <v>24</v>
      </c>
      <c r="G3070" t="s">
        <v>88</v>
      </c>
      <c r="H3070" t="s">
        <v>194</v>
      </c>
    </row>
    <row r="3071" spans="1:8" x14ac:dyDescent="0.3">
      <c r="A3071" t="s">
        <v>1138</v>
      </c>
      <c r="B3071">
        <v>3</v>
      </c>
      <c r="C3071" t="s">
        <v>1151</v>
      </c>
      <c r="D3071" s="1">
        <v>0.91666666666666663</v>
      </c>
      <c r="E3071" t="s">
        <v>28</v>
      </c>
      <c r="F3071" t="s">
        <v>34</v>
      </c>
      <c r="G3071" s="2">
        <v>46055</v>
      </c>
      <c r="H3071" t="s">
        <v>883</v>
      </c>
    </row>
    <row r="3072" spans="1:8" x14ac:dyDescent="0.3">
      <c r="A3072" t="s">
        <v>1138</v>
      </c>
      <c r="B3072">
        <v>4</v>
      </c>
      <c r="C3072" t="s">
        <v>1152</v>
      </c>
      <c r="D3072" s="1">
        <v>0.77083333333333337</v>
      </c>
      <c r="E3072" t="s">
        <v>21</v>
      </c>
      <c r="F3072" t="s">
        <v>30</v>
      </c>
      <c r="G3072" s="2">
        <v>46023</v>
      </c>
      <c r="H3072" t="s">
        <v>612</v>
      </c>
    </row>
    <row r="3073" spans="1:8" x14ac:dyDescent="0.3">
      <c r="A3073" t="s">
        <v>1138</v>
      </c>
      <c r="B3073">
        <v>4</v>
      </c>
      <c r="C3073" t="s">
        <v>1152</v>
      </c>
      <c r="D3073" s="1">
        <v>0.875</v>
      </c>
      <c r="E3073" t="s">
        <v>15</v>
      </c>
      <c r="F3073" t="s">
        <v>881</v>
      </c>
      <c r="G3073" t="s">
        <v>12</v>
      </c>
      <c r="H3073" t="s">
        <v>1007</v>
      </c>
    </row>
    <row r="3074" spans="1:8" x14ac:dyDescent="0.3">
      <c r="A3074" t="s">
        <v>1138</v>
      </c>
      <c r="B3074">
        <v>4</v>
      </c>
      <c r="C3074" t="s">
        <v>1153</v>
      </c>
      <c r="D3074" s="1">
        <v>0.58333333333333337</v>
      </c>
      <c r="E3074" t="s">
        <v>36</v>
      </c>
      <c r="F3074" t="s">
        <v>28</v>
      </c>
      <c r="G3074" s="2">
        <v>46054</v>
      </c>
      <c r="H3074" t="s">
        <v>205</v>
      </c>
    </row>
    <row r="3075" spans="1:8" x14ac:dyDescent="0.3">
      <c r="A3075" t="s">
        <v>1138</v>
      </c>
      <c r="B3075">
        <v>4</v>
      </c>
      <c r="C3075" t="s">
        <v>1153</v>
      </c>
      <c r="D3075" s="1">
        <v>0.67708333333333337</v>
      </c>
      <c r="E3075" t="s">
        <v>23</v>
      </c>
      <c r="F3075" t="s">
        <v>16</v>
      </c>
      <c r="G3075" s="2">
        <v>46113</v>
      </c>
      <c r="H3075" t="s">
        <v>341</v>
      </c>
    </row>
    <row r="3076" spans="1:8" x14ac:dyDescent="0.3">
      <c r="A3076" t="s">
        <v>1138</v>
      </c>
      <c r="B3076">
        <v>4</v>
      </c>
      <c r="C3076" t="s">
        <v>1153</v>
      </c>
      <c r="D3076" s="1">
        <v>0.77083333333333337</v>
      </c>
      <c r="E3076" t="s">
        <v>1000</v>
      </c>
      <c r="F3076" t="s">
        <v>10</v>
      </c>
      <c r="G3076" t="s">
        <v>54</v>
      </c>
      <c r="H3076" t="s">
        <v>1146</v>
      </c>
    </row>
    <row r="3077" spans="1:8" x14ac:dyDescent="0.3">
      <c r="A3077" t="s">
        <v>1138</v>
      </c>
      <c r="B3077">
        <v>4</v>
      </c>
      <c r="C3077" t="s">
        <v>1153</v>
      </c>
      <c r="D3077" s="1">
        <v>0.875</v>
      </c>
      <c r="E3077" t="s">
        <v>25</v>
      </c>
      <c r="F3077" t="s">
        <v>35</v>
      </c>
      <c r="G3077" s="2">
        <v>46058</v>
      </c>
      <c r="H3077" t="s">
        <v>345</v>
      </c>
    </row>
    <row r="3078" spans="1:8" x14ac:dyDescent="0.3">
      <c r="A3078" t="s">
        <v>1138</v>
      </c>
      <c r="B3078">
        <v>4</v>
      </c>
      <c r="C3078" t="s">
        <v>1154</v>
      </c>
      <c r="D3078" s="1">
        <v>0.83333333333333337</v>
      </c>
      <c r="E3078" t="s">
        <v>11</v>
      </c>
      <c r="F3078" t="s">
        <v>31</v>
      </c>
      <c r="G3078" t="s">
        <v>42</v>
      </c>
      <c r="H3078" t="s">
        <v>190</v>
      </c>
    </row>
    <row r="3079" spans="1:8" x14ac:dyDescent="0.3">
      <c r="A3079" t="s">
        <v>1138</v>
      </c>
      <c r="B3079">
        <v>4</v>
      </c>
      <c r="C3079" t="s">
        <v>1154</v>
      </c>
      <c r="D3079" s="1">
        <v>0.91666666666666663</v>
      </c>
      <c r="E3079" t="s">
        <v>24</v>
      </c>
      <c r="F3079" t="s">
        <v>26</v>
      </c>
      <c r="G3079" s="2">
        <v>46054</v>
      </c>
      <c r="H3079" t="s">
        <v>747</v>
      </c>
    </row>
    <row r="3080" spans="1:8" x14ac:dyDescent="0.3">
      <c r="A3080" t="s">
        <v>1138</v>
      </c>
      <c r="B3080">
        <v>4</v>
      </c>
      <c r="C3080" t="s">
        <v>1155</v>
      </c>
      <c r="D3080" s="1">
        <v>0.79166666666666663</v>
      </c>
      <c r="E3080" t="s">
        <v>34</v>
      </c>
      <c r="F3080" t="s">
        <v>464</v>
      </c>
      <c r="G3080" s="2">
        <v>46058</v>
      </c>
      <c r="H3080" t="s">
        <v>887</v>
      </c>
    </row>
    <row r="3081" spans="1:8" x14ac:dyDescent="0.3">
      <c r="A3081" t="s">
        <v>1138</v>
      </c>
      <c r="B3081">
        <v>4</v>
      </c>
      <c r="C3081" t="s">
        <v>1155</v>
      </c>
      <c r="D3081" s="1">
        <v>0.89583333333333337</v>
      </c>
      <c r="E3081" t="s">
        <v>27</v>
      </c>
      <c r="F3081" t="s">
        <v>20</v>
      </c>
      <c r="G3081" s="2">
        <v>46023</v>
      </c>
      <c r="H3081" t="s">
        <v>184</v>
      </c>
    </row>
    <row r="3082" spans="1:8" x14ac:dyDescent="0.3">
      <c r="A3082" t="s">
        <v>1138</v>
      </c>
      <c r="B3082">
        <v>5</v>
      </c>
      <c r="C3082" t="s">
        <v>1156</v>
      </c>
      <c r="D3082" s="1">
        <v>0.875</v>
      </c>
      <c r="E3082" t="s">
        <v>35</v>
      </c>
      <c r="F3082" t="s">
        <v>1000</v>
      </c>
      <c r="G3082" s="2">
        <v>46054</v>
      </c>
      <c r="H3082" t="s">
        <v>1001</v>
      </c>
    </row>
    <row r="3083" spans="1:8" x14ac:dyDescent="0.3">
      <c r="A3083" t="s">
        <v>1138</v>
      </c>
      <c r="B3083">
        <v>5</v>
      </c>
      <c r="C3083" t="s">
        <v>1157</v>
      </c>
      <c r="D3083" s="1">
        <v>0.58333333333333337</v>
      </c>
      <c r="E3083" t="s">
        <v>30</v>
      </c>
      <c r="F3083" t="s">
        <v>11</v>
      </c>
      <c r="G3083" t="s">
        <v>32</v>
      </c>
      <c r="H3083" t="s">
        <v>752</v>
      </c>
    </row>
    <row r="3084" spans="1:8" x14ac:dyDescent="0.3">
      <c r="A3084" t="s">
        <v>1138</v>
      </c>
      <c r="B3084">
        <v>5</v>
      </c>
      <c r="C3084" t="s">
        <v>1157</v>
      </c>
      <c r="D3084" s="1">
        <v>0.67708333333333337</v>
      </c>
      <c r="E3084" t="s">
        <v>28</v>
      </c>
      <c r="F3084" t="s">
        <v>15</v>
      </c>
      <c r="G3084" t="s">
        <v>41</v>
      </c>
      <c r="H3084" t="s">
        <v>194</v>
      </c>
    </row>
    <row r="3085" spans="1:8" x14ac:dyDescent="0.3">
      <c r="A3085" t="s">
        <v>1138</v>
      </c>
      <c r="B3085">
        <v>5</v>
      </c>
      <c r="C3085" t="s">
        <v>1157</v>
      </c>
      <c r="D3085" s="1">
        <v>0.77083333333333337</v>
      </c>
      <c r="E3085" t="s">
        <v>31</v>
      </c>
      <c r="F3085" t="s">
        <v>21</v>
      </c>
      <c r="G3085" s="2">
        <v>46023</v>
      </c>
      <c r="H3085" t="s">
        <v>1141</v>
      </c>
    </row>
    <row r="3086" spans="1:8" x14ac:dyDescent="0.3">
      <c r="A3086" t="s">
        <v>1138</v>
      </c>
      <c r="B3086">
        <v>5</v>
      </c>
      <c r="C3086" t="s">
        <v>1157</v>
      </c>
      <c r="D3086" s="1">
        <v>0.875</v>
      </c>
      <c r="E3086" t="s">
        <v>464</v>
      </c>
      <c r="F3086" t="s">
        <v>23</v>
      </c>
      <c r="G3086" t="s">
        <v>54</v>
      </c>
      <c r="H3086" t="s">
        <v>185</v>
      </c>
    </row>
    <row r="3087" spans="1:8" x14ac:dyDescent="0.3">
      <c r="A3087" t="s">
        <v>1138</v>
      </c>
      <c r="B3087">
        <v>5</v>
      </c>
      <c r="C3087" t="s">
        <v>1158</v>
      </c>
      <c r="D3087" s="1">
        <v>0.58333333333333337</v>
      </c>
      <c r="E3087" t="s">
        <v>881</v>
      </c>
      <c r="F3087" t="s">
        <v>34</v>
      </c>
      <c r="G3087" t="s">
        <v>41</v>
      </c>
      <c r="H3087" t="s">
        <v>184</v>
      </c>
    </row>
    <row r="3088" spans="1:8" x14ac:dyDescent="0.3">
      <c r="A3088" t="s">
        <v>1138</v>
      </c>
      <c r="B3088">
        <v>5</v>
      </c>
      <c r="C3088" t="s">
        <v>1158</v>
      </c>
      <c r="D3088" s="1">
        <v>0.67708333333333337</v>
      </c>
      <c r="E3088" t="s">
        <v>10</v>
      </c>
      <c r="F3088" t="s">
        <v>27</v>
      </c>
      <c r="G3088" t="s">
        <v>41</v>
      </c>
      <c r="H3088" t="s">
        <v>181</v>
      </c>
    </row>
    <row r="3089" spans="1:8" x14ac:dyDescent="0.3">
      <c r="A3089" t="s">
        <v>1138</v>
      </c>
      <c r="B3089">
        <v>5</v>
      </c>
      <c r="C3089" t="s">
        <v>1158</v>
      </c>
      <c r="D3089" s="1">
        <v>0.77083333333333337</v>
      </c>
      <c r="E3089" t="s">
        <v>26</v>
      </c>
      <c r="F3089" t="s">
        <v>36</v>
      </c>
      <c r="G3089" s="2">
        <v>46055</v>
      </c>
      <c r="H3089" t="s">
        <v>883</v>
      </c>
    </row>
    <row r="3090" spans="1:8" x14ac:dyDescent="0.3">
      <c r="A3090" t="s">
        <v>1138</v>
      </c>
      <c r="B3090">
        <v>5</v>
      </c>
      <c r="C3090" t="s">
        <v>1158</v>
      </c>
      <c r="D3090" s="1">
        <v>0.875</v>
      </c>
      <c r="E3090" t="s">
        <v>16</v>
      </c>
      <c r="F3090" t="s">
        <v>25</v>
      </c>
      <c r="G3090" s="2">
        <v>46054</v>
      </c>
      <c r="H3090" t="s">
        <v>614</v>
      </c>
    </row>
    <row r="3091" spans="1:8" x14ac:dyDescent="0.3">
      <c r="A3091" t="s">
        <v>1138</v>
      </c>
      <c r="B3091">
        <v>5</v>
      </c>
      <c r="C3091" t="s">
        <v>1159</v>
      </c>
      <c r="D3091" s="1">
        <v>0.875</v>
      </c>
      <c r="E3091" t="s">
        <v>20</v>
      </c>
      <c r="F3091" t="s">
        <v>24</v>
      </c>
      <c r="G3091" s="2">
        <v>46023</v>
      </c>
      <c r="H3091" t="s">
        <v>197</v>
      </c>
    </row>
    <row r="3092" spans="1:8" x14ac:dyDescent="0.3">
      <c r="A3092" t="s">
        <v>1138</v>
      </c>
      <c r="B3092">
        <v>6</v>
      </c>
      <c r="C3092" t="s">
        <v>1160</v>
      </c>
      <c r="D3092" s="1">
        <v>0.8125</v>
      </c>
      <c r="E3092" t="s">
        <v>11</v>
      </c>
      <c r="F3092" t="s">
        <v>28</v>
      </c>
      <c r="G3092" s="2">
        <v>46054</v>
      </c>
      <c r="H3092" t="s">
        <v>747</v>
      </c>
    </row>
    <row r="3093" spans="1:8" x14ac:dyDescent="0.3">
      <c r="A3093" t="s">
        <v>1138</v>
      </c>
      <c r="B3093">
        <v>6</v>
      </c>
      <c r="C3093" t="s">
        <v>1160</v>
      </c>
      <c r="D3093" s="1">
        <v>0.91666666666666663</v>
      </c>
      <c r="E3093" t="s">
        <v>15</v>
      </c>
      <c r="F3093" t="s">
        <v>30</v>
      </c>
      <c r="G3093" s="2">
        <v>46054</v>
      </c>
      <c r="H3093" t="s">
        <v>467</v>
      </c>
    </row>
    <row r="3094" spans="1:8" x14ac:dyDescent="0.3">
      <c r="A3094" t="s">
        <v>1138</v>
      </c>
      <c r="B3094">
        <v>6</v>
      </c>
      <c r="C3094" t="s">
        <v>1160</v>
      </c>
      <c r="D3094" s="1">
        <v>0.91666666666666663</v>
      </c>
      <c r="E3094" t="s">
        <v>21</v>
      </c>
      <c r="F3094" t="s">
        <v>35</v>
      </c>
      <c r="G3094" t="s">
        <v>54</v>
      </c>
      <c r="H3094" t="s">
        <v>1007</v>
      </c>
    </row>
    <row r="3095" spans="1:8" x14ac:dyDescent="0.3">
      <c r="A3095" t="s">
        <v>1138</v>
      </c>
      <c r="B3095">
        <v>6</v>
      </c>
      <c r="C3095" t="s">
        <v>1161</v>
      </c>
      <c r="D3095" s="1">
        <v>0.8125</v>
      </c>
      <c r="E3095" t="s">
        <v>36</v>
      </c>
      <c r="F3095" t="s">
        <v>464</v>
      </c>
      <c r="G3095" t="s">
        <v>18</v>
      </c>
      <c r="H3095" t="s">
        <v>190</v>
      </c>
    </row>
    <row r="3096" spans="1:8" x14ac:dyDescent="0.3">
      <c r="A3096" t="s">
        <v>1138</v>
      </c>
      <c r="B3096">
        <v>6</v>
      </c>
      <c r="C3096" t="s">
        <v>1161</v>
      </c>
      <c r="D3096" s="1">
        <v>0.8125</v>
      </c>
      <c r="E3096" t="s">
        <v>27</v>
      </c>
      <c r="F3096" t="s">
        <v>16</v>
      </c>
      <c r="G3096" s="2">
        <v>46025</v>
      </c>
      <c r="H3096" t="s">
        <v>345</v>
      </c>
    </row>
    <row r="3097" spans="1:8" x14ac:dyDescent="0.3">
      <c r="A3097" t="s">
        <v>1138</v>
      </c>
      <c r="B3097">
        <v>6</v>
      </c>
      <c r="C3097" t="s">
        <v>1161</v>
      </c>
      <c r="D3097" s="1">
        <v>0.91666666666666663</v>
      </c>
      <c r="E3097" t="s">
        <v>25</v>
      </c>
      <c r="F3097" t="s">
        <v>881</v>
      </c>
      <c r="G3097" s="2">
        <v>46028</v>
      </c>
      <c r="H3097" t="s">
        <v>612</v>
      </c>
    </row>
    <row r="3098" spans="1:8" x14ac:dyDescent="0.3">
      <c r="A3098" t="s">
        <v>1138</v>
      </c>
      <c r="B3098">
        <v>6</v>
      </c>
      <c r="C3098" t="s">
        <v>1161</v>
      </c>
      <c r="D3098" s="1">
        <v>0.91666666666666663</v>
      </c>
      <c r="E3098" t="s">
        <v>34</v>
      </c>
      <c r="F3098" t="s">
        <v>31</v>
      </c>
      <c r="G3098" s="2">
        <v>46026</v>
      </c>
      <c r="H3098" t="s">
        <v>1146</v>
      </c>
    </row>
    <row r="3099" spans="1:8" x14ac:dyDescent="0.3">
      <c r="A3099" t="s">
        <v>1138</v>
      </c>
      <c r="B3099">
        <v>6</v>
      </c>
      <c r="C3099" t="s">
        <v>1162</v>
      </c>
      <c r="D3099" s="1">
        <v>0.8125</v>
      </c>
      <c r="E3099" t="s">
        <v>24</v>
      </c>
      <c r="F3099" t="s">
        <v>10</v>
      </c>
      <c r="G3099" s="2">
        <v>46083</v>
      </c>
      <c r="H3099" t="s">
        <v>887</v>
      </c>
    </row>
    <row r="3100" spans="1:8" x14ac:dyDescent="0.3">
      <c r="A3100" t="s">
        <v>1138</v>
      </c>
      <c r="B3100">
        <v>6</v>
      </c>
      <c r="C3100" t="s">
        <v>1162</v>
      </c>
      <c r="D3100" s="1">
        <v>0.8125</v>
      </c>
      <c r="E3100" t="s">
        <v>23</v>
      </c>
      <c r="F3100" t="s">
        <v>26</v>
      </c>
      <c r="G3100" s="2">
        <v>46082</v>
      </c>
      <c r="H3100" t="s">
        <v>205</v>
      </c>
    </row>
    <row r="3101" spans="1:8" x14ac:dyDescent="0.3">
      <c r="A3101" t="s">
        <v>1138</v>
      </c>
      <c r="B3101">
        <v>6</v>
      </c>
      <c r="C3101" t="s">
        <v>1162</v>
      </c>
      <c r="D3101" s="1">
        <v>0.91666666666666663</v>
      </c>
      <c r="E3101" t="s">
        <v>1000</v>
      </c>
      <c r="F3101" t="s">
        <v>20</v>
      </c>
      <c r="G3101" t="s">
        <v>41</v>
      </c>
      <c r="H3101" t="s">
        <v>184</v>
      </c>
    </row>
    <row r="3102" spans="1:8" x14ac:dyDescent="0.3">
      <c r="A3102" t="s">
        <v>1138</v>
      </c>
      <c r="B3102">
        <v>7</v>
      </c>
      <c r="C3102" t="s">
        <v>1163</v>
      </c>
      <c r="D3102" s="1">
        <v>0.58333333333333337</v>
      </c>
      <c r="E3102" t="s">
        <v>464</v>
      </c>
      <c r="F3102" t="s">
        <v>28</v>
      </c>
      <c r="G3102" t="s">
        <v>18</v>
      </c>
      <c r="H3102" t="s">
        <v>181</v>
      </c>
    </row>
    <row r="3103" spans="1:8" x14ac:dyDescent="0.3">
      <c r="A3103" t="s">
        <v>1138</v>
      </c>
      <c r="B3103">
        <v>7</v>
      </c>
      <c r="C3103" t="s">
        <v>1163</v>
      </c>
      <c r="D3103" s="1">
        <v>0.67708333333333337</v>
      </c>
      <c r="E3103" t="s">
        <v>16</v>
      </c>
      <c r="F3103" t="s">
        <v>15</v>
      </c>
      <c r="G3103" s="2">
        <v>46023</v>
      </c>
      <c r="H3103" t="s">
        <v>185</v>
      </c>
    </row>
    <row r="3104" spans="1:8" x14ac:dyDescent="0.3">
      <c r="A3104" t="s">
        <v>1138</v>
      </c>
      <c r="B3104">
        <v>7</v>
      </c>
      <c r="C3104" t="s">
        <v>1163</v>
      </c>
      <c r="D3104" s="1">
        <v>0.77083333333333337</v>
      </c>
      <c r="E3104" t="s">
        <v>27</v>
      </c>
      <c r="F3104" t="s">
        <v>36</v>
      </c>
      <c r="G3104" t="s">
        <v>12</v>
      </c>
      <c r="H3104" t="s">
        <v>614</v>
      </c>
    </row>
    <row r="3105" spans="1:8" x14ac:dyDescent="0.3">
      <c r="A3105" t="s">
        <v>1138</v>
      </c>
      <c r="B3105">
        <v>7</v>
      </c>
      <c r="C3105" t="s">
        <v>1163</v>
      </c>
      <c r="D3105" s="1">
        <v>0.875</v>
      </c>
      <c r="E3105" t="s">
        <v>25</v>
      </c>
      <c r="F3105" t="s">
        <v>34</v>
      </c>
      <c r="G3105" t="s">
        <v>41</v>
      </c>
      <c r="H3105" t="s">
        <v>194</v>
      </c>
    </row>
    <row r="3106" spans="1:8" x14ac:dyDescent="0.3">
      <c r="A3106" t="s">
        <v>1138</v>
      </c>
      <c r="B3106">
        <v>7</v>
      </c>
      <c r="C3106" t="s">
        <v>1164</v>
      </c>
      <c r="D3106" s="1">
        <v>0.58333333333333337</v>
      </c>
      <c r="E3106" t="s">
        <v>881</v>
      </c>
      <c r="F3106" t="s">
        <v>23</v>
      </c>
      <c r="G3106" s="2">
        <v>46083</v>
      </c>
      <c r="H3106" t="s">
        <v>1141</v>
      </c>
    </row>
    <row r="3107" spans="1:8" x14ac:dyDescent="0.3">
      <c r="A3107" t="s">
        <v>1138</v>
      </c>
      <c r="B3107">
        <v>7</v>
      </c>
      <c r="C3107" t="s">
        <v>1164</v>
      </c>
      <c r="D3107" s="1">
        <v>0.67708333333333337</v>
      </c>
      <c r="E3107" t="s">
        <v>20</v>
      </c>
      <c r="F3107" t="s">
        <v>21</v>
      </c>
      <c r="G3107" t="s">
        <v>32</v>
      </c>
      <c r="H3107" t="s">
        <v>1001</v>
      </c>
    </row>
    <row r="3108" spans="1:8" x14ac:dyDescent="0.3">
      <c r="A3108" t="s">
        <v>1138</v>
      </c>
      <c r="B3108">
        <v>7</v>
      </c>
      <c r="C3108" t="s">
        <v>1164</v>
      </c>
      <c r="D3108" s="1">
        <v>0.77083333333333337</v>
      </c>
      <c r="E3108" t="s">
        <v>10</v>
      </c>
      <c r="F3108" t="s">
        <v>31</v>
      </c>
      <c r="G3108" t="s">
        <v>18</v>
      </c>
      <c r="H3108" t="s">
        <v>752</v>
      </c>
    </row>
    <row r="3109" spans="1:8" x14ac:dyDescent="0.3">
      <c r="A3109" t="s">
        <v>1138</v>
      </c>
      <c r="B3109">
        <v>7</v>
      </c>
      <c r="C3109" t="s">
        <v>1164</v>
      </c>
      <c r="D3109" s="1">
        <v>0.77083333333333337</v>
      </c>
      <c r="E3109" t="s">
        <v>30</v>
      </c>
      <c r="F3109" t="s">
        <v>1000</v>
      </c>
      <c r="G3109" s="2">
        <v>46025</v>
      </c>
      <c r="H3109" t="s">
        <v>341</v>
      </c>
    </row>
    <row r="3110" spans="1:8" x14ac:dyDescent="0.3">
      <c r="A3110" t="s">
        <v>1138</v>
      </c>
      <c r="B3110">
        <v>7</v>
      </c>
      <c r="C3110" t="s">
        <v>1164</v>
      </c>
      <c r="D3110" s="1">
        <v>0.875</v>
      </c>
      <c r="E3110" t="s">
        <v>26</v>
      </c>
      <c r="F3110" t="s">
        <v>11</v>
      </c>
      <c r="G3110" t="s">
        <v>12</v>
      </c>
      <c r="H3110" t="s">
        <v>197</v>
      </c>
    </row>
    <row r="3111" spans="1:8" x14ac:dyDescent="0.3">
      <c r="A3111" t="s">
        <v>1138</v>
      </c>
      <c r="B3111">
        <v>7</v>
      </c>
      <c r="C3111" t="s">
        <v>1165</v>
      </c>
      <c r="D3111" s="1">
        <v>0.875</v>
      </c>
      <c r="E3111" t="s">
        <v>35</v>
      </c>
      <c r="F3111" t="s">
        <v>24</v>
      </c>
      <c r="G3111" t="s">
        <v>18</v>
      </c>
      <c r="H3111" t="s">
        <v>883</v>
      </c>
    </row>
    <row r="3112" spans="1:8" x14ac:dyDescent="0.3">
      <c r="A3112" t="s">
        <v>1138</v>
      </c>
      <c r="B3112">
        <v>8</v>
      </c>
      <c r="C3112" t="s">
        <v>1166</v>
      </c>
      <c r="D3112" s="1">
        <v>0.875</v>
      </c>
      <c r="E3112" t="s">
        <v>15</v>
      </c>
      <c r="F3112" t="s">
        <v>464</v>
      </c>
      <c r="G3112" t="s">
        <v>18</v>
      </c>
      <c r="H3112" t="s">
        <v>184</v>
      </c>
    </row>
    <row r="3113" spans="1:8" x14ac:dyDescent="0.3">
      <c r="A3113" t="s">
        <v>1138</v>
      </c>
      <c r="B3113">
        <v>8</v>
      </c>
      <c r="C3113" t="s">
        <v>1167</v>
      </c>
      <c r="D3113" s="1">
        <v>0.58333333333333337</v>
      </c>
      <c r="E3113" t="s">
        <v>23</v>
      </c>
      <c r="F3113" t="s">
        <v>30</v>
      </c>
      <c r="G3113" t="s">
        <v>18</v>
      </c>
      <c r="H3113" t="s">
        <v>190</v>
      </c>
    </row>
    <row r="3114" spans="1:8" x14ac:dyDescent="0.3">
      <c r="A3114" t="s">
        <v>1138</v>
      </c>
      <c r="B3114">
        <v>8</v>
      </c>
      <c r="C3114" t="s">
        <v>1167</v>
      </c>
      <c r="D3114" s="1">
        <v>0.67708333333333337</v>
      </c>
      <c r="E3114" t="s">
        <v>881</v>
      </c>
      <c r="F3114" t="s">
        <v>21</v>
      </c>
      <c r="G3114" t="s">
        <v>18</v>
      </c>
      <c r="H3114" t="s">
        <v>1146</v>
      </c>
    </row>
    <row r="3115" spans="1:8" x14ac:dyDescent="0.3">
      <c r="A3115" t="s">
        <v>1138</v>
      </c>
      <c r="B3115">
        <v>8</v>
      </c>
      <c r="C3115" t="s">
        <v>1167</v>
      </c>
      <c r="D3115" s="1">
        <v>0.77083333333333337</v>
      </c>
      <c r="E3115" t="s">
        <v>1000</v>
      </c>
      <c r="F3115" t="s">
        <v>16</v>
      </c>
      <c r="G3115" t="s">
        <v>41</v>
      </c>
      <c r="H3115" t="s">
        <v>887</v>
      </c>
    </row>
    <row r="3116" spans="1:8" x14ac:dyDescent="0.3">
      <c r="A3116" t="s">
        <v>1138</v>
      </c>
      <c r="B3116">
        <v>8</v>
      </c>
      <c r="C3116" t="s">
        <v>1167</v>
      </c>
      <c r="D3116" s="1">
        <v>0.875</v>
      </c>
      <c r="E3116" t="s">
        <v>28</v>
      </c>
      <c r="F3116" t="s">
        <v>20</v>
      </c>
      <c r="G3116" t="s">
        <v>12</v>
      </c>
      <c r="H3116" t="s">
        <v>883</v>
      </c>
    </row>
    <row r="3117" spans="1:8" x14ac:dyDescent="0.3">
      <c r="A3117" t="s">
        <v>1138</v>
      </c>
      <c r="B3117">
        <v>8</v>
      </c>
      <c r="C3117" t="s">
        <v>1168</v>
      </c>
      <c r="D3117" s="1">
        <v>0.58333333333333337</v>
      </c>
      <c r="E3117" t="s">
        <v>31</v>
      </c>
      <c r="F3117" t="s">
        <v>35</v>
      </c>
      <c r="G3117" t="s">
        <v>18</v>
      </c>
      <c r="H3117" t="s">
        <v>467</v>
      </c>
    </row>
    <row r="3118" spans="1:8" x14ac:dyDescent="0.3">
      <c r="A3118" t="s">
        <v>1138</v>
      </c>
      <c r="B3118">
        <v>8</v>
      </c>
      <c r="C3118" t="s">
        <v>1168</v>
      </c>
      <c r="D3118" s="1">
        <v>0.67708333333333337</v>
      </c>
      <c r="E3118" t="s">
        <v>36</v>
      </c>
      <c r="F3118" t="s">
        <v>25</v>
      </c>
      <c r="G3118" s="2">
        <v>46024</v>
      </c>
      <c r="H3118" t="s">
        <v>747</v>
      </c>
    </row>
    <row r="3119" spans="1:8" x14ac:dyDescent="0.3">
      <c r="A3119" t="s">
        <v>1138</v>
      </c>
      <c r="B3119">
        <v>8</v>
      </c>
      <c r="C3119" t="s">
        <v>1168</v>
      </c>
      <c r="D3119" s="1">
        <v>0.77083333333333337</v>
      </c>
      <c r="E3119" t="s">
        <v>11</v>
      </c>
      <c r="F3119" t="s">
        <v>10</v>
      </c>
      <c r="G3119" s="2">
        <v>46023</v>
      </c>
      <c r="H3119" t="s">
        <v>1007</v>
      </c>
    </row>
    <row r="3120" spans="1:8" x14ac:dyDescent="0.3">
      <c r="A3120" t="s">
        <v>1138</v>
      </c>
      <c r="B3120">
        <v>8</v>
      </c>
      <c r="C3120" t="s">
        <v>1168</v>
      </c>
      <c r="D3120" s="1">
        <v>0.77083333333333337</v>
      </c>
      <c r="E3120" t="s">
        <v>34</v>
      </c>
      <c r="F3120" t="s">
        <v>26</v>
      </c>
      <c r="G3120" t="s">
        <v>12</v>
      </c>
      <c r="H3120" t="s">
        <v>345</v>
      </c>
    </row>
    <row r="3121" spans="1:8" x14ac:dyDescent="0.3">
      <c r="A3121" t="s">
        <v>1138</v>
      </c>
      <c r="B3121">
        <v>8</v>
      </c>
      <c r="C3121" t="s">
        <v>1168</v>
      </c>
      <c r="D3121" s="1">
        <v>0.875</v>
      </c>
      <c r="E3121" t="s">
        <v>24</v>
      </c>
      <c r="F3121" t="s">
        <v>27</v>
      </c>
      <c r="G3121" t="s">
        <v>18</v>
      </c>
      <c r="H3121" t="s">
        <v>612</v>
      </c>
    </row>
    <row r="3122" spans="1:8" x14ac:dyDescent="0.3">
      <c r="A3122" t="s">
        <v>1138</v>
      </c>
      <c r="B3122">
        <v>9</v>
      </c>
      <c r="C3122" t="s">
        <v>1169</v>
      </c>
      <c r="D3122" s="1">
        <v>0.77083333333333337</v>
      </c>
      <c r="E3122" t="s">
        <v>21</v>
      </c>
      <c r="F3122" t="s">
        <v>11</v>
      </c>
      <c r="G3122" t="s">
        <v>41</v>
      </c>
      <c r="H3122" t="s">
        <v>190</v>
      </c>
    </row>
    <row r="3123" spans="1:8" x14ac:dyDescent="0.3">
      <c r="A3123" t="s">
        <v>1138</v>
      </c>
      <c r="B3123">
        <v>9</v>
      </c>
      <c r="C3123" t="s">
        <v>1169</v>
      </c>
      <c r="D3123" s="1">
        <v>0.875</v>
      </c>
      <c r="E3123" t="s">
        <v>10</v>
      </c>
      <c r="F3123" t="s">
        <v>881</v>
      </c>
      <c r="G3123" t="s">
        <v>18</v>
      </c>
      <c r="H3123" t="s">
        <v>614</v>
      </c>
    </row>
    <row r="3124" spans="1:8" x14ac:dyDescent="0.3">
      <c r="A3124" t="s">
        <v>1138</v>
      </c>
      <c r="B3124">
        <v>9</v>
      </c>
      <c r="C3124" t="s">
        <v>1170</v>
      </c>
      <c r="D3124" s="1">
        <v>0.58333333333333337</v>
      </c>
      <c r="E3124" t="s">
        <v>30</v>
      </c>
      <c r="F3124" t="s">
        <v>31</v>
      </c>
      <c r="G3124" s="2">
        <v>46024</v>
      </c>
      <c r="H3124" t="s">
        <v>197</v>
      </c>
    </row>
    <row r="3125" spans="1:8" x14ac:dyDescent="0.3">
      <c r="A3125" t="s">
        <v>1138</v>
      </c>
      <c r="B3125">
        <v>9</v>
      </c>
      <c r="C3125" t="s">
        <v>1170</v>
      </c>
      <c r="D3125" s="1">
        <v>0.67708333333333337</v>
      </c>
      <c r="E3125" t="s">
        <v>35</v>
      </c>
      <c r="F3125" t="s">
        <v>27</v>
      </c>
      <c r="G3125" t="s">
        <v>42</v>
      </c>
      <c r="H3125" t="s">
        <v>341</v>
      </c>
    </row>
    <row r="3126" spans="1:8" x14ac:dyDescent="0.3">
      <c r="A3126" t="s">
        <v>1138</v>
      </c>
      <c r="B3126">
        <v>9</v>
      </c>
      <c r="C3126" t="s">
        <v>1170</v>
      </c>
      <c r="D3126" s="1">
        <v>0.77083333333333337</v>
      </c>
      <c r="E3126" t="s">
        <v>34</v>
      </c>
      <c r="F3126" t="s">
        <v>23</v>
      </c>
      <c r="G3126" s="2">
        <v>46054</v>
      </c>
      <c r="H3126" t="s">
        <v>752</v>
      </c>
    </row>
    <row r="3127" spans="1:8" x14ac:dyDescent="0.3">
      <c r="A3127" t="s">
        <v>1138</v>
      </c>
      <c r="B3127">
        <v>9</v>
      </c>
      <c r="C3127" t="s">
        <v>1170</v>
      </c>
      <c r="D3127" s="1">
        <v>0.875</v>
      </c>
      <c r="E3127" t="s">
        <v>20</v>
      </c>
      <c r="F3127" t="s">
        <v>16</v>
      </c>
      <c r="G3127" s="2">
        <v>46025</v>
      </c>
      <c r="H3127" t="s">
        <v>194</v>
      </c>
    </row>
    <row r="3128" spans="1:8" x14ac:dyDescent="0.3">
      <c r="A3128" t="s">
        <v>1138</v>
      </c>
      <c r="B3128">
        <v>9</v>
      </c>
      <c r="C3128" t="s">
        <v>1171</v>
      </c>
      <c r="D3128" s="1">
        <v>0.79166666666666663</v>
      </c>
      <c r="E3128" t="s">
        <v>464</v>
      </c>
      <c r="F3128" t="s">
        <v>26</v>
      </c>
      <c r="G3128" t="s">
        <v>42</v>
      </c>
      <c r="H3128" t="s">
        <v>1141</v>
      </c>
    </row>
    <row r="3129" spans="1:8" x14ac:dyDescent="0.3">
      <c r="A3129" t="s">
        <v>1138</v>
      </c>
      <c r="B3129">
        <v>9</v>
      </c>
      <c r="C3129" t="s">
        <v>1171</v>
      </c>
      <c r="D3129" s="1">
        <v>0.875</v>
      </c>
      <c r="E3129" t="s">
        <v>36</v>
      </c>
      <c r="F3129" t="s">
        <v>1000</v>
      </c>
      <c r="G3129" t="s">
        <v>12</v>
      </c>
      <c r="H3129" t="s">
        <v>181</v>
      </c>
    </row>
    <row r="3130" spans="1:8" x14ac:dyDescent="0.3">
      <c r="A3130" t="s">
        <v>1138</v>
      </c>
      <c r="B3130">
        <v>9</v>
      </c>
      <c r="C3130" t="s">
        <v>1172</v>
      </c>
      <c r="D3130" s="1">
        <v>0.875</v>
      </c>
      <c r="E3130" t="s">
        <v>25</v>
      </c>
      <c r="F3130" t="s">
        <v>15</v>
      </c>
      <c r="G3130" t="s">
        <v>18</v>
      </c>
      <c r="H3130" t="s">
        <v>1001</v>
      </c>
    </row>
    <row r="3131" spans="1:8" x14ac:dyDescent="0.3">
      <c r="A3131" t="s">
        <v>1138</v>
      </c>
      <c r="B3131">
        <v>9</v>
      </c>
      <c r="C3131" t="s">
        <v>1173</v>
      </c>
      <c r="D3131" s="1">
        <v>0.79166666666666663</v>
      </c>
      <c r="E3131" t="s">
        <v>24</v>
      </c>
      <c r="F3131" t="s">
        <v>28</v>
      </c>
      <c r="G3131" s="2">
        <v>46024</v>
      </c>
      <c r="H3131" t="s">
        <v>185</v>
      </c>
    </row>
    <row r="3132" spans="1:8" x14ac:dyDescent="0.3">
      <c r="A3132" t="s">
        <v>1138</v>
      </c>
      <c r="B3132">
        <v>10</v>
      </c>
      <c r="C3132" t="s">
        <v>1174</v>
      </c>
      <c r="D3132" s="1">
        <v>0.875</v>
      </c>
      <c r="E3132" t="s">
        <v>23</v>
      </c>
      <c r="F3132" t="s">
        <v>24</v>
      </c>
      <c r="G3132" s="2">
        <v>46023</v>
      </c>
      <c r="H3132" t="s">
        <v>1146</v>
      </c>
    </row>
    <row r="3133" spans="1:8" x14ac:dyDescent="0.3">
      <c r="A3133" t="s">
        <v>1138</v>
      </c>
      <c r="B3133">
        <v>10</v>
      </c>
      <c r="C3133" t="s">
        <v>1175</v>
      </c>
      <c r="D3133" s="1">
        <v>0.58333333333333337</v>
      </c>
      <c r="E3133" t="s">
        <v>16</v>
      </c>
      <c r="F3133" t="s">
        <v>881</v>
      </c>
      <c r="G3133" s="2">
        <v>46055</v>
      </c>
      <c r="H3133" t="s">
        <v>184</v>
      </c>
    </row>
    <row r="3134" spans="1:8" x14ac:dyDescent="0.3">
      <c r="A3134" t="s">
        <v>1138</v>
      </c>
      <c r="B3134">
        <v>10</v>
      </c>
      <c r="C3134" t="s">
        <v>1175</v>
      </c>
      <c r="D3134" s="1">
        <v>0.67708333333333337</v>
      </c>
      <c r="E3134" t="s">
        <v>1000</v>
      </c>
      <c r="F3134" t="s">
        <v>464</v>
      </c>
      <c r="G3134" t="s">
        <v>54</v>
      </c>
      <c r="H3134" t="s">
        <v>612</v>
      </c>
    </row>
    <row r="3135" spans="1:8" x14ac:dyDescent="0.3">
      <c r="A3135" t="s">
        <v>1138</v>
      </c>
      <c r="B3135">
        <v>10</v>
      </c>
      <c r="C3135" t="s">
        <v>1175</v>
      </c>
      <c r="D3135" s="1">
        <v>0.77083333333333337</v>
      </c>
      <c r="E3135" t="s">
        <v>31</v>
      </c>
      <c r="F3135" t="s">
        <v>36</v>
      </c>
      <c r="G3135" s="2">
        <v>46055</v>
      </c>
      <c r="H3135" t="s">
        <v>1007</v>
      </c>
    </row>
    <row r="3136" spans="1:8" x14ac:dyDescent="0.3">
      <c r="A3136" t="s">
        <v>1138</v>
      </c>
      <c r="B3136">
        <v>10</v>
      </c>
      <c r="C3136" t="s">
        <v>1175</v>
      </c>
      <c r="D3136" s="1">
        <v>0.875</v>
      </c>
      <c r="E3136" t="s">
        <v>15</v>
      </c>
      <c r="F3136" t="s">
        <v>34</v>
      </c>
      <c r="G3136" s="2">
        <v>46024</v>
      </c>
      <c r="H3136" t="s">
        <v>747</v>
      </c>
    </row>
    <row r="3137" spans="1:8" x14ac:dyDescent="0.3">
      <c r="A3137" t="s">
        <v>1138</v>
      </c>
      <c r="B3137">
        <v>10</v>
      </c>
      <c r="C3137" t="s">
        <v>1176</v>
      </c>
      <c r="D3137" s="1">
        <v>0.58333333333333337</v>
      </c>
      <c r="E3137" t="s">
        <v>27</v>
      </c>
      <c r="F3137" t="s">
        <v>21</v>
      </c>
      <c r="G3137" s="2">
        <v>46086</v>
      </c>
      <c r="H3137" t="s">
        <v>887</v>
      </c>
    </row>
    <row r="3138" spans="1:8" x14ac:dyDescent="0.3">
      <c r="A3138" t="s">
        <v>1138</v>
      </c>
      <c r="B3138">
        <v>10</v>
      </c>
      <c r="C3138" t="s">
        <v>1176</v>
      </c>
      <c r="D3138" s="1">
        <v>0.67708333333333337</v>
      </c>
      <c r="E3138" t="s">
        <v>20</v>
      </c>
      <c r="F3138" t="s">
        <v>25</v>
      </c>
      <c r="G3138" s="2">
        <v>46054</v>
      </c>
      <c r="H3138" t="s">
        <v>345</v>
      </c>
    </row>
    <row r="3139" spans="1:8" x14ac:dyDescent="0.3">
      <c r="A3139" t="s">
        <v>1138</v>
      </c>
      <c r="B3139">
        <v>10</v>
      </c>
      <c r="C3139" t="s">
        <v>1176</v>
      </c>
      <c r="D3139" s="1">
        <v>0.77083333333333337</v>
      </c>
      <c r="E3139" t="s">
        <v>26</v>
      </c>
      <c r="F3139" t="s">
        <v>30</v>
      </c>
      <c r="G3139" s="2">
        <v>46056</v>
      </c>
      <c r="H3139" t="s">
        <v>341</v>
      </c>
    </row>
    <row r="3140" spans="1:8" x14ac:dyDescent="0.3">
      <c r="A3140" t="s">
        <v>1138</v>
      </c>
      <c r="B3140">
        <v>10</v>
      </c>
      <c r="C3140" t="s">
        <v>1176</v>
      </c>
      <c r="D3140" s="1">
        <v>0.875</v>
      </c>
      <c r="E3140" t="s">
        <v>28</v>
      </c>
      <c r="F3140" t="s">
        <v>10</v>
      </c>
      <c r="G3140" s="2">
        <v>46055</v>
      </c>
      <c r="H3140" t="s">
        <v>467</v>
      </c>
    </row>
    <row r="3141" spans="1:8" x14ac:dyDescent="0.3">
      <c r="A3141" t="s">
        <v>1138</v>
      </c>
      <c r="B3141">
        <v>10</v>
      </c>
      <c r="C3141" t="s">
        <v>1177</v>
      </c>
      <c r="D3141" s="1">
        <v>0.875</v>
      </c>
      <c r="E3141" t="s">
        <v>11</v>
      </c>
      <c r="F3141" t="s">
        <v>35</v>
      </c>
      <c r="G3141" t="s">
        <v>46</v>
      </c>
      <c r="H3141" t="s">
        <v>205</v>
      </c>
    </row>
    <row r="3142" spans="1:8" x14ac:dyDescent="0.3">
      <c r="A3142" t="s">
        <v>1138</v>
      </c>
      <c r="B3142">
        <v>11</v>
      </c>
      <c r="C3142" t="s">
        <v>1178</v>
      </c>
      <c r="D3142" s="1">
        <v>0.79166666666666663</v>
      </c>
      <c r="E3142" t="s">
        <v>464</v>
      </c>
      <c r="F3142" t="s">
        <v>31</v>
      </c>
      <c r="G3142" t="s">
        <v>18</v>
      </c>
      <c r="H3142" t="s">
        <v>194</v>
      </c>
    </row>
    <row r="3143" spans="1:8" x14ac:dyDescent="0.3">
      <c r="A3143" t="s">
        <v>1138</v>
      </c>
      <c r="B3143">
        <v>11</v>
      </c>
      <c r="C3143" t="s">
        <v>1178</v>
      </c>
      <c r="D3143" s="1">
        <v>0.875</v>
      </c>
      <c r="E3143" t="s">
        <v>36</v>
      </c>
      <c r="F3143" t="s">
        <v>15</v>
      </c>
      <c r="G3143" s="2">
        <v>46023</v>
      </c>
      <c r="H3143" t="s">
        <v>1141</v>
      </c>
    </row>
    <row r="3144" spans="1:8" x14ac:dyDescent="0.3">
      <c r="A3144" t="s">
        <v>1138</v>
      </c>
      <c r="B3144">
        <v>11</v>
      </c>
      <c r="C3144" t="s">
        <v>1178</v>
      </c>
      <c r="D3144" s="1">
        <v>0.89583333333333337</v>
      </c>
      <c r="E3144" t="s">
        <v>34</v>
      </c>
      <c r="F3144" t="s">
        <v>1000</v>
      </c>
      <c r="G3144" s="2">
        <v>46084</v>
      </c>
      <c r="H3144" t="s">
        <v>185</v>
      </c>
    </row>
    <row r="3145" spans="1:8" x14ac:dyDescent="0.3">
      <c r="A3145" t="s">
        <v>1138</v>
      </c>
      <c r="B3145">
        <v>11</v>
      </c>
      <c r="C3145" t="s">
        <v>1179</v>
      </c>
      <c r="D3145" s="1">
        <v>0.79166666666666663</v>
      </c>
      <c r="E3145" t="s">
        <v>881</v>
      </c>
      <c r="F3145" t="s">
        <v>27</v>
      </c>
      <c r="G3145" s="2">
        <v>46023</v>
      </c>
      <c r="H3145" t="s">
        <v>197</v>
      </c>
    </row>
    <row r="3146" spans="1:8" x14ac:dyDescent="0.3">
      <c r="A3146" t="s">
        <v>1138</v>
      </c>
      <c r="B3146">
        <v>11</v>
      </c>
      <c r="C3146" t="s">
        <v>1179</v>
      </c>
      <c r="D3146" s="1">
        <v>0.79166666666666663</v>
      </c>
      <c r="E3146" t="s">
        <v>30</v>
      </c>
      <c r="F3146" t="s">
        <v>20</v>
      </c>
      <c r="G3146" t="s">
        <v>18</v>
      </c>
      <c r="H3146" t="s">
        <v>181</v>
      </c>
    </row>
    <row r="3147" spans="1:8" x14ac:dyDescent="0.3">
      <c r="A3147" t="s">
        <v>1138</v>
      </c>
      <c r="B3147">
        <v>11</v>
      </c>
      <c r="C3147" t="s">
        <v>1179</v>
      </c>
      <c r="D3147" s="1">
        <v>0.83333333333333337</v>
      </c>
      <c r="E3147" t="s">
        <v>26</v>
      </c>
      <c r="F3147" t="s">
        <v>16</v>
      </c>
      <c r="G3147" s="2">
        <v>46026</v>
      </c>
      <c r="H3147" t="s">
        <v>1001</v>
      </c>
    </row>
    <row r="3148" spans="1:8" x14ac:dyDescent="0.3">
      <c r="A3148" t="s">
        <v>1138</v>
      </c>
      <c r="B3148">
        <v>11</v>
      </c>
      <c r="C3148" t="s">
        <v>1179</v>
      </c>
      <c r="D3148" s="1">
        <v>0.89583333333333337</v>
      </c>
      <c r="E3148" t="s">
        <v>25</v>
      </c>
      <c r="F3148" t="s">
        <v>23</v>
      </c>
      <c r="G3148" t="s">
        <v>41</v>
      </c>
      <c r="H3148" t="s">
        <v>883</v>
      </c>
    </row>
    <row r="3149" spans="1:8" x14ac:dyDescent="0.3">
      <c r="A3149" t="s">
        <v>1138</v>
      </c>
      <c r="B3149">
        <v>11</v>
      </c>
      <c r="C3149" t="s">
        <v>1180</v>
      </c>
      <c r="D3149" s="1">
        <v>0.79166666666666663</v>
      </c>
      <c r="E3149" t="s">
        <v>35</v>
      </c>
      <c r="F3149" t="s">
        <v>10</v>
      </c>
      <c r="G3149" t="s">
        <v>54</v>
      </c>
      <c r="H3149" t="s">
        <v>190</v>
      </c>
    </row>
    <row r="3150" spans="1:8" x14ac:dyDescent="0.3">
      <c r="A3150" t="s">
        <v>1138</v>
      </c>
      <c r="B3150">
        <v>11</v>
      </c>
      <c r="C3150" t="s">
        <v>1180</v>
      </c>
      <c r="D3150" s="1">
        <v>0.83333333333333337</v>
      </c>
      <c r="E3150" t="s">
        <v>24</v>
      </c>
      <c r="F3150" t="s">
        <v>11</v>
      </c>
      <c r="G3150" s="2">
        <v>46023</v>
      </c>
      <c r="H3150" t="s">
        <v>752</v>
      </c>
    </row>
    <row r="3151" spans="1:8" x14ac:dyDescent="0.3">
      <c r="A3151" t="s">
        <v>1138</v>
      </c>
      <c r="B3151">
        <v>11</v>
      </c>
      <c r="C3151" t="s">
        <v>1180</v>
      </c>
      <c r="D3151" s="1">
        <v>0.89583333333333337</v>
      </c>
      <c r="E3151" t="s">
        <v>21</v>
      </c>
      <c r="F3151" t="s">
        <v>28</v>
      </c>
      <c r="G3151" s="2">
        <v>46055</v>
      </c>
      <c r="H3151" t="s">
        <v>614</v>
      </c>
    </row>
    <row r="3152" spans="1:8" x14ac:dyDescent="0.3">
      <c r="A3152" t="s">
        <v>1138</v>
      </c>
      <c r="B3152">
        <v>12</v>
      </c>
      <c r="C3152" t="s">
        <v>1181</v>
      </c>
      <c r="D3152" s="1">
        <v>0.58333333333333337</v>
      </c>
      <c r="E3152" t="s">
        <v>31</v>
      </c>
      <c r="F3152" t="s">
        <v>25</v>
      </c>
      <c r="G3152" s="2">
        <v>46054</v>
      </c>
      <c r="H3152" t="s">
        <v>341</v>
      </c>
    </row>
    <row r="3153" spans="1:8" x14ac:dyDescent="0.3">
      <c r="A3153" t="s">
        <v>1138</v>
      </c>
      <c r="B3153">
        <v>12</v>
      </c>
      <c r="C3153" t="s">
        <v>1181</v>
      </c>
      <c r="D3153" s="1">
        <v>0.67708333333333337</v>
      </c>
      <c r="E3153" t="s">
        <v>27</v>
      </c>
      <c r="F3153" t="s">
        <v>23</v>
      </c>
      <c r="G3153" t="s">
        <v>12</v>
      </c>
      <c r="H3153" t="s">
        <v>184</v>
      </c>
    </row>
    <row r="3154" spans="1:8" x14ac:dyDescent="0.3">
      <c r="A3154" t="s">
        <v>1138</v>
      </c>
      <c r="B3154">
        <v>12</v>
      </c>
      <c r="C3154" t="s">
        <v>1181</v>
      </c>
      <c r="D3154" s="1">
        <v>0.77083333333333337</v>
      </c>
      <c r="E3154" t="s">
        <v>16</v>
      </c>
      <c r="F3154" t="s">
        <v>34</v>
      </c>
      <c r="G3154" t="s">
        <v>12</v>
      </c>
      <c r="H3154" t="s">
        <v>467</v>
      </c>
    </row>
    <row r="3155" spans="1:8" x14ac:dyDescent="0.3">
      <c r="A3155" t="s">
        <v>1138</v>
      </c>
      <c r="B3155">
        <v>12</v>
      </c>
      <c r="C3155" t="s">
        <v>1181</v>
      </c>
      <c r="D3155" s="1">
        <v>0.875</v>
      </c>
      <c r="E3155" t="s">
        <v>20</v>
      </c>
      <c r="F3155" t="s">
        <v>464</v>
      </c>
      <c r="G3155" s="2">
        <v>46023</v>
      </c>
      <c r="H3155" t="s">
        <v>1007</v>
      </c>
    </row>
    <row r="3156" spans="1:8" x14ac:dyDescent="0.3">
      <c r="A3156" t="s">
        <v>1138</v>
      </c>
      <c r="B3156">
        <v>12</v>
      </c>
      <c r="C3156" t="s">
        <v>1182</v>
      </c>
      <c r="D3156" s="1">
        <v>0.58333333333333337</v>
      </c>
      <c r="E3156" t="s">
        <v>1000</v>
      </c>
      <c r="F3156" t="s">
        <v>881</v>
      </c>
      <c r="G3156" s="2">
        <v>46023</v>
      </c>
      <c r="H3156" t="s">
        <v>887</v>
      </c>
    </row>
    <row r="3157" spans="1:8" x14ac:dyDescent="0.3">
      <c r="A3157" t="s">
        <v>1138</v>
      </c>
      <c r="B3157">
        <v>12</v>
      </c>
      <c r="C3157" t="s">
        <v>1182</v>
      </c>
      <c r="D3157" s="1">
        <v>0.67708333333333337</v>
      </c>
      <c r="E3157" t="s">
        <v>28</v>
      </c>
      <c r="F3157" t="s">
        <v>26</v>
      </c>
      <c r="G3157" t="s">
        <v>32</v>
      </c>
      <c r="H3157" t="s">
        <v>612</v>
      </c>
    </row>
    <row r="3158" spans="1:8" x14ac:dyDescent="0.3">
      <c r="A3158" t="s">
        <v>1138</v>
      </c>
      <c r="B3158">
        <v>12</v>
      </c>
      <c r="C3158" t="s">
        <v>1182</v>
      </c>
      <c r="D3158" s="1">
        <v>0.77083333333333337</v>
      </c>
      <c r="E3158" t="s">
        <v>11</v>
      </c>
      <c r="F3158" t="s">
        <v>36</v>
      </c>
      <c r="G3158" s="2">
        <v>46024</v>
      </c>
      <c r="H3158" t="s">
        <v>1146</v>
      </c>
    </row>
    <row r="3159" spans="1:8" x14ac:dyDescent="0.3">
      <c r="A3159" t="s">
        <v>1138</v>
      </c>
      <c r="B3159">
        <v>12</v>
      </c>
      <c r="C3159" t="s">
        <v>1182</v>
      </c>
      <c r="D3159" s="1">
        <v>0.875</v>
      </c>
      <c r="E3159" t="s">
        <v>10</v>
      </c>
      <c r="F3159" t="s">
        <v>15</v>
      </c>
      <c r="G3159" s="2">
        <v>46023</v>
      </c>
      <c r="H3159" t="s">
        <v>205</v>
      </c>
    </row>
    <row r="3160" spans="1:8" x14ac:dyDescent="0.3">
      <c r="A3160" t="s">
        <v>1138</v>
      </c>
      <c r="B3160">
        <v>12</v>
      </c>
      <c r="C3160" t="s">
        <v>1183</v>
      </c>
      <c r="D3160" s="1">
        <v>0.77083333333333337</v>
      </c>
      <c r="E3160" t="s">
        <v>30</v>
      </c>
      <c r="F3160" t="s">
        <v>35</v>
      </c>
      <c r="G3160" t="s">
        <v>41</v>
      </c>
      <c r="H3160" t="s">
        <v>747</v>
      </c>
    </row>
    <row r="3161" spans="1:8" x14ac:dyDescent="0.3">
      <c r="A3161" t="s">
        <v>1138</v>
      </c>
      <c r="B3161">
        <v>12</v>
      </c>
      <c r="C3161" t="s">
        <v>1183</v>
      </c>
      <c r="D3161" s="1">
        <v>0.875</v>
      </c>
      <c r="E3161" t="s">
        <v>21</v>
      </c>
      <c r="F3161" t="s">
        <v>24</v>
      </c>
      <c r="G3161" t="s">
        <v>46</v>
      </c>
      <c r="H3161" t="s">
        <v>345</v>
      </c>
    </row>
    <row r="3162" spans="1:8" x14ac:dyDescent="0.3">
      <c r="A3162" t="s">
        <v>1138</v>
      </c>
      <c r="B3162">
        <v>13</v>
      </c>
      <c r="C3162" t="s">
        <v>1184</v>
      </c>
      <c r="D3162" s="1">
        <v>0.875</v>
      </c>
      <c r="E3162" t="s">
        <v>15</v>
      </c>
      <c r="F3162" t="s">
        <v>1000</v>
      </c>
      <c r="G3162" t="s">
        <v>42</v>
      </c>
      <c r="H3162" t="s">
        <v>197</v>
      </c>
    </row>
    <row r="3163" spans="1:8" x14ac:dyDescent="0.3">
      <c r="A3163" t="s">
        <v>1138</v>
      </c>
      <c r="B3163">
        <v>13</v>
      </c>
      <c r="C3163" t="s">
        <v>1185</v>
      </c>
      <c r="D3163" s="1">
        <v>0.58333333333333337</v>
      </c>
      <c r="E3163" t="s">
        <v>36</v>
      </c>
      <c r="F3163" t="s">
        <v>24</v>
      </c>
      <c r="G3163" t="s">
        <v>12</v>
      </c>
      <c r="H3163" t="s">
        <v>1001</v>
      </c>
    </row>
    <row r="3164" spans="1:8" x14ac:dyDescent="0.3">
      <c r="A3164" t="s">
        <v>1138</v>
      </c>
      <c r="B3164">
        <v>13</v>
      </c>
      <c r="C3164" t="s">
        <v>1185</v>
      </c>
      <c r="D3164" s="1">
        <v>0.67708333333333337</v>
      </c>
      <c r="E3164" t="s">
        <v>35</v>
      </c>
      <c r="F3164" t="s">
        <v>20</v>
      </c>
      <c r="G3164" s="2">
        <v>46084</v>
      </c>
      <c r="H3164" t="s">
        <v>185</v>
      </c>
    </row>
    <row r="3165" spans="1:8" x14ac:dyDescent="0.3">
      <c r="A3165" t="s">
        <v>1138</v>
      </c>
      <c r="B3165">
        <v>13</v>
      </c>
      <c r="C3165" t="s">
        <v>1185</v>
      </c>
      <c r="D3165" s="1">
        <v>0.77083333333333337</v>
      </c>
      <c r="E3165" t="s">
        <v>464</v>
      </c>
      <c r="F3165" t="s">
        <v>21</v>
      </c>
      <c r="G3165" s="2">
        <v>46024</v>
      </c>
      <c r="H3165" t="s">
        <v>752</v>
      </c>
    </row>
    <row r="3166" spans="1:8" x14ac:dyDescent="0.3">
      <c r="A3166" t="s">
        <v>1138</v>
      </c>
      <c r="B3166">
        <v>13</v>
      </c>
      <c r="C3166" t="s">
        <v>1185</v>
      </c>
      <c r="D3166" s="1">
        <v>0.875</v>
      </c>
      <c r="E3166" t="s">
        <v>25</v>
      </c>
      <c r="F3166" t="s">
        <v>30</v>
      </c>
      <c r="G3166" s="2">
        <v>46024</v>
      </c>
      <c r="H3166" t="s">
        <v>614</v>
      </c>
    </row>
    <row r="3167" spans="1:8" x14ac:dyDescent="0.3">
      <c r="A3167" t="s">
        <v>1138</v>
      </c>
      <c r="B3167">
        <v>13</v>
      </c>
      <c r="C3167" t="s">
        <v>1186</v>
      </c>
      <c r="D3167" s="1">
        <v>0.58333333333333337</v>
      </c>
      <c r="E3167" t="s">
        <v>34</v>
      </c>
      <c r="F3167" t="s">
        <v>11</v>
      </c>
      <c r="G3167" t="s">
        <v>18</v>
      </c>
      <c r="H3167" t="s">
        <v>194</v>
      </c>
    </row>
    <row r="3168" spans="1:8" x14ac:dyDescent="0.3">
      <c r="A3168" t="s">
        <v>1138</v>
      </c>
      <c r="B3168">
        <v>13</v>
      </c>
      <c r="C3168" t="s">
        <v>1186</v>
      </c>
      <c r="D3168" s="1">
        <v>0.67708333333333337</v>
      </c>
      <c r="E3168" t="s">
        <v>16</v>
      </c>
      <c r="F3168" t="s">
        <v>28</v>
      </c>
      <c r="G3168" s="2">
        <v>46084</v>
      </c>
      <c r="H3168" t="s">
        <v>883</v>
      </c>
    </row>
    <row r="3169" spans="1:8" x14ac:dyDescent="0.3">
      <c r="A3169" t="s">
        <v>1138</v>
      </c>
      <c r="B3169">
        <v>13</v>
      </c>
      <c r="C3169" t="s">
        <v>1186</v>
      </c>
      <c r="D3169" s="1">
        <v>0.77083333333333337</v>
      </c>
      <c r="E3169" t="s">
        <v>881</v>
      </c>
      <c r="F3169" t="s">
        <v>31</v>
      </c>
      <c r="G3169" s="2">
        <v>46055</v>
      </c>
      <c r="H3169" t="s">
        <v>190</v>
      </c>
    </row>
    <row r="3170" spans="1:8" x14ac:dyDescent="0.3">
      <c r="A3170" t="s">
        <v>1138</v>
      </c>
      <c r="B3170">
        <v>13</v>
      </c>
      <c r="C3170" t="s">
        <v>1186</v>
      </c>
      <c r="D3170" s="1">
        <v>0.77083333333333337</v>
      </c>
      <c r="E3170" t="s">
        <v>23</v>
      </c>
      <c r="F3170" t="s">
        <v>10</v>
      </c>
      <c r="G3170" t="s">
        <v>54</v>
      </c>
      <c r="H3170" t="s">
        <v>1141</v>
      </c>
    </row>
    <row r="3171" spans="1:8" x14ac:dyDescent="0.3">
      <c r="A3171" t="s">
        <v>1138</v>
      </c>
      <c r="B3171">
        <v>13</v>
      </c>
      <c r="C3171" t="s">
        <v>1186</v>
      </c>
      <c r="D3171" s="1">
        <v>0.875</v>
      </c>
      <c r="E3171" t="s">
        <v>26</v>
      </c>
      <c r="F3171" t="s">
        <v>27</v>
      </c>
      <c r="G3171" t="s">
        <v>54</v>
      </c>
      <c r="H3171" t="s">
        <v>181</v>
      </c>
    </row>
    <row r="3172" spans="1:8" x14ac:dyDescent="0.3">
      <c r="A3172" t="s">
        <v>1138</v>
      </c>
      <c r="B3172">
        <v>14</v>
      </c>
      <c r="C3172" t="s">
        <v>1187</v>
      </c>
      <c r="D3172" s="1">
        <v>0.875</v>
      </c>
      <c r="E3172" t="s">
        <v>21</v>
      </c>
      <c r="F3172" t="s">
        <v>15</v>
      </c>
      <c r="G3172" t="s">
        <v>41</v>
      </c>
      <c r="H3172" t="s">
        <v>467</v>
      </c>
    </row>
    <row r="3173" spans="1:8" x14ac:dyDescent="0.3">
      <c r="A3173" t="s">
        <v>1138</v>
      </c>
      <c r="B3173">
        <v>14</v>
      </c>
      <c r="C3173" t="s">
        <v>1188</v>
      </c>
      <c r="D3173" s="1">
        <v>0.58333333333333337</v>
      </c>
      <c r="E3173" t="s">
        <v>35</v>
      </c>
      <c r="F3173" t="s">
        <v>34</v>
      </c>
      <c r="G3173" s="2">
        <v>46023</v>
      </c>
      <c r="H3173" t="s">
        <v>612</v>
      </c>
    </row>
    <row r="3174" spans="1:8" x14ac:dyDescent="0.3">
      <c r="A3174" t="s">
        <v>1138</v>
      </c>
      <c r="B3174">
        <v>14</v>
      </c>
      <c r="C3174" t="s">
        <v>1188</v>
      </c>
      <c r="D3174" s="1">
        <v>0.67708333333333337</v>
      </c>
      <c r="E3174" t="s">
        <v>27</v>
      </c>
      <c r="F3174" t="s">
        <v>464</v>
      </c>
      <c r="G3174" s="2">
        <v>46055</v>
      </c>
      <c r="H3174" t="s">
        <v>1146</v>
      </c>
    </row>
    <row r="3175" spans="1:8" x14ac:dyDescent="0.3">
      <c r="A3175" t="s">
        <v>1138</v>
      </c>
      <c r="B3175">
        <v>14</v>
      </c>
      <c r="C3175" t="s">
        <v>1188</v>
      </c>
      <c r="D3175" s="1">
        <v>0.77083333333333337</v>
      </c>
      <c r="E3175" t="s">
        <v>28</v>
      </c>
      <c r="F3175" t="s">
        <v>23</v>
      </c>
      <c r="G3175" t="s">
        <v>18</v>
      </c>
      <c r="H3175" t="s">
        <v>345</v>
      </c>
    </row>
    <row r="3176" spans="1:8" x14ac:dyDescent="0.3">
      <c r="A3176" t="s">
        <v>1138</v>
      </c>
      <c r="B3176">
        <v>14</v>
      </c>
      <c r="C3176" t="s">
        <v>1188</v>
      </c>
      <c r="D3176" s="1">
        <v>0.875</v>
      </c>
      <c r="E3176" t="s">
        <v>20</v>
      </c>
      <c r="F3176" t="s">
        <v>36</v>
      </c>
      <c r="G3176" t="s">
        <v>18</v>
      </c>
      <c r="H3176" t="s">
        <v>184</v>
      </c>
    </row>
    <row r="3177" spans="1:8" x14ac:dyDescent="0.3">
      <c r="A3177" t="s">
        <v>1138</v>
      </c>
      <c r="B3177">
        <v>14</v>
      </c>
      <c r="C3177" t="s">
        <v>1189</v>
      </c>
      <c r="D3177" s="1">
        <v>0.58333333333333337</v>
      </c>
      <c r="E3177" t="s">
        <v>11</v>
      </c>
      <c r="F3177" t="s">
        <v>1000</v>
      </c>
      <c r="G3177" t="s">
        <v>88</v>
      </c>
      <c r="H3177" t="s">
        <v>341</v>
      </c>
    </row>
    <row r="3178" spans="1:8" x14ac:dyDescent="0.3">
      <c r="A3178" t="s">
        <v>1138</v>
      </c>
      <c r="B3178">
        <v>14</v>
      </c>
      <c r="C3178" t="s">
        <v>1189</v>
      </c>
      <c r="D3178" s="1">
        <v>0.67708333333333337</v>
      </c>
      <c r="E3178" t="s">
        <v>24</v>
      </c>
      <c r="F3178" t="s">
        <v>25</v>
      </c>
      <c r="G3178" s="2">
        <v>46113</v>
      </c>
      <c r="H3178" t="s">
        <v>205</v>
      </c>
    </row>
    <row r="3179" spans="1:8" x14ac:dyDescent="0.3">
      <c r="A3179" t="s">
        <v>1138</v>
      </c>
      <c r="B3179">
        <v>14</v>
      </c>
      <c r="C3179" t="s">
        <v>1189</v>
      </c>
      <c r="D3179" s="1">
        <v>0.77083333333333337</v>
      </c>
      <c r="E3179" t="s">
        <v>31</v>
      </c>
      <c r="F3179" t="s">
        <v>26</v>
      </c>
      <c r="G3179" t="s">
        <v>46</v>
      </c>
      <c r="H3179" t="s">
        <v>887</v>
      </c>
    </row>
    <row r="3180" spans="1:8" x14ac:dyDescent="0.3">
      <c r="A3180" t="s">
        <v>1138</v>
      </c>
      <c r="B3180">
        <v>14</v>
      </c>
      <c r="C3180" t="s">
        <v>1189</v>
      </c>
      <c r="D3180" s="1">
        <v>0.875</v>
      </c>
      <c r="E3180" t="s">
        <v>10</v>
      </c>
      <c r="F3180" t="s">
        <v>16</v>
      </c>
      <c r="G3180" t="s">
        <v>41</v>
      </c>
      <c r="H3180" t="s">
        <v>190</v>
      </c>
    </row>
    <row r="3181" spans="1:8" x14ac:dyDescent="0.3">
      <c r="A3181" t="s">
        <v>1138</v>
      </c>
      <c r="B3181">
        <v>14</v>
      </c>
      <c r="C3181" t="s">
        <v>1190</v>
      </c>
      <c r="D3181" s="1">
        <v>0.875</v>
      </c>
      <c r="E3181" t="s">
        <v>30</v>
      </c>
      <c r="F3181" t="s">
        <v>881</v>
      </c>
      <c r="G3181" s="2">
        <v>46025</v>
      </c>
      <c r="H3181" t="s">
        <v>1007</v>
      </c>
    </row>
    <row r="3182" spans="1:8" x14ac:dyDescent="0.3">
      <c r="A3182" t="s">
        <v>1138</v>
      </c>
      <c r="B3182">
        <v>15</v>
      </c>
      <c r="C3182" t="s">
        <v>1191</v>
      </c>
      <c r="D3182" s="1">
        <v>0.875</v>
      </c>
      <c r="E3182" t="s">
        <v>15</v>
      </c>
      <c r="F3182" t="s">
        <v>24</v>
      </c>
      <c r="G3182" s="2">
        <v>46055</v>
      </c>
      <c r="H3182" t="s">
        <v>752</v>
      </c>
    </row>
    <row r="3183" spans="1:8" x14ac:dyDescent="0.3">
      <c r="A3183" t="s">
        <v>1138</v>
      </c>
      <c r="B3183">
        <v>15</v>
      </c>
      <c r="C3183" t="s">
        <v>1192</v>
      </c>
      <c r="D3183" s="1">
        <v>0.58333333333333337</v>
      </c>
      <c r="E3183" t="s">
        <v>464</v>
      </c>
      <c r="F3183" t="s">
        <v>35</v>
      </c>
      <c r="G3183" s="2">
        <v>46054</v>
      </c>
      <c r="H3183" t="s">
        <v>614</v>
      </c>
    </row>
    <row r="3184" spans="1:8" x14ac:dyDescent="0.3">
      <c r="A3184" t="s">
        <v>1138</v>
      </c>
      <c r="B3184">
        <v>15</v>
      </c>
      <c r="C3184" t="s">
        <v>1192</v>
      </c>
      <c r="D3184" s="1">
        <v>0.67708333333333337</v>
      </c>
      <c r="E3184" t="s">
        <v>16</v>
      </c>
      <c r="F3184" t="s">
        <v>30</v>
      </c>
      <c r="G3184" s="2">
        <v>46023</v>
      </c>
      <c r="H3184" t="s">
        <v>185</v>
      </c>
    </row>
    <row r="3185" spans="1:8" x14ac:dyDescent="0.3">
      <c r="A3185" t="s">
        <v>1138</v>
      </c>
      <c r="B3185">
        <v>15</v>
      </c>
      <c r="C3185" t="s">
        <v>1192</v>
      </c>
      <c r="D3185" s="1">
        <v>0.77083333333333337</v>
      </c>
      <c r="E3185" t="s">
        <v>881</v>
      </c>
      <c r="F3185" t="s">
        <v>11</v>
      </c>
      <c r="G3185" t="s">
        <v>41</v>
      </c>
      <c r="H3185" t="s">
        <v>197</v>
      </c>
    </row>
    <row r="3186" spans="1:8" x14ac:dyDescent="0.3">
      <c r="A3186" t="s">
        <v>1138</v>
      </c>
      <c r="B3186">
        <v>15</v>
      </c>
      <c r="C3186" t="s">
        <v>1192</v>
      </c>
      <c r="D3186" s="1">
        <v>0.875</v>
      </c>
      <c r="E3186" t="s">
        <v>34</v>
      </c>
      <c r="F3186" t="s">
        <v>20</v>
      </c>
      <c r="G3186" s="2">
        <v>46082</v>
      </c>
      <c r="H3186" t="s">
        <v>883</v>
      </c>
    </row>
    <row r="3187" spans="1:8" x14ac:dyDescent="0.3">
      <c r="A3187" t="s">
        <v>1138</v>
      </c>
      <c r="B3187">
        <v>15</v>
      </c>
      <c r="C3187" t="s">
        <v>1193</v>
      </c>
      <c r="D3187" s="1">
        <v>0.58333333333333337</v>
      </c>
      <c r="E3187" t="s">
        <v>26</v>
      </c>
      <c r="F3187" t="s">
        <v>21</v>
      </c>
      <c r="G3187" s="2">
        <v>46025</v>
      </c>
      <c r="H3187" t="s">
        <v>1141</v>
      </c>
    </row>
    <row r="3188" spans="1:8" x14ac:dyDescent="0.3">
      <c r="A3188" t="s">
        <v>1138</v>
      </c>
      <c r="B3188">
        <v>15</v>
      </c>
      <c r="C3188" t="s">
        <v>1193</v>
      </c>
      <c r="D3188" s="1">
        <v>0.67708333333333337</v>
      </c>
      <c r="E3188" t="s">
        <v>36</v>
      </c>
      <c r="F3188" t="s">
        <v>10</v>
      </c>
      <c r="G3188" t="s">
        <v>18</v>
      </c>
      <c r="H3188" t="s">
        <v>181</v>
      </c>
    </row>
    <row r="3189" spans="1:8" x14ac:dyDescent="0.3">
      <c r="A3189" t="s">
        <v>1138</v>
      </c>
      <c r="B3189">
        <v>15</v>
      </c>
      <c r="C3189" t="s">
        <v>1193</v>
      </c>
      <c r="D3189" s="1">
        <v>0.77083333333333337</v>
      </c>
      <c r="E3189" t="s">
        <v>1000</v>
      </c>
      <c r="F3189" t="s">
        <v>28</v>
      </c>
      <c r="G3189" s="2">
        <v>46113</v>
      </c>
      <c r="H3189" t="s">
        <v>194</v>
      </c>
    </row>
    <row r="3190" spans="1:8" x14ac:dyDescent="0.3">
      <c r="A3190" t="s">
        <v>1138</v>
      </c>
      <c r="B3190">
        <v>15</v>
      </c>
      <c r="C3190" t="s">
        <v>1193</v>
      </c>
      <c r="D3190" s="1">
        <v>0.875</v>
      </c>
      <c r="E3190" t="s">
        <v>25</v>
      </c>
      <c r="F3190" t="s">
        <v>27</v>
      </c>
      <c r="G3190" s="2">
        <v>46024</v>
      </c>
      <c r="H3190" t="s">
        <v>345</v>
      </c>
    </row>
    <row r="3191" spans="1:8" x14ac:dyDescent="0.3">
      <c r="A3191" t="s">
        <v>1138</v>
      </c>
      <c r="B3191">
        <v>15</v>
      </c>
      <c r="C3191" t="s">
        <v>1194</v>
      </c>
      <c r="D3191" s="1">
        <v>0.875</v>
      </c>
      <c r="E3191" t="s">
        <v>23</v>
      </c>
      <c r="F3191" t="s">
        <v>31</v>
      </c>
      <c r="G3191" s="2">
        <v>46023</v>
      </c>
      <c r="H3191" t="s">
        <v>1001</v>
      </c>
    </row>
    <row r="3192" spans="1:8" x14ac:dyDescent="0.3">
      <c r="A3192" t="s">
        <v>1138</v>
      </c>
      <c r="B3192">
        <v>16</v>
      </c>
      <c r="C3192" t="s">
        <v>1195</v>
      </c>
      <c r="D3192" s="1">
        <v>0.875</v>
      </c>
      <c r="E3192" t="s">
        <v>24</v>
      </c>
      <c r="F3192" t="s">
        <v>464</v>
      </c>
      <c r="G3192" s="2">
        <v>46024</v>
      </c>
      <c r="H3192" t="s">
        <v>612</v>
      </c>
    </row>
    <row r="3193" spans="1:8" x14ac:dyDescent="0.3">
      <c r="A3193" t="s">
        <v>1138</v>
      </c>
      <c r="B3193">
        <v>16</v>
      </c>
      <c r="C3193" t="s">
        <v>1196</v>
      </c>
      <c r="D3193" s="1">
        <v>0.58333333333333337</v>
      </c>
      <c r="E3193" t="s">
        <v>27</v>
      </c>
      <c r="F3193" t="s">
        <v>34</v>
      </c>
      <c r="G3193" t="s">
        <v>18</v>
      </c>
      <c r="H3193" t="s">
        <v>184</v>
      </c>
    </row>
    <row r="3194" spans="1:8" x14ac:dyDescent="0.3">
      <c r="A3194" t="s">
        <v>1138</v>
      </c>
      <c r="B3194">
        <v>16</v>
      </c>
      <c r="C3194" t="s">
        <v>1196</v>
      </c>
      <c r="D3194" s="1">
        <v>0.67708333333333337</v>
      </c>
      <c r="E3194" t="s">
        <v>20</v>
      </c>
      <c r="F3194" t="s">
        <v>26</v>
      </c>
      <c r="G3194" t="s">
        <v>42</v>
      </c>
      <c r="H3194" t="s">
        <v>614</v>
      </c>
    </row>
    <row r="3195" spans="1:8" x14ac:dyDescent="0.3">
      <c r="A3195" t="s">
        <v>1138</v>
      </c>
      <c r="B3195">
        <v>16</v>
      </c>
      <c r="C3195" t="s">
        <v>1196</v>
      </c>
      <c r="D3195" s="1">
        <v>0.77083333333333337</v>
      </c>
      <c r="E3195" t="s">
        <v>28</v>
      </c>
      <c r="F3195" t="s">
        <v>881</v>
      </c>
      <c r="G3195" s="2">
        <v>46054</v>
      </c>
      <c r="H3195" t="s">
        <v>205</v>
      </c>
    </row>
    <row r="3196" spans="1:8" x14ac:dyDescent="0.3">
      <c r="A3196" t="s">
        <v>1138</v>
      </c>
      <c r="B3196">
        <v>16</v>
      </c>
      <c r="C3196" t="s">
        <v>1196</v>
      </c>
      <c r="D3196" s="1">
        <v>0.875</v>
      </c>
      <c r="E3196" t="s">
        <v>10</v>
      </c>
      <c r="F3196" t="s">
        <v>25</v>
      </c>
      <c r="G3196" t="s">
        <v>54</v>
      </c>
      <c r="H3196" t="s">
        <v>194</v>
      </c>
    </row>
    <row r="3197" spans="1:8" x14ac:dyDescent="0.3">
      <c r="A3197" t="s">
        <v>1138</v>
      </c>
      <c r="B3197">
        <v>16</v>
      </c>
      <c r="C3197" t="s">
        <v>1197</v>
      </c>
      <c r="D3197" s="1">
        <v>0.58333333333333337</v>
      </c>
      <c r="E3197" t="s">
        <v>30</v>
      </c>
      <c r="F3197" t="s">
        <v>36</v>
      </c>
      <c r="G3197" t="s">
        <v>18</v>
      </c>
      <c r="H3197" t="s">
        <v>467</v>
      </c>
    </row>
    <row r="3198" spans="1:8" x14ac:dyDescent="0.3">
      <c r="A3198" t="s">
        <v>1138</v>
      </c>
      <c r="B3198">
        <v>16</v>
      </c>
      <c r="C3198" t="s">
        <v>1197</v>
      </c>
      <c r="D3198" s="1">
        <v>0.67708333333333337</v>
      </c>
      <c r="E3198" t="s">
        <v>31</v>
      </c>
      <c r="F3198" t="s">
        <v>1000</v>
      </c>
      <c r="G3198" s="2">
        <v>46025</v>
      </c>
      <c r="H3198" t="s">
        <v>1146</v>
      </c>
    </row>
    <row r="3199" spans="1:8" x14ac:dyDescent="0.3">
      <c r="A3199" t="s">
        <v>1138</v>
      </c>
      <c r="B3199">
        <v>16</v>
      </c>
      <c r="C3199" t="s">
        <v>1197</v>
      </c>
      <c r="D3199" s="1">
        <v>0.77083333333333337</v>
      </c>
      <c r="E3199" t="s">
        <v>21</v>
      </c>
      <c r="F3199" t="s">
        <v>23</v>
      </c>
      <c r="G3199" t="s">
        <v>41</v>
      </c>
      <c r="H3199" t="s">
        <v>887</v>
      </c>
    </row>
    <row r="3200" spans="1:8" x14ac:dyDescent="0.3">
      <c r="A3200" t="s">
        <v>1138</v>
      </c>
      <c r="B3200">
        <v>16</v>
      </c>
      <c r="C3200" t="s">
        <v>1197</v>
      </c>
      <c r="D3200" s="1">
        <v>0.875</v>
      </c>
      <c r="E3200" t="s">
        <v>35</v>
      </c>
      <c r="F3200" t="s">
        <v>16</v>
      </c>
      <c r="G3200" s="2">
        <v>46054</v>
      </c>
      <c r="H3200" t="s">
        <v>341</v>
      </c>
    </row>
    <row r="3201" spans="1:8" x14ac:dyDescent="0.3">
      <c r="A3201" t="s">
        <v>1138</v>
      </c>
      <c r="B3201">
        <v>16</v>
      </c>
      <c r="C3201" t="s">
        <v>1198</v>
      </c>
      <c r="D3201" s="1">
        <v>0.875</v>
      </c>
      <c r="E3201" t="s">
        <v>11</v>
      </c>
      <c r="F3201" t="s">
        <v>15</v>
      </c>
      <c r="G3201" t="s">
        <v>41</v>
      </c>
      <c r="H3201" t="s">
        <v>1007</v>
      </c>
    </row>
    <row r="3202" spans="1:8" x14ac:dyDescent="0.3">
      <c r="A3202" t="s">
        <v>1138</v>
      </c>
      <c r="B3202">
        <v>17</v>
      </c>
      <c r="C3202" t="s">
        <v>1199</v>
      </c>
      <c r="D3202" s="1">
        <v>0.875</v>
      </c>
      <c r="E3202" t="s">
        <v>881</v>
      </c>
      <c r="F3202" t="s">
        <v>35</v>
      </c>
      <c r="G3202" t="s">
        <v>41</v>
      </c>
      <c r="H3202" t="s">
        <v>1001</v>
      </c>
    </row>
    <row r="3203" spans="1:8" x14ac:dyDescent="0.3">
      <c r="A3203" t="s">
        <v>1138</v>
      </c>
      <c r="B3203">
        <v>17</v>
      </c>
      <c r="C3203" t="s">
        <v>1200</v>
      </c>
      <c r="D3203" s="1">
        <v>0.58333333333333337</v>
      </c>
      <c r="E3203" t="s">
        <v>36</v>
      </c>
      <c r="F3203" t="s">
        <v>21</v>
      </c>
      <c r="G3203" s="2">
        <v>46085</v>
      </c>
      <c r="H3203" t="s">
        <v>752</v>
      </c>
    </row>
    <row r="3204" spans="1:8" x14ac:dyDescent="0.3">
      <c r="A3204" t="s">
        <v>1138</v>
      </c>
      <c r="B3204">
        <v>17</v>
      </c>
      <c r="C3204" t="s">
        <v>1200</v>
      </c>
      <c r="D3204" s="1">
        <v>0.67708333333333337</v>
      </c>
      <c r="E3204" t="s">
        <v>464</v>
      </c>
      <c r="F3204" t="s">
        <v>11</v>
      </c>
      <c r="G3204" s="2">
        <v>46023</v>
      </c>
      <c r="H3204" t="s">
        <v>883</v>
      </c>
    </row>
    <row r="3205" spans="1:8" x14ac:dyDescent="0.3">
      <c r="A3205" t="s">
        <v>1138</v>
      </c>
      <c r="B3205">
        <v>17</v>
      </c>
      <c r="C3205" t="s">
        <v>1200</v>
      </c>
      <c r="D3205" s="1">
        <v>0.77083333333333337</v>
      </c>
      <c r="E3205" t="s">
        <v>16</v>
      </c>
      <c r="F3205" t="s">
        <v>31</v>
      </c>
      <c r="G3205" s="2">
        <v>46024</v>
      </c>
      <c r="H3205" t="s">
        <v>197</v>
      </c>
    </row>
    <row r="3206" spans="1:8" x14ac:dyDescent="0.3">
      <c r="A3206" t="s">
        <v>1138</v>
      </c>
      <c r="B3206">
        <v>17</v>
      </c>
      <c r="C3206" t="s">
        <v>1200</v>
      </c>
      <c r="D3206" s="1">
        <v>0.875</v>
      </c>
      <c r="E3206" t="s">
        <v>15</v>
      </c>
      <c r="F3206" t="s">
        <v>27</v>
      </c>
      <c r="G3206" t="s">
        <v>42</v>
      </c>
      <c r="H3206" t="s">
        <v>185</v>
      </c>
    </row>
    <row r="3207" spans="1:8" x14ac:dyDescent="0.3">
      <c r="A3207" t="s">
        <v>1138</v>
      </c>
      <c r="B3207">
        <v>17</v>
      </c>
      <c r="C3207" t="s">
        <v>1201</v>
      </c>
      <c r="D3207" s="1">
        <v>0.58333333333333337</v>
      </c>
      <c r="E3207" t="s">
        <v>34</v>
      </c>
      <c r="F3207" t="s">
        <v>30</v>
      </c>
      <c r="G3207" t="s">
        <v>12</v>
      </c>
      <c r="H3207" t="s">
        <v>190</v>
      </c>
    </row>
    <row r="3208" spans="1:8" x14ac:dyDescent="0.3">
      <c r="A3208" t="s">
        <v>1138</v>
      </c>
      <c r="B3208">
        <v>17</v>
      </c>
      <c r="C3208" t="s">
        <v>1201</v>
      </c>
      <c r="D3208" s="1">
        <v>0.67708333333333337</v>
      </c>
      <c r="E3208" t="s">
        <v>23</v>
      </c>
      <c r="F3208" t="s">
        <v>20</v>
      </c>
      <c r="G3208" s="2">
        <v>46055</v>
      </c>
      <c r="H3208" t="s">
        <v>205</v>
      </c>
    </row>
    <row r="3209" spans="1:8" x14ac:dyDescent="0.3">
      <c r="A3209" t="s">
        <v>1138</v>
      </c>
      <c r="B3209">
        <v>17</v>
      </c>
      <c r="C3209" t="s">
        <v>1201</v>
      </c>
      <c r="D3209" s="1">
        <v>0.77083333333333337</v>
      </c>
      <c r="E3209" t="s">
        <v>26</v>
      </c>
      <c r="F3209" t="s">
        <v>10</v>
      </c>
      <c r="G3209" t="s">
        <v>88</v>
      </c>
      <c r="H3209" t="s">
        <v>345</v>
      </c>
    </row>
    <row r="3210" spans="1:8" x14ac:dyDescent="0.3">
      <c r="A3210" t="s">
        <v>1138</v>
      </c>
      <c r="B3210">
        <v>17</v>
      </c>
      <c r="C3210" t="s">
        <v>1201</v>
      </c>
      <c r="D3210" s="1">
        <v>0.875</v>
      </c>
      <c r="E3210" t="s">
        <v>25</v>
      </c>
      <c r="F3210" t="s">
        <v>28</v>
      </c>
      <c r="G3210" t="s">
        <v>12</v>
      </c>
      <c r="H3210" t="s">
        <v>181</v>
      </c>
    </row>
    <row r="3211" spans="1:8" x14ac:dyDescent="0.3">
      <c r="A3211" t="s">
        <v>1138</v>
      </c>
      <c r="B3211">
        <v>17</v>
      </c>
      <c r="C3211" t="s">
        <v>1202</v>
      </c>
      <c r="D3211" s="1">
        <v>0.875</v>
      </c>
      <c r="E3211" t="s">
        <v>1000</v>
      </c>
      <c r="F3211" t="s">
        <v>24</v>
      </c>
      <c r="G3211" s="2">
        <v>46023</v>
      </c>
      <c r="H3211" t="s">
        <v>1141</v>
      </c>
    </row>
    <row r="3212" spans="1:8" x14ac:dyDescent="0.3">
      <c r="A3212" t="s">
        <v>1138</v>
      </c>
      <c r="B3212">
        <v>18</v>
      </c>
      <c r="C3212" t="s">
        <v>1203</v>
      </c>
      <c r="D3212" s="1">
        <v>0.875</v>
      </c>
      <c r="E3212" t="s">
        <v>35</v>
      </c>
      <c r="F3212" t="s">
        <v>36</v>
      </c>
      <c r="G3212" s="2">
        <v>46025</v>
      </c>
      <c r="H3212" t="s">
        <v>887</v>
      </c>
    </row>
    <row r="3213" spans="1:8" x14ac:dyDescent="0.3">
      <c r="A3213" t="s">
        <v>1138</v>
      </c>
      <c r="B3213">
        <v>18</v>
      </c>
      <c r="C3213" t="s">
        <v>1204</v>
      </c>
      <c r="D3213" s="1">
        <v>0.58333333333333337</v>
      </c>
      <c r="E3213" t="s">
        <v>30</v>
      </c>
      <c r="F3213" t="s">
        <v>464</v>
      </c>
      <c r="G3213" t="s">
        <v>12</v>
      </c>
      <c r="H3213" t="s">
        <v>205</v>
      </c>
    </row>
    <row r="3214" spans="1:8" x14ac:dyDescent="0.3">
      <c r="A3214" t="s">
        <v>1138</v>
      </c>
      <c r="B3214">
        <v>18</v>
      </c>
      <c r="C3214" t="s">
        <v>1204</v>
      </c>
      <c r="D3214" s="1">
        <v>0.67708333333333337</v>
      </c>
      <c r="E3214" t="s">
        <v>10</v>
      </c>
      <c r="F3214" t="s">
        <v>34</v>
      </c>
      <c r="G3214" s="2">
        <v>46082</v>
      </c>
      <c r="H3214" t="s">
        <v>1007</v>
      </c>
    </row>
    <row r="3215" spans="1:8" x14ac:dyDescent="0.3">
      <c r="A3215" t="s">
        <v>1138</v>
      </c>
      <c r="B3215">
        <v>18</v>
      </c>
      <c r="C3215" t="s">
        <v>1204</v>
      </c>
      <c r="D3215" s="1">
        <v>0.77083333333333337</v>
      </c>
      <c r="E3215" t="s">
        <v>20</v>
      </c>
      <c r="F3215" t="s">
        <v>31</v>
      </c>
      <c r="G3215" s="2">
        <v>46056</v>
      </c>
      <c r="H3215" t="s">
        <v>612</v>
      </c>
    </row>
    <row r="3216" spans="1:8" x14ac:dyDescent="0.3">
      <c r="A3216" t="s">
        <v>1138</v>
      </c>
      <c r="B3216">
        <v>18</v>
      </c>
      <c r="C3216" t="s">
        <v>1204</v>
      </c>
      <c r="D3216" s="1">
        <v>0.875</v>
      </c>
      <c r="E3216" t="s">
        <v>27</v>
      </c>
      <c r="F3216" t="s">
        <v>28</v>
      </c>
      <c r="G3216" s="2">
        <v>46024</v>
      </c>
      <c r="H3216" t="s">
        <v>341</v>
      </c>
    </row>
    <row r="3217" spans="1:8" x14ac:dyDescent="0.3">
      <c r="A3217" t="s">
        <v>1138</v>
      </c>
      <c r="B3217">
        <v>18</v>
      </c>
      <c r="C3217" t="s">
        <v>1205</v>
      </c>
      <c r="D3217" s="1">
        <v>0.58333333333333337</v>
      </c>
      <c r="E3217" t="s">
        <v>24</v>
      </c>
      <c r="F3217" t="s">
        <v>881</v>
      </c>
      <c r="G3217" s="2">
        <v>46026</v>
      </c>
      <c r="H3217" t="s">
        <v>1146</v>
      </c>
    </row>
    <row r="3218" spans="1:8" x14ac:dyDescent="0.3">
      <c r="A3218" t="s">
        <v>1138</v>
      </c>
      <c r="B3218">
        <v>18</v>
      </c>
      <c r="C3218" t="s">
        <v>1205</v>
      </c>
      <c r="D3218" s="1">
        <v>0.67708333333333337</v>
      </c>
      <c r="E3218" t="s">
        <v>15</v>
      </c>
      <c r="F3218" t="s">
        <v>26</v>
      </c>
      <c r="G3218" s="2">
        <v>46056</v>
      </c>
      <c r="H3218" t="s">
        <v>194</v>
      </c>
    </row>
    <row r="3219" spans="1:8" x14ac:dyDescent="0.3">
      <c r="A3219" t="s">
        <v>1138</v>
      </c>
      <c r="B3219">
        <v>18</v>
      </c>
      <c r="C3219" t="s">
        <v>1205</v>
      </c>
      <c r="D3219" s="1">
        <v>0.77083333333333337</v>
      </c>
      <c r="E3219" t="s">
        <v>11</v>
      </c>
      <c r="F3219" t="s">
        <v>23</v>
      </c>
      <c r="G3219" t="s">
        <v>18</v>
      </c>
      <c r="H3219" t="s">
        <v>467</v>
      </c>
    </row>
    <row r="3220" spans="1:8" x14ac:dyDescent="0.3">
      <c r="A3220" t="s">
        <v>1138</v>
      </c>
      <c r="B3220">
        <v>18</v>
      </c>
      <c r="C3220" t="s">
        <v>1205</v>
      </c>
      <c r="D3220" s="1">
        <v>0.875</v>
      </c>
      <c r="E3220" t="s">
        <v>25</v>
      </c>
      <c r="F3220" t="s">
        <v>1000</v>
      </c>
      <c r="G3220" t="s">
        <v>41</v>
      </c>
      <c r="H3220" t="s">
        <v>197</v>
      </c>
    </row>
    <row r="3221" spans="1:8" x14ac:dyDescent="0.3">
      <c r="A3221" t="s">
        <v>1138</v>
      </c>
      <c r="B3221">
        <v>18</v>
      </c>
      <c r="C3221" t="s">
        <v>1206</v>
      </c>
      <c r="D3221" s="1">
        <v>0.875</v>
      </c>
      <c r="E3221" t="s">
        <v>21</v>
      </c>
      <c r="F3221" t="s">
        <v>16</v>
      </c>
      <c r="G3221" s="2">
        <v>46115</v>
      </c>
      <c r="H3221" t="s">
        <v>614</v>
      </c>
    </row>
    <row r="3222" spans="1:8" x14ac:dyDescent="0.3">
      <c r="A3222" t="s">
        <v>1138</v>
      </c>
      <c r="B3222">
        <v>19</v>
      </c>
      <c r="C3222" t="s">
        <v>1207</v>
      </c>
      <c r="D3222" s="1">
        <v>0.67708333333333337</v>
      </c>
      <c r="E3222" t="s">
        <v>16</v>
      </c>
      <c r="F3222" t="s">
        <v>36</v>
      </c>
      <c r="G3222" s="2">
        <v>46054</v>
      </c>
      <c r="H3222" t="s">
        <v>345</v>
      </c>
    </row>
    <row r="3223" spans="1:8" x14ac:dyDescent="0.3">
      <c r="A3223" t="s">
        <v>1138</v>
      </c>
      <c r="B3223">
        <v>19</v>
      </c>
      <c r="C3223" t="s">
        <v>1208</v>
      </c>
      <c r="D3223" s="1">
        <v>0.58333333333333337</v>
      </c>
      <c r="E3223" t="s">
        <v>11</v>
      </c>
      <c r="F3223" t="s">
        <v>25</v>
      </c>
      <c r="G3223" t="s">
        <v>18</v>
      </c>
      <c r="H3223" t="s">
        <v>190</v>
      </c>
    </row>
    <row r="3224" spans="1:8" x14ac:dyDescent="0.3">
      <c r="A3224" t="s">
        <v>1138</v>
      </c>
      <c r="B3224">
        <v>19</v>
      </c>
      <c r="C3224" t="s">
        <v>1208</v>
      </c>
      <c r="D3224" s="1">
        <v>0.67708333333333337</v>
      </c>
      <c r="E3224" t="s">
        <v>28</v>
      </c>
      <c r="F3224" t="s">
        <v>30</v>
      </c>
      <c r="G3224" t="s">
        <v>12</v>
      </c>
      <c r="H3224" t="s">
        <v>1007</v>
      </c>
    </row>
    <row r="3225" spans="1:8" x14ac:dyDescent="0.3">
      <c r="A3225" t="s">
        <v>1138</v>
      </c>
      <c r="B3225">
        <v>19</v>
      </c>
      <c r="C3225" t="s">
        <v>1208</v>
      </c>
      <c r="D3225" s="1">
        <v>0.67708333333333337</v>
      </c>
      <c r="E3225" t="s">
        <v>31</v>
      </c>
      <c r="F3225" t="s">
        <v>24</v>
      </c>
      <c r="G3225" t="s">
        <v>41</v>
      </c>
      <c r="H3225" t="s">
        <v>752</v>
      </c>
    </row>
    <row r="3226" spans="1:8" x14ac:dyDescent="0.3">
      <c r="A3226" t="s">
        <v>1138</v>
      </c>
      <c r="B3226">
        <v>19</v>
      </c>
      <c r="C3226" t="s">
        <v>1208</v>
      </c>
      <c r="D3226" s="1">
        <v>0.77083333333333337</v>
      </c>
      <c r="E3226" t="s">
        <v>464</v>
      </c>
      <c r="F3226" t="s">
        <v>10</v>
      </c>
      <c r="G3226" s="2">
        <v>46023</v>
      </c>
      <c r="H3226" t="s">
        <v>184</v>
      </c>
    </row>
    <row r="3227" spans="1:8" x14ac:dyDescent="0.3">
      <c r="A3227" t="s">
        <v>1138</v>
      </c>
      <c r="B3227">
        <v>19</v>
      </c>
      <c r="C3227" t="s">
        <v>1208</v>
      </c>
      <c r="D3227" s="1">
        <v>0.77083333333333337</v>
      </c>
      <c r="E3227" t="s">
        <v>26</v>
      </c>
      <c r="F3227" t="s">
        <v>35</v>
      </c>
      <c r="G3227" t="s">
        <v>54</v>
      </c>
      <c r="H3227" t="s">
        <v>883</v>
      </c>
    </row>
    <row r="3228" spans="1:8" x14ac:dyDescent="0.3">
      <c r="A3228" t="s">
        <v>1138</v>
      </c>
      <c r="B3228">
        <v>19</v>
      </c>
      <c r="C3228" t="s">
        <v>1208</v>
      </c>
      <c r="D3228" s="1">
        <v>0.875</v>
      </c>
      <c r="E3228" t="s">
        <v>881</v>
      </c>
      <c r="F3228" t="s">
        <v>20</v>
      </c>
      <c r="G3228" t="s">
        <v>42</v>
      </c>
      <c r="H3228" t="s">
        <v>181</v>
      </c>
    </row>
    <row r="3229" spans="1:8" x14ac:dyDescent="0.3">
      <c r="A3229" t="s">
        <v>1138</v>
      </c>
      <c r="B3229">
        <v>19</v>
      </c>
      <c r="C3229" t="s">
        <v>1209</v>
      </c>
      <c r="D3229" s="1">
        <v>0.79166666666666663</v>
      </c>
      <c r="E3229" t="s">
        <v>34</v>
      </c>
      <c r="F3229" t="s">
        <v>21</v>
      </c>
      <c r="G3229" t="s">
        <v>40</v>
      </c>
      <c r="H3229" t="s">
        <v>185</v>
      </c>
    </row>
    <row r="3230" spans="1:8" x14ac:dyDescent="0.3">
      <c r="A3230" t="s">
        <v>1138</v>
      </c>
      <c r="B3230">
        <v>19</v>
      </c>
      <c r="C3230" t="s">
        <v>1209</v>
      </c>
      <c r="D3230" s="1">
        <v>0.875</v>
      </c>
      <c r="E3230" t="s">
        <v>23</v>
      </c>
      <c r="F3230" t="s">
        <v>15</v>
      </c>
      <c r="G3230" s="2">
        <v>46082</v>
      </c>
      <c r="H3230" t="s">
        <v>1141</v>
      </c>
    </row>
    <row r="3231" spans="1:8" x14ac:dyDescent="0.3">
      <c r="A3231" t="s">
        <v>1138</v>
      </c>
      <c r="B3231">
        <v>19</v>
      </c>
      <c r="C3231" t="s">
        <v>1209</v>
      </c>
      <c r="D3231" s="1">
        <v>0.88541666666666663</v>
      </c>
      <c r="E3231" t="s">
        <v>1000</v>
      </c>
      <c r="F3231" t="s">
        <v>27</v>
      </c>
      <c r="G3231" t="s">
        <v>42</v>
      </c>
      <c r="H3231" t="s">
        <v>612</v>
      </c>
    </row>
    <row r="3232" spans="1:8" x14ac:dyDescent="0.3">
      <c r="A3232" t="s">
        <v>1138</v>
      </c>
      <c r="B3232">
        <v>20</v>
      </c>
      <c r="C3232" t="s">
        <v>1210</v>
      </c>
      <c r="D3232" s="1">
        <v>0.58333333333333337</v>
      </c>
      <c r="E3232" t="s">
        <v>21</v>
      </c>
      <c r="F3232" t="s">
        <v>881</v>
      </c>
      <c r="G3232" t="s">
        <v>12</v>
      </c>
      <c r="H3232" t="s">
        <v>1007</v>
      </c>
    </row>
    <row r="3233" spans="1:8" x14ac:dyDescent="0.3">
      <c r="A3233" t="s">
        <v>1138</v>
      </c>
      <c r="B3233">
        <v>20</v>
      </c>
      <c r="C3233" t="s">
        <v>1210</v>
      </c>
      <c r="D3233" s="1">
        <v>0.67708333333333337</v>
      </c>
      <c r="E3233" t="s">
        <v>10</v>
      </c>
      <c r="F3233" t="s">
        <v>35</v>
      </c>
      <c r="G3233" t="s">
        <v>18</v>
      </c>
      <c r="H3233" t="s">
        <v>747</v>
      </c>
    </row>
    <row r="3234" spans="1:8" x14ac:dyDescent="0.3">
      <c r="A3234" t="s">
        <v>1138</v>
      </c>
      <c r="B3234">
        <v>20</v>
      </c>
      <c r="C3234" t="s">
        <v>1210</v>
      </c>
      <c r="D3234" s="1">
        <v>0.77083333333333337</v>
      </c>
      <c r="E3234" t="s">
        <v>24</v>
      </c>
      <c r="F3234" t="s">
        <v>20</v>
      </c>
      <c r="G3234" s="2">
        <v>46023</v>
      </c>
      <c r="H3234" t="s">
        <v>614</v>
      </c>
    </row>
    <row r="3235" spans="1:8" x14ac:dyDescent="0.3">
      <c r="A3235" t="s">
        <v>1138</v>
      </c>
      <c r="B3235">
        <v>20</v>
      </c>
      <c r="C3235" t="s">
        <v>1210</v>
      </c>
      <c r="D3235" s="1">
        <v>0.875</v>
      </c>
      <c r="E3235" t="s">
        <v>25</v>
      </c>
      <c r="F3235" t="s">
        <v>16</v>
      </c>
      <c r="G3235" s="2">
        <v>46026</v>
      </c>
      <c r="H3235" t="s">
        <v>185</v>
      </c>
    </row>
    <row r="3236" spans="1:8" x14ac:dyDescent="0.3">
      <c r="A3236" t="s">
        <v>1138</v>
      </c>
      <c r="B3236">
        <v>20</v>
      </c>
      <c r="C3236" t="s">
        <v>1211</v>
      </c>
      <c r="D3236" s="1">
        <v>0.58333333333333337</v>
      </c>
      <c r="E3236" t="s">
        <v>30</v>
      </c>
      <c r="F3236" t="s">
        <v>26</v>
      </c>
      <c r="G3236" s="2">
        <v>46023</v>
      </c>
      <c r="H3236" t="s">
        <v>1146</v>
      </c>
    </row>
    <row r="3237" spans="1:8" x14ac:dyDescent="0.3">
      <c r="A3237" t="s">
        <v>1138</v>
      </c>
      <c r="B3237">
        <v>20</v>
      </c>
      <c r="C3237" t="s">
        <v>1211</v>
      </c>
      <c r="D3237" s="1">
        <v>0.67708333333333337</v>
      </c>
      <c r="E3237" t="s">
        <v>27</v>
      </c>
      <c r="F3237" t="s">
        <v>11</v>
      </c>
      <c r="G3237" t="s">
        <v>18</v>
      </c>
      <c r="H3237" t="s">
        <v>205</v>
      </c>
    </row>
    <row r="3238" spans="1:8" x14ac:dyDescent="0.3">
      <c r="A3238" t="s">
        <v>1138</v>
      </c>
      <c r="B3238">
        <v>20</v>
      </c>
      <c r="C3238" t="s">
        <v>1211</v>
      </c>
      <c r="D3238" s="1">
        <v>0.77083333333333337</v>
      </c>
      <c r="E3238" t="s">
        <v>464</v>
      </c>
      <c r="F3238" t="s">
        <v>15</v>
      </c>
      <c r="G3238" t="s">
        <v>41</v>
      </c>
      <c r="H3238" t="s">
        <v>197</v>
      </c>
    </row>
    <row r="3239" spans="1:8" x14ac:dyDescent="0.3">
      <c r="A3239" t="s">
        <v>1138</v>
      </c>
      <c r="B3239">
        <v>20</v>
      </c>
      <c r="C3239" t="s">
        <v>1211</v>
      </c>
      <c r="D3239" s="1">
        <v>0.77083333333333337</v>
      </c>
      <c r="E3239" t="s">
        <v>23</v>
      </c>
      <c r="F3239" t="s">
        <v>1000</v>
      </c>
      <c r="G3239" t="s">
        <v>12</v>
      </c>
      <c r="H3239" t="s">
        <v>341</v>
      </c>
    </row>
    <row r="3240" spans="1:8" x14ac:dyDescent="0.3">
      <c r="A3240" t="s">
        <v>1138</v>
      </c>
      <c r="B3240">
        <v>20</v>
      </c>
      <c r="C3240" t="s">
        <v>1211</v>
      </c>
      <c r="D3240" s="1">
        <v>0.875</v>
      </c>
      <c r="E3240" t="s">
        <v>34</v>
      </c>
      <c r="F3240" t="s">
        <v>28</v>
      </c>
      <c r="G3240" s="2">
        <v>46055</v>
      </c>
      <c r="H3240" t="s">
        <v>612</v>
      </c>
    </row>
    <row r="3241" spans="1:8" x14ac:dyDescent="0.3">
      <c r="A3241" t="s">
        <v>1138</v>
      </c>
      <c r="B3241">
        <v>20</v>
      </c>
      <c r="C3241" t="s">
        <v>1212</v>
      </c>
      <c r="D3241" s="1">
        <v>0.875</v>
      </c>
      <c r="E3241" t="s">
        <v>36</v>
      </c>
      <c r="F3241" t="s">
        <v>31</v>
      </c>
      <c r="G3241" s="2">
        <v>46054</v>
      </c>
      <c r="H3241" t="s">
        <v>194</v>
      </c>
    </row>
    <row r="3242" spans="1:8" x14ac:dyDescent="0.3">
      <c r="A3242" t="s">
        <v>1138</v>
      </c>
      <c r="B3242">
        <v>21</v>
      </c>
      <c r="C3242" t="s">
        <v>1173</v>
      </c>
      <c r="D3242" s="1">
        <v>0.89583333333333337</v>
      </c>
      <c r="E3242" t="s">
        <v>15</v>
      </c>
      <c r="F3242" t="s">
        <v>25</v>
      </c>
      <c r="G3242" s="2">
        <v>46054</v>
      </c>
      <c r="H3242" t="s">
        <v>883</v>
      </c>
    </row>
    <row r="3243" spans="1:8" x14ac:dyDescent="0.3">
      <c r="A3243" t="s">
        <v>1138</v>
      </c>
      <c r="B3243">
        <v>21</v>
      </c>
      <c r="C3243" t="s">
        <v>1213</v>
      </c>
      <c r="D3243" s="1">
        <v>0.58333333333333337</v>
      </c>
      <c r="E3243" t="s">
        <v>31</v>
      </c>
      <c r="F3243" t="s">
        <v>34</v>
      </c>
      <c r="G3243" t="s">
        <v>18</v>
      </c>
      <c r="H3243" t="s">
        <v>887</v>
      </c>
    </row>
    <row r="3244" spans="1:8" x14ac:dyDescent="0.3">
      <c r="A3244" t="s">
        <v>1138</v>
      </c>
      <c r="B3244">
        <v>21</v>
      </c>
      <c r="C3244" t="s">
        <v>1214</v>
      </c>
      <c r="D3244" s="1">
        <v>0.83333333333333337</v>
      </c>
      <c r="E3244" t="s">
        <v>26</v>
      </c>
      <c r="F3244" t="s">
        <v>464</v>
      </c>
      <c r="G3244" t="s">
        <v>88</v>
      </c>
      <c r="H3244" t="s">
        <v>345</v>
      </c>
    </row>
    <row r="3245" spans="1:8" x14ac:dyDescent="0.3">
      <c r="A3245" t="s">
        <v>1138</v>
      </c>
      <c r="B3245">
        <v>21</v>
      </c>
      <c r="C3245" t="s">
        <v>1214</v>
      </c>
      <c r="D3245" s="1">
        <v>0.89583333333333337</v>
      </c>
      <c r="E3245" t="s">
        <v>1000</v>
      </c>
      <c r="F3245" t="s">
        <v>36</v>
      </c>
      <c r="G3245" s="2">
        <v>46055</v>
      </c>
      <c r="H3245" t="s">
        <v>1146</v>
      </c>
    </row>
    <row r="3246" spans="1:8" x14ac:dyDescent="0.3">
      <c r="A3246" t="s">
        <v>1138</v>
      </c>
      <c r="B3246">
        <v>21</v>
      </c>
      <c r="C3246" t="s">
        <v>1215</v>
      </c>
      <c r="D3246" s="1">
        <v>0.79166666666666663</v>
      </c>
      <c r="E3246" t="s">
        <v>35</v>
      </c>
      <c r="F3246" t="s">
        <v>23</v>
      </c>
      <c r="G3246" t="s">
        <v>12</v>
      </c>
      <c r="H3246" t="s">
        <v>752</v>
      </c>
    </row>
    <row r="3247" spans="1:8" x14ac:dyDescent="0.3">
      <c r="A3247" t="s">
        <v>1138</v>
      </c>
      <c r="B3247">
        <v>21</v>
      </c>
      <c r="C3247" t="s">
        <v>1215</v>
      </c>
      <c r="D3247" s="1">
        <v>0.89583333333333337</v>
      </c>
      <c r="E3247" t="s">
        <v>16</v>
      </c>
      <c r="F3247" t="s">
        <v>27</v>
      </c>
      <c r="G3247" s="2">
        <v>46023</v>
      </c>
      <c r="H3247" t="s">
        <v>883</v>
      </c>
    </row>
    <row r="3248" spans="1:8" x14ac:dyDescent="0.3">
      <c r="A3248" t="s">
        <v>1138</v>
      </c>
      <c r="B3248">
        <v>21</v>
      </c>
      <c r="C3248" t="s">
        <v>1216</v>
      </c>
      <c r="D3248" s="1">
        <v>0.79166666666666663</v>
      </c>
      <c r="E3248" t="s">
        <v>11</v>
      </c>
      <c r="F3248" t="s">
        <v>24</v>
      </c>
      <c r="G3248" s="2">
        <v>46057</v>
      </c>
      <c r="H3248" t="s">
        <v>1001</v>
      </c>
    </row>
    <row r="3249" spans="1:8" x14ac:dyDescent="0.3">
      <c r="A3249" t="s">
        <v>1138</v>
      </c>
      <c r="B3249">
        <v>21</v>
      </c>
      <c r="C3249" t="s">
        <v>1217</v>
      </c>
      <c r="D3249" s="1">
        <v>0.79166666666666663</v>
      </c>
      <c r="E3249" t="s">
        <v>28</v>
      </c>
      <c r="F3249" t="s">
        <v>21</v>
      </c>
      <c r="G3249" t="s">
        <v>42</v>
      </c>
      <c r="H3249" t="s">
        <v>467</v>
      </c>
    </row>
    <row r="3250" spans="1:8" x14ac:dyDescent="0.3">
      <c r="A3250" t="s">
        <v>1138</v>
      </c>
      <c r="B3250">
        <v>21</v>
      </c>
      <c r="C3250" t="s">
        <v>1218</v>
      </c>
      <c r="D3250" s="1">
        <v>0.875</v>
      </c>
      <c r="E3250" t="s">
        <v>881</v>
      </c>
      <c r="F3250" t="s">
        <v>10</v>
      </c>
      <c r="G3250" t="s">
        <v>54</v>
      </c>
      <c r="H3250" t="s">
        <v>190</v>
      </c>
    </row>
    <row r="3251" spans="1:8" x14ac:dyDescent="0.3">
      <c r="A3251" t="s">
        <v>1138</v>
      </c>
      <c r="B3251">
        <v>21</v>
      </c>
      <c r="C3251" t="s">
        <v>1219</v>
      </c>
      <c r="D3251" s="1">
        <v>0.875</v>
      </c>
      <c r="E3251" t="s">
        <v>20</v>
      </c>
      <c r="F3251" t="s">
        <v>30</v>
      </c>
      <c r="G3251" t="s">
        <v>42</v>
      </c>
      <c r="H3251" t="s">
        <v>1001</v>
      </c>
    </row>
    <row r="3252" spans="1:8" x14ac:dyDescent="0.3">
      <c r="A3252" t="s">
        <v>1138</v>
      </c>
      <c r="B3252">
        <v>22</v>
      </c>
      <c r="C3252" t="s">
        <v>1220</v>
      </c>
      <c r="D3252" s="1">
        <v>0.875</v>
      </c>
      <c r="E3252" t="s">
        <v>36</v>
      </c>
      <c r="F3252" t="s">
        <v>26</v>
      </c>
      <c r="G3252" s="2">
        <v>46113</v>
      </c>
      <c r="H3252" t="s">
        <v>612</v>
      </c>
    </row>
    <row r="3253" spans="1:8" x14ac:dyDescent="0.3">
      <c r="A3253" t="s">
        <v>1138</v>
      </c>
      <c r="B3253">
        <v>22</v>
      </c>
      <c r="C3253" t="s">
        <v>1221</v>
      </c>
      <c r="D3253" s="1">
        <v>0.58333333333333337</v>
      </c>
      <c r="E3253" t="s">
        <v>21</v>
      </c>
      <c r="F3253" t="s">
        <v>1000</v>
      </c>
      <c r="G3253" t="s">
        <v>54</v>
      </c>
      <c r="H3253" t="s">
        <v>883</v>
      </c>
    </row>
    <row r="3254" spans="1:8" x14ac:dyDescent="0.3">
      <c r="A3254" t="s">
        <v>1138</v>
      </c>
      <c r="B3254">
        <v>22</v>
      </c>
      <c r="C3254" t="s">
        <v>1221</v>
      </c>
      <c r="D3254" s="1">
        <v>0.67708333333333337</v>
      </c>
      <c r="E3254" t="s">
        <v>34</v>
      </c>
      <c r="F3254" t="s">
        <v>881</v>
      </c>
      <c r="G3254" t="s">
        <v>32</v>
      </c>
      <c r="H3254" t="s">
        <v>1141</v>
      </c>
    </row>
    <row r="3255" spans="1:8" x14ac:dyDescent="0.3">
      <c r="A3255" t="s">
        <v>1138</v>
      </c>
      <c r="B3255">
        <v>22</v>
      </c>
      <c r="C3255" t="s">
        <v>1221</v>
      </c>
      <c r="D3255" s="1">
        <v>0.77083333333333337</v>
      </c>
      <c r="E3255" t="s">
        <v>27</v>
      </c>
      <c r="F3255" t="s">
        <v>35</v>
      </c>
      <c r="G3255" s="2">
        <v>46055</v>
      </c>
      <c r="H3255" t="s">
        <v>345</v>
      </c>
    </row>
    <row r="3256" spans="1:8" x14ac:dyDescent="0.3">
      <c r="A3256" t="s">
        <v>1138</v>
      </c>
      <c r="B3256">
        <v>22</v>
      </c>
      <c r="C3256" t="s">
        <v>1221</v>
      </c>
      <c r="D3256" s="1">
        <v>0.875</v>
      </c>
      <c r="E3256" t="s">
        <v>28</v>
      </c>
      <c r="F3256" t="s">
        <v>16</v>
      </c>
      <c r="G3256" s="2">
        <v>46056</v>
      </c>
      <c r="H3256" t="s">
        <v>1001</v>
      </c>
    </row>
    <row r="3257" spans="1:8" x14ac:dyDescent="0.3">
      <c r="A3257" t="s">
        <v>1138</v>
      </c>
      <c r="B3257">
        <v>22</v>
      </c>
      <c r="C3257" t="s">
        <v>1222</v>
      </c>
      <c r="D3257" s="1">
        <v>0.58333333333333337</v>
      </c>
      <c r="E3257" t="s">
        <v>24</v>
      </c>
      <c r="F3257" t="s">
        <v>23</v>
      </c>
      <c r="G3257" t="s">
        <v>54</v>
      </c>
      <c r="H3257" t="s">
        <v>197</v>
      </c>
    </row>
    <row r="3258" spans="1:8" x14ac:dyDescent="0.3">
      <c r="A3258" t="s">
        <v>1138</v>
      </c>
      <c r="B3258">
        <v>22</v>
      </c>
      <c r="C3258" t="s">
        <v>1222</v>
      </c>
      <c r="D3258" s="1">
        <v>0.67708333333333337</v>
      </c>
      <c r="E3258" t="s">
        <v>25</v>
      </c>
      <c r="F3258" t="s">
        <v>31</v>
      </c>
      <c r="G3258" s="2">
        <v>46055</v>
      </c>
      <c r="H3258" t="s">
        <v>341</v>
      </c>
    </row>
    <row r="3259" spans="1:8" x14ac:dyDescent="0.3">
      <c r="A3259" t="s">
        <v>1138</v>
      </c>
      <c r="B3259">
        <v>22</v>
      </c>
      <c r="C3259" t="s">
        <v>1222</v>
      </c>
      <c r="D3259" s="1">
        <v>0.77083333333333337</v>
      </c>
      <c r="E3259" t="s">
        <v>10</v>
      </c>
      <c r="F3259" t="s">
        <v>11</v>
      </c>
      <c r="G3259" t="s">
        <v>41</v>
      </c>
      <c r="H3259" t="s">
        <v>467</v>
      </c>
    </row>
    <row r="3260" spans="1:8" x14ac:dyDescent="0.3">
      <c r="A3260" t="s">
        <v>1138</v>
      </c>
      <c r="B3260">
        <v>22</v>
      </c>
      <c r="C3260" t="s">
        <v>1222</v>
      </c>
      <c r="D3260" s="1">
        <v>0.77083333333333337</v>
      </c>
      <c r="E3260" t="s">
        <v>30</v>
      </c>
      <c r="F3260" t="s">
        <v>15</v>
      </c>
      <c r="G3260" t="s">
        <v>42</v>
      </c>
      <c r="H3260" t="s">
        <v>752</v>
      </c>
    </row>
    <row r="3261" spans="1:8" x14ac:dyDescent="0.3">
      <c r="A3261" t="s">
        <v>1138</v>
      </c>
      <c r="B3261">
        <v>22</v>
      </c>
      <c r="C3261" t="s">
        <v>1222</v>
      </c>
      <c r="D3261" s="1">
        <v>0.875</v>
      </c>
      <c r="E3261" t="s">
        <v>464</v>
      </c>
      <c r="F3261" t="s">
        <v>20</v>
      </c>
      <c r="G3261" t="s">
        <v>42</v>
      </c>
      <c r="H3261" t="s">
        <v>1007</v>
      </c>
    </row>
    <row r="3262" spans="1:8" x14ac:dyDescent="0.3">
      <c r="A3262" t="s">
        <v>1138</v>
      </c>
      <c r="B3262">
        <v>23</v>
      </c>
      <c r="C3262" t="s">
        <v>1223</v>
      </c>
      <c r="D3262" s="1">
        <v>0.875</v>
      </c>
      <c r="E3262" t="s">
        <v>11</v>
      </c>
      <c r="F3262" t="s">
        <v>21</v>
      </c>
      <c r="G3262" t="s">
        <v>32</v>
      </c>
      <c r="H3262" t="s">
        <v>1146</v>
      </c>
    </row>
    <row r="3263" spans="1:8" x14ac:dyDescent="0.3">
      <c r="A3263" t="s">
        <v>1138</v>
      </c>
      <c r="B3263">
        <v>23</v>
      </c>
      <c r="C3263" t="s">
        <v>1224</v>
      </c>
      <c r="D3263" s="1">
        <v>0.58333333333333337</v>
      </c>
      <c r="E3263" t="s">
        <v>31</v>
      </c>
      <c r="F3263" t="s">
        <v>464</v>
      </c>
      <c r="G3263" s="2">
        <v>46025</v>
      </c>
      <c r="H3263" t="s">
        <v>190</v>
      </c>
    </row>
    <row r="3264" spans="1:8" x14ac:dyDescent="0.3">
      <c r="A3264" t="s">
        <v>1138</v>
      </c>
      <c r="B3264">
        <v>23</v>
      </c>
      <c r="C3264" t="s">
        <v>1224</v>
      </c>
      <c r="D3264" s="1">
        <v>0.67708333333333337</v>
      </c>
      <c r="E3264" t="s">
        <v>881</v>
      </c>
      <c r="F3264" t="s">
        <v>1000</v>
      </c>
      <c r="G3264" s="2">
        <v>46024</v>
      </c>
      <c r="H3264" t="s">
        <v>184</v>
      </c>
    </row>
    <row r="3265" spans="1:8" x14ac:dyDescent="0.3">
      <c r="A3265" t="s">
        <v>1138</v>
      </c>
      <c r="B3265">
        <v>23</v>
      </c>
      <c r="C3265" t="s">
        <v>1224</v>
      </c>
      <c r="D3265" s="1">
        <v>0.77083333333333337</v>
      </c>
      <c r="E3265" t="s">
        <v>35</v>
      </c>
      <c r="F3265" t="s">
        <v>30</v>
      </c>
      <c r="G3265" t="s">
        <v>12</v>
      </c>
      <c r="H3265" t="s">
        <v>467</v>
      </c>
    </row>
    <row r="3266" spans="1:8" x14ac:dyDescent="0.3">
      <c r="A3266" t="s">
        <v>1138</v>
      </c>
      <c r="B3266">
        <v>23</v>
      </c>
      <c r="C3266" t="s">
        <v>1224</v>
      </c>
      <c r="D3266" s="1">
        <v>0.875</v>
      </c>
      <c r="E3266" t="s">
        <v>23</v>
      </c>
      <c r="F3266" t="s">
        <v>27</v>
      </c>
      <c r="G3266" t="s">
        <v>41</v>
      </c>
      <c r="H3266" t="s">
        <v>887</v>
      </c>
    </row>
    <row r="3267" spans="1:8" x14ac:dyDescent="0.3">
      <c r="A3267" t="s">
        <v>1138</v>
      </c>
      <c r="B3267">
        <v>23</v>
      </c>
      <c r="C3267" t="s">
        <v>1225</v>
      </c>
      <c r="D3267" s="1">
        <v>0.58333333333333337</v>
      </c>
      <c r="E3267" t="s">
        <v>16</v>
      </c>
      <c r="F3267" t="s">
        <v>10</v>
      </c>
      <c r="G3267" t="s">
        <v>41</v>
      </c>
      <c r="H3267" t="s">
        <v>345</v>
      </c>
    </row>
    <row r="3268" spans="1:8" x14ac:dyDescent="0.3">
      <c r="A3268" t="s">
        <v>1138</v>
      </c>
      <c r="B3268">
        <v>23</v>
      </c>
      <c r="C3268" t="s">
        <v>1225</v>
      </c>
      <c r="D3268" s="1">
        <v>0.67708333333333337</v>
      </c>
      <c r="E3268" t="s">
        <v>20</v>
      </c>
      <c r="F3268" t="s">
        <v>28</v>
      </c>
      <c r="G3268" s="2">
        <v>46057</v>
      </c>
      <c r="H3268" t="s">
        <v>194</v>
      </c>
    </row>
    <row r="3269" spans="1:8" x14ac:dyDescent="0.3">
      <c r="A3269" t="s">
        <v>1138</v>
      </c>
      <c r="B3269">
        <v>23</v>
      </c>
      <c r="C3269" t="s">
        <v>1225</v>
      </c>
      <c r="D3269" s="1">
        <v>0.77083333333333337</v>
      </c>
      <c r="E3269" t="s">
        <v>26</v>
      </c>
      <c r="F3269" t="s">
        <v>34</v>
      </c>
      <c r="G3269" t="s">
        <v>54</v>
      </c>
      <c r="H3269" t="s">
        <v>614</v>
      </c>
    </row>
    <row r="3270" spans="1:8" x14ac:dyDescent="0.3">
      <c r="A3270" t="s">
        <v>1138</v>
      </c>
      <c r="B3270">
        <v>23</v>
      </c>
      <c r="C3270" t="s">
        <v>1225</v>
      </c>
      <c r="D3270" s="1">
        <v>0.875</v>
      </c>
      <c r="E3270" t="s">
        <v>25</v>
      </c>
      <c r="F3270" t="s">
        <v>24</v>
      </c>
      <c r="G3270" t="s">
        <v>18</v>
      </c>
      <c r="H3270" t="s">
        <v>181</v>
      </c>
    </row>
    <row r="3271" spans="1:8" x14ac:dyDescent="0.3">
      <c r="A3271" t="s">
        <v>1138</v>
      </c>
      <c r="B3271">
        <v>23</v>
      </c>
      <c r="C3271" t="s">
        <v>1226</v>
      </c>
      <c r="D3271" s="1">
        <v>0.875</v>
      </c>
      <c r="E3271" t="s">
        <v>15</v>
      </c>
      <c r="F3271" t="s">
        <v>36</v>
      </c>
      <c r="G3271" s="2">
        <v>46024</v>
      </c>
      <c r="H3271" t="s">
        <v>883</v>
      </c>
    </row>
    <row r="3272" spans="1:8" x14ac:dyDescent="0.3">
      <c r="A3272" t="s">
        <v>1138</v>
      </c>
      <c r="B3272">
        <v>24</v>
      </c>
      <c r="C3272" t="s">
        <v>1227</v>
      </c>
      <c r="D3272" s="1">
        <v>0.875</v>
      </c>
      <c r="E3272" t="s">
        <v>27</v>
      </c>
      <c r="F3272" t="s">
        <v>31</v>
      </c>
      <c r="G3272" t="s">
        <v>12</v>
      </c>
      <c r="H3272" t="s">
        <v>1141</v>
      </c>
    </row>
    <row r="3273" spans="1:8" x14ac:dyDescent="0.3">
      <c r="A3273" t="s">
        <v>1138</v>
      </c>
      <c r="B3273">
        <v>24</v>
      </c>
      <c r="C3273" t="s">
        <v>1228</v>
      </c>
      <c r="D3273" s="1">
        <v>0.58333333333333337</v>
      </c>
      <c r="E3273" t="s">
        <v>1000</v>
      </c>
      <c r="F3273" t="s">
        <v>35</v>
      </c>
      <c r="G3273" t="s">
        <v>41</v>
      </c>
      <c r="H3273" t="s">
        <v>181</v>
      </c>
    </row>
    <row r="3274" spans="1:8" x14ac:dyDescent="0.3">
      <c r="A3274" t="s">
        <v>1138</v>
      </c>
      <c r="B3274">
        <v>24</v>
      </c>
      <c r="C3274" t="s">
        <v>1228</v>
      </c>
      <c r="D3274" s="1">
        <v>0.67708333333333337</v>
      </c>
      <c r="E3274" t="s">
        <v>34</v>
      </c>
      <c r="F3274" t="s">
        <v>25</v>
      </c>
      <c r="G3274" t="s">
        <v>41</v>
      </c>
      <c r="H3274" t="s">
        <v>345</v>
      </c>
    </row>
    <row r="3275" spans="1:8" x14ac:dyDescent="0.3">
      <c r="A3275" t="s">
        <v>1138</v>
      </c>
      <c r="B3275">
        <v>24</v>
      </c>
      <c r="C3275" t="s">
        <v>1228</v>
      </c>
      <c r="D3275" s="1">
        <v>0.77083333333333337</v>
      </c>
      <c r="E3275" t="s">
        <v>30</v>
      </c>
      <c r="F3275" t="s">
        <v>23</v>
      </c>
      <c r="G3275" t="s">
        <v>46</v>
      </c>
      <c r="H3275" t="s">
        <v>1007</v>
      </c>
    </row>
    <row r="3276" spans="1:8" x14ac:dyDescent="0.3">
      <c r="A3276" t="s">
        <v>1138</v>
      </c>
      <c r="B3276">
        <v>24</v>
      </c>
      <c r="C3276" t="s">
        <v>1228</v>
      </c>
      <c r="D3276" s="1">
        <v>0.875</v>
      </c>
      <c r="E3276" t="s">
        <v>28</v>
      </c>
      <c r="F3276" t="s">
        <v>11</v>
      </c>
      <c r="G3276" s="2">
        <v>46085</v>
      </c>
      <c r="H3276" t="s">
        <v>341</v>
      </c>
    </row>
    <row r="3277" spans="1:8" x14ac:dyDescent="0.3">
      <c r="A3277" t="s">
        <v>1138</v>
      </c>
      <c r="B3277">
        <v>24</v>
      </c>
      <c r="C3277" t="s">
        <v>1229</v>
      </c>
      <c r="D3277" s="1">
        <v>0.58333333333333337</v>
      </c>
      <c r="E3277" t="s">
        <v>464</v>
      </c>
      <c r="F3277" t="s">
        <v>16</v>
      </c>
      <c r="G3277" s="2">
        <v>46024</v>
      </c>
      <c r="H3277" t="s">
        <v>752</v>
      </c>
    </row>
    <row r="3278" spans="1:8" x14ac:dyDescent="0.3">
      <c r="A3278" t="s">
        <v>1138</v>
      </c>
      <c r="B3278">
        <v>24</v>
      </c>
      <c r="C3278" t="s">
        <v>1229</v>
      </c>
      <c r="D3278" s="1">
        <v>0.67708333333333337</v>
      </c>
      <c r="E3278" t="s">
        <v>21</v>
      </c>
      <c r="F3278" t="s">
        <v>26</v>
      </c>
      <c r="G3278" s="2">
        <v>46114</v>
      </c>
      <c r="H3278" t="s">
        <v>197</v>
      </c>
    </row>
    <row r="3279" spans="1:8" x14ac:dyDescent="0.3">
      <c r="A3279" t="s">
        <v>1138</v>
      </c>
      <c r="B3279">
        <v>24</v>
      </c>
      <c r="C3279" t="s">
        <v>1229</v>
      </c>
      <c r="D3279" s="1">
        <v>0.77083333333333337</v>
      </c>
      <c r="E3279" t="s">
        <v>10</v>
      </c>
      <c r="F3279" t="s">
        <v>24</v>
      </c>
      <c r="G3279" t="s">
        <v>12</v>
      </c>
      <c r="H3279" t="s">
        <v>612</v>
      </c>
    </row>
    <row r="3280" spans="1:8" x14ac:dyDescent="0.3">
      <c r="A3280" t="s">
        <v>1138</v>
      </c>
      <c r="B3280">
        <v>24</v>
      </c>
      <c r="C3280" t="s">
        <v>1229</v>
      </c>
      <c r="D3280" s="1">
        <v>0.875</v>
      </c>
      <c r="E3280" t="s">
        <v>36</v>
      </c>
      <c r="F3280" t="s">
        <v>20</v>
      </c>
      <c r="G3280" s="2">
        <v>46055</v>
      </c>
      <c r="H3280" t="s">
        <v>185</v>
      </c>
    </row>
    <row r="3281" spans="1:8" x14ac:dyDescent="0.3">
      <c r="A3281" t="s">
        <v>1138</v>
      </c>
      <c r="B3281">
        <v>24</v>
      </c>
      <c r="C3281" t="s">
        <v>1230</v>
      </c>
      <c r="D3281" s="1">
        <v>0.875</v>
      </c>
      <c r="E3281" t="s">
        <v>881</v>
      </c>
      <c r="F3281" t="s">
        <v>15</v>
      </c>
      <c r="G3281" s="2">
        <v>46056</v>
      </c>
      <c r="H3281" t="s">
        <v>1001</v>
      </c>
    </row>
    <row r="3282" spans="1:8" x14ac:dyDescent="0.3">
      <c r="A3282" t="s">
        <v>1138</v>
      </c>
      <c r="B3282">
        <v>25</v>
      </c>
      <c r="C3282" t="s">
        <v>1231</v>
      </c>
      <c r="D3282" s="1">
        <v>0.875</v>
      </c>
      <c r="E3282" t="s">
        <v>31</v>
      </c>
      <c r="F3282" t="s">
        <v>30</v>
      </c>
      <c r="G3282" s="2">
        <v>46024</v>
      </c>
      <c r="H3282" t="s">
        <v>1146</v>
      </c>
    </row>
    <row r="3283" spans="1:8" x14ac:dyDescent="0.3">
      <c r="A3283" t="s">
        <v>1138</v>
      </c>
      <c r="B3283">
        <v>25</v>
      </c>
      <c r="C3283" t="s">
        <v>1232</v>
      </c>
      <c r="D3283" s="1">
        <v>0.58333333333333337</v>
      </c>
      <c r="E3283" t="s">
        <v>24</v>
      </c>
      <c r="F3283" t="s">
        <v>34</v>
      </c>
      <c r="G3283" s="2">
        <v>46113</v>
      </c>
      <c r="H3283" t="s">
        <v>194</v>
      </c>
    </row>
    <row r="3284" spans="1:8" x14ac:dyDescent="0.3">
      <c r="A3284" t="s">
        <v>1138</v>
      </c>
      <c r="B3284">
        <v>25</v>
      </c>
      <c r="C3284" t="s">
        <v>1232</v>
      </c>
      <c r="D3284" s="1">
        <v>0.67708333333333337</v>
      </c>
      <c r="E3284" t="s">
        <v>23</v>
      </c>
      <c r="F3284" t="s">
        <v>28</v>
      </c>
      <c r="G3284" t="s">
        <v>46</v>
      </c>
      <c r="H3284" t="s">
        <v>190</v>
      </c>
    </row>
    <row r="3285" spans="1:8" x14ac:dyDescent="0.3">
      <c r="A3285" t="s">
        <v>1138</v>
      </c>
      <c r="B3285">
        <v>25</v>
      </c>
      <c r="C3285" t="s">
        <v>1232</v>
      </c>
      <c r="D3285" s="1">
        <v>0.77083333333333337</v>
      </c>
      <c r="E3285" t="s">
        <v>1000</v>
      </c>
      <c r="F3285" t="s">
        <v>11</v>
      </c>
      <c r="G3285" s="2">
        <v>46023</v>
      </c>
      <c r="H3285" t="s">
        <v>612</v>
      </c>
    </row>
    <row r="3286" spans="1:8" x14ac:dyDescent="0.3">
      <c r="A3286" t="s">
        <v>1138</v>
      </c>
      <c r="B3286">
        <v>25</v>
      </c>
      <c r="C3286" t="s">
        <v>1232</v>
      </c>
      <c r="D3286" s="1">
        <v>0.875</v>
      </c>
      <c r="E3286" t="s">
        <v>25</v>
      </c>
      <c r="F3286" t="s">
        <v>464</v>
      </c>
      <c r="G3286" t="s">
        <v>32</v>
      </c>
      <c r="H3286" t="s">
        <v>467</v>
      </c>
    </row>
    <row r="3287" spans="1:8" x14ac:dyDescent="0.3">
      <c r="A3287" t="s">
        <v>1138</v>
      </c>
      <c r="B3287">
        <v>25</v>
      </c>
      <c r="C3287" t="s">
        <v>1233</v>
      </c>
      <c r="D3287" s="1">
        <v>0.58333333333333337</v>
      </c>
      <c r="E3287" t="s">
        <v>36</v>
      </c>
      <c r="F3287" t="s">
        <v>27</v>
      </c>
      <c r="G3287" s="2">
        <v>46023</v>
      </c>
      <c r="H3287" t="s">
        <v>614</v>
      </c>
    </row>
    <row r="3288" spans="1:8" x14ac:dyDescent="0.3">
      <c r="A3288" t="s">
        <v>1138</v>
      </c>
      <c r="B3288">
        <v>25</v>
      </c>
      <c r="C3288" t="s">
        <v>1233</v>
      </c>
      <c r="D3288" s="1">
        <v>0.67708333333333337</v>
      </c>
      <c r="E3288" t="s">
        <v>16</v>
      </c>
      <c r="F3288" t="s">
        <v>20</v>
      </c>
      <c r="G3288" s="2">
        <v>46113</v>
      </c>
      <c r="H3288" t="s">
        <v>184</v>
      </c>
    </row>
    <row r="3289" spans="1:8" x14ac:dyDescent="0.3">
      <c r="A3289" t="s">
        <v>1138</v>
      </c>
      <c r="B3289">
        <v>25</v>
      </c>
      <c r="C3289" t="s">
        <v>1233</v>
      </c>
      <c r="D3289" s="1">
        <v>0.77083333333333337</v>
      </c>
      <c r="E3289" t="s">
        <v>26</v>
      </c>
      <c r="F3289" t="s">
        <v>881</v>
      </c>
      <c r="G3289" s="2">
        <v>46024</v>
      </c>
      <c r="H3289" t="s">
        <v>883</v>
      </c>
    </row>
    <row r="3290" spans="1:8" x14ac:dyDescent="0.3">
      <c r="A3290" t="s">
        <v>1138</v>
      </c>
      <c r="B3290">
        <v>25</v>
      </c>
      <c r="C3290" t="s">
        <v>1233</v>
      </c>
      <c r="D3290" s="1">
        <v>0.875</v>
      </c>
      <c r="E3290" t="s">
        <v>15</v>
      </c>
      <c r="F3290" t="s">
        <v>10</v>
      </c>
      <c r="G3290" t="s">
        <v>88</v>
      </c>
      <c r="H3290" t="s">
        <v>205</v>
      </c>
    </row>
    <row r="3291" spans="1:8" x14ac:dyDescent="0.3">
      <c r="A3291" t="s">
        <v>1138</v>
      </c>
      <c r="B3291">
        <v>25</v>
      </c>
      <c r="C3291" t="s">
        <v>1234</v>
      </c>
      <c r="D3291" s="1">
        <v>0.875</v>
      </c>
      <c r="E3291" t="s">
        <v>35</v>
      </c>
      <c r="F3291" t="s">
        <v>21</v>
      </c>
      <c r="G3291" s="2">
        <v>46023</v>
      </c>
      <c r="H3291" t="s">
        <v>887</v>
      </c>
    </row>
    <row r="3292" spans="1:8" x14ac:dyDescent="0.3">
      <c r="A3292" t="s">
        <v>1138</v>
      </c>
      <c r="B3292">
        <v>26</v>
      </c>
      <c r="C3292" t="s">
        <v>1235</v>
      </c>
      <c r="D3292" s="1">
        <v>0.875</v>
      </c>
      <c r="E3292" t="s">
        <v>21</v>
      </c>
      <c r="F3292" t="s">
        <v>31</v>
      </c>
      <c r="G3292" t="s">
        <v>32</v>
      </c>
      <c r="H3292" t="s">
        <v>614</v>
      </c>
    </row>
    <row r="3293" spans="1:8" x14ac:dyDescent="0.3">
      <c r="A3293" t="s">
        <v>1138</v>
      </c>
      <c r="B3293">
        <v>26</v>
      </c>
      <c r="C3293" t="s">
        <v>1236</v>
      </c>
      <c r="D3293" s="1">
        <v>0.58333333333333337</v>
      </c>
      <c r="E3293" t="s">
        <v>881</v>
      </c>
      <c r="F3293" t="s">
        <v>16</v>
      </c>
      <c r="G3293" t="s">
        <v>42</v>
      </c>
      <c r="H3293" t="s">
        <v>1007</v>
      </c>
    </row>
    <row r="3294" spans="1:8" x14ac:dyDescent="0.3">
      <c r="A3294" t="s">
        <v>1138</v>
      </c>
      <c r="B3294">
        <v>26</v>
      </c>
      <c r="C3294" t="s">
        <v>1236</v>
      </c>
      <c r="D3294" s="1">
        <v>0.67708333333333337</v>
      </c>
      <c r="E3294" t="s">
        <v>11</v>
      </c>
      <c r="F3294" t="s">
        <v>464</v>
      </c>
      <c r="G3294" s="2">
        <v>46055</v>
      </c>
      <c r="H3294" t="s">
        <v>197</v>
      </c>
    </row>
    <row r="3295" spans="1:8" x14ac:dyDescent="0.3">
      <c r="A3295" t="s">
        <v>1138</v>
      </c>
      <c r="B3295">
        <v>26</v>
      </c>
      <c r="C3295" t="s">
        <v>1236</v>
      </c>
      <c r="D3295" s="1">
        <v>0.77083333333333337</v>
      </c>
      <c r="E3295" t="s">
        <v>30</v>
      </c>
      <c r="F3295" t="s">
        <v>25</v>
      </c>
      <c r="G3295" t="s">
        <v>42</v>
      </c>
      <c r="H3295" t="s">
        <v>1001</v>
      </c>
    </row>
    <row r="3296" spans="1:8" x14ac:dyDescent="0.3">
      <c r="A3296" t="s">
        <v>1138</v>
      </c>
      <c r="B3296">
        <v>26</v>
      </c>
      <c r="C3296" t="s">
        <v>1236</v>
      </c>
      <c r="D3296" s="1">
        <v>0.875</v>
      </c>
      <c r="E3296" t="s">
        <v>28</v>
      </c>
      <c r="F3296" t="s">
        <v>35</v>
      </c>
      <c r="G3296" t="s">
        <v>12</v>
      </c>
      <c r="H3296" t="s">
        <v>185</v>
      </c>
    </row>
    <row r="3297" spans="1:8" x14ac:dyDescent="0.3">
      <c r="A3297" t="s">
        <v>1138</v>
      </c>
      <c r="B3297">
        <v>26</v>
      </c>
      <c r="C3297" t="s">
        <v>1237</v>
      </c>
      <c r="D3297" s="1">
        <v>0.58333333333333337</v>
      </c>
      <c r="E3297" t="s">
        <v>34</v>
      </c>
      <c r="F3297" t="s">
        <v>36</v>
      </c>
      <c r="G3297" s="2">
        <v>46027</v>
      </c>
      <c r="H3297" t="s">
        <v>341</v>
      </c>
    </row>
    <row r="3298" spans="1:8" x14ac:dyDescent="0.3">
      <c r="A3298" t="s">
        <v>1138</v>
      </c>
      <c r="B3298">
        <v>26</v>
      </c>
      <c r="C3298" t="s">
        <v>1237</v>
      </c>
      <c r="D3298" s="1">
        <v>0.67708333333333337</v>
      </c>
      <c r="E3298" t="s">
        <v>27</v>
      </c>
      <c r="F3298" t="s">
        <v>26</v>
      </c>
      <c r="G3298" s="2">
        <v>46024</v>
      </c>
      <c r="H3298" t="s">
        <v>184</v>
      </c>
    </row>
    <row r="3299" spans="1:8" x14ac:dyDescent="0.3">
      <c r="A3299" t="s">
        <v>1138</v>
      </c>
      <c r="B3299">
        <v>26</v>
      </c>
      <c r="C3299" t="s">
        <v>1237</v>
      </c>
      <c r="D3299" s="1">
        <v>0.77083333333333337</v>
      </c>
      <c r="E3299" t="s">
        <v>10</v>
      </c>
      <c r="F3299" t="s">
        <v>23</v>
      </c>
      <c r="G3299" t="s">
        <v>18</v>
      </c>
      <c r="H3299" t="s">
        <v>181</v>
      </c>
    </row>
    <row r="3300" spans="1:8" x14ac:dyDescent="0.3">
      <c r="A3300" t="s">
        <v>1138</v>
      </c>
      <c r="B3300">
        <v>26</v>
      </c>
      <c r="C3300" t="s">
        <v>1237</v>
      </c>
      <c r="D3300" s="1">
        <v>0.875</v>
      </c>
      <c r="E3300" t="s">
        <v>20</v>
      </c>
      <c r="F3300" t="s">
        <v>15</v>
      </c>
      <c r="G3300" t="s">
        <v>88</v>
      </c>
      <c r="H3300" t="s">
        <v>747</v>
      </c>
    </row>
    <row r="3301" spans="1:8" x14ac:dyDescent="0.3">
      <c r="A3301" t="s">
        <v>1138</v>
      </c>
      <c r="B3301">
        <v>26</v>
      </c>
      <c r="C3301" t="s">
        <v>1238</v>
      </c>
      <c r="D3301" s="1">
        <v>0.875</v>
      </c>
      <c r="E3301" t="s">
        <v>24</v>
      </c>
      <c r="F3301" t="s">
        <v>1000</v>
      </c>
      <c r="G3301" t="s">
        <v>41</v>
      </c>
      <c r="H3301" t="s">
        <v>345</v>
      </c>
    </row>
    <row r="3302" spans="1:8" x14ac:dyDescent="0.3">
      <c r="A3302" t="s">
        <v>1138</v>
      </c>
      <c r="B3302">
        <v>27</v>
      </c>
      <c r="C3302" t="s">
        <v>1239</v>
      </c>
      <c r="D3302" s="1">
        <v>0.875</v>
      </c>
      <c r="E3302" t="s">
        <v>464</v>
      </c>
      <c r="F3302" t="s">
        <v>27</v>
      </c>
      <c r="G3302" t="s">
        <v>41</v>
      </c>
      <c r="H3302" t="s">
        <v>612</v>
      </c>
    </row>
    <row r="3303" spans="1:8" x14ac:dyDescent="0.3">
      <c r="A3303" t="s">
        <v>1138</v>
      </c>
      <c r="B3303">
        <v>27</v>
      </c>
      <c r="C3303" t="s">
        <v>1240</v>
      </c>
      <c r="D3303" s="1">
        <v>0.58333333333333337</v>
      </c>
      <c r="E3303" t="s">
        <v>23</v>
      </c>
      <c r="F3303" t="s">
        <v>34</v>
      </c>
      <c r="G3303" t="s">
        <v>18</v>
      </c>
      <c r="H3303" t="s">
        <v>467</v>
      </c>
    </row>
    <row r="3304" spans="1:8" x14ac:dyDescent="0.3">
      <c r="A3304" t="s">
        <v>1138</v>
      </c>
      <c r="B3304">
        <v>27</v>
      </c>
      <c r="C3304" t="s">
        <v>1240</v>
      </c>
      <c r="D3304" s="1">
        <v>0.67708333333333337</v>
      </c>
      <c r="E3304" t="s">
        <v>36</v>
      </c>
      <c r="F3304" t="s">
        <v>11</v>
      </c>
      <c r="G3304" t="s">
        <v>12</v>
      </c>
      <c r="H3304" t="s">
        <v>752</v>
      </c>
    </row>
    <row r="3305" spans="1:8" x14ac:dyDescent="0.3">
      <c r="A3305" t="s">
        <v>1138</v>
      </c>
      <c r="B3305">
        <v>27</v>
      </c>
      <c r="C3305" t="s">
        <v>1240</v>
      </c>
      <c r="D3305" s="1">
        <v>0.77083333333333337</v>
      </c>
      <c r="E3305" t="s">
        <v>16</v>
      </c>
      <c r="F3305" t="s">
        <v>24</v>
      </c>
      <c r="G3305" s="2">
        <v>46025</v>
      </c>
      <c r="H3305" t="s">
        <v>887</v>
      </c>
    </row>
    <row r="3306" spans="1:8" x14ac:dyDescent="0.3">
      <c r="A3306" t="s">
        <v>1138</v>
      </c>
      <c r="B3306">
        <v>27</v>
      </c>
      <c r="C3306" t="s">
        <v>1240</v>
      </c>
      <c r="D3306" s="1">
        <v>0.875</v>
      </c>
      <c r="E3306" t="s">
        <v>25</v>
      </c>
      <c r="F3306" t="s">
        <v>10</v>
      </c>
      <c r="G3306" s="2">
        <v>46026</v>
      </c>
      <c r="H3306" t="s">
        <v>194</v>
      </c>
    </row>
    <row r="3307" spans="1:8" x14ac:dyDescent="0.3">
      <c r="A3307" t="s">
        <v>1138</v>
      </c>
      <c r="B3307">
        <v>27</v>
      </c>
      <c r="C3307" t="s">
        <v>1241</v>
      </c>
      <c r="D3307" s="1">
        <v>0.58333333333333337</v>
      </c>
      <c r="E3307" t="s">
        <v>1000</v>
      </c>
      <c r="F3307" t="s">
        <v>30</v>
      </c>
      <c r="G3307" t="s">
        <v>12</v>
      </c>
      <c r="H3307" t="s">
        <v>883</v>
      </c>
    </row>
    <row r="3308" spans="1:8" x14ac:dyDescent="0.3">
      <c r="A3308" t="s">
        <v>1138</v>
      </c>
      <c r="B3308">
        <v>27</v>
      </c>
      <c r="C3308" t="s">
        <v>1241</v>
      </c>
      <c r="D3308" s="1">
        <v>0.67708333333333337</v>
      </c>
      <c r="E3308" t="s">
        <v>31</v>
      </c>
      <c r="F3308" t="s">
        <v>20</v>
      </c>
      <c r="G3308" s="2">
        <v>46054</v>
      </c>
      <c r="H3308" t="s">
        <v>190</v>
      </c>
    </row>
    <row r="3309" spans="1:8" x14ac:dyDescent="0.3">
      <c r="A3309" t="s">
        <v>1138</v>
      </c>
      <c r="B3309">
        <v>27</v>
      </c>
      <c r="C3309" t="s">
        <v>1241</v>
      </c>
      <c r="D3309" s="1">
        <v>0.77083333333333337</v>
      </c>
      <c r="E3309" t="s">
        <v>35</v>
      </c>
      <c r="F3309" t="s">
        <v>881</v>
      </c>
      <c r="G3309" s="2">
        <v>46085</v>
      </c>
      <c r="H3309" t="s">
        <v>1141</v>
      </c>
    </row>
    <row r="3310" spans="1:8" x14ac:dyDescent="0.3">
      <c r="A3310" t="s">
        <v>1138</v>
      </c>
      <c r="B3310">
        <v>27</v>
      </c>
      <c r="C3310" t="s">
        <v>1241</v>
      </c>
      <c r="D3310" s="1">
        <v>0.875</v>
      </c>
      <c r="E3310" t="s">
        <v>26</v>
      </c>
      <c r="F3310" t="s">
        <v>28</v>
      </c>
      <c r="G3310" s="2">
        <v>46082</v>
      </c>
      <c r="H3310" t="s">
        <v>747</v>
      </c>
    </row>
    <row r="3311" spans="1:8" x14ac:dyDescent="0.3">
      <c r="A3311" t="s">
        <v>1138</v>
      </c>
      <c r="B3311">
        <v>27</v>
      </c>
      <c r="C3311" t="s">
        <v>1242</v>
      </c>
      <c r="D3311" s="1">
        <v>0.875</v>
      </c>
      <c r="E3311" t="s">
        <v>15</v>
      </c>
      <c r="F3311" t="s">
        <v>21</v>
      </c>
      <c r="G3311" s="2">
        <v>46025</v>
      </c>
      <c r="H3311" t="s">
        <v>1146</v>
      </c>
    </row>
    <row r="3312" spans="1:8" x14ac:dyDescent="0.3">
      <c r="A3312" t="s">
        <v>1138</v>
      </c>
      <c r="B3312">
        <v>28</v>
      </c>
      <c r="C3312" t="s">
        <v>1243</v>
      </c>
      <c r="D3312" s="1">
        <v>0.875</v>
      </c>
      <c r="E3312" t="s">
        <v>28</v>
      </c>
      <c r="F3312" t="s">
        <v>1000</v>
      </c>
      <c r="G3312" s="2">
        <v>46024</v>
      </c>
      <c r="H3312" t="s">
        <v>614</v>
      </c>
    </row>
    <row r="3313" spans="1:8" x14ac:dyDescent="0.3">
      <c r="A3313" t="s">
        <v>1138</v>
      </c>
      <c r="B3313">
        <v>28</v>
      </c>
      <c r="C3313" t="s">
        <v>1244</v>
      </c>
      <c r="D3313" s="1">
        <v>0.58333333333333337</v>
      </c>
      <c r="E3313" t="s">
        <v>21</v>
      </c>
      <c r="F3313" t="s">
        <v>36</v>
      </c>
      <c r="G3313" s="2">
        <v>46023</v>
      </c>
      <c r="H3313" t="s">
        <v>1001</v>
      </c>
    </row>
    <row r="3314" spans="1:8" x14ac:dyDescent="0.3">
      <c r="A3314" t="s">
        <v>1138</v>
      </c>
      <c r="B3314">
        <v>28</v>
      </c>
      <c r="C3314" t="s">
        <v>1244</v>
      </c>
      <c r="D3314" s="1">
        <v>0.67708333333333337</v>
      </c>
      <c r="E3314" t="s">
        <v>24</v>
      </c>
      <c r="F3314" t="s">
        <v>31</v>
      </c>
      <c r="G3314" t="s">
        <v>42</v>
      </c>
      <c r="H3314" t="s">
        <v>184</v>
      </c>
    </row>
    <row r="3315" spans="1:8" x14ac:dyDescent="0.3">
      <c r="A3315" t="s">
        <v>1138</v>
      </c>
      <c r="B3315">
        <v>28</v>
      </c>
      <c r="C3315" t="s">
        <v>1244</v>
      </c>
      <c r="D3315" s="1">
        <v>0.77083333333333337</v>
      </c>
      <c r="E3315" t="s">
        <v>34</v>
      </c>
      <c r="F3315" t="s">
        <v>35</v>
      </c>
      <c r="G3315" t="s">
        <v>18</v>
      </c>
      <c r="H3315" t="s">
        <v>197</v>
      </c>
    </row>
    <row r="3316" spans="1:8" x14ac:dyDescent="0.3">
      <c r="A3316" t="s">
        <v>1138</v>
      </c>
      <c r="B3316">
        <v>28</v>
      </c>
      <c r="C3316" t="s">
        <v>1244</v>
      </c>
      <c r="D3316" s="1">
        <v>0.875</v>
      </c>
      <c r="E3316" t="s">
        <v>11</v>
      </c>
      <c r="F3316" t="s">
        <v>16</v>
      </c>
      <c r="G3316" t="s">
        <v>41</v>
      </c>
      <c r="H3316" t="s">
        <v>747</v>
      </c>
    </row>
    <row r="3317" spans="1:8" x14ac:dyDescent="0.3">
      <c r="A3317" t="s">
        <v>1138</v>
      </c>
      <c r="B3317">
        <v>28</v>
      </c>
      <c r="C3317" t="s">
        <v>1245</v>
      </c>
      <c r="D3317" s="1">
        <v>0.58333333333333337</v>
      </c>
      <c r="E3317" t="s">
        <v>30</v>
      </c>
      <c r="F3317" t="s">
        <v>27</v>
      </c>
      <c r="G3317" s="2">
        <v>46023</v>
      </c>
      <c r="H3317" t="s">
        <v>205</v>
      </c>
    </row>
    <row r="3318" spans="1:8" x14ac:dyDescent="0.3">
      <c r="A3318" t="s">
        <v>1138</v>
      </c>
      <c r="B3318">
        <v>28</v>
      </c>
      <c r="C3318" t="s">
        <v>1245</v>
      </c>
      <c r="D3318" s="1">
        <v>0.67708333333333337</v>
      </c>
      <c r="E3318" t="s">
        <v>26</v>
      </c>
      <c r="F3318" t="s">
        <v>15</v>
      </c>
      <c r="G3318" t="s">
        <v>18</v>
      </c>
      <c r="H3318" t="s">
        <v>181</v>
      </c>
    </row>
    <row r="3319" spans="1:8" x14ac:dyDescent="0.3">
      <c r="A3319" t="s">
        <v>1138</v>
      </c>
      <c r="B3319">
        <v>28</v>
      </c>
      <c r="C3319" t="s">
        <v>1245</v>
      </c>
      <c r="D3319" s="1">
        <v>0.77083333333333337</v>
      </c>
      <c r="E3319" t="s">
        <v>10</v>
      </c>
      <c r="F3319" t="s">
        <v>464</v>
      </c>
      <c r="G3319" t="s">
        <v>18</v>
      </c>
      <c r="H3319" t="s">
        <v>1007</v>
      </c>
    </row>
    <row r="3320" spans="1:8" x14ac:dyDescent="0.3">
      <c r="A3320" t="s">
        <v>1138</v>
      </c>
      <c r="B3320">
        <v>28</v>
      </c>
      <c r="C3320" t="s">
        <v>1245</v>
      </c>
      <c r="D3320" s="1">
        <v>0.875</v>
      </c>
      <c r="E3320" t="s">
        <v>20</v>
      </c>
      <c r="F3320" t="s">
        <v>23</v>
      </c>
      <c r="G3320" t="s">
        <v>88</v>
      </c>
      <c r="H3320" t="s">
        <v>341</v>
      </c>
    </row>
    <row r="3321" spans="1:8" x14ac:dyDescent="0.3">
      <c r="A3321" t="s">
        <v>1138</v>
      </c>
      <c r="B3321">
        <v>28</v>
      </c>
      <c r="C3321" t="s">
        <v>1246</v>
      </c>
      <c r="D3321" s="1">
        <v>0.875</v>
      </c>
      <c r="E3321" t="s">
        <v>881</v>
      </c>
      <c r="F3321" t="s">
        <v>25</v>
      </c>
      <c r="G3321" t="s">
        <v>46</v>
      </c>
      <c r="H3321" t="s">
        <v>345</v>
      </c>
    </row>
    <row r="3322" spans="1:8" x14ac:dyDescent="0.3">
      <c r="A3322" t="s">
        <v>1138</v>
      </c>
      <c r="B3322">
        <v>29</v>
      </c>
      <c r="C3322" t="s">
        <v>1247</v>
      </c>
      <c r="D3322" s="1">
        <v>0.875</v>
      </c>
      <c r="E3322" t="s">
        <v>15</v>
      </c>
      <c r="F3322" t="s">
        <v>11</v>
      </c>
      <c r="G3322" s="2">
        <v>46023</v>
      </c>
      <c r="H3322" t="s">
        <v>194</v>
      </c>
    </row>
    <row r="3323" spans="1:8" x14ac:dyDescent="0.3">
      <c r="A3323" t="s">
        <v>1138</v>
      </c>
      <c r="B3323">
        <v>29</v>
      </c>
      <c r="C3323" t="s">
        <v>1248</v>
      </c>
      <c r="D3323" s="1">
        <v>0.58333333333333337</v>
      </c>
      <c r="E3323" t="s">
        <v>464</v>
      </c>
      <c r="F3323" t="s">
        <v>24</v>
      </c>
      <c r="G3323" s="2">
        <v>46083</v>
      </c>
      <c r="H3323" t="s">
        <v>747</v>
      </c>
    </row>
    <row r="3324" spans="1:8" x14ac:dyDescent="0.3">
      <c r="A3324" t="s">
        <v>1138</v>
      </c>
      <c r="B3324">
        <v>29</v>
      </c>
      <c r="C3324" t="s">
        <v>1248</v>
      </c>
      <c r="D3324" s="1">
        <v>0.67708333333333337</v>
      </c>
      <c r="E3324" t="s">
        <v>31</v>
      </c>
      <c r="F3324" t="s">
        <v>16</v>
      </c>
      <c r="G3324" t="s">
        <v>42</v>
      </c>
      <c r="H3324" t="s">
        <v>1141</v>
      </c>
    </row>
    <row r="3325" spans="1:8" x14ac:dyDescent="0.3">
      <c r="A3325" t="s">
        <v>1138</v>
      </c>
      <c r="B3325">
        <v>29</v>
      </c>
      <c r="C3325" t="s">
        <v>1248</v>
      </c>
      <c r="D3325" s="1">
        <v>0.77083333333333337</v>
      </c>
      <c r="E3325" t="s">
        <v>23</v>
      </c>
      <c r="F3325" t="s">
        <v>21</v>
      </c>
      <c r="G3325" s="2">
        <v>46025</v>
      </c>
      <c r="H3325" t="s">
        <v>612</v>
      </c>
    </row>
    <row r="3326" spans="1:8" x14ac:dyDescent="0.3">
      <c r="A3326" t="s">
        <v>1138</v>
      </c>
      <c r="B3326">
        <v>29</v>
      </c>
      <c r="C3326" t="s">
        <v>1248</v>
      </c>
      <c r="D3326" s="1">
        <v>0.875</v>
      </c>
      <c r="E3326" t="s">
        <v>30</v>
      </c>
      <c r="F3326" t="s">
        <v>28</v>
      </c>
      <c r="G3326" t="s">
        <v>42</v>
      </c>
      <c r="H3326" t="s">
        <v>467</v>
      </c>
    </row>
    <row r="3327" spans="1:8" x14ac:dyDescent="0.3">
      <c r="A3327" t="s">
        <v>1138</v>
      </c>
      <c r="B3327">
        <v>29</v>
      </c>
      <c r="C3327" t="s">
        <v>1249</v>
      </c>
      <c r="D3327" s="1">
        <v>0.58333333333333337</v>
      </c>
      <c r="E3327" t="s">
        <v>36</v>
      </c>
      <c r="F3327" t="s">
        <v>881</v>
      </c>
      <c r="G3327" t="s">
        <v>18</v>
      </c>
      <c r="H3327" t="s">
        <v>1146</v>
      </c>
    </row>
    <row r="3328" spans="1:8" x14ac:dyDescent="0.3">
      <c r="A3328" t="s">
        <v>1138</v>
      </c>
      <c r="B3328">
        <v>29</v>
      </c>
      <c r="C3328" t="s">
        <v>1249</v>
      </c>
      <c r="D3328" s="1">
        <v>0.67708333333333337</v>
      </c>
      <c r="E3328" t="s">
        <v>35</v>
      </c>
      <c r="F3328" t="s">
        <v>26</v>
      </c>
      <c r="G3328" t="s">
        <v>41</v>
      </c>
      <c r="H3328" t="s">
        <v>341</v>
      </c>
    </row>
    <row r="3329" spans="1:8" x14ac:dyDescent="0.3">
      <c r="A3329" t="s">
        <v>1138</v>
      </c>
      <c r="B3329">
        <v>29</v>
      </c>
      <c r="C3329" t="s">
        <v>1249</v>
      </c>
      <c r="D3329" s="1">
        <v>0.67708333333333337</v>
      </c>
      <c r="E3329" t="s">
        <v>1000</v>
      </c>
      <c r="F3329" t="s">
        <v>34</v>
      </c>
      <c r="G3329" t="s">
        <v>18</v>
      </c>
      <c r="H3329" t="s">
        <v>185</v>
      </c>
    </row>
    <row r="3330" spans="1:8" x14ac:dyDescent="0.3">
      <c r="A3330" t="s">
        <v>1138</v>
      </c>
      <c r="B3330">
        <v>29</v>
      </c>
      <c r="C3330" t="s">
        <v>1249</v>
      </c>
      <c r="D3330" s="1">
        <v>0.77083333333333337</v>
      </c>
      <c r="E3330" t="s">
        <v>27</v>
      </c>
      <c r="F3330" t="s">
        <v>10</v>
      </c>
      <c r="G3330" t="s">
        <v>41</v>
      </c>
      <c r="H3330" t="s">
        <v>883</v>
      </c>
    </row>
    <row r="3331" spans="1:8" x14ac:dyDescent="0.3">
      <c r="A3331" t="s">
        <v>1138</v>
      </c>
      <c r="B3331">
        <v>29</v>
      </c>
      <c r="C3331" t="s">
        <v>1249</v>
      </c>
      <c r="D3331" s="1">
        <v>0.875</v>
      </c>
      <c r="E3331" t="s">
        <v>25</v>
      </c>
      <c r="F3331" t="s">
        <v>20</v>
      </c>
      <c r="G3331" t="s">
        <v>53</v>
      </c>
      <c r="H3331" t="s">
        <v>205</v>
      </c>
    </row>
    <row r="3332" spans="1:8" x14ac:dyDescent="0.3">
      <c r="A3332" t="s">
        <v>1138</v>
      </c>
      <c r="B3332">
        <v>30</v>
      </c>
      <c r="C3332" t="s">
        <v>1250</v>
      </c>
      <c r="D3332" s="1">
        <v>0.58333333333333337</v>
      </c>
      <c r="E3332" t="s">
        <v>11</v>
      </c>
      <c r="F3332" t="s">
        <v>881</v>
      </c>
      <c r="G3332" t="s">
        <v>18</v>
      </c>
      <c r="H3332" t="s">
        <v>181</v>
      </c>
    </row>
    <row r="3333" spans="1:8" x14ac:dyDescent="0.3">
      <c r="A3333" t="s">
        <v>1138</v>
      </c>
      <c r="B3333">
        <v>30</v>
      </c>
      <c r="C3333" t="s">
        <v>1250</v>
      </c>
      <c r="D3333" s="1">
        <v>0.67708333333333337</v>
      </c>
      <c r="E3333" t="s">
        <v>21</v>
      </c>
      <c r="F3333" t="s">
        <v>34</v>
      </c>
      <c r="G3333" t="s">
        <v>12</v>
      </c>
      <c r="H3333" t="s">
        <v>752</v>
      </c>
    </row>
    <row r="3334" spans="1:8" x14ac:dyDescent="0.3">
      <c r="A3334" t="s">
        <v>1138</v>
      </c>
      <c r="B3334">
        <v>30</v>
      </c>
      <c r="C3334" t="s">
        <v>1250</v>
      </c>
      <c r="D3334" s="1">
        <v>0.77083333333333337</v>
      </c>
      <c r="E3334" t="s">
        <v>35</v>
      </c>
      <c r="F3334" t="s">
        <v>25</v>
      </c>
      <c r="G3334" s="2">
        <v>46054</v>
      </c>
      <c r="H3334" t="s">
        <v>614</v>
      </c>
    </row>
    <row r="3335" spans="1:8" x14ac:dyDescent="0.3">
      <c r="A3335" t="s">
        <v>1138</v>
      </c>
      <c r="B3335">
        <v>30</v>
      </c>
      <c r="C3335" t="s">
        <v>1250</v>
      </c>
      <c r="D3335" s="1">
        <v>0.875</v>
      </c>
      <c r="E3335" t="s">
        <v>28</v>
      </c>
      <c r="F3335" t="s">
        <v>464</v>
      </c>
      <c r="G3335" s="2">
        <v>46026</v>
      </c>
      <c r="H3335" t="s">
        <v>190</v>
      </c>
    </row>
    <row r="3336" spans="1:8" x14ac:dyDescent="0.3">
      <c r="A3336" t="s">
        <v>1138</v>
      </c>
      <c r="B3336">
        <v>30</v>
      </c>
      <c r="C3336" t="s">
        <v>1251</v>
      </c>
      <c r="D3336" s="1">
        <v>0.58333333333333337</v>
      </c>
      <c r="E3336" t="s">
        <v>15</v>
      </c>
      <c r="F3336" t="s">
        <v>31</v>
      </c>
      <c r="G3336" s="2">
        <v>46024</v>
      </c>
      <c r="H3336" t="s">
        <v>1007</v>
      </c>
    </row>
    <row r="3337" spans="1:8" x14ac:dyDescent="0.3">
      <c r="A3337" t="s">
        <v>1138</v>
      </c>
      <c r="B3337">
        <v>30</v>
      </c>
      <c r="C3337" t="s">
        <v>1251</v>
      </c>
      <c r="D3337" s="1">
        <v>0.67708333333333337</v>
      </c>
      <c r="E3337" t="s">
        <v>26</v>
      </c>
      <c r="F3337" t="s">
        <v>23</v>
      </c>
      <c r="G3337" s="2">
        <v>46026</v>
      </c>
      <c r="H3337" t="s">
        <v>887</v>
      </c>
    </row>
    <row r="3338" spans="1:8" x14ac:dyDescent="0.3">
      <c r="A3338" t="s">
        <v>1138</v>
      </c>
      <c r="B3338">
        <v>30</v>
      </c>
      <c r="C3338" t="s">
        <v>1251</v>
      </c>
      <c r="D3338" s="1">
        <v>0.77083333333333337</v>
      </c>
      <c r="E3338" t="s">
        <v>24</v>
      </c>
      <c r="F3338" t="s">
        <v>30</v>
      </c>
      <c r="G3338" s="2">
        <v>46055</v>
      </c>
      <c r="H3338" t="s">
        <v>185</v>
      </c>
    </row>
    <row r="3339" spans="1:8" x14ac:dyDescent="0.3">
      <c r="A3339" t="s">
        <v>1138</v>
      </c>
      <c r="B3339">
        <v>30</v>
      </c>
      <c r="C3339" t="s">
        <v>1251</v>
      </c>
      <c r="D3339" s="1">
        <v>0.77083333333333337</v>
      </c>
      <c r="E3339" t="s">
        <v>16</v>
      </c>
      <c r="F3339" t="s">
        <v>1000</v>
      </c>
      <c r="G3339" t="s">
        <v>41</v>
      </c>
      <c r="H3339" t="s">
        <v>1001</v>
      </c>
    </row>
    <row r="3340" spans="1:8" x14ac:dyDescent="0.3">
      <c r="A3340" t="s">
        <v>1138</v>
      </c>
      <c r="B3340">
        <v>30</v>
      </c>
      <c r="C3340" t="s">
        <v>1251</v>
      </c>
      <c r="D3340" s="1">
        <v>0.875</v>
      </c>
      <c r="E3340" t="s">
        <v>20</v>
      </c>
      <c r="F3340" t="s">
        <v>27</v>
      </c>
      <c r="G3340" t="s">
        <v>18</v>
      </c>
      <c r="H3340" t="s">
        <v>345</v>
      </c>
    </row>
    <row r="3341" spans="1:8" x14ac:dyDescent="0.3">
      <c r="A3341" t="s">
        <v>1138</v>
      </c>
      <c r="B3341">
        <v>30</v>
      </c>
      <c r="C3341" t="s">
        <v>1252</v>
      </c>
      <c r="D3341" s="1">
        <v>0.875</v>
      </c>
      <c r="E3341" t="s">
        <v>10</v>
      </c>
      <c r="F3341" t="s">
        <v>36</v>
      </c>
      <c r="G3341" t="s">
        <v>18</v>
      </c>
      <c r="H3341" t="s">
        <v>197</v>
      </c>
    </row>
    <row r="3342" spans="1:8" x14ac:dyDescent="0.3">
      <c r="A3342" t="s">
        <v>1138</v>
      </c>
      <c r="B3342">
        <v>31</v>
      </c>
      <c r="C3342" t="s">
        <v>1253</v>
      </c>
      <c r="D3342" s="1">
        <v>0.875</v>
      </c>
      <c r="E3342" t="s">
        <v>27</v>
      </c>
      <c r="F3342" t="s">
        <v>24</v>
      </c>
      <c r="G3342" s="2">
        <v>46057</v>
      </c>
      <c r="H3342" t="s">
        <v>1141</v>
      </c>
    </row>
    <row r="3343" spans="1:8" x14ac:dyDescent="0.3">
      <c r="A3343" t="s">
        <v>1138</v>
      </c>
      <c r="B3343">
        <v>31</v>
      </c>
      <c r="C3343" t="s">
        <v>1254</v>
      </c>
      <c r="D3343" s="1">
        <v>0.58333333333333337</v>
      </c>
      <c r="E3343" t="s">
        <v>1000</v>
      </c>
      <c r="F3343" t="s">
        <v>26</v>
      </c>
      <c r="G3343" s="2">
        <v>46054</v>
      </c>
      <c r="H3343" t="s">
        <v>194</v>
      </c>
    </row>
    <row r="3344" spans="1:8" x14ac:dyDescent="0.3">
      <c r="A3344" t="s">
        <v>1138</v>
      </c>
      <c r="B3344">
        <v>31</v>
      </c>
      <c r="C3344" t="s">
        <v>1254</v>
      </c>
      <c r="D3344" s="1">
        <v>0.67708333333333337</v>
      </c>
      <c r="E3344" t="s">
        <v>881</v>
      </c>
      <c r="F3344" t="s">
        <v>28</v>
      </c>
      <c r="G3344" t="s">
        <v>18</v>
      </c>
      <c r="H3344" t="s">
        <v>205</v>
      </c>
    </row>
    <row r="3345" spans="1:8" x14ac:dyDescent="0.3">
      <c r="A3345" t="s">
        <v>1138</v>
      </c>
      <c r="B3345">
        <v>31</v>
      </c>
      <c r="C3345" t="s">
        <v>1254</v>
      </c>
      <c r="D3345" s="1">
        <v>0.77083333333333337</v>
      </c>
      <c r="E3345" t="s">
        <v>34</v>
      </c>
      <c r="F3345" t="s">
        <v>15</v>
      </c>
      <c r="G3345" s="2">
        <v>46023</v>
      </c>
      <c r="H3345" t="s">
        <v>184</v>
      </c>
    </row>
    <row r="3346" spans="1:8" x14ac:dyDescent="0.3">
      <c r="A3346" t="s">
        <v>1138</v>
      </c>
      <c r="B3346">
        <v>31</v>
      </c>
      <c r="C3346" t="s">
        <v>1254</v>
      </c>
      <c r="D3346" s="1">
        <v>0.875</v>
      </c>
      <c r="E3346" t="s">
        <v>25</v>
      </c>
      <c r="F3346" t="s">
        <v>11</v>
      </c>
      <c r="G3346" t="s">
        <v>12</v>
      </c>
      <c r="H3346" t="s">
        <v>883</v>
      </c>
    </row>
    <row r="3347" spans="1:8" x14ac:dyDescent="0.3">
      <c r="A3347" t="s">
        <v>1138</v>
      </c>
      <c r="B3347">
        <v>31</v>
      </c>
      <c r="C3347" t="s">
        <v>1255</v>
      </c>
      <c r="D3347" s="1">
        <v>0.58333333333333337</v>
      </c>
      <c r="E3347" t="s">
        <v>23</v>
      </c>
      <c r="F3347" t="s">
        <v>464</v>
      </c>
      <c r="G3347" t="s">
        <v>18</v>
      </c>
      <c r="H3347" t="s">
        <v>1146</v>
      </c>
    </row>
    <row r="3348" spans="1:8" x14ac:dyDescent="0.3">
      <c r="A3348" t="s">
        <v>1138</v>
      </c>
      <c r="B3348">
        <v>31</v>
      </c>
      <c r="C3348" t="s">
        <v>1255</v>
      </c>
      <c r="D3348" s="1">
        <v>0.67708333333333337</v>
      </c>
      <c r="E3348" t="s">
        <v>36</v>
      </c>
      <c r="F3348" t="s">
        <v>35</v>
      </c>
      <c r="G3348" t="s">
        <v>18</v>
      </c>
      <c r="H3348" t="s">
        <v>612</v>
      </c>
    </row>
    <row r="3349" spans="1:8" x14ac:dyDescent="0.3">
      <c r="A3349" t="s">
        <v>1138</v>
      </c>
      <c r="B3349">
        <v>31</v>
      </c>
      <c r="C3349" t="s">
        <v>1255</v>
      </c>
      <c r="D3349" s="1">
        <v>0.77083333333333337</v>
      </c>
      <c r="E3349" t="s">
        <v>31</v>
      </c>
      <c r="F3349" t="s">
        <v>10</v>
      </c>
      <c r="G3349" s="2">
        <v>46054</v>
      </c>
      <c r="H3349" t="s">
        <v>747</v>
      </c>
    </row>
    <row r="3350" spans="1:8" x14ac:dyDescent="0.3">
      <c r="A3350" t="s">
        <v>1138</v>
      </c>
      <c r="B3350">
        <v>31</v>
      </c>
      <c r="C3350" t="s">
        <v>1255</v>
      </c>
      <c r="D3350" s="1">
        <v>0.875</v>
      </c>
      <c r="E3350" t="s">
        <v>21</v>
      </c>
      <c r="F3350" t="s">
        <v>20</v>
      </c>
      <c r="G3350" s="2">
        <v>46083</v>
      </c>
      <c r="H3350" t="s">
        <v>467</v>
      </c>
    </row>
    <row r="3351" spans="1:8" x14ac:dyDescent="0.3">
      <c r="A3351" t="s">
        <v>1138</v>
      </c>
      <c r="B3351">
        <v>31</v>
      </c>
      <c r="C3351" t="s">
        <v>1256</v>
      </c>
      <c r="D3351" s="1">
        <v>0.875</v>
      </c>
      <c r="E3351" t="s">
        <v>30</v>
      </c>
      <c r="F3351" t="s">
        <v>16</v>
      </c>
      <c r="G3351" s="2">
        <v>46023</v>
      </c>
      <c r="H3351" t="s">
        <v>341</v>
      </c>
    </row>
    <row r="3352" spans="1:8" x14ac:dyDescent="0.3">
      <c r="A3352" t="s">
        <v>1138</v>
      </c>
      <c r="B3352">
        <v>32</v>
      </c>
      <c r="C3352" t="s">
        <v>1257</v>
      </c>
      <c r="D3352" s="1">
        <v>0.875</v>
      </c>
      <c r="E3352" t="s">
        <v>10</v>
      </c>
      <c r="F3352" t="s">
        <v>26</v>
      </c>
      <c r="G3352" t="s">
        <v>41</v>
      </c>
      <c r="H3352" t="s">
        <v>1001</v>
      </c>
    </row>
    <row r="3353" spans="1:8" x14ac:dyDescent="0.3">
      <c r="A3353" t="s">
        <v>1138</v>
      </c>
      <c r="B3353">
        <v>32</v>
      </c>
      <c r="C3353" t="s">
        <v>1258</v>
      </c>
      <c r="D3353" s="1">
        <v>0.58333333333333337</v>
      </c>
      <c r="E3353" t="s">
        <v>31</v>
      </c>
      <c r="F3353" t="s">
        <v>881</v>
      </c>
      <c r="G3353" t="s">
        <v>32</v>
      </c>
      <c r="H3353" t="s">
        <v>345</v>
      </c>
    </row>
    <row r="3354" spans="1:8" x14ac:dyDescent="0.3">
      <c r="A3354" t="s">
        <v>1138</v>
      </c>
      <c r="B3354">
        <v>32</v>
      </c>
      <c r="C3354" t="s">
        <v>1258</v>
      </c>
      <c r="D3354" s="1">
        <v>0.67708333333333337</v>
      </c>
      <c r="E3354" t="s">
        <v>464</v>
      </c>
      <c r="F3354" t="s">
        <v>30</v>
      </c>
      <c r="G3354" t="s">
        <v>18</v>
      </c>
      <c r="H3354" t="s">
        <v>205</v>
      </c>
    </row>
    <row r="3355" spans="1:8" x14ac:dyDescent="0.3">
      <c r="A3355" t="s">
        <v>1138</v>
      </c>
      <c r="B3355">
        <v>32</v>
      </c>
      <c r="C3355" t="s">
        <v>1258</v>
      </c>
      <c r="D3355" s="1">
        <v>0.77083333333333337</v>
      </c>
      <c r="E3355" t="s">
        <v>16</v>
      </c>
      <c r="F3355" t="s">
        <v>23</v>
      </c>
      <c r="G3355" s="2">
        <v>46054</v>
      </c>
      <c r="H3355" t="s">
        <v>190</v>
      </c>
    </row>
    <row r="3356" spans="1:8" x14ac:dyDescent="0.3">
      <c r="A3356" t="s">
        <v>1138</v>
      </c>
      <c r="B3356">
        <v>32</v>
      </c>
      <c r="C3356" t="s">
        <v>1258</v>
      </c>
      <c r="D3356" s="1">
        <v>0.875</v>
      </c>
      <c r="E3356" t="s">
        <v>11</v>
      </c>
      <c r="F3356" t="s">
        <v>34</v>
      </c>
      <c r="G3356" s="2">
        <v>46054</v>
      </c>
      <c r="H3356" t="s">
        <v>614</v>
      </c>
    </row>
    <row r="3357" spans="1:8" x14ac:dyDescent="0.3">
      <c r="A3357" t="s">
        <v>1138</v>
      </c>
      <c r="B3357">
        <v>32</v>
      </c>
      <c r="C3357" t="s">
        <v>1259</v>
      </c>
      <c r="D3357" s="1">
        <v>0.58333333333333337</v>
      </c>
      <c r="E3357" t="s">
        <v>24</v>
      </c>
      <c r="F3357" t="s">
        <v>21</v>
      </c>
      <c r="G3357" s="2">
        <v>46113</v>
      </c>
      <c r="H3357" t="s">
        <v>887</v>
      </c>
    </row>
    <row r="3358" spans="1:8" x14ac:dyDescent="0.3">
      <c r="A3358" t="s">
        <v>1138</v>
      </c>
      <c r="B3358">
        <v>32</v>
      </c>
      <c r="C3358" t="s">
        <v>1259</v>
      </c>
      <c r="D3358" s="1">
        <v>0.67708333333333337</v>
      </c>
      <c r="E3358" t="s">
        <v>28</v>
      </c>
      <c r="F3358" t="s">
        <v>36</v>
      </c>
      <c r="G3358" s="2">
        <v>46024</v>
      </c>
      <c r="H3358" t="s">
        <v>1007</v>
      </c>
    </row>
    <row r="3359" spans="1:8" x14ac:dyDescent="0.3">
      <c r="A3359" t="s">
        <v>1138</v>
      </c>
      <c r="B3359">
        <v>32</v>
      </c>
      <c r="C3359" t="s">
        <v>1259</v>
      </c>
      <c r="D3359" s="1">
        <v>0.77083333333333337</v>
      </c>
      <c r="E3359" t="s">
        <v>15</v>
      </c>
      <c r="F3359" t="s">
        <v>35</v>
      </c>
      <c r="G3359" t="s">
        <v>54</v>
      </c>
      <c r="H3359" t="s">
        <v>185</v>
      </c>
    </row>
    <row r="3360" spans="1:8" x14ac:dyDescent="0.3">
      <c r="A3360" t="s">
        <v>1138</v>
      </c>
      <c r="B3360">
        <v>32</v>
      </c>
      <c r="C3360" t="s">
        <v>1259</v>
      </c>
      <c r="D3360" s="1">
        <v>0.875</v>
      </c>
      <c r="E3360" t="s">
        <v>27</v>
      </c>
      <c r="F3360" t="s">
        <v>25</v>
      </c>
      <c r="G3360" s="2">
        <v>46083</v>
      </c>
      <c r="H3360" t="s">
        <v>747</v>
      </c>
    </row>
    <row r="3361" spans="1:8" x14ac:dyDescent="0.3">
      <c r="A3361" t="s">
        <v>1138</v>
      </c>
      <c r="B3361">
        <v>32</v>
      </c>
      <c r="C3361" t="s">
        <v>1260</v>
      </c>
      <c r="D3361" s="1">
        <v>0.875</v>
      </c>
      <c r="E3361" t="s">
        <v>20</v>
      </c>
      <c r="F3361" t="s">
        <v>1000</v>
      </c>
      <c r="G3361" t="s">
        <v>42</v>
      </c>
      <c r="H3361" t="s">
        <v>197</v>
      </c>
    </row>
    <row r="3362" spans="1:8" x14ac:dyDescent="0.3">
      <c r="A3362" t="s">
        <v>1138</v>
      </c>
      <c r="B3362">
        <v>33</v>
      </c>
      <c r="C3362" t="s">
        <v>1261</v>
      </c>
      <c r="D3362" s="1">
        <v>0.79166666666666663</v>
      </c>
      <c r="E3362" t="s">
        <v>881</v>
      </c>
      <c r="F3362" t="s">
        <v>464</v>
      </c>
      <c r="G3362" s="2">
        <v>46024</v>
      </c>
      <c r="H3362" t="s">
        <v>883</v>
      </c>
    </row>
    <row r="3363" spans="1:8" x14ac:dyDescent="0.3">
      <c r="A3363" t="s">
        <v>1138</v>
      </c>
      <c r="B3363">
        <v>33</v>
      </c>
      <c r="C3363" t="s">
        <v>1261</v>
      </c>
      <c r="D3363" s="1">
        <v>0.875</v>
      </c>
      <c r="E3363" t="s">
        <v>26</v>
      </c>
      <c r="F3363" t="s">
        <v>31</v>
      </c>
      <c r="G3363" t="s">
        <v>42</v>
      </c>
      <c r="H3363" t="s">
        <v>612</v>
      </c>
    </row>
    <row r="3364" spans="1:8" x14ac:dyDescent="0.3">
      <c r="A3364" t="s">
        <v>1138</v>
      </c>
      <c r="B3364">
        <v>33</v>
      </c>
      <c r="C3364" t="s">
        <v>1261</v>
      </c>
      <c r="D3364" s="1">
        <v>0.89583333333333337</v>
      </c>
      <c r="E3364" t="s">
        <v>34</v>
      </c>
      <c r="F3364" t="s">
        <v>16</v>
      </c>
      <c r="G3364" t="s">
        <v>12</v>
      </c>
      <c r="H3364" t="s">
        <v>467</v>
      </c>
    </row>
    <row r="3365" spans="1:8" x14ac:dyDescent="0.3">
      <c r="A3365" t="s">
        <v>1138</v>
      </c>
      <c r="B3365">
        <v>33</v>
      </c>
      <c r="C3365" t="s">
        <v>1262</v>
      </c>
      <c r="D3365" s="1">
        <v>0.79166666666666663</v>
      </c>
      <c r="E3365" t="s">
        <v>28</v>
      </c>
      <c r="F3365" t="s">
        <v>24</v>
      </c>
      <c r="G3365" t="s">
        <v>41</v>
      </c>
      <c r="H3365" t="s">
        <v>194</v>
      </c>
    </row>
    <row r="3366" spans="1:8" x14ac:dyDescent="0.3">
      <c r="A3366" t="s">
        <v>1138</v>
      </c>
      <c r="B3366">
        <v>33</v>
      </c>
      <c r="C3366" t="s">
        <v>1262</v>
      </c>
      <c r="D3366" s="1">
        <v>0.83333333333333337</v>
      </c>
      <c r="E3366" t="s">
        <v>35</v>
      </c>
      <c r="F3366" t="s">
        <v>11</v>
      </c>
      <c r="G3366" t="s">
        <v>54</v>
      </c>
      <c r="H3366" t="s">
        <v>197</v>
      </c>
    </row>
    <row r="3367" spans="1:8" x14ac:dyDescent="0.3">
      <c r="A3367" t="s">
        <v>1138</v>
      </c>
      <c r="B3367">
        <v>33</v>
      </c>
      <c r="C3367" t="s">
        <v>1262</v>
      </c>
      <c r="D3367" s="1">
        <v>0.89583333333333337</v>
      </c>
      <c r="E3367" t="s">
        <v>23</v>
      </c>
      <c r="F3367" t="s">
        <v>25</v>
      </c>
      <c r="G3367" s="2">
        <v>46082</v>
      </c>
      <c r="H3367" t="s">
        <v>341</v>
      </c>
    </row>
    <row r="3368" spans="1:8" x14ac:dyDescent="0.3">
      <c r="A3368" t="s">
        <v>1138</v>
      </c>
      <c r="B3368">
        <v>33</v>
      </c>
      <c r="C3368" t="s">
        <v>1263</v>
      </c>
      <c r="D3368" s="1">
        <v>0.79166666666666663</v>
      </c>
      <c r="E3368" t="s">
        <v>36</v>
      </c>
      <c r="F3368" t="s">
        <v>30</v>
      </c>
      <c r="G3368" t="s">
        <v>42</v>
      </c>
      <c r="H3368" t="s">
        <v>181</v>
      </c>
    </row>
    <row r="3369" spans="1:8" x14ac:dyDescent="0.3">
      <c r="A3369" t="s">
        <v>1138</v>
      </c>
      <c r="B3369">
        <v>33</v>
      </c>
      <c r="C3369" t="s">
        <v>1263</v>
      </c>
      <c r="D3369" s="1">
        <v>0.79166666666666663</v>
      </c>
      <c r="E3369" t="s">
        <v>21</v>
      </c>
      <c r="F3369" t="s">
        <v>27</v>
      </c>
      <c r="G3369" s="2">
        <v>46083</v>
      </c>
      <c r="H3369" t="s">
        <v>1001</v>
      </c>
    </row>
    <row r="3370" spans="1:8" x14ac:dyDescent="0.3">
      <c r="A3370" t="s">
        <v>1138</v>
      </c>
      <c r="B3370">
        <v>33</v>
      </c>
      <c r="C3370" t="s">
        <v>1263</v>
      </c>
      <c r="D3370" s="1">
        <v>0.83333333333333337</v>
      </c>
      <c r="E3370" t="s">
        <v>1000</v>
      </c>
      <c r="F3370" t="s">
        <v>15</v>
      </c>
      <c r="G3370" s="2">
        <v>46083</v>
      </c>
      <c r="H3370" t="s">
        <v>887</v>
      </c>
    </row>
    <row r="3371" spans="1:8" x14ac:dyDescent="0.3">
      <c r="A3371" t="s">
        <v>1138</v>
      </c>
      <c r="B3371">
        <v>33</v>
      </c>
      <c r="C3371" t="s">
        <v>1263</v>
      </c>
      <c r="D3371" s="1">
        <v>0.89583333333333337</v>
      </c>
      <c r="E3371" t="s">
        <v>10</v>
      </c>
      <c r="F3371" t="s">
        <v>20</v>
      </c>
      <c r="G3371" t="s">
        <v>42</v>
      </c>
      <c r="H3371" t="s">
        <v>184</v>
      </c>
    </row>
    <row r="3372" spans="1:8" x14ac:dyDescent="0.3">
      <c r="A3372" t="s">
        <v>1138</v>
      </c>
      <c r="B3372">
        <v>34</v>
      </c>
      <c r="C3372" t="s">
        <v>1264</v>
      </c>
      <c r="D3372" s="1">
        <v>0.875</v>
      </c>
      <c r="E3372" t="s">
        <v>27</v>
      </c>
      <c r="F3372" t="s">
        <v>1000</v>
      </c>
      <c r="G3372" s="2">
        <v>46023</v>
      </c>
      <c r="H3372" t="s">
        <v>345</v>
      </c>
    </row>
    <row r="3373" spans="1:8" x14ac:dyDescent="0.3">
      <c r="A3373" t="s">
        <v>1138</v>
      </c>
      <c r="B3373">
        <v>34</v>
      </c>
      <c r="C3373" t="s">
        <v>1265</v>
      </c>
      <c r="D3373" s="1">
        <v>0.58333333333333337</v>
      </c>
      <c r="E3373" t="s">
        <v>464</v>
      </c>
      <c r="F3373" t="s">
        <v>34</v>
      </c>
      <c r="G3373" s="2">
        <v>46024</v>
      </c>
      <c r="H3373" t="s">
        <v>1141</v>
      </c>
    </row>
    <row r="3374" spans="1:8" x14ac:dyDescent="0.3">
      <c r="A3374" t="s">
        <v>1138</v>
      </c>
      <c r="B3374">
        <v>34</v>
      </c>
      <c r="C3374" t="s">
        <v>1265</v>
      </c>
      <c r="D3374" s="1">
        <v>0.67708333333333337</v>
      </c>
      <c r="E3374" t="s">
        <v>25</v>
      </c>
      <c r="F3374" t="s">
        <v>36</v>
      </c>
      <c r="G3374" t="s">
        <v>88</v>
      </c>
      <c r="H3374" t="s">
        <v>467</v>
      </c>
    </row>
    <row r="3375" spans="1:8" x14ac:dyDescent="0.3">
      <c r="A3375" t="s">
        <v>1138</v>
      </c>
      <c r="B3375">
        <v>34</v>
      </c>
      <c r="C3375" t="s">
        <v>1265</v>
      </c>
      <c r="D3375" s="1">
        <v>0.77083333333333337</v>
      </c>
      <c r="E3375" t="s">
        <v>16</v>
      </c>
      <c r="F3375" t="s">
        <v>21</v>
      </c>
      <c r="G3375" s="2">
        <v>46023</v>
      </c>
      <c r="H3375" t="s">
        <v>1007</v>
      </c>
    </row>
    <row r="3376" spans="1:8" x14ac:dyDescent="0.3">
      <c r="A3376" t="s">
        <v>1138</v>
      </c>
      <c r="B3376">
        <v>34</v>
      </c>
      <c r="C3376" t="s">
        <v>1265</v>
      </c>
      <c r="D3376" s="1">
        <v>0.875</v>
      </c>
      <c r="E3376" t="s">
        <v>15</v>
      </c>
      <c r="F3376" t="s">
        <v>28</v>
      </c>
      <c r="G3376" t="s">
        <v>12</v>
      </c>
      <c r="H3376" t="s">
        <v>181</v>
      </c>
    </row>
    <row r="3377" spans="1:8" x14ac:dyDescent="0.3">
      <c r="A3377" t="s">
        <v>1138</v>
      </c>
      <c r="B3377">
        <v>34</v>
      </c>
      <c r="C3377" t="s">
        <v>1266</v>
      </c>
      <c r="D3377" s="1">
        <v>0.58333333333333337</v>
      </c>
      <c r="E3377" t="s">
        <v>31</v>
      </c>
      <c r="F3377" t="s">
        <v>23</v>
      </c>
      <c r="G3377" s="2">
        <v>46023</v>
      </c>
      <c r="H3377" t="s">
        <v>184</v>
      </c>
    </row>
    <row r="3378" spans="1:8" x14ac:dyDescent="0.3">
      <c r="A3378" t="s">
        <v>1138</v>
      </c>
      <c r="B3378">
        <v>34</v>
      </c>
      <c r="C3378" t="s">
        <v>1266</v>
      </c>
      <c r="D3378" s="1">
        <v>0.67708333333333337</v>
      </c>
      <c r="E3378" t="s">
        <v>24</v>
      </c>
      <c r="F3378" t="s">
        <v>35</v>
      </c>
      <c r="G3378" s="2">
        <v>46023</v>
      </c>
      <c r="H3378" t="s">
        <v>205</v>
      </c>
    </row>
    <row r="3379" spans="1:8" x14ac:dyDescent="0.3">
      <c r="A3379" t="s">
        <v>1138</v>
      </c>
      <c r="B3379">
        <v>34</v>
      </c>
      <c r="C3379" t="s">
        <v>1266</v>
      </c>
      <c r="D3379" s="1">
        <v>0.77083333333333337</v>
      </c>
      <c r="E3379" t="s">
        <v>30</v>
      </c>
      <c r="F3379" t="s">
        <v>10</v>
      </c>
      <c r="G3379" s="2">
        <v>46023</v>
      </c>
      <c r="H3379" t="s">
        <v>1146</v>
      </c>
    </row>
    <row r="3380" spans="1:8" x14ac:dyDescent="0.3">
      <c r="A3380" t="s">
        <v>1138</v>
      </c>
      <c r="B3380">
        <v>34</v>
      </c>
      <c r="C3380" t="s">
        <v>1266</v>
      </c>
      <c r="D3380" s="1">
        <v>0.875</v>
      </c>
      <c r="E3380" t="s">
        <v>20</v>
      </c>
      <c r="F3380" t="s">
        <v>881</v>
      </c>
      <c r="G3380" s="2">
        <v>46024</v>
      </c>
      <c r="H3380" t="s">
        <v>614</v>
      </c>
    </row>
    <row r="3381" spans="1:8" x14ac:dyDescent="0.3">
      <c r="A3381" t="s">
        <v>1138</v>
      </c>
      <c r="B3381">
        <v>34</v>
      </c>
      <c r="C3381" t="s">
        <v>1267</v>
      </c>
      <c r="D3381" s="1">
        <v>0.875</v>
      </c>
      <c r="E3381" t="s">
        <v>11</v>
      </c>
      <c r="F3381" t="s">
        <v>26</v>
      </c>
      <c r="G3381" t="s">
        <v>41</v>
      </c>
      <c r="H3381" t="s">
        <v>752</v>
      </c>
    </row>
    <row r="3382" spans="1:8" x14ac:dyDescent="0.3">
      <c r="A3382" t="s">
        <v>1138</v>
      </c>
      <c r="B3382">
        <v>35</v>
      </c>
      <c r="C3382" t="s">
        <v>1268</v>
      </c>
      <c r="D3382" s="1">
        <v>0.875</v>
      </c>
      <c r="E3382" t="s">
        <v>21</v>
      </c>
      <c r="F3382" t="s">
        <v>10</v>
      </c>
      <c r="G3382" s="2">
        <v>46024</v>
      </c>
      <c r="H3382" t="s">
        <v>612</v>
      </c>
    </row>
    <row r="3383" spans="1:8" x14ac:dyDescent="0.3">
      <c r="A3383" t="s">
        <v>1138</v>
      </c>
      <c r="B3383">
        <v>35</v>
      </c>
      <c r="C3383" t="s">
        <v>1269</v>
      </c>
      <c r="D3383" s="1">
        <v>0.58333333333333337</v>
      </c>
      <c r="E3383" t="s">
        <v>881</v>
      </c>
      <c r="F3383" t="s">
        <v>24</v>
      </c>
      <c r="G3383" s="2">
        <v>46175</v>
      </c>
      <c r="H3383" t="s">
        <v>341</v>
      </c>
    </row>
    <row r="3384" spans="1:8" x14ac:dyDescent="0.3">
      <c r="A3384" t="s">
        <v>1138</v>
      </c>
      <c r="B3384">
        <v>35</v>
      </c>
      <c r="C3384" t="s">
        <v>1269</v>
      </c>
      <c r="D3384" s="1">
        <v>0.67708333333333337</v>
      </c>
      <c r="E3384" t="s">
        <v>15</v>
      </c>
      <c r="F3384" t="s">
        <v>16</v>
      </c>
      <c r="G3384" t="s">
        <v>41</v>
      </c>
      <c r="H3384" t="s">
        <v>1001</v>
      </c>
    </row>
    <row r="3385" spans="1:8" x14ac:dyDescent="0.3">
      <c r="A3385" t="s">
        <v>1138</v>
      </c>
      <c r="B3385">
        <v>35</v>
      </c>
      <c r="C3385" t="s">
        <v>1269</v>
      </c>
      <c r="D3385" s="1">
        <v>0.77083333333333337</v>
      </c>
      <c r="E3385" t="s">
        <v>35</v>
      </c>
      <c r="F3385" t="s">
        <v>464</v>
      </c>
      <c r="G3385" t="s">
        <v>88</v>
      </c>
      <c r="H3385" t="s">
        <v>747</v>
      </c>
    </row>
    <row r="3386" spans="1:8" x14ac:dyDescent="0.3">
      <c r="A3386" t="s">
        <v>1138</v>
      </c>
      <c r="B3386">
        <v>35</v>
      </c>
      <c r="C3386" t="s">
        <v>1269</v>
      </c>
      <c r="D3386" s="1">
        <v>0.77083333333333337</v>
      </c>
      <c r="E3386" t="s">
        <v>1000</v>
      </c>
      <c r="F3386" t="s">
        <v>31</v>
      </c>
      <c r="G3386" t="s">
        <v>32</v>
      </c>
      <c r="H3386" t="s">
        <v>185</v>
      </c>
    </row>
    <row r="3387" spans="1:8" x14ac:dyDescent="0.3">
      <c r="A3387" t="s">
        <v>1138</v>
      </c>
      <c r="B3387">
        <v>35</v>
      </c>
      <c r="C3387" t="s">
        <v>1269</v>
      </c>
      <c r="D3387" s="1">
        <v>0.875</v>
      </c>
      <c r="E3387" t="s">
        <v>26</v>
      </c>
      <c r="F3387" t="s">
        <v>20</v>
      </c>
      <c r="G3387" s="2">
        <v>46054</v>
      </c>
      <c r="H3387" t="s">
        <v>181</v>
      </c>
    </row>
    <row r="3388" spans="1:8" x14ac:dyDescent="0.3">
      <c r="A3388" t="s">
        <v>1138</v>
      </c>
      <c r="B3388">
        <v>35</v>
      </c>
      <c r="C3388" t="s">
        <v>1270</v>
      </c>
      <c r="D3388" s="1">
        <v>0.58333333333333337</v>
      </c>
      <c r="E3388" t="s">
        <v>11</v>
      </c>
      <c r="F3388" t="s">
        <v>30</v>
      </c>
      <c r="G3388" t="s">
        <v>41</v>
      </c>
      <c r="H3388" t="s">
        <v>190</v>
      </c>
    </row>
    <row r="3389" spans="1:8" x14ac:dyDescent="0.3">
      <c r="A3389" t="s">
        <v>1138</v>
      </c>
      <c r="B3389">
        <v>35</v>
      </c>
      <c r="C3389" t="s">
        <v>1270</v>
      </c>
      <c r="D3389" s="1">
        <v>0.67708333333333337</v>
      </c>
      <c r="E3389" t="s">
        <v>34</v>
      </c>
      <c r="F3389" t="s">
        <v>27</v>
      </c>
      <c r="G3389" s="2">
        <v>46023</v>
      </c>
      <c r="H3389" t="s">
        <v>194</v>
      </c>
    </row>
    <row r="3390" spans="1:8" x14ac:dyDescent="0.3">
      <c r="A3390" t="s">
        <v>1138</v>
      </c>
      <c r="B3390">
        <v>35</v>
      </c>
      <c r="C3390" t="s">
        <v>1270</v>
      </c>
      <c r="D3390" s="1">
        <v>0.77083333333333337</v>
      </c>
      <c r="E3390" t="s">
        <v>36</v>
      </c>
      <c r="F3390" t="s">
        <v>23</v>
      </c>
      <c r="G3390" s="2">
        <v>46023</v>
      </c>
      <c r="H3390" t="s">
        <v>197</v>
      </c>
    </row>
    <row r="3391" spans="1:8" x14ac:dyDescent="0.3">
      <c r="A3391" t="s">
        <v>1138</v>
      </c>
      <c r="B3391">
        <v>35</v>
      </c>
      <c r="C3391" t="s">
        <v>1270</v>
      </c>
      <c r="D3391" s="1">
        <v>0.875</v>
      </c>
      <c r="E3391" t="s">
        <v>28</v>
      </c>
      <c r="F3391" t="s">
        <v>25</v>
      </c>
      <c r="G3391" t="s">
        <v>18</v>
      </c>
      <c r="H3391" t="s">
        <v>883</v>
      </c>
    </row>
    <row r="3392" spans="1:8" x14ac:dyDescent="0.3">
      <c r="A3392" t="s">
        <v>1138</v>
      </c>
      <c r="B3392">
        <v>36</v>
      </c>
      <c r="C3392" t="s">
        <v>1271</v>
      </c>
      <c r="D3392" s="1">
        <v>0.79166666666666663</v>
      </c>
      <c r="E3392" t="s">
        <v>16</v>
      </c>
      <c r="F3392" t="s">
        <v>26</v>
      </c>
      <c r="G3392" t="s">
        <v>46</v>
      </c>
      <c r="H3392" t="s">
        <v>184</v>
      </c>
    </row>
    <row r="3393" spans="1:8" x14ac:dyDescent="0.3">
      <c r="A3393" t="s">
        <v>1138</v>
      </c>
      <c r="B3393">
        <v>36</v>
      </c>
      <c r="C3393" t="s">
        <v>1271</v>
      </c>
      <c r="D3393" s="1">
        <v>0.83333333333333337</v>
      </c>
      <c r="E3393" t="s">
        <v>24</v>
      </c>
      <c r="F3393" t="s">
        <v>15</v>
      </c>
      <c r="G3393" t="s">
        <v>18</v>
      </c>
      <c r="H3393" t="s">
        <v>345</v>
      </c>
    </row>
    <row r="3394" spans="1:8" x14ac:dyDescent="0.3">
      <c r="A3394" t="s">
        <v>1138</v>
      </c>
      <c r="B3394">
        <v>36</v>
      </c>
      <c r="C3394" t="s">
        <v>1271</v>
      </c>
      <c r="D3394" s="1">
        <v>0.89583333333333337</v>
      </c>
      <c r="E3394" t="s">
        <v>20</v>
      </c>
      <c r="F3394" t="s">
        <v>35</v>
      </c>
      <c r="G3394" s="2">
        <v>46025</v>
      </c>
      <c r="H3394" t="s">
        <v>1141</v>
      </c>
    </row>
    <row r="3395" spans="1:8" x14ac:dyDescent="0.3">
      <c r="A3395" t="s">
        <v>1138</v>
      </c>
      <c r="B3395">
        <v>36</v>
      </c>
      <c r="C3395" t="s">
        <v>1272</v>
      </c>
      <c r="D3395" s="1">
        <v>0.79166666666666663</v>
      </c>
      <c r="E3395" t="s">
        <v>464</v>
      </c>
      <c r="F3395" t="s">
        <v>36</v>
      </c>
      <c r="G3395" s="2">
        <v>46024</v>
      </c>
      <c r="H3395" t="s">
        <v>887</v>
      </c>
    </row>
    <row r="3396" spans="1:8" x14ac:dyDescent="0.3">
      <c r="A3396" t="s">
        <v>1138</v>
      </c>
      <c r="B3396">
        <v>36</v>
      </c>
      <c r="C3396" t="s">
        <v>1272</v>
      </c>
      <c r="D3396" s="1">
        <v>0.79166666666666663</v>
      </c>
      <c r="E3396" t="s">
        <v>23</v>
      </c>
      <c r="F3396" t="s">
        <v>11</v>
      </c>
      <c r="G3396" s="2">
        <v>46023</v>
      </c>
      <c r="H3396" t="s">
        <v>1146</v>
      </c>
    </row>
    <row r="3397" spans="1:8" x14ac:dyDescent="0.3">
      <c r="A3397" t="s">
        <v>1138</v>
      </c>
      <c r="B3397">
        <v>36</v>
      </c>
      <c r="C3397" t="s">
        <v>1272</v>
      </c>
      <c r="D3397" s="1">
        <v>0.85416666666666663</v>
      </c>
      <c r="E3397" t="s">
        <v>27</v>
      </c>
      <c r="F3397" t="s">
        <v>881</v>
      </c>
      <c r="G3397" t="s">
        <v>41</v>
      </c>
      <c r="H3397" t="s">
        <v>185</v>
      </c>
    </row>
    <row r="3398" spans="1:8" x14ac:dyDescent="0.3">
      <c r="A3398" t="s">
        <v>1138</v>
      </c>
      <c r="B3398">
        <v>36</v>
      </c>
      <c r="C3398" t="s">
        <v>1272</v>
      </c>
      <c r="D3398" s="1">
        <v>0.89583333333333337</v>
      </c>
      <c r="E3398" t="s">
        <v>31</v>
      </c>
      <c r="F3398" t="s">
        <v>28</v>
      </c>
      <c r="G3398" t="s">
        <v>54</v>
      </c>
      <c r="H3398" t="s">
        <v>614</v>
      </c>
    </row>
    <row r="3399" spans="1:8" x14ac:dyDescent="0.3">
      <c r="A3399" t="s">
        <v>1138</v>
      </c>
      <c r="B3399">
        <v>36</v>
      </c>
      <c r="C3399" t="s">
        <v>1273</v>
      </c>
      <c r="D3399" s="1">
        <v>0.79166666666666663</v>
      </c>
      <c r="E3399" t="s">
        <v>10</v>
      </c>
      <c r="F3399" t="s">
        <v>1000</v>
      </c>
      <c r="G3399" t="s">
        <v>32</v>
      </c>
      <c r="H3399" t="s">
        <v>205</v>
      </c>
    </row>
    <row r="3400" spans="1:8" x14ac:dyDescent="0.3">
      <c r="A3400" t="s">
        <v>1138</v>
      </c>
      <c r="B3400">
        <v>36</v>
      </c>
      <c r="C3400" t="s">
        <v>1273</v>
      </c>
      <c r="D3400" s="1">
        <v>0.83333333333333337</v>
      </c>
      <c r="E3400" t="s">
        <v>30</v>
      </c>
      <c r="F3400" t="s">
        <v>34</v>
      </c>
      <c r="G3400" s="2">
        <v>46143</v>
      </c>
      <c r="H3400" t="s">
        <v>1001</v>
      </c>
    </row>
    <row r="3401" spans="1:8" x14ac:dyDescent="0.3">
      <c r="A3401" t="s">
        <v>1138</v>
      </c>
      <c r="B3401">
        <v>36</v>
      </c>
      <c r="C3401" t="s">
        <v>1273</v>
      </c>
      <c r="D3401" s="1">
        <v>0.89583333333333337</v>
      </c>
      <c r="E3401" t="s">
        <v>25</v>
      </c>
      <c r="F3401" t="s">
        <v>21</v>
      </c>
      <c r="G3401" t="s">
        <v>126</v>
      </c>
      <c r="H3401" t="s">
        <v>752</v>
      </c>
    </row>
    <row r="3402" spans="1:8" x14ac:dyDescent="0.3">
      <c r="A3402" t="s">
        <v>1138</v>
      </c>
      <c r="B3402">
        <v>37</v>
      </c>
      <c r="C3402" t="s">
        <v>1274</v>
      </c>
      <c r="D3402" s="1">
        <v>0.77083333333333337</v>
      </c>
      <c r="E3402" t="s">
        <v>36</v>
      </c>
      <c r="F3402" t="s">
        <v>16</v>
      </c>
      <c r="G3402" s="2">
        <v>46023</v>
      </c>
      <c r="H3402" t="s">
        <v>1146</v>
      </c>
    </row>
    <row r="3403" spans="1:8" x14ac:dyDescent="0.3">
      <c r="A3403" t="s">
        <v>1138</v>
      </c>
      <c r="B3403">
        <v>37</v>
      </c>
      <c r="C3403" t="s">
        <v>1275</v>
      </c>
      <c r="D3403" s="1">
        <v>0.8125</v>
      </c>
      <c r="E3403" t="s">
        <v>15</v>
      </c>
      <c r="F3403" t="s">
        <v>23</v>
      </c>
      <c r="G3403" t="s">
        <v>12</v>
      </c>
      <c r="H3403" t="s">
        <v>1007</v>
      </c>
    </row>
    <row r="3404" spans="1:8" x14ac:dyDescent="0.3">
      <c r="A3404" t="s">
        <v>1138</v>
      </c>
      <c r="B3404">
        <v>37</v>
      </c>
      <c r="C3404" t="s">
        <v>1275</v>
      </c>
      <c r="D3404" s="1">
        <v>0.8125</v>
      </c>
      <c r="E3404" t="s">
        <v>28</v>
      </c>
      <c r="F3404" t="s">
        <v>27</v>
      </c>
      <c r="G3404" s="2">
        <v>46023</v>
      </c>
      <c r="H3404" t="s">
        <v>345</v>
      </c>
    </row>
    <row r="3405" spans="1:8" x14ac:dyDescent="0.3">
      <c r="A3405" t="s">
        <v>1138</v>
      </c>
      <c r="B3405">
        <v>37</v>
      </c>
      <c r="C3405" t="s">
        <v>1275</v>
      </c>
      <c r="D3405" s="1">
        <v>0.8125</v>
      </c>
      <c r="E3405" t="s">
        <v>26</v>
      </c>
      <c r="F3405" t="s">
        <v>24</v>
      </c>
      <c r="G3405" t="s">
        <v>12</v>
      </c>
      <c r="H3405" t="s">
        <v>341</v>
      </c>
    </row>
    <row r="3406" spans="1:8" x14ac:dyDescent="0.3">
      <c r="A3406" t="s">
        <v>1138</v>
      </c>
      <c r="B3406">
        <v>37</v>
      </c>
      <c r="C3406" t="s">
        <v>1275</v>
      </c>
      <c r="D3406" s="1">
        <v>0.8125</v>
      </c>
      <c r="E3406" t="s">
        <v>35</v>
      </c>
      <c r="F3406" t="s">
        <v>31</v>
      </c>
      <c r="G3406" t="s">
        <v>18</v>
      </c>
      <c r="H3406" t="s">
        <v>190</v>
      </c>
    </row>
    <row r="3407" spans="1:8" x14ac:dyDescent="0.3">
      <c r="A3407" t="s">
        <v>1138</v>
      </c>
      <c r="B3407">
        <v>37</v>
      </c>
      <c r="C3407" t="s">
        <v>1275</v>
      </c>
      <c r="D3407" s="1">
        <v>0.8125</v>
      </c>
      <c r="E3407" t="s">
        <v>881</v>
      </c>
      <c r="F3407" t="s">
        <v>30</v>
      </c>
      <c r="G3407" s="2">
        <v>46024</v>
      </c>
      <c r="H3407" t="s">
        <v>467</v>
      </c>
    </row>
    <row r="3408" spans="1:8" x14ac:dyDescent="0.3">
      <c r="A3408" t="s">
        <v>1138</v>
      </c>
      <c r="B3408">
        <v>37</v>
      </c>
      <c r="C3408" t="s">
        <v>1275</v>
      </c>
      <c r="D3408" s="1">
        <v>0.8125</v>
      </c>
      <c r="E3408" t="s">
        <v>11</v>
      </c>
      <c r="F3408" t="s">
        <v>20</v>
      </c>
      <c r="G3408" t="s">
        <v>41</v>
      </c>
      <c r="H3408" t="s">
        <v>194</v>
      </c>
    </row>
    <row r="3409" spans="1:8" x14ac:dyDescent="0.3">
      <c r="A3409" t="s">
        <v>1138</v>
      </c>
      <c r="B3409">
        <v>37</v>
      </c>
      <c r="C3409" t="s">
        <v>1275</v>
      </c>
      <c r="D3409" s="1">
        <v>0.8125</v>
      </c>
      <c r="E3409" t="s">
        <v>1000</v>
      </c>
      <c r="F3409" t="s">
        <v>25</v>
      </c>
      <c r="G3409" s="2">
        <v>46023</v>
      </c>
      <c r="H3409" t="s">
        <v>181</v>
      </c>
    </row>
    <row r="3410" spans="1:8" x14ac:dyDescent="0.3">
      <c r="A3410" t="s">
        <v>1138</v>
      </c>
      <c r="B3410">
        <v>37</v>
      </c>
      <c r="C3410" t="s">
        <v>1275</v>
      </c>
      <c r="D3410" s="1">
        <v>0.8125</v>
      </c>
      <c r="E3410" t="s">
        <v>21</v>
      </c>
      <c r="F3410" t="s">
        <v>464</v>
      </c>
      <c r="G3410" s="2">
        <v>46025</v>
      </c>
      <c r="H3410" t="s">
        <v>747</v>
      </c>
    </row>
    <row r="3411" spans="1:8" x14ac:dyDescent="0.3">
      <c r="A3411" t="s">
        <v>1138</v>
      </c>
      <c r="B3411">
        <v>37</v>
      </c>
      <c r="C3411" t="s">
        <v>1275</v>
      </c>
      <c r="D3411" s="1">
        <v>0.8125</v>
      </c>
      <c r="E3411" t="s">
        <v>34</v>
      </c>
      <c r="F3411" t="s">
        <v>10</v>
      </c>
      <c r="G3411" s="2">
        <v>46054</v>
      </c>
      <c r="H3411" t="s">
        <v>614</v>
      </c>
    </row>
    <row r="3412" spans="1:8" x14ac:dyDescent="0.3">
      <c r="A3412" t="s">
        <v>1138</v>
      </c>
      <c r="B3412">
        <v>38</v>
      </c>
      <c r="C3412" t="s">
        <v>1276</v>
      </c>
      <c r="D3412" s="1">
        <v>0.875</v>
      </c>
      <c r="E3412" t="s">
        <v>25</v>
      </c>
      <c r="F3412" t="s">
        <v>26</v>
      </c>
      <c r="G3412" t="s">
        <v>41</v>
      </c>
      <c r="H3412" t="s">
        <v>197</v>
      </c>
    </row>
    <row r="3413" spans="1:8" x14ac:dyDescent="0.3">
      <c r="A3413" t="s">
        <v>1138</v>
      </c>
      <c r="B3413">
        <v>38</v>
      </c>
      <c r="C3413" t="s">
        <v>1276</v>
      </c>
      <c r="D3413" s="1">
        <v>0.875</v>
      </c>
      <c r="E3413" t="s">
        <v>30</v>
      </c>
      <c r="F3413" t="s">
        <v>21</v>
      </c>
      <c r="G3413" s="2">
        <v>46114</v>
      </c>
      <c r="H3413" t="s">
        <v>190</v>
      </c>
    </row>
    <row r="3414" spans="1:8" x14ac:dyDescent="0.3">
      <c r="A3414" t="s">
        <v>1138</v>
      </c>
      <c r="B3414">
        <v>38</v>
      </c>
      <c r="C3414" t="s">
        <v>1277</v>
      </c>
      <c r="D3414" s="1">
        <v>0.72916666666666663</v>
      </c>
      <c r="E3414" t="s">
        <v>16</v>
      </c>
      <c r="F3414" t="s">
        <v>35</v>
      </c>
      <c r="G3414" t="s">
        <v>12</v>
      </c>
      <c r="H3414" t="s">
        <v>752</v>
      </c>
    </row>
    <row r="3415" spans="1:8" x14ac:dyDescent="0.3">
      <c r="A3415" t="s">
        <v>1138</v>
      </c>
      <c r="B3415">
        <v>38</v>
      </c>
      <c r="C3415" t="s">
        <v>1278</v>
      </c>
      <c r="D3415" s="1">
        <v>0.72916666666666663</v>
      </c>
      <c r="E3415" t="s">
        <v>31</v>
      </c>
      <c r="F3415" t="s">
        <v>11</v>
      </c>
      <c r="G3415" s="2">
        <v>46025</v>
      </c>
      <c r="H3415" t="s">
        <v>747</v>
      </c>
    </row>
    <row r="3416" spans="1:8" x14ac:dyDescent="0.3">
      <c r="A3416" t="s">
        <v>1138</v>
      </c>
      <c r="B3416">
        <v>38</v>
      </c>
      <c r="C3416" t="s">
        <v>1278</v>
      </c>
      <c r="D3416" s="1">
        <v>0.83333333333333337</v>
      </c>
      <c r="E3416" t="s">
        <v>464</v>
      </c>
      <c r="F3416" t="s">
        <v>1000</v>
      </c>
      <c r="G3416" t="s">
        <v>42</v>
      </c>
      <c r="H3416" t="s">
        <v>345</v>
      </c>
    </row>
    <row r="3417" spans="1:8" x14ac:dyDescent="0.3">
      <c r="A3417" t="s">
        <v>1138</v>
      </c>
      <c r="B3417">
        <v>38</v>
      </c>
      <c r="C3417" t="s">
        <v>1278</v>
      </c>
      <c r="D3417" s="1">
        <v>0.83333333333333337</v>
      </c>
      <c r="E3417" t="s">
        <v>24</v>
      </c>
      <c r="F3417" t="s">
        <v>36</v>
      </c>
      <c r="G3417" t="s">
        <v>41</v>
      </c>
      <c r="H3417" t="s">
        <v>185</v>
      </c>
    </row>
    <row r="3418" spans="1:8" x14ac:dyDescent="0.3">
      <c r="A3418" t="s">
        <v>1138</v>
      </c>
      <c r="B3418">
        <v>38</v>
      </c>
      <c r="C3418" t="s">
        <v>1278</v>
      </c>
      <c r="D3418" s="1">
        <v>0.83333333333333337</v>
      </c>
      <c r="E3418" t="s">
        <v>23</v>
      </c>
      <c r="F3418" t="s">
        <v>881</v>
      </c>
      <c r="G3418" t="s">
        <v>54</v>
      </c>
      <c r="H3418" t="s">
        <v>883</v>
      </c>
    </row>
    <row r="3419" spans="1:8" x14ac:dyDescent="0.3">
      <c r="A3419" t="s">
        <v>1138</v>
      </c>
      <c r="B3419">
        <v>38</v>
      </c>
      <c r="C3419" t="s">
        <v>1278</v>
      </c>
      <c r="D3419" s="1">
        <v>0.91666666666666663</v>
      </c>
      <c r="E3419" t="s">
        <v>20</v>
      </c>
      <c r="F3419" t="s">
        <v>34</v>
      </c>
      <c r="G3419" t="s">
        <v>54</v>
      </c>
      <c r="H3419" t="s">
        <v>467</v>
      </c>
    </row>
    <row r="3420" spans="1:8" x14ac:dyDescent="0.3">
      <c r="A3420" t="s">
        <v>1138</v>
      </c>
      <c r="B3420">
        <v>38</v>
      </c>
      <c r="C3420" t="s">
        <v>1278</v>
      </c>
      <c r="D3420" s="1">
        <v>0.91666666666666663</v>
      </c>
      <c r="E3420" t="s">
        <v>10</v>
      </c>
      <c r="F3420" t="s">
        <v>28</v>
      </c>
      <c r="G3420" s="2">
        <v>46054</v>
      </c>
      <c r="H3420" t="s">
        <v>194</v>
      </c>
    </row>
    <row r="3421" spans="1:8" x14ac:dyDescent="0.3">
      <c r="A3421" t="s">
        <v>1138</v>
      </c>
      <c r="B3421">
        <v>38</v>
      </c>
      <c r="C3421" t="s">
        <v>1278</v>
      </c>
      <c r="D3421" s="1">
        <v>0.91666666666666663</v>
      </c>
      <c r="E3421" t="s">
        <v>27</v>
      </c>
      <c r="F3421" t="s">
        <v>15</v>
      </c>
      <c r="G3421" t="s">
        <v>18</v>
      </c>
      <c r="H3421" t="s">
        <v>184</v>
      </c>
    </row>
    <row r="3422" spans="1:8" x14ac:dyDescent="0.3">
      <c r="A3422" t="s">
        <v>1279</v>
      </c>
      <c r="B3422">
        <v>1</v>
      </c>
      <c r="C3422" t="s">
        <v>1280</v>
      </c>
      <c r="D3422" s="1">
        <v>0.875</v>
      </c>
      <c r="E3422" t="s">
        <v>23</v>
      </c>
      <c r="F3422" t="s">
        <v>27</v>
      </c>
      <c r="G3422" s="2">
        <v>46024</v>
      </c>
      <c r="H3422" t="s">
        <v>184</v>
      </c>
    </row>
    <row r="3423" spans="1:8" x14ac:dyDescent="0.3">
      <c r="A3423" t="s">
        <v>1279</v>
      </c>
      <c r="B3423">
        <v>1</v>
      </c>
      <c r="C3423" t="s">
        <v>1281</v>
      </c>
      <c r="D3423" s="1">
        <v>0.70833333333333337</v>
      </c>
      <c r="E3423" t="s">
        <v>35</v>
      </c>
      <c r="F3423" t="s">
        <v>36</v>
      </c>
      <c r="G3423" s="2">
        <v>46055</v>
      </c>
      <c r="H3423" t="s">
        <v>1141</v>
      </c>
    </row>
    <row r="3424" spans="1:8" x14ac:dyDescent="0.3">
      <c r="A3424" t="s">
        <v>1279</v>
      </c>
      <c r="B3424">
        <v>1</v>
      </c>
      <c r="C3424" t="s">
        <v>1281</v>
      </c>
      <c r="D3424" s="1">
        <v>0.79166666666666663</v>
      </c>
      <c r="E3424" t="s">
        <v>14</v>
      </c>
      <c r="F3424" t="s">
        <v>34</v>
      </c>
      <c r="G3424" t="s">
        <v>46</v>
      </c>
      <c r="H3424" t="s">
        <v>190</v>
      </c>
    </row>
    <row r="3425" spans="1:8" x14ac:dyDescent="0.3">
      <c r="A3425" t="s">
        <v>1279</v>
      </c>
      <c r="B3425">
        <v>1</v>
      </c>
      <c r="C3425" t="s">
        <v>1281</v>
      </c>
      <c r="D3425" s="1">
        <v>0.875</v>
      </c>
      <c r="E3425" t="s">
        <v>20</v>
      </c>
      <c r="F3425" t="s">
        <v>30</v>
      </c>
      <c r="G3425" t="s">
        <v>41</v>
      </c>
      <c r="H3425" t="s">
        <v>185</v>
      </c>
    </row>
    <row r="3426" spans="1:8" x14ac:dyDescent="0.3">
      <c r="A3426" t="s">
        <v>1279</v>
      </c>
      <c r="B3426">
        <v>1</v>
      </c>
      <c r="C3426" t="s">
        <v>1282</v>
      </c>
      <c r="D3426" s="1">
        <v>0.72916666666666663</v>
      </c>
      <c r="E3426" t="s">
        <v>1000</v>
      </c>
      <c r="F3426" t="s">
        <v>10</v>
      </c>
      <c r="G3426" t="s">
        <v>42</v>
      </c>
      <c r="H3426" t="s">
        <v>1001</v>
      </c>
    </row>
    <row r="3427" spans="1:8" x14ac:dyDescent="0.3">
      <c r="A3427" t="s">
        <v>1279</v>
      </c>
      <c r="B3427">
        <v>1</v>
      </c>
      <c r="C3427" t="s">
        <v>1282</v>
      </c>
      <c r="D3427" s="1">
        <v>0.8125</v>
      </c>
      <c r="E3427" t="s">
        <v>16</v>
      </c>
      <c r="F3427" t="s">
        <v>606</v>
      </c>
      <c r="G3427" t="s">
        <v>18</v>
      </c>
      <c r="H3427" t="s">
        <v>1007</v>
      </c>
    </row>
    <row r="3428" spans="1:8" x14ac:dyDescent="0.3">
      <c r="A3428" t="s">
        <v>1279</v>
      </c>
      <c r="B3428">
        <v>1</v>
      </c>
      <c r="C3428" t="s">
        <v>1282</v>
      </c>
      <c r="D3428" s="1">
        <v>0.91666666666666663</v>
      </c>
      <c r="E3428" t="s">
        <v>33</v>
      </c>
      <c r="F3428" t="s">
        <v>25</v>
      </c>
      <c r="G3428" s="2">
        <v>46054</v>
      </c>
      <c r="H3428" t="s">
        <v>205</v>
      </c>
    </row>
    <row r="3429" spans="1:8" x14ac:dyDescent="0.3">
      <c r="A3429" t="s">
        <v>1279</v>
      </c>
      <c r="B3429">
        <v>1</v>
      </c>
      <c r="C3429" t="s">
        <v>1283</v>
      </c>
      <c r="D3429" s="1">
        <v>0.72916666666666663</v>
      </c>
      <c r="E3429" t="s">
        <v>15</v>
      </c>
      <c r="F3429" t="s">
        <v>881</v>
      </c>
      <c r="G3429" t="s">
        <v>41</v>
      </c>
      <c r="H3429" t="s">
        <v>1284</v>
      </c>
    </row>
    <row r="3430" spans="1:8" x14ac:dyDescent="0.3">
      <c r="A3430" t="s">
        <v>1279</v>
      </c>
      <c r="B3430">
        <v>1</v>
      </c>
      <c r="C3430" t="s">
        <v>1283</v>
      </c>
      <c r="D3430" s="1">
        <v>0.8125</v>
      </c>
      <c r="E3430" t="s">
        <v>11</v>
      </c>
      <c r="F3430" t="s">
        <v>28</v>
      </c>
      <c r="G3430" t="s">
        <v>46</v>
      </c>
      <c r="H3430" t="s">
        <v>345</v>
      </c>
    </row>
    <row r="3431" spans="1:8" x14ac:dyDescent="0.3">
      <c r="A3431" t="s">
        <v>1279</v>
      </c>
      <c r="B3431">
        <v>1</v>
      </c>
      <c r="C3431" t="s">
        <v>1283</v>
      </c>
      <c r="D3431" s="1">
        <v>0.89583333333333337</v>
      </c>
      <c r="E3431" t="s">
        <v>26</v>
      </c>
      <c r="F3431" t="s">
        <v>31</v>
      </c>
      <c r="G3431" t="s">
        <v>32</v>
      </c>
      <c r="H3431" t="s">
        <v>747</v>
      </c>
    </row>
    <row r="3432" spans="1:8" x14ac:dyDescent="0.3">
      <c r="A3432" t="s">
        <v>1279</v>
      </c>
      <c r="B3432">
        <v>2</v>
      </c>
      <c r="C3432" t="s">
        <v>1285</v>
      </c>
      <c r="D3432" s="1">
        <v>0.83333333333333337</v>
      </c>
      <c r="E3432" t="s">
        <v>36</v>
      </c>
      <c r="F3432" t="s">
        <v>30</v>
      </c>
      <c r="G3432" t="s">
        <v>54</v>
      </c>
      <c r="H3432" t="s">
        <v>1007</v>
      </c>
    </row>
    <row r="3433" spans="1:8" x14ac:dyDescent="0.3">
      <c r="A3433" t="s">
        <v>1279</v>
      </c>
      <c r="B3433">
        <v>2</v>
      </c>
      <c r="C3433" t="s">
        <v>1285</v>
      </c>
      <c r="D3433" s="1">
        <v>0.91666666666666663</v>
      </c>
      <c r="E3433" t="s">
        <v>27</v>
      </c>
      <c r="F3433" t="s">
        <v>14</v>
      </c>
      <c r="G3433" s="2">
        <v>46023</v>
      </c>
      <c r="H3433" t="s">
        <v>1286</v>
      </c>
    </row>
    <row r="3434" spans="1:8" x14ac:dyDescent="0.3">
      <c r="A3434" t="s">
        <v>1279</v>
      </c>
      <c r="B3434">
        <v>2</v>
      </c>
      <c r="C3434" t="s">
        <v>1287</v>
      </c>
      <c r="D3434" s="1">
        <v>0.72916666666666663</v>
      </c>
      <c r="E3434" t="s">
        <v>23</v>
      </c>
      <c r="F3434" t="s">
        <v>1000</v>
      </c>
      <c r="G3434" t="s">
        <v>12</v>
      </c>
      <c r="H3434" t="s">
        <v>181</v>
      </c>
    </row>
    <row r="3435" spans="1:8" x14ac:dyDescent="0.3">
      <c r="A3435" t="s">
        <v>1279</v>
      </c>
      <c r="B3435">
        <v>2</v>
      </c>
      <c r="C3435" t="s">
        <v>1287</v>
      </c>
      <c r="D3435" s="1">
        <v>0.8125</v>
      </c>
      <c r="E3435" t="s">
        <v>881</v>
      </c>
      <c r="F3435" t="s">
        <v>26</v>
      </c>
      <c r="G3435" s="2">
        <v>46054</v>
      </c>
      <c r="H3435" t="s">
        <v>614</v>
      </c>
    </row>
    <row r="3436" spans="1:8" x14ac:dyDescent="0.3">
      <c r="A3436" t="s">
        <v>1279</v>
      </c>
      <c r="B3436">
        <v>2</v>
      </c>
      <c r="C3436" t="s">
        <v>1287</v>
      </c>
      <c r="D3436" s="1">
        <v>0.91666666666666663</v>
      </c>
      <c r="E3436" t="s">
        <v>35</v>
      </c>
      <c r="F3436" t="s">
        <v>25</v>
      </c>
      <c r="G3436" s="2">
        <v>46113</v>
      </c>
      <c r="H3436" t="s">
        <v>194</v>
      </c>
    </row>
    <row r="3437" spans="1:8" x14ac:dyDescent="0.3">
      <c r="A3437" t="s">
        <v>1279</v>
      </c>
      <c r="B3437">
        <v>2</v>
      </c>
      <c r="C3437" t="s">
        <v>1288</v>
      </c>
      <c r="D3437" s="1">
        <v>0.72916666666666663</v>
      </c>
      <c r="E3437" t="s">
        <v>15</v>
      </c>
      <c r="F3437" t="s">
        <v>16</v>
      </c>
      <c r="G3437" t="s">
        <v>18</v>
      </c>
      <c r="H3437" t="s">
        <v>883</v>
      </c>
    </row>
    <row r="3438" spans="1:8" x14ac:dyDescent="0.3">
      <c r="A3438" t="s">
        <v>1279</v>
      </c>
      <c r="B3438">
        <v>2</v>
      </c>
      <c r="C3438" t="s">
        <v>1288</v>
      </c>
      <c r="D3438" s="1">
        <v>0.8125</v>
      </c>
      <c r="E3438" t="s">
        <v>28</v>
      </c>
      <c r="F3438" t="s">
        <v>34</v>
      </c>
      <c r="G3438" t="s">
        <v>54</v>
      </c>
      <c r="H3438" t="s">
        <v>341</v>
      </c>
    </row>
    <row r="3439" spans="1:8" x14ac:dyDescent="0.3">
      <c r="A3439" t="s">
        <v>1279</v>
      </c>
      <c r="B3439">
        <v>2</v>
      </c>
      <c r="C3439" t="s">
        <v>1288</v>
      </c>
      <c r="D3439" s="1">
        <v>0.91666666666666663</v>
      </c>
      <c r="E3439" t="s">
        <v>10</v>
      </c>
      <c r="F3439" t="s">
        <v>20</v>
      </c>
      <c r="G3439" s="2">
        <v>46113</v>
      </c>
      <c r="H3439" t="s">
        <v>467</v>
      </c>
    </row>
    <row r="3440" spans="1:8" x14ac:dyDescent="0.3">
      <c r="A3440" t="s">
        <v>1279</v>
      </c>
      <c r="B3440">
        <v>2</v>
      </c>
      <c r="C3440" t="s">
        <v>1289</v>
      </c>
      <c r="D3440" s="1">
        <v>0.83333333333333337</v>
      </c>
      <c r="E3440" t="s">
        <v>31</v>
      </c>
      <c r="F3440" t="s">
        <v>33</v>
      </c>
      <c r="G3440" s="2">
        <v>46023</v>
      </c>
      <c r="H3440" t="s">
        <v>1001</v>
      </c>
    </row>
    <row r="3441" spans="1:8" x14ac:dyDescent="0.3">
      <c r="A3441" t="s">
        <v>1279</v>
      </c>
      <c r="B3441">
        <v>2</v>
      </c>
      <c r="C3441" t="s">
        <v>1289</v>
      </c>
      <c r="D3441" s="1">
        <v>0.91666666666666663</v>
      </c>
      <c r="E3441" t="s">
        <v>606</v>
      </c>
      <c r="F3441" t="s">
        <v>11</v>
      </c>
      <c r="G3441" s="2">
        <v>46025</v>
      </c>
      <c r="H3441" t="s">
        <v>1146</v>
      </c>
    </row>
    <row r="3442" spans="1:8" x14ac:dyDescent="0.3">
      <c r="A3442" t="s">
        <v>1279</v>
      </c>
      <c r="B3442">
        <v>3</v>
      </c>
      <c r="C3442" t="s">
        <v>1290</v>
      </c>
      <c r="D3442" s="1">
        <v>0.83333333333333337</v>
      </c>
      <c r="E3442" t="s">
        <v>606</v>
      </c>
      <c r="F3442" t="s">
        <v>35</v>
      </c>
      <c r="G3442" t="s">
        <v>42</v>
      </c>
      <c r="H3442" t="s">
        <v>184</v>
      </c>
    </row>
    <row r="3443" spans="1:8" x14ac:dyDescent="0.3">
      <c r="A3443" t="s">
        <v>1279</v>
      </c>
      <c r="B3443">
        <v>3</v>
      </c>
      <c r="C3443" t="s">
        <v>1290</v>
      </c>
      <c r="D3443" s="1">
        <v>0.91666666666666663</v>
      </c>
      <c r="E3443" t="s">
        <v>26</v>
      </c>
      <c r="F3443" t="s">
        <v>23</v>
      </c>
      <c r="G3443" t="s">
        <v>18</v>
      </c>
      <c r="H3443" t="s">
        <v>205</v>
      </c>
    </row>
    <row r="3444" spans="1:8" x14ac:dyDescent="0.3">
      <c r="A3444" t="s">
        <v>1279</v>
      </c>
      <c r="B3444">
        <v>3</v>
      </c>
      <c r="C3444" t="s">
        <v>1291</v>
      </c>
      <c r="D3444" s="1">
        <v>0.72916666666666663</v>
      </c>
      <c r="E3444" t="s">
        <v>31</v>
      </c>
      <c r="F3444" t="s">
        <v>10</v>
      </c>
      <c r="G3444" t="s">
        <v>42</v>
      </c>
      <c r="H3444" t="s">
        <v>1284</v>
      </c>
    </row>
    <row r="3445" spans="1:8" x14ac:dyDescent="0.3">
      <c r="A3445" t="s">
        <v>1279</v>
      </c>
      <c r="B3445">
        <v>3</v>
      </c>
      <c r="C3445" t="s">
        <v>1291</v>
      </c>
      <c r="D3445" s="1">
        <v>0.8125</v>
      </c>
      <c r="E3445" t="s">
        <v>30</v>
      </c>
      <c r="F3445" t="s">
        <v>881</v>
      </c>
      <c r="G3445" t="s">
        <v>54</v>
      </c>
      <c r="H3445" t="s">
        <v>345</v>
      </c>
    </row>
    <row r="3446" spans="1:8" x14ac:dyDescent="0.3">
      <c r="A3446" t="s">
        <v>1279</v>
      </c>
      <c r="B3446">
        <v>3</v>
      </c>
      <c r="C3446" t="s">
        <v>1291</v>
      </c>
      <c r="D3446" s="1">
        <v>0.91666666666666663</v>
      </c>
      <c r="E3446" t="s">
        <v>33</v>
      </c>
      <c r="F3446" t="s">
        <v>27</v>
      </c>
      <c r="G3446" s="2">
        <v>46024</v>
      </c>
      <c r="H3446" t="s">
        <v>194</v>
      </c>
    </row>
    <row r="3447" spans="1:8" x14ac:dyDescent="0.3">
      <c r="A3447" t="s">
        <v>1279</v>
      </c>
      <c r="B3447">
        <v>3</v>
      </c>
      <c r="C3447" t="s">
        <v>1292</v>
      </c>
      <c r="D3447" s="1">
        <v>0.72916666666666663</v>
      </c>
      <c r="E3447" t="s">
        <v>11</v>
      </c>
      <c r="F3447" t="s">
        <v>34</v>
      </c>
      <c r="G3447" t="s">
        <v>41</v>
      </c>
      <c r="H3447" t="s">
        <v>1007</v>
      </c>
    </row>
    <row r="3448" spans="1:8" x14ac:dyDescent="0.3">
      <c r="A3448" t="s">
        <v>1279</v>
      </c>
      <c r="B3448">
        <v>3</v>
      </c>
      <c r="C3448" t="s">
        <v>1292</v>
      </c>
      <c r="D3448" s="1">
        <v>0.8125</v>
      </c>
      <c r="E3448" t="s">
        <v>20</v>
      </c>
      <c r="F3448" t="s">
        <v>14</v>
      </c>
      <c r="G3448" t="s">
        <v>88</v>
      </c>
      <c r="H3448" t="s">
        <v>341</v>
      </c>
    </row>
    <row r="3449" spans="1:8" x14ac:dyDescent="0.3">
      <c r="A3449" t="s">
        <v>1279</v>
      </c>
      <c r="B3449">
        <v>3</v>
      </c>
      <c r="C3449" t="s">
        <v>1292</v>
      </c>
      <c r="D3449" s="1">
        <v>0.91666666666666663</v>
      </c>
      <c r="E3449" t="s">
        <v>36</v>
      </c>
      <c r="F3449" t="s">
        <v>25</v>
      </c>
      <c r="G3449" s="2">
        <v>46082</v>
      </c>
      <c r="H3449" t="s">
        <v>190</v>
      </c>
    </row>
    <row r="3450" spans="1:8" x14ac:dyDescent="0.3">
      <c r="A3450" t="s">
        <v>1279</v>
      </c>
      <c r="B3450">
        <v>3</v>
      </c>
      <c r="C3450" t="s">
        <v>1293</v>
      </c>
      <c r="D3450" s="1">
        <v>0.83333333333333337</v>
      </c>
      <c r="E3450" t="s">
        <v>1000</v>
      </c>
      <c r="F3450" t="s">
        <v>15</v>
      </c>
      <c r="G3450" t="s">
        <v>53</v>
      </c>
      <c r="H3450" t="s">
        <v>1141</v>
      </c>
    </row>
    <row r="3451" spans="1:8" x14ac:dyDescent="0.3">
      <c r="A3451" t="s">
        <v>1279</v>
      </c>
      <c r="B3451">
        <v>3</v>
      </c>
      <c r="C3451" t="s">
        <v>1293</v>
      </c>
      <c r="D3451" s="1">
        <v>0.91666666666666663</v>
      </c>
      <c r="E3451" t="s">
        <v>16</v>
      </c>
      <c r="F3451" t="s">
        <v>28</v>
      </c>
      <c r="G3451" t="s">
        <v>42</v>
      </c>
      <c r="H3451" t="s">
        <v>747</v>
      </c>
    </row>
    <row r="3452" spans="1:8" x14ac:dyDescent="0.3">
      <c r="A3452" t="s">
        <v>1279</v>
      </c>
      <c r="B3452">
        <v>4</v>
      </c>
      <c r="C3452" t="s">
        <v>1294</v>
      </c>
      <c r="D3452" s="1">
        <v>0.875</v>
      </c>
      <c r="E3452" t="s">
        <v>35</v>
      </c>
      <c r="F3452" t="s">
        <v>1000</v>
      </c>
      <c r="G3452" t="s">
        <v>32</v>
      </c>
      <c r="H3452" t="s">
        <v>1286</v>
      </c>
    </row>
    <row r="3453" spans="1:8" x14ac:dyDescent="0.3">
      <c r="A3453" t="s">
        <v>1279</v>
      </c>
      <c r="B3453">
        <v>4</v>
      </c>
      <c r="C3453" t="s">
        <v>1295</v>
      </c>
      <c r="D3453" s="1">
        <v>0.58333333333333337</v>
      </c>
      <c r="E3453" t="s">
        <v>881</v>
      </c>
      <c r="F3453" t="s">
        <v>606</v>
      </c>
      <c r="G3453" s="2">
        <v>46023</v>
      </c>
      <c r="H3453" t="s">
        <v>1001</v>
      </c>
    </row>
    <row r="3454" spans="1:8" x14ac:dyDescent="0.3">
      <c r="A3454" t="s">
        <v>1279</v>
      </c>
      <c r="B3454">
        <v>4</v>
      </c>
      <c r="C3454" t="s">
        <v>1295</v>
      </c>
      <c r="D3454" s="1">
        <v>0.67708333333333337</v>
      </c>
      <c r="E3454" t="s">
        <v>25</v>
      </c>
      <c r="F3454" t="s">
        <v>26</v>
      </c>
      <c r="G3454" s="2">
        <v>46024</v>
      </c>
      <c r="H3454" t="s">
        <v>345</v>
      </c>
    </row>
    <row r="3455" spans="1:8" x14ac:dyDescent="0.3">
      <c r="A3455" t="s">
        <v>1279</v>
      </c>
      <c r="B3455">
        <v>4</v>
      </c>
      <c r="C3455" t="s">
        <v>1295</v>
      </c>
      <c r="D3455" s="1">
        <v>0.77083333333333337</v>
      </c>
      <c r="E3455" t="s">
        <v>10</v>
      </c>
      <c r="F3455" t="s">
        <v>28</v>
      </c>
      <c r="G3455" s="2">
        <v>46023</v>
      </c>
      <c r="H3455" t="s">
        <v>883</v>
      </c>
    </row>
    <row r="3456" spans="1:8" x14ac:dyDescent="0.3">
      <c r="A3456" t="s">
        <v>1279</v>
      </c>
      <c r="B3456">
        <v>4</v>
      </c>
      <c r="C3456" t="s">
        <v>1295</v>
      </c>
      <c r="D3456" s="1">
        <v>0.875</v>
      </c>
      <c r="E3456" t="s">
        <v>27</v>
      </c>
      <c r="F3456" t="s">
        <v>20</v>
      </c>
      <c r="G3456" t="s">
        <v>46</v>
      </c>
      <c r="H3456" t="s">
        <v>181</v>
      </c>
    </row>
    <row r="3457" spans="1:8" x14ac:dyDescent="0.3">
      <c r="A3457" t="s">
        <v>1279</v>
      </c>
      <c r="B3457">
        <v>4</v>
      </c>
      <c r="C3457" t="s">
        <v>1296</v>
      </c>
      <c r="D3457" s="1">
        <v>0.58333333333333337</v>
      </c>
      <c r="E3457" t="s">
        <v>23</v>
      </c>
      <c r="F3457" t="s">
        <v>30</v>
      </c>
      <c r="G3457" s="2">
        <v>46024</v>
      </c>
      <c r="H3457" t="s">
        <v>1146</v>
      </c>
    </row>
    <row r="3458" spans="1:8" x14ac:dyDescent="0.3">
      <c r="A3458" t="s">
        <v>1279</v>
      </c>
      <c r="B3458">
        <v>4</v>
      </c>
      <c r="C3458" t="s">
        <v>1296</v>
      </c>
      <c r="D3458" s="1">
        <v>0.67708333333333337</v>
      </c>
      <c r="E3458" t="s">
        <v>15</v>
      </c>
      <c r="F3458" t="s">
        <v>36</v>
      </c>
      <c r="G3458" t="s">
        <v>42</v>
      </c>
      <c r="H3458" t="s">
        <v>205</v>
      </c>
    </row>
    <row r="3459" spans="1:8" x14ac:dyDescent="0.3">
      <c r="A3459" t="s">
        <v>1279</v>
      </c>
      <c r="B3459">
        <v>4</v>
      </c>
      <c r="C3459" t="s">
        <v>1296</v>
      </c>
      <c r="D3459" s="1">
        <v>0.77083333333333337</v>
      </c>
      <c r="E3459" t="s">
        <v>34</v>
      </c>
      <c r="F3459" t="s">
        <v>31</v>
      </c>
      <c r="G3459" t="s">
        <v>88</v>
      </c>
      <c r="H3459" t="s">
        <v>1141</v>
      </c>
    </row>
    <row r="3460" spans="1:8" x14ac:dyDescent="0.3">
      <c r="A3460" t="s">
        <v>1279</v>
      </c>
      <c r="B3460">
        <v>4</v>
      </c>
      <c r="C3460" t="s">
        <v>1296</v>
      </c>
      <c r="D3460" s="1">
        <v>0.875</v>
      </c>
      <c r="E3460" t="s">
        <v>16</v>
      </c>
      <c r="F3460" t="s">
        <v>11</v>
      </c>
      <c r="G3460" s="2">
        <v>46027</v>
      </c>
      <c r="H3460" t="s">
        <v>467</v>
      </c>
    </row>
    <row r="3461" spans="1:8" x14ac:dyDescent="0.3">
      <c r="A3461" t="s">
        <v>1279</v>
      </c>
      <c r="B3461">
        <v>4</v>
      </c>
      <c r="C3461" t="s">
        <v>1297</v>
      </c>
      <c r="D3461" s="1">
        <v>0.875</v>
      </c>
      <c r="E3461" t="s">
        <v>14</v>
      </c>
      <c r="F3461" t="s">
        <v>33</v>
      </c>
      <c r="G3461" t="s">
        <v>18</v>
      </c>
      <c r="H3461" t="s">
        <v>614</v>
      </c>
    </row>
    <row r="3462" spans="1:8" x14ac:dyDescent="0.3">
      <c r="A3462" t="s">
        <v>1279</v>
      </c>
      <c r="B3462">
        <v>5</v>
      </c>
      <c r="C3462" t="s">
        <v>1298</v>
      </c>
      <c r="D3462" s="1">
        <v>0.875</v>
      </c>
      <c r="E3462" t="s">
        <v>606</v>
      </c>
      <c r="F3462" t="s">
        <v>14</v>
      </c>
      <c r="G3462" s="2">
        <v>46024</v>
      </c>
      <c r="H3462" t="s">
        <v>883</v>
      </c>
    </row>
    <row r="3463" spans="1:8" x14ac:dyDescent="0.3">
      <c r="A3463" t="s">
        <v>1279</v>
      </c>
      <c r="B3463">
        <v>5</v>
      </c>
      <c r="C3463" t="s">
        <v>1299</v>
      </c>
      <c r="D3463" s="1">
        <v>0.58333333333333337</v>
      </c>
      <c r="E3463" t="s">
        <v>30</v>
      </c>
      <c r="F3463" t="s">
        <v>16</v>
      </c>
      <c r="G3463" s="2">
        <v>46024</v>
      </c>
      <c r="H3463" t="s">
        <v>194</v>
      </c>
    </row>
    <row r="3464" spans="1:8" x14ac:dyDescent="0.3">
      <c r="A3464" t="s">
        <v>1279</v>
      </c>
      <c r="B3464">
        <v>5</v>
      </c>
      <c r="C3464" t="s">
        <v>1299</v>
      </c>
      <c r="D3464" s="1">
        <v>0.67708333333333337</v>
      </c>
      <c r="E3464" t="s">
        <v>36</v>
      </c>
      <c r="F3464" t="s">
        <v>27</v>
      </c>
      <c r="G3464" s="2">
        <v>46083</v>
      </c>
      <c r="H3464" t="s">
        <v>747</v>
      </c>
    </row>
    <row r="3465" spans="1:8" x14ac:dyDescent="0.3">
      <c r="A3465" t="s">
        <v>1279</v>
      </c>
      <c r="B3465">
        <v>5</v>
      </c>
      <c r="C3465" t="s">
        <v>1299</v>
      </c>
      <c r="D3465" s="1">
        <v>0.77083333333333337</v>
      </c>
      <c r="E3465" t="s">
        <v>1000</v>
      </c>
      <c r="F3465" t="s">
        <v>20</v>
      </c>
      <c r="G3465" t="s">
        <v>53</v>
      </c>
      <c r="H3465" t="s">
        <v>184</v>
      </c>
    </row>
    <row r="3466" spans="1:8" x14ac:dyDescent="0.3">
      <c r="A3466" t="s">
        <v>1279</v>
      </c>
      <c r="B3466">
        <v>5</v>
      </c>
      <c r="C3466" t="s">
        <v>1299</v>
      </c>
      <c r="D3466" s="1">
        <v>0.875</v>
      </c>
      <c r="E3466" t="s">
        <v>28</v>
      </c>
      <c r="F3466" t="s">
        <v>35</v>
      </c>
      <c r="G3466" s="2">
        <v>46026</v>
      </c>
      <c r="H3466" t="s">
        <v>185</v>
      </c>
    </row>
    <row r="3467" spans="1:8" x14ac:dyDescent="0.3">
      <c r="A3467" t="s">
        <v>1279</v>
      </c>
      <c r="B3467">
        <v>5</v>
      </c>
      <c r="C3467" t="s">
        <v>1300</v>
      </c>
      <c r="D3467" s="1">
        <v>0.58333333333333337</v>
      </c>
      <c r="E3467" t="s">
        <v>25</v>
      </c>
      <c r="F3467" t="s">
        <v>881</v>
      </c>
      <c r="G3467" s="2">
        <v>46026</v>
      </c>
      <c r="H3467" t="s">
        <v>1007</v>
      </c>
    </row>
    <row r="3468" spans="1:8" x14ac:dyDescent="0.3">
      <c r="A3468" t="s">
        <v>1279</v>
      </c>
      <c r="B3468">
        <v>5</v>
      </c>
      <c r="C3468" t="s">
        <v>1300</v>
      </c>
      <c r="D3468" s="1">
        <v>0.67708333333333337</v>
      </c>
      <c r="E3468" t="s">
        <v>31</v>
      </c>
      <c r="F3468" t="s">
        <v>15</v>
      </c>
      <c r="G3468" s="2">
        <v>46113</v>
      </c>
      <c r="H3468" t="s">
        <v>190</v>
      </c>
    </row>
    <row r="3469" spans="1:8" x14ac:dyDescent="0.3">
      <c r="A3469" t="s">
        <v>1279</v>
      </c>
      <c r="B3469">
        <v>5</v>
      </c>
      <c r="C3469" t="s">
        <v>1300</v>
      </c>
      <c r="D3469" s="1">
        <v>0.77083333333333337</v>
      </c>
      <c r="E3469" t="s">
        <v>11</v>
      </c>
      <c r="F3469" t="s">
        <v>10</v>
      </c>
      <c r="G3469" s="2">
        <v>46024</v>
      </c>
      <c r="H3469" t="s">
        <v>1286</v>
      </c>
    </row>
    <row r="3470" spans="1:8" x14ac:dyDescent="0.3">
      <c r="A3470" t="s">
        <v>1279</v>
      </c>
      <c r="B3470">
        <v>5</v>
      </c>
      <c r="C3470" t="s">
        <v>1300</v>
      </c>
      <c r="D3470" s="1">
        <v>0.875</v>
      </c>
      <c r="E3470" t="s">
        <v>26</v>
      </c>
      <c r="F3470" t="s">
        <v>34</v>
      </c>
      <c r="G3470" t="s">
        <v>18</v>
      </c>
      <c r="H3470" t="s">
        <v>341</v>
      </c>
    </row>
    <row r="3471" spans="1:8" x14ac:dyDescent="0.3">
      <c r="A3471" t="s">
        <v>1279</v>
      </c>
      <c r="B3471">
        <v>5</v>
      </c>
      <c r="C3471" t="s">
        <v>1301</v>
      </c>
      <c r="D3471" s="1">
        <v>0.875</v>
      </c>
      <c r="E3471" t="s">
        <v>33</v>
      </c>
      <c r="F3471" t="s">
        <v>23</v>
      </c>
      <c r="G3471" t="s">
        <v>42</v>
      </c>
      <c r="H3471" t="s">
        <v>1284</v>
      </c>
    </row>
    <row r="3472" spans="1:8" x14ac:dyDescent="0.3">
      <c r="A3472" t="s">
        <v>1279</v>
      </c>
      <c r="B3472">
        <v>6</v>
      </c>
      <c r="C3472" t="s">
        <v>1302</v>
      </c>
      <c r="D3472" s="1">
        <v>0.875</v>
      </c>
      <c r="E3472" t="s">
        <v>14</v>
      </c>
      <c r="F3472" t="s">
        <v>1000</v>
      </c>
      <c r="G3472" t="s">
        <v>42</v>
      </c>
      <c r="H3472" t="s">
        <v>345</v>
      </c>
    </row>
    <row r="3473" spans="1:8" x14ac:dyDescent="0.3">
      <c r="A3473" t="s">
        <v>1279</v>
      </c>
      <c r="B3473">
        <v>6</v>
      </c>
      <c r="C3473" t="s">
        <v>1303</v>
      </c>
      <c r="D3473" s="1">
        <v>0.58333333333333337</v>
      </c>
      <c r="E3473" t="s">
        <v>881</v>
      </c>
      <c r="F3473" t="s">
        <v>33</v>
      </c>
      <c r="G3473" t="s">
        <v>18</v>
      </c>
      <c r="H3473" t="s">
        <v>205</v>
      </c>
    </row>
    <row r="3474" spans="1:8" x14ac:dyDescent="0.3">
      <c r="A3474" t="s">
        <v>1279</v>
      </c>
      <c r="B3474">
        <v>6</v>
      </c>
      <c r="C3474" t="s">
        <v>1303</v>
      </c>
      <c r="D3474" s="1">
        <v>0.67708333333333337</v>
      </c>
      <c r="E3474" t="s">
        <v>20</v>
      </c>
      <c r="F3474" t="s">
        <v>31</v>
      </c>
      <c r="G3474" t="s">
        <v>32</v>
      </c>
      <c r="H3474" t="s">
        <v>1146</v>
      </c>
    </row>
    <row r="3475" spans="1:8" x14ac:dyDescent="0.3">
      <c r="A3475" t="s">
        <v>1279</v>
      </c>
      <c r="B3475">
        <v>6</v>
      </c>
      <c r="C3475" t="s">
        <v>1303</v>
      </c>
      <c r="D3475" s="1">
        <v>0.77083333333333337</v>
      </c>
      <c r="E3475" t="s">
        <v>16</v>
      </c>
      <c r="F3475" t="s">
        <v>35</v>
      </c>
      <c r="G3475" t="s">
        <v>32</v>
      </c>
      <c r="H3475" t="s">
        <v>614</v>
      </c>
    </row>
    <row r="3476" spans="1:8" x14ac:dyDescent="0.3">
      <c r="A3476" t="s">
        <v>1279</v>
      </c>
      <c r="B3476">
        <v>6</v>
      </c>
      <c r="C3476" t="s">
        <v>1303</v>
      </c>
      <c r="D3476" s="1">
        <v>0.875</v>
      </c>
      <c r="E3476" t="s">
        <v>15</v>
      </c>
      <c r="F3476" t="s">
        <v>30</v>
      </c>
      <c r="G3476" s="2">
        <v>46056</v>
      </c>
      <c r="H3476" t="s">
        <v>181</v>
      </c>
    </row>
    <row r="3477" spans="1:8" x14ac:dyDescent="0.3">
      <c r="A3477" t="s">
        <v>1279</v>
      </c>
      <c r="B3477">
        <v>6</v>
      </c>
      <c r="C3477" t="s">
        <v>1304</v>
      </c>
      <c r="D3477" s="1">
        <v>0.58333333333333337</v>
      </c>
      <c r="E3477" t="s">
        <v>23</v>
      </c>
      <c r="F3477" t="s">
        <v>11</v>
      </c>
      <c r="G3477" t="s">
        <v>54</v>
      </c>
      <c r="H3477" t="s">
        <v>1001</v>
      </c>
    </row>
    <row r="3478" spans="1:8" x14ac:dyDescent="0.3">
      <c r="A3478" t="s">
        <v>1279</v>
      </c>
      <c r="B3478">
        <v>6</v>
      </c>
      <c r="C3478" t="s">
        <v>1304</v>
      </c>
      <c r="D3478" s="1">
        <v>0.67708333333333337</v>
      </c>
      <c r="E3478" t="s">
        <v>34</v>
      </c>
      <c r="F3478" t="s">
        <v>27</v>
      </c>
      <c r="G3478" s="2">
        <v>46023</v>
      </c>
      <c r="H3478" t="s">
        <v>185</v>
      </c>
    </row>
    <row r="3479" spans="1:8" x14ac:dyDescent="0.3">
      <c r="A3479" t="s">
        <v>1279</v>
      </c>
      <c r="B3479">
        <v>6</v>
      </c>
      <c r="C3479" t="s">
        <v>1304</v>
      </c>
      <c r="D3479" s="1">
        <v>0.77083333333333337</v>
      </c>
      <c r="E3479" t="s">
        <v>26</v>
      </c>
      <c r="F3479" t="s">
        <v>606</v>
      </c>
      <c r="G3479" s="2">
        <v>46024</v>
      </c>
      <c r="H3479" t="s">
        <v>1141</v>
      </c>
    </row>
    <row r="3480" spans="1:8" x14ac:dyDescent="0.3">
      <c r="A3480" t="s">
        <v>1279</v>
      </c>
      <c r="B3480">
        <v>6</v>
      </c>
      <c r="C3480" t="s">
        <v>1304</v>
      </c>
      <c r="D3480" s="1">
        <v>0.77083333333333337</v>
      </c>
      <c r="E3480" t="s">
        <v>10</v>
      </c>
      <c r="F3480" t="s">
        <v>36</v>
      </c>
      <c r="G3480" s="2">
        <v>46024</v>
      </c>
      <c r="H3480" t="s">
        <v>184</v>
      </c>
    </row>
    <row r="3481" spans="1:8" x14ac:dyDescent="0.3">
      <c r="A3481" t="s">
        <v>1279</v>
      </c>
      <c r="B3481">
        <v>6</v>
      </c>
      <c r="C3481" t="s">
        <v>1304</v>
      </c>
      <c r="D3481" s="1">
        <v>0.875</v>
      </c>
      <c r="E3481" t="s">
        <v>28</v>
      </c>
      <c r="F3481" t="s">
        <v>25</v>
      </c>
      <c r="G3481" s="2">
        <v>46054</v>
      </c>
      <c r="H3481" t="s">
        <v>467</v>
      </c>
    </row>
    <row r="3482" spans="1:8" x14ac:dyDescent="0.3">
      <c r="A3482" t="s">
        <v>1279</v>
      </c>
      <c r="B3482">
        <v>7</v>
      </c>
      <c r="C3482" t="s">
        <v>1305</v>
      </c>
      <c r="D3482" s="1">
        <v>0.875</v>
      </c>
      <c r="E3482" t="s">
        <v>15</v>
      </c>
      <c r="F3482" t="s">
        <v>33</v>
      </c>
      <c r="G3482" t="s">
        <v>88</v>
      </c>
      <c r="H3482" t="s">
        <v>1286</v>
      </c>
    </row>
    <row r="3483" spans="1:8" x14ac:dyDescent="0.3">
      <c r="A3483" t="s">
        <v>1279</v>
      </c>
      <c r="B3483">
        <v>7</v>
      </c>
      <c r="C3483" t="s">
        <v>1306</v>
      </c>
      <c r="D3483" s="1">
        <v>0.58333333333333337</v>
      </c>
      <c r="E3483" t="s">
        <v>1000</v>
      </c>
      <c r="F3483" t="s">
        <v>34</v>
      </c>
      <c r="G3483" t="s">
        <v>41</v>
      </c>
      <c r="H3483" t="s">
        <v>1284</v>
      </c>
    </row>
    <row r="3484" spans="1:8" x14ac:dyDescent="0.3">
      <c r="A3484" t="s">
        <v>1279</v>
      </c>
      <c r="B3484">
        <v>7</v>
      </c>
      <c r="C3484" t="s">
        <v>1306</v>
      </c>
      <c r="D3484" s="1">
        <v>0.67708333333333337</v>
      </c>
      <c r="E3484" t="s">
        <v>11</v>
      </c>
      <c r="F3484" t="s">
        <v>14</v>
      </c>
      <c r="G3484" s="2">
        <v>46083</v>
      </c>
      <c r="H3484" t="s">
        <v>1146</v>
      </c>
    </row>
    <row r="3485" spans="1:8" x14ac:dyDescent="0.3">
      <c r="A3485" t="s">
        <v>1279</v>
      </c>
      <c r="B3485">
        <v>7</v>
      </c>
      <c r="C3485" t="s">
        <v>1306</v>
      </c>
      <c r="D3485" s="1">
        <v>0.77083333333333337</v>
      </c>
      <c r="E3485" t="s">
        <v>27</v>
      </c>
      <c r="F3485" t="s">
        <v>28</v>
      </c>
      <c r="G3485" t="s">
        <v>54</v>
      </c>
      <c r="H3485" t="s">
        <v>341</v>
      </c>
    </row>
    <row r="3486" spans="1:8" x14ac:dyDescent="0.3">
      <c r="A3486" t="s">
        <v>1279</v>
      </c>
      <c r="B3486">
        <v>7</v>
      </c>
      <c r="C3486" t="s">
        <v>1306</v>
      </c>
      <c r="D3486" s="1">
        <v>0.875</v>
      </c>
      <c r="E3486" t="s">
        <v>881</v>
      </c>
      <c r="F3486" t="s">
        <v>20</v>
      </c>
      <c r="G3486" t="s">
        <v>42</v>
      </c>
      <c r="H3486" t="s">
        <v>194</v>
      </c>
    </row>
    <row r="3487" spans="1:8" x14ac:dyDescent="0.3">
      <c r="A3487" t="s">
        <v>1279</v>
      </c>
      <c r="B3487">
        <v>7</v>
      </c>
      <c r="C3487" t="s">
        <v>1307</v>
      </c>
      <c r="D3487" s="1">
        <v>0.58333333333333337</v>
      </c>
      <c r="E3487" t="s">
        <v>36</v>
      </c>
      <c r="F3487" t="s">
        <v>16</v>
      </c>
      <c r="G3487" s="2">
        <v>46055</v>
      </c>
      <c r="H3487" t="s">
        <v>887</v>
      </c>
    </row>
    <row r="3488" spans="1:8" x14ac:dyDescent="0.3">
      <c r="A3488" t="s">
        <v>1279</v>
      </c>
      <c r="B3488">
        <v>7</v>
      </c>
      <c r="C3488" t="s">
        <v>1307</v>
      </c>
      <c r="D3488" s="1">
        <v>0.67708333333333337</v>
      </c>
      <c r="E3488" t="s">
        <v>35</v>
      </c>
      <c r="F3488" t="s">
        <v>26</v>
      </c>
      <c r="G3488" t="s">
        <v>18</v>
      </c>
      <c r="H3488" t="s">
        <v>883</v>
      </c>
    </row>
    <row r="3489" spans="1:8" x14ac:dyDescent="0.3">
      <c r="A3489" t="s">
        <v>1279</v>
      </c>
      <c r="B3489">
        <v>7</v>
      </c>
      <c r="C3489" t="s">
        <v>1307</v>
      </c>
      <c r="D3489" s="1">
        <v>0.77083333333333337</v>
      </c>
      <c r="E3489" t="s">
        <v>606</v>
      </c>
      <c r="F3489" t="s">
        <v>10</v>
      </c>
      <c r="G3489" s="2">
        <v>46145</v>
      </c>
      <c r="H3489" t="s">
        <v>190</v>
      </c>
    </row>
    <row r="3490" spans="1:8" x14ac:dyDescent="0.3">
      <c r="A3490" t="s">
        <v>1279</v>
      </c>
      <c r="B3490">
        <v>7</v>
      </c>
      <c r="C3490" t="s">
        <v>1307</v>
      </c>
      <c r="D3490" s="1">
        <v>0.875</v>
      </c>
      <c r="E3490" t="s">
        <v>25</v>
      </c>
      <c r="F3490" t="s">
        <v>23</v>
      </c>
      <c r="G3490" s="2">
        <v>46023</v>
      </c>
      <c r="H3490" t="s">
        <v>747</v>
      </c>
    </row>
    <row r="3491" spans="1:8" x14ac:dyDescent="0.3">
      <c r="A3491" t="s">
        <v>1279</v>
      </c>
      <c r="B3491">
        <v>7</v>
      </c>
      <c r="C3491" t="s">
        <v>1308</v>
      </c>
      <c r="D3491" s="1">
        <v>0.875</v>
      </c>
      <c r="E3491" t="s">
        <v>30</v>
      </c>
      <c r="F3491" t="s">
        <v>31</v>
      </c>
      <c r="G3491" s="2">
        <v>46024</v>
      </c>
      <c r="H3491" t="s">
        <v>1007</v>
      </c>
    </row>
    <row r="3492" spans="1:8" x14ac:dyDescent="0.3">
      <c r="A3492" t="s">
        <v>1279</v>
      </c>
      <c r="B3492">
        <v>8</v>
      </c>
      <c r="C3492" t="s">
        <v>1309</v>
      </c>
      <c r="D3492" s="1">
        <v>0.875</v>
      </c>
      <c r="E3492" t="s">
        <v>23</v>
      </c>
      <c r="F3492" t="s">
        <v>16</v>
      </c>
      <c r="G3492" s="2">
        <v>46054</v>
      </c>
      <c r="H3492" t="s">
        <v>1141</v>
      </c>
    </row>
    <row r="3493" spans="1:8" x14ac:dyDescent="0.3">
      <c r="A3493" t="s">
        <v>1279</v>
      </c>
      <c r="B3493">
        <v>8</v>
      </c>
      <c r="C3493" t="s">
        <v>1310</v>
      </c>
      <c r="D3493" s="1">
        <v>0.58333333333333337</v>
      </c>
      <c r="E3493" t="s">
        <v>33</v>
      </c>
      <c r="F3493" t="s">
        <v>30</v>
      </c>
      <c r="G3493" s="2">
        <v>46025</v>
      </c>
      <c r="H3493" t="s">
        <v>614</v>
      </c>
    </row>
    <row r="3494" spans="1:8" x14ac:dyDescent="0.3">
      <c r="A3494" t="s">
        <v>1279</v>
      </c>
      <c r="B3494">
        <v>8</v>
      </c>
      <c r="C3494" t="s">
        <v>1310</v>
      </c>
      <c r="D3494" s="1">
        <v>0.67708333333333337</v>
      </c>
      <c r="E3494" t="s">
        <v>28</v>
      </c>
      <c r="F3494" t="s">
        <v>606</v>
      </c>
      <c r="G3494" s="2">
        <v>46024</v>
      </c>
      <c r="H3494" t="s">
        <v>205</v>
      </c>
    </row>
    <row r="3495" spans="1:8" x14ac:dyDescent="0.3">
      <c r="A3495" t="s">
        <v>1279</v>
      </c>
      <c r="B3495">
        <v>8</v>
      </c>
      <c r="C3495" t="s">
        <v>1310</v>
      </c>
      <c r="D3495" s="1">
        <v>0.77083333333333337</v>
      </c>
      <c r="E3495" t="s">
        <v>27</v>
      </c>
      <c r="F3495" t="s">
        <v>15</v>
      </c>
      <c r="G3495" s="2">
        <v>46023</v>
      </c>
      <c r="H3495" t="s">
        <v>194</v>
      </c>
    </row>
    <row r="3496" spans="1:8" x14ac:dyDescent="0.3">
      <c r="A3496" t="s">
        <v>1279</v>
      </c>
      <c r="B3496">
        <v>8</v>
      </c>
      <c r="C3496" t="s">
        <v>1310</v>
      </c>
      <c r="D3496" s="1">
        <v>0.875</v>
      </c>
      <c r="E3496" t="s">
        <v>11</v>
      </c>
      <c r="F3496" t="s">
        <v>25</v>
      </c>
      <c r="G3496" t="s">
        <v>42</v>
      </c>
      <c r="H3496" t="s">
        <v>181</v>
      </c>
    </row>
    <row r="3497" spans="1:8" x14ac:dyDescent="0.3">
      <c r="A3497" t="s">
        <v>1279</v>
      </c>
      <c r="B3497">
        <v>8</v>
      </c>
      <c r="C3497" t="s">
        <v>1311</v>
      </c>
      <c r="D3497" s="1">
        <v>0.58333333333333337</v>
      </c>
      <c r="E3497" t="s">
        <v>14</v>
      </c>
      <c r="F3497" t="s">
        <v>26</v>
      </c>
      <c r="G3497" t="s">
        <v>41</v>
      </c>
      <c r="H3497" t="s">
        <v>184</v>
      </c>
    </row>
    <row r="3498" spans="1:8" x14ac:dyDescent="0.3">
      <c r="A3498" t="s">
        <v>1279</v>
      </c>
      <c r="B3498">
        <v>8</v>
      </c>
      <c r="C3498" t="s">
        <v>1311</v>
      </c>
      <c r="D3498" s="1">
        <v>0.67708333333333337</v>
      </c>
      <c r="E3498" t="s">
        <v>1000</v>
      </c>
      <c r="F3498" t="s">
        <v>36</v>
      </c>
      <c r="G3498" s="2">
        <v>46055</v>
      </c>
      <c r="H3498" t="s">
        <v>185</v>
      </c>
    </row>
    <row r="3499" spans="1:8" x14ac:dyDescent="0.3">
      <c r="A3499" t="s">
        <v>1279</v>
      </c>
      <c r="B3499">
        <v>8</v>
      </c>
      <c r="C3499" t="s">
        <v>1311</v>
      </c>
      <c r="D3499" s="1">
        <v>0.77083333333333337</v>
      </c>
      <c r="E3499" t="s">
        <v>10</v>
      </c>
      <c r="F3499" t="s">
        <v>34</v>
      </c>
      <c r="G3499" t="s">
        <v>18</v>
      </c>
      <c r="H3499" t="s">
        <v>883</v>
      </c>
    </row>
    <row r="3500" spans="1:8" x14ac:dyDescent="0.3">
      <c r="A3500" t="s">
        <v>1279</v>
      </c>
      <c r="B3500">
        <v>8</v>
      </c>
      <c r="C3500" t="s">
        <v>1311</v>
      </c>
      <c r="D3500" s="1">
        <v>0.875</v>
      </c>
      <c r="E3500" t="s">
        <v>20</v>
      </c>
      <c r="F3500" t="s">
        <v>35</v>
      </c>
      <c r="G3500" t="s">
        <v>18</v>
      </c>
      <c r="H3500" t="s">
        <v>467</v>
      </c>
    </row>
    <row r="3501" spans="1:8" x14ac:dyDescent="0.3">
      <c r="A3501" t="s">
        <v>1279</v>
      </c>
      <c r="B3501">
        <v>8</v>
      </c>
      <c r="C3501" t="s">
        <v>1312</v>
      </c>
      <c r="D3501" s="1">
        <v>0.875</v>
      </c>
      <c r="E3501" t="s">
        <v>31</v>
      </c>
      <c r="F3501" t="s">
        <v>881</v>
      </c>
      <c r="G3501" s="2">
        <v>46023</v>
      </c>
      <c r="H3501" t="s">
        <v>887</v>
      </c>
    </row>
    <row r="3502" spans="1:8" x14ac:dyDescent="0.3">
      <c r="A3502" t="s">
        <v>1279</v>
      </c>
      <c r="B3502">
        <v>9</v>
      </c>
      <c r="C3502" t="s">
        <v>1313</v>
      </c>
      <c r="D3502" s="1">
        <v>0.875</v>
      </c>
      <c r="E3502" t="s">
        <v>30</v>
      </c>
      <c r="F3502" t="s">
        <v>11</v>
      </c>
      <c r="G3502" t="s">
        <v>41</v>
      </c>
      <c r="H3502" t="s">
        <v>190</v>
      </c>
    </row>
    <row r="3503" spans="1:8" x14ac:dyDescent="0.3">
      <c r="A3503" t="s">
        <v>1279</v>
      </c>
      <c r="B3503">
        <v>9</v>
      </c>
      <c r="C3503" t="s">
        <v>1314</v>
      </c>
      <c r="D3503" s="1">
        <v>0.58333333333333337</v>
      </c>
      <c r="E3503" t="s">
        <v>606</v>
      </c>
      <c r="F3503" t="s">
        <v>1000</v>
      </c>
      <c r="G3503" s="2">
        <v>46023</v>
      </c>
      <c r="H3503" t="s">
        <v>341</v>
      </c>
    </row>
    <row r="3504" spans="1:8" x14ac:dyDescent="0.3">
      <c r="A3504" t="s">
        <v>1279</v>
      </c>
      <c r="B3504">
        <v>9</v>
      </c>
      <c r="C3504" t="s">
        <v>1314</v>
      </c>
      <c r="D3504" s="1">
        <v>0.67708333333333337</v>
      </c>
      <c r="E3504" t="s">
        <v>16</v>
      </c>
      <c r="F3504" t="s">
        <v>31</v>
      </c>
      <c r="G3504" s="2">
        <v>46055</v>
      </c>
      <c r="H3504" t="s">
        <v>1286</v>
      </c>
    </row>
    <row r="3505" spans="1:8" x14ac:dyDescent="0.3">
      <c r="A3505" t="s">
        <v>1279</v>
      </c>
      <c r="B3505">
        <v>9</v>
      </c>
      <c r="C3505" t="s">
        <v>1314</v>
      </c>
      <c r="D3505" s="1">
        <v>0.77083333333333337</v>
      </c>
      <c r="E3505" t="s">
        <v>881</v>
      </c>
      <c r="F3505" t="s">
        <v>27</v>
      </c>
      <c r="G3505" t="s">
        <v>42</v>
      </c>
      <c r="H3505" t="s">
        <v>1284</v>
      </c>
    </row>
    <row r="3506" spans="1:8" x14ac:dyDescent="0.3">
      <c r="A3506" t="s">
        <v>1279</v>
      </c>
      <c r="B3506">
        <v>9</v>
      </c>
      <c r="C3506" t="s">
        <v>1314</v>
      </c>
      <c r="D3506" s="1">
        <v>0.875</v>
      </c>
      <c r="E3506" t="s">
        <v>15</v>
      </c>
      <c r="F3506" t="s">
        <v>28</v>
      </c>
      <c r="G3506" t="s">
        <v>42</v>
      </c>
      <c r="H3506" t="s">
        <v>1007</v>
      </c>
    </row>
    <row r="3507" spans="1:8" x14ac:dyDescent="0.3">
      <c r="A3507" t="s">
        <v>1279</v>
      </c>
      <c r="B3507">
        <v>9</v>
      </c>
      <c r="C3507" t="s">
        <v>1315</v>
      </c>
      <c r="D3507" s="1">
        <v>0.58333333333333337</v>
      </c>
      <c r="E3507" t="s">
        <v>35</v>
      </c>
      <c r="F3507" t="s">
        <v>10</v>
      </c>
      <c r="G3507" s="2">
        <v>46054</v>
      </c>
      <c r="H3507" t="s">
        <v>747</v>
      </c>
    </row>
    <row r="3508" spans="1:8" x14ac:dyDescent="0.3">
      <c r="A3508" t="s">
        <v>1279</v>
      </c>
      <c r="B3508">
        <v>9</v>
      </c>
      <c r="C3508" t="s">
        <v>1315</v>
      </c>
      <c r="D3508" s="1">
        <v>0.67708333333333337</v>
      </c>
      <c r="E3508" t="s">
        <v>25</v>
      </c>
      <c r="F3508" t="s">
        <v>20</v>
      </c>
      <c r="G3508" s="2">
        <v>46025</v>
      </c>
      <c r="H3508" t="s">
        <v>345</v>
      </c>
    </row>
    <row r="3509" spans="1:8" x14ac:dyDescent="0.3">
      <c r="A3509" t="s">
        <v>1279</v>
      </c>
      <c r="B3509">
        <v>9</v>
      </c>
      <c r="C3509" t="s">
        <v>1315</v>
      </c>
      <c r="D3509" s="1">
        <v>0.77083333333333337</v>
      </c>
      <c r="E3509" t="s">
        <v>36</v>
      </c>
      <c r="F3509" t="s">
        <v>14</v>
      </c>
      <c r="G3509" t="s">
        <v>18</v>
      </c>
      <c r="H3509" t="s">
        <v>181</v>
      </c>
    </row>
    <row r="3510" spans="1:8" x14ac:dyDescent="0.3">
      <c r="A3510" t="s">
        <v>1279</v>
      </c>
      <c r="B3510">
        <v>9</v>
      </c>
      <c r="C3510" t="s">
        <v>1315</v>
      </c>
      <c r="D3510" s="1">
        <v>0.875</v>
      </c>
      <c r="E3510" t="s">
        <v>26</v>
      </c>
      <c r="F3510" t="s">
        <v>33</v>
      </c>
      <c r="G3510" s="2">
        <v>46025</v>
      </c>
      <c r="H3510" t="s">
        <v>1146</v>
      </c>
    </row>
    <row r="3511" spans="1:8" x14ac:dyDescent="0.3">
      <c r="A3511" t="s">
        <v>1279</v>
      </c>
      <c r="B3511">
        <v>9</v>
      </c>
      <c r="C3511" t="s">
        <v>1316</v>
      </c>
      <c r="D3511" s="1">
        <v>0.875</v>
      </c>
      <c r="E3511" t="s">
        <v>34</v>
      </c>
      <c r="F3511" t="s">
        <v>23</v>
      </c>
      <c r="G3511" t="s">
        <v>12</v>
      </c>
      <c r="H3511" t="s">
        <v>614</v>
      </c>
    </row>
    <row r="3512" spans="1:8" x14ac:dyDescent="0.3">
      <c r="A3512" t="s">
        <v>1279</v>
      </c>
      <c r="B3512">
        <v>10</v>
      </c>
      <c r="C3512" t="s">
        <v>1317</v>
      </c>
      <c r="D3512" s="1">
        <v>0.79166666666666663</v>
      </c>
      <c r="E3512" t="s">
        <v>27</v>
      </c>
      <c r="F3512" t="s">
        <v>16</v>
      </c>
      <c r="G3512" s="2">
        <v>46023</v>
      </c>
      <c r="H3512" t="s">
        <v>883</v>
      </c>
    </row>
    <row r="3513" spans="1:8" x14ac:dyDescent="0.3">
      <c r="A3513" t="s">
        <v>1279</v>
      </c>
      <c r="B3513">
        <v>10</v>
      </c>
      <c r="C3513" t="s">
        <v>1317</v>
      </c>
      <c r="D3513" s="1">
        <v>0.83333333333333337</v>
      </c>
      <c r="E3513" t="s">
        <v>11</v>
      </c>
      <c r="F3513" t="s">
        <v>15</v>
      </c>
      <c r="G3513" s="2">
        <v>46055</v>
      </c>
      <c r="H3513" t="s">
        <v>467</v>
      </c>
    </row>
    <row r="3514" spans="1:8" x14ac:dyDescent="0.3">
      <c r="A3514" t="s">
        <v>1279</v>
      </c>
      <c r="B3514">
        <v>10</v>
      </c>
      <c r="C3514" t="s">
        <v>1317</v>
      </c>
      <c r="D3514" s="1">
        <v>0.875</v>
      </c>
      <c r="E3514" t="s">
        <v>28</v>
      </c>
      <c r="F3514" t="s">
        <v>30</v>
      </c>
      <c r="G3514" s="2">
        <v>46023</v>
      </c>
      <c r="H3514" t="s">
        <v>1284</v>
      </c>
    </row>
    <row r="3515" spans="1:8" x14ac:dyDescent="0.3">
      <c r="A3515" t="s">
        <v>1279</v>
      </c>
      <c r="B3515">
        <v>10</v>
      </c>
      <c r="C3515" t="s">
        <v>1318</v>
      </c>
      <c r="D3515" s="1">
        <v>0.79166666666666663</v>
      </c>
      <c r="E3515" t="s">
        <v>1000</v>
      </c>
      <c r="F3515" t="s">
        <v>26</v>
      </c>
      <c r="G3515" t="s">
        <v>41</v>
      </c>
      <c r="H3515" t="s">
        <v>181</v>
      </c>
    </row>
    <row r="3516" spans="1:8" x14ac:dyDescent="0.3">
      <c r="A3516" t="s">
        <v>1279</v>
      </c>
      <c r="B3516">
        <v>10</v>
      </c>
      <c r="C3516" t="s">
        <v>1318</v>
      </c>
      <c r="D3516" s="1">
        <v>0.79166666666666663</v>
      </c>
      <c r="E3516" t="s">
        <v>14</v>
      </c>
      <c r="F3516" t="s">
        <v>35</v>
      </c>
      <c r="G3516" s="2">
        <v>46026</v>
      </c>
      <c r="H3516" t="s">
        <v>887</v>
      </c>
    </row>
    <row r="3517" spans="1:8" x14ac:dyDescent="0.3">
      <c r="A3517" t="s">
        <v>1279</v>
      </c>
      <c r="B3517">
        <v>10</v>
      </c>
      <c r="C3517" t="s">
        <v>1318</v>
      </c>
      <c r="D3517" s="1">
        <v>0.83333333333333337</v>
      </c>
      <c r="E3517" t="s">
        <v>10</v>
      </c>
      <c r="F3517" t="s">
        <v>881</v>
      </c>
      <c r="G3517" t="s">
        <v>18</v>
      </c>
      <c r="H3517" t="s">
        <v>1141</v>
      </c>
    </row>
    <row r="3518" spans="1:8" x14ac:dyDescent="0.3">
      <c r="A3518" t="s">
        <v>1279</v>
      </c>
      <c r="B3518">
        <v>10</v>
      </c>
      <c r="C3518" t="s">
        <v>1318</v>
      </c>
      <c r="D3518" s="1">
        <v>0.875</v>
      </c>
      <c r="E3518" t="s">
        <v>31</v>
      </c>
      <c r="F3518" t="s">
        <v>25</v>
      </c>
      <c r="G3518" t="s">
        <v>46</v>
      </c>
      <c r="H3518" t="s">
        <v>194</v>
      </c>
    </row>
    <row r="3519" spans="1:8" x14ac:dyDescent="0.3">
      <c r="A3519" t="s">
        <v>1279</v>
      </c>
      <c r="B3519">
        <v>10</v>
      </c>
      <c r="C3519" t="s">
        <v>1319</v>
      </c>
      <c r="D3519" s="1">
        <v>0.79166666666666663</v>
      </c>
      <c r="E3519" t="s">
        <v>33</v>
      </c>
      <c r="F3519" t="s">
        <v>606</v>
      </c>
      <c r="G3519" s="2">
        <v>46056</v>
      </c>
      <c r="H3519" t="s">
        <v>747</v>
      </c>
    </row>
    <row r="3520" spans="1:8" x14ac:dyDescent="0.3">
      <c r="A3520" t="s">
        <v>1279</v>
      </c>
      <c r="B3520">
        <v>10</v>
      </c>
      <c r="C3520" t="s">
        <v>1319</v>
      </c>
      <c r="D3520" s="1">
        <v>0.83333333333333337</v>
      </c>
      <c r="E3520" t="s">
        <v>23</v>
      </c>
      <c r="F3520" t="s">
        <v>36</v>
      </c>
      <c r="G3520" t="s">
        <v>18</v>
      </c>
      <c r="H3520" t="s">
        <v>190</v>
      </c>
    </row>
    <row r="3521" spans="1:8" x14ac:dyDescent="0.3">
      <c r="A3521" t="s">
        <v>1279</v>
      </c>
      <c r="B3521">
        <v>10</v>
      </c>
      <c r="C3521" t="s">
        <v>1319</v>
      </c>
      <c r="D3521" s="1">
        <v>0.875</v>
      </c>
      <c r="E3521" t="s">
        <v>20</v>
      </c>
      <c r="F3521" t="s">
        <v>34</v>
      </c>
      <c r="G3521" t="s">
        <v>32</v>
      </c>
      <c r="H3521" t="s">
        <v>184</v>
      </c>
    </row>
    <row r="3522" spans="1:8" x14ac:dyDescent="0.3">
      <c r="A3522" t="s">
        <v>1279</v>
      </c>
      <c r="B3522">
        <v>11</v>
      </c>
      <c r="C3522" t="s">
        <v>1320</v>
      </c>
      <c r="D3522" s="1">
        <v>0.58333333333333337</v>
      </c>
      <c r="E3522" t="s">
        <v>30</v>
      </c>
      <c r="F3522" t="s">
        <v>1000</v>
      </c>
      <c r="G3522" s="2">
        <v>46027</v>
      </c>
      <c r="H3522" t="s">
        <v>1146</v>
      </c>
    </row>
    <row r="3523" spans="1:8" x14ac:dyDescent="0.3">
      <c r="A3523" t="s">
        <v>1279</v>
      </c>
      <c r="B3523">
        <v>11</v>
      </c>
      <c r="C3523" t="s">
        <v>1320</v>
      </c>
      <c r="D3523" s="1">
        <v>0.67708333333333337</v>
      </c>
      <c r="E3523" t="s">
        <v>14</v>
      </c>
      <c r="F3523" t="s">
        <v>10</v>
      </c>
      <c r="G3523" t="s">
        <v>18</v>
      </c>
      <c r="H3523" t="s">
        <v>1007</v>
      </c>
    </row>
    <row r="3524" spans="1:8" x14ac:dyDescent="0.3">
      <c r="A3524" t="s">
        <v>1279</v>
      </c>
      <c r="B3524">
        <v>11</v>
      </c>
      <c r="C3524" t="s">
        <v>1320</v>
      </c>
      <c r="D3524" s="1">
        <v>0.77083333333333337</v>
      </c>
      <c r="E3524" t="s">
        <v>16</v>
      </c>
      <c r="F3524" t="s">
        <v>881</v>
      </c>
      <c r="G3524" s="2">
        <v>46054</v>
      </c>
      <c r="H3524" t="s">
        <v>345</v>
      </c>
    </row>
    <row r="3525" spans="1:8" x14ac:dyDescent="0.3">
      <c r="A3525" t="s">
        <v>1279</v>
      </c>
      <c r="B3525">
        <v>11</v>
      </c>
      <c r="C3525" t="s">
        <v>1320</v>
      </c>
      <c r="D3525" s="1">
        <v>0.875</v>
      </c>
      <c r="E3525" t="s">
        <v>25</v>
      </c>
      <c r="F3525" t="s">
        <v>27</v>
      </c>
      <c r="G3525" s="2">
        <v>46025</v>
      </c>
      <c r="H3525" t="s">
        <v>185</v>
      </c>
    </row>
    <row r="3526" spans="1:8" x14ac:dyDescent="0.3">
      <c r="A3526" t="s">
        <v>1279</v>
      </c>
      <c r="B3526">
        <v>11</v>
      </c>
      <c r="C3526" t="s">
        <v>1321</v>
      </c>
      <c r="D3526" s="1">
        <v>0.58333333333333337</v>
      </c>
      <c r="E3526" t="s">
        <v>36</v>
      </c>
      <c r="F3526" t="s">
        <v>31</v>
      </c>
      <c r="G3526" s="2">
        <v>46055</v>
      </c>
      <c r="H3526" t="s">
        <v>467</v>
      </c>
    </row>
    <row r="3527" spans="1:8" x14ac:dyDescent="0.3">
      <c r="A3527" t="s">
        <v>1279</v>
      </c>
      <c r="B3527">
        <v>11</v>
      </c>
      <c r="C3527" t="s">
        <v>1321</v>
      </c>
      <c r="D3527" s="1">
        <v>0.67708333333333337</v>
      </c>
      <c r="E3527" t="s">
        <v>26</v>
      </c>
      <c r="F3527" t="s">
        <v>28</v>
      </c>
      <c r="G3527" s="2">
        <v>46054</v>
      </c>
      <c r="H3527" t="s">
        <v>194</v>
      </c>
    </row>
    <row r="3528" spans="1:8" x14ac:dyDescent="0.3">
      <c r="A3528" t="s">
        <v>1279</v>
      </c>
      <c r="B3528">
        <v>11</v>
      </c>
      <c r="C3528" t="s">
        <v>1321</v>
      </c>
      <c r="D3528" s="1">
        <v>0.77083333333333337</v>
      </c>
      <c r="E3528" t="s">
        <v>606</v>
      </c>
      <c r="F3528" t="s">
        <v>23</v>
      </c>
      <c r="G3528" s="2">
        <v>46023</v>
      </c>
      <c r="H3528" t="s">
        <v>1286</v>
      </c>
    </row>
    <row r="3529" spans="1:8" x14ac:dyDescent="0.3">
      <c r="A3529" t="s">
        <v>1279</v>
      </c>
      <c r="B3529">
        <v>11</v>
      </c>
      <c r="C3529" t="s">
        <v>1321</v>
      </c>
      <c r="D3529" s="1">
        <v>0.77083333333333337</v>
      </c>
      <c r="E3529" t="s">
        <v>34</v>
      </c>
      <c r="F3529" t="s">
        <v>33</v>
      </c>
      <c r="G3529" s="2">
        <v>46024</v>
      </c>
      <c r="H3529" t="s">
        <v>341</v>
      </c>
    </row>
    <row r="3530" spans="1:8" x14ac:dyDescent="0.3">
      <c r="A3530" t="s">
        <v>1279</v>
      </c>
      <c r="B3530">
        <v>11</v>
      </c>
      <c r="C3530" t="s">
        <v>1321</v>
      </c>
      <c r="D3530" s="1">
        <v>0.875</v>
      </c>
      <c r="E3530" t="s">
        <v>20</v>
      </c>
      <c r="F3530" t="s">
        <v>15</v>
      </c>
      <c r="G3530" t="s">
        <v>88</v>
      </c>
      <c r="H3530" t="s">
        <v>205</v>
      </c>
    </row>
    <row r="3531" spans="1:8" x14ac:dyDescent="0.3">
      <c r="A3531" t="s">
        <v>1279</v>
      </c>
      <c r="B3531">
        <v>11</v>
      </c>
      <c r="C3531" t="s">
        <v>1322</v>
      </c>
      <c r="D3531" s="1">
        <v>0.875</v>
      </c>
      <c r="E3531" t="s">
        <v>35</v>
      </c>
      <c r="F3531" t="s">
        <v>11</v>
      </c>
      <c r="G3531" s="2">
        <v>46023</v>
      </c>
      <c r="H3531" t="s">
        <v>614</v>
      </c>
    </row>
    <row r="3532" spans="1:8" x14ac:dyDescent="0.3">
      <c r="A3532" t="s">
        <v>1279</v>
      </c>
      <c r="B3532">
        <v>12</v>
      </c>
      <c r="C3532" t="s">
        <v>1323</v>
      </c>
      <c r="D3532" s="1">
        <v>0.875</v>
      </c>
      <c r="E3532" t="s">
        <v>881</v>
      </c>
      <c r="F3532" t="s">
        <v>36</v>
      </c>
      <c r="G3532" s="2">
        <v>46023</v>
      </c>
      <c r="H3532" t="s">
        <v>1001</v>
      </c>
    </row>
    <row r="3533" spans="1:8" x14ac:dyDescent="0.3">
      <c r="A3533" t="s">
        <v>1279</v>
      </c>
      <c r="B3533">
        <v>12</v>
      </c>
      <c r="C3533" t="s">
        <v>1324</v>
      </c>
      <c r="D3533" s="1">
        <v>0.58333333333333337</v>
      </c>
      <c r="E3533" t="s">
        <v>33</v>
      </c>
      <c r="F3533" t="s">
        <v>35</v>
      </c>
      <c r="G3533" s="2">
        <v>46025</v>
      </c>
      <c r="H3533" t="s">
        <v>184</v>
      </c>
    </row>
    <row r="3534" spans="1:8" x14ac:dyDescent="0.3">
      <c r="A3534" t="s">
        <v>1279</v>
      </c>
      <c r="B3534">
        <v>12</v>
      </c>
      <c r="C3534" t="s">
        <v>1324</v>
      </c>
      <c r="D3534" s="1">
        <v>0.67708333333333337</v>
      </c>
      <c r="E3534" t="s">
        <v>1000</v>
      </c>
      <c r="F3534" t="s">
        <v>28</v>
      </c>
      <c r="G3534" s="2">
        <v>46056</v>
      </c>
      <c r="H3534" t="s">
        <v>345</v>
      </c>
    </row>
    <row r="3535" spans="1:8" x14ac:dyDescent="0.3">
      <c r="A3535" t="s">
        <v>1279</v>
      </c>
      <c r="B3535">
        <v>12</v>
      </c>
      <c r="C3535" t="s">
        <v>1324</v>
      </c>
      <c r="D3535" s="1">
        <v>0.77083333333333337</v>
      </c>
      <c r="E3535" t="s">
        <v>27</v>
      </c>
      <c r="F3535" t="s">
        <v>30</v>
      </c>
      <c r="G3535" t="s">
        <v>42</v>
      </c>
      <c r="H3535" t="s">
        <v>181</v>
      </c>
    </row>
    <row r="3536" spans="1:8" x14ac:dyDescent="0.3">
      <c r="A3536" t="s">
        <v>1279</v>
      </c>
      <c r="B3536">
        <v>12</v>
      </c>
      <c r="C3536" t="s">
        <v>1324</v>
      </c>
      <c r="D3536" s="1">
        <v>0.875</v>
      </c>
      <c r="E3536" t="s">
        <v>16</v>
      </c>
      <c r="F3536" t="s">
        <v>20</v>
      </c>
      <c r="G3536" t="s">
        <v>42</v>
      </c>
      <c r="H3536" t="s">
        <v>341</v>
      </c>
    </row>
    <row r="3537" spans="1:8" x14ac:dyDescent="0.3">
      <c r="A3537" t="s">
        <v>1279</v>
      </c>
      <c r="B3537">
        <v>12</v>
      </c>
      <c r="C3537" t="s">
        <v>1325</v>
      </c>
      <c r="D3537" s="1">
        <v>0.58333333333333337</v>
      </c>
      <c r="E3537" t="s">
        <v>23</v>
      </c>
      <c r="F3537" t="s">
        <v>14</v>
      </c>
      <c r="G3537" t="s">
        <v>12</v>
      </c>
      <c r="H3537" t="s">
        <v>747</v>
      </c>
    </row>
    <row r="3538" spans="1:8" x14ac:dyDescent="0.3">
      <c r="A3538" t="s">
        <v>1279</v>
      </c>
      <c r="B3538">
        <v>12</v>
      </c>
      <c r="C3538" t="s">
        <v>1325</v>
      </c>
      <c r="D3538" s="1">
        <v>0.67708333333333337</v>
      </c>
      <c r="E3538" t="s">
        <v>25</v>
      </c>
      <c r="F3538" t="s">
        <v>606</v>
      </c>
      <c r="G3538" s="2">
        <v>46023</v>
      </c>
      <c r="H3538" t="s">
        <v>190</v>
      </c>
    </row>
    <row r="3539" spans="1:8" x14ac:dyDescent="0.3">
      <c r="A3539" t="s">
        <v>1279</v>
      </c>
      <c r="B3539">
        <v>12</v>
      </c>
      <c r="C3539" t="s">
        <v>1325</v>
      </c>
      <c r="D3539" s="1">
        <v>0.77083333333333337</v>
      </c>
      <c r="E3539" t="s">
        <v>15</v>
      </c>
      <c r="F3539" t="s">
        <v>34</v>
      </c>
      <c r="G3539" t="s">
        <v>18</v>
      </c>
      <c r="H3539" t="s">
        <v>1141</v>
      </c>
    </row>
    <row r="3540" spans="1:8" x14ac:dyDescent="0.3">
      <c r="A3540" t="s">
        <v>1279</v>
      </c>
      <c r="B3540">
        <v>12</v>
      </c>
      <c r="C3540" t="s">
        <v>1325</v>
      </c>
      <c r="D3540" s="1">
        <v>0.875</v>
      </c>
      <c r="E3540" t="s">
        <v>10</v>
      </c>
      <c r="F3540" t="s">
        <v>26</v>
      </c>
      <c r="G3540" t="s">
        <v>54</v>
      </c>
      <c r="H3540" t="s">
        <v>1284</v>
      </c>
    </row>
    <row r="3541" spans="1:8" x14ac:dyDescent="0.3">
      <c r="A3541" t="s">
        <v>1279</v>
      </c>
      <c r="B3541">
        <v>12</v>
      </c>
      <c r="C3541" t="s">
        <v>1326</v>
      </c>
      <c r="D3541" s="1">
        <v>0.875</v>
      </c>
      <c r="E3541" t="s">
        <v>31</v>
      </c>
      <c r="F3541" t="s">
        <v>11</v>
      </c>
      <c r="G3541" t="s">
        <v>42</v>
      </c>
      <c r="H3541" t="s">
        <v>883</v>
      </c>
    </row>
    <row r="3542" spans="1:8" x14ac:dyDescent="0.3">
      <c r="A3542" t="s">
        <v>1279</v>
      </c>
      <c r="B3542">
        <v>13</v>
      </c>
      <c r="C3542" t="s">
        <v>1327</v>
      </c>
      <c r="D3542" s="1">
        <v>0.875</v>
      </c>
      <c r="E3542" t="s">
        <v>606</v>
      </c>
      <c r="F3542" t="s">
        <v>15</v>
      </c>
      <c r="G3542" s="2">
        <v>46024</v>
      </c>
      <c r="H3542" t="s">
        <v>887</v>
      </c>
    </row>
    <row r="3543" spans="1:8" x14ac:dyDescent="0.3">
      <c r="A3543" t="s">
        <v>1279</v>
      </c>
      <c r="B3543">
        <v>13</v>
      </c>
      <c r="C3543" t="s">
        <v>1328</v>
      </c>
      <c r="D3543" s="1">
        <v>0.58333333333333337</v>
      </c>
      <c r="E3543" t="s">
        <v>11</v>
      </c>
      <c r="F3543" t="s">
        <v>1000</v>
      </c>
      <c r="G3543" t="s">
        <v>41</v>
      </c>
      <c r="H3543" t="s">
        <v>185</v>
      </c>
    </row>
    <row r="3544" spans="1:8" x14ac:dyDescent="0.3">
      <c r="A3544" t="s">
        <v>1279</v>
      </c>
      <c r="B3544">
        <v>13</v>
      </c>
      <c r="C3544" t="s">
        <v>1328</v>
      </c>
      <c r="D3544" s="1">
        <v>0.67708333333333337</v>
      </c>
      <c r="E3544" t="s">
        <v>14</v>
      </c>
      <c r="F3544" t="s">
        <v>31</v>
      </c>
      <c r="G3544" s="2">
        <v>46024</v>
      </c>
      <c r="H3544" t="s">
        <v>341</v>
      </c>
    </row>
    <row r="3545" spans="1:8" x14ac:dyDescent="0.3">
      <c r="A3545" t="s">
        <v>1279</v>
      </c>
      <c r="B3545">
        <v>13</v>
      </c>
      <c r="C3545" t="s">
        <v>1328</v>
      </c>
      <c r="D3545" s="1">
        <v>0.77083333333333337</v>
      </c>
      <c r="E3545" t="s">
        <v>35</v>
      </c>
      <c r="F3545" t="s">
        <v>23</v>
      </c>
      <c r="G3545" s="2">
        <v>46054</v>
      </c>
      <c r="H3545" t="s">
        <v>1007</v>
      </c>
    </row>
    <row r="3546" spans="1:8" x14ac:dyDescent="0.3">
      <c r="A3546" t="s">
        <v>1279</v>
      </c>
      <c r="B3546">
        <v>13</v>
      </c>
      <c r="C3546" t="s">
        <v>1328</v>
      </c>
      <c r="D3546" s="1">
        <v>0.875</v>
      </c>
      <c r="E3546" t="s">
        <v>20</v>
      </c>
      <c r="F3546" t="s">
        <v>33</v>
      </c>
      <c r="G3546" t="s">
        <v>12</v>
      </c>
      <c r="H3546" t="s">
        <v>614</v>
      </c>
    </row>
    <row r="3547" spans="1:8" x14ac:dyDescent="0.3">
      <c r="A3547" t="s">
        <v>1279</v>
      </c>
      <c r="B3547">
        <v>13</v>
      </c>
      <c r="C3547" t="s">
        <v>1329</v>
      </c>
      <c r="D3547" s="1">
        <v>0.58333333333333337</v>
      </c>
      <c r="E3547" t="s">
        <v>28</v>
      </c>
      <c r="F3547" t="s">
        <v>36</v>
      </c>
      <c r="G3547" s="2">
        <v>46023</v>
      </c>
      <c r="H3547" t="s">
        <v>1286</v>
      </c>
    </row>
    <row r="3548" spans="1:8" x14ac:dyDescent="0.3">
      <c r="A3548" t="s">
        <v>1279</v>
      </c>
      <c r="B3548">
        <v>13</v>
      </c>
      <c r="C3548" t="s">
        <v>1329</v>
      </c>
      <c r="D3548" s="1">
        <v>0.67708333333333337</v>
      </c>
      <c r="E3548" t="s">
        <v>10</v>
      </c>
      <c r="F3548" t="s">
        <v>16</v>
      </c>
      <c r="G3548" s="2">
        <v>46023</v>
      </c>
      <c r="H3548" t="s">
        <v>467</v>
      </c>
    </row>
    <row r="3549" spans="1:8" x14ac:dyDescent="0.3">
      <c r="A3549" t="s">
        <v>1279</v>
      </c>
      <c r="B3549">
        <v>13</v>
      </c>
      <c r="C3549" t="s">
        <v>1329</v>
      </c>
      <c r="D3549" s="1">
        <v>0.77083333333333337</v>
      </c>
      <c r="E3549" t="s">
        <v>34</v>
      </c>
      <c r="F3549" t="s">
        <v>881</v>
      </c>
      <c r="G3549" t="s">
        <v>54</v>
      </c>
      <c r="H3549" t="s">
        <v>1146</v>
      </c>
    </row>
    <row r="3550" spans="1:8" x14ac:dyDescent="0.3">
      <c r="A3550" t="s">
        <v>1279</v>
      </c>
      <c r="B3550">
        <v>13</v>
      </c>
      <c r="C3550" t="s">
        <v>1329</v>
      </c>
      <c r="D3550" s="1">
        <v>0.875</v>
      </c>
      <c r="E3550" t="s">
        <v>26</v>
      </c>
      <c r="F3550" t="s">
        <v>27</v>
      </c>
      <c r="G3550" s="2">
        <v>46023</v>
      </c>
      <c r="H3550" t="s">
        <v>345</v>
      </c>
    </row>
    <row r="3551" spans="1:8" x14ac:dyDescent="0.3">
      <c r="A3551" t="s">
        <v>1279</v>
      </c>
      <c r="B3551">
        <v>13</v>
      </c>
      <c r="C3551" t="s">
        <v>1330</v>
      </c>
      <c r="D3551" s="1">
        <v>0.875</v>
      </c>
      <c r="E3551" t="s">
        <v>30</v>
      </c>
      <c r="F3551" t="s">
        <v>25</v>
      </c>
      <c r="G3551" s="2">
        <v>46056</v>
      </c>
      <c r="H3551" t="s">
        <v>205</v>
      </c>
    </row>
    <row r="3552" spans="1:8" x14ac:dyDescent="0.3">
      <c r="A3552" t="s">
        <v>1279</v>
      </c>
      <c r="B3552">
        <v>14</v>
      </c>
      <c r="C3552" t="s">
        <v>1331</v>
      </c>
      <c r="D3552" s="1">
        <v>0.79166666666666663</v>
      </c>
      <c r="E3552" t="s">
        <v>31</v>
      </c>
      <c r="F3552" t="s">
        <v>606</v>
      </c>
      <c r="G3552" s="2">
        <v>46054</v>
      </c>
      <c r="H3552" t="s">
        <v>614</v>
      </c>
    </row>
    <row r="3553" spans="1:8" x14ac:dyDescent="0.3">
      <c r="A3553" t="s">
        <v>1279</v>
      </c>
      <c r="B3553">
        <v>14</v>
      </c>
      <c r="C3553" t="s">
        <v>1331</v>
      </c>
      <c r="D3553" s="1">
        <v>0.83333333333333337</v>
      </c>
      <c r="E3553" t="s">
        <v>15</v>
      </c>
      <c r="F3553" t="s">
        <v>14</v>
      </c>
      <c r="G3553" t="s">
        <v>32</v>
      </c>
      <c r="H3553" t="s">
        <v>1001</v>
      </c>
    </row>
    <row r="3554" spans="1:8" x14ac:dyDescent="0.3">
      <c r="A3554" t="s">
        <v>1279</v>
      </c>
      <c r="B3554">
        <v>14</v>
      </c>
      <c r="C3554" t="s">
        <v>1331</v>
      </c>
      <c r="D3554" s="1">
        <v>0.89583333333333337</v>
      </c>
      <c r="E3554" t="s">
        <v>23</v>
      </c>
      <c r="F3554" t="s">
        <v>20</v>
      </c>
      <c r="G3554" s="2">
        <v>46054</v>
      </c>
      <c r="H3554" t="s">
        <v>194</v>
      </c>
    </row>
    <row r="3555" spans="1:8" x14ac:dyDescent="0.3">
      <c r="A3555" t="s">
        <v>1279</v>
      </c>
      <c r="B3555">
        <v>14</v>
      </c>
      <c r="C3555" t="s">
        <v>1332</v>
      </c>
      <c r="D3555" s="1">
        <v>0.79166666666666663</v>
      </c>
      <c r="E3555" t="s">
        <v>33</v>
      </c>
      <c r="F3555" t="s">
        <v>11</v>
      </c>
      <c r="G3555" t="s">
        <v>18</v>
      </c>
      <c r="H3555" t="s">
        <v>1146</v>
      </c>
    </row>
    <row r="3556" spans="1:8" x14ac:dyDescent="0.3">
      <c r="A3556" t="s">
        <v>1279</v>
      </c>
      <c r="B3556">
        <v>14</v>
      </c>
      <c r="C3556" t="s">
        <v>1332</v>
      </c>
      <c r="D3556" s="1">
        <v>0.79166666666666663</v>
      </c>
      <c r="E3556" t="s">
        <v>27</v>
      </c>
      <c r="F3556" t="s">
        <v>10</v>
      </c>
      <c r="G3556" s="2">
        <v>46054</v>
      </c>
      <c r="H3556" t="s">
        <v>184</v>
      </c>
    </row>
    <row r="3557" spans="1:8" x14ac:dyDescent="0.3">
      <c r="A3557" t="s">
        <v>1279</v>
      </c>
      <c r="B3557">
        <v>14</v>
      </c>
      <c r="C3557" t="s">
        <v>1332</v>
      </c>
      <c r="D3557" s="1">
        <v>0.83333333333333337</v>
      </c>
      <c r="E3557" t="s">
        <v>36</v>
      </c>
      <c r="F3557" t="s">
        <v>34</v>
      </c>
      <c r="G3557" t="s">
        <v>42</v>
      </c>
      <c r="H3557" t="s">
        <v>1284</v>
      </c>
    </row>
    <row r="3558" spans="1:8" x14ac:dyDescent="0.3">
      <c r="A3558" t="s">
        <v>1279</v>
      </c>
      <c r="B3558">
        <v>14</v>
      </c>
      <c r="C3558" t="s">
        <v>1332</v>
      </c>
      <c r="D3558" s="1">
        <v>0.89583333333333337</v>
      </c>
      <c r="E3558" t="s">
        <v>881</v>
      </c>
      <c r="F3558" t="s">
        <v>28</v>
      </c>
      <c r="G3558" t="s">
        <v>18</v>
      </c>
      <c r="H3558" t="s">
        <v>190</v>
      </c>
    </row>
    <row r="3559" spans="1:8" x14ac:dyDescent="0.3">
      <c r="A3559" t="s">
        <v>1279</v>
      </c>
      <c r="B3559">
        <v>14</v>
      </c>
      <c r="C3559" t="s">
        <v>1333</v>
      </c>
      <c r="D3559" s="1">
        <v>0.79166666666666663</v>
      </c>
      <c r="E3559" t="s">
        <v>30</v>
      </c>
      <c r="F3559" t="s">
        <v>35</v>
      </c>
      <c r="G3559" t="s">
        <v>41</v>
      </c>
      <c r="H3559" t="s">
        <v>467</v>
      </c>
    </row>
    <row r="3560" spans="1:8" x14ac:dyDescent="0.3">
      <c r="A3560" t="s">
        <v>1279</v>
      </c>
      <c r="B3560">
        <v>14</v>
      </c>
      <c r="C3560" t="s">
        <v>1333</v>
      </c>
      <c r="D3560" s="1">
        <v>0.83333333333333337</v>
      </c>
      <c r="E3560" t="s">
        <v>16</v>
      </c>
      <c r="F3560" t="s">
        <v>26</v>
      </c>
      <c r="G3560" t="s">
        <v>32</v>
      </c>
      <c r="H3560" t="s">
        <v>1141</v>
      </c>
    </row>
    <row r="3561" spans="1:8" x14ac:dyDescent="0.3">
      <c r="A3561" t="s">
        <v>1279</v>
      </c>
      <c r="B3561">
        <v>14</v>
      </c>
      <c r="C3561" t="s">
        <v>1333</v>
      </c>
      <c r="D3561" s="1">
        <v>0.89583333333333337</v>
      </c>
      <c r="E3561" t="s">
        <v>25</v>
      </c>
      <c r="F3561" t="s">
        <v>1000</v>
      </c>
      <c r="G3561" s="2">
        <v>46024</v>
      </c>
      <c r="H3561" t="s">
        <v>883</v>
      </c>
    </row>
    <row r="3562" spans="1:8" x14ac:dyDescent="0.3">
      <c r="A3562" t="s">
        <v>1279</v>
      </c>
      <c r="B3562">
        <v>15</v>
      </c>
      <c r="C3562" t="s">
        <v>1334</v>
      </c>
      <c r="D3562" s="1">
        <v>0.70833333333333337</v>
      </c>
      <c r="E3562" t="s">
        <v>606</v>
      </c>
      <c r="F3562" t="s">
        <v>30</v>
      </c>
      <c r="G3562" s="2">
        <v>46055</v>
      </c>
      <c r="H3562" t="s">
        <v>1007</v>
      </c>
    </row>
    <row r="3563" spans="1:8" x14ac:dyDescent="0.3">
      <c r="A3563" t="s">
        <v>1279</v>
      </c>
      <c r="B3563">
        <v>15</v>
      </c>
      <c r="C3563" t="s">
        <v>1334</v>
      </c>
      <c r="D3563" s="1">
        <v>0.80208333333333337</v>
      </c>
      <c r="E3563" t="s">
        <v>26</v>
      </c>
      <c r="F3563" t="s">
        <v>15</v>
      </c>
      <c r="G3563" t="s">
        <v>41</v>
      </c>
      <c r="H3563" t="s">
        <v>185</v>
      </c>
    </row>
    <row r="3564" spans="1:8" x14ac:dyDescent="0.3">
      <c r="A3564" t="s">
        <v>1279</v>
      </c>
      <c r="B3564">
        <v>15</v>
      </c>
      <c r="C3564" t="s">
        <v>1334</v>
      </c>
      <c r="D3564" s="1">
        <v>0.89583333333333337</v>
      </c>
      <c r="E3564" t="s">
        <v>28</v>
      </c>
      <c r="F3564" t="s">
        <v>31</v>
      </c>
      <c r="G3564" t="s">
        <v>12</v>
      </c>
      <c r="H3564" t="s">
        <v>747</v>
      </c>
    </row>
    <row r="3565" spans="1:8" x14ac:dyDescent="0.3">
      <c r="A3565" t="s">
        <v>1279</v>
      </c>
      <c r="B3565">
        <v>15</v>
      </c>
      <c r="C3565" t="s">
        <v>1335</v>
      </c>
      <c r="D3565" s="1">
        <v>0.70833333333333337</v>
      </c>
      <c r="E3565" t="s">
        <v>11</v>
      </c>
      <c r="F3565" t="s">
        <v>881</v>
      </c>
      <c r="G3565" t="s">
        <v>12</v>
      </c>
      <c r="H3565" t="s">
        <v>612</v>
      </c>
    </row>
    <row r="3566" spans="1:8" x14ac:dyDescent="0.3">
      <c r="A3566" t="s">
        <v>1279</v>
      </c>
      <c r="B3566">
        <v>15</v>
      </c>
      <c r="C3566" t="s">
        <v>1335</v>
      </c>
      <c r="D3566" s="1">
        <v>0.80208333333333337</v>
      </c>
      <c r="E3566" t="s">
        <v>35</v>
      </c>
      <c r="F3566" t="s">
        <v>27</v>
      </c>
      <c r="G3566" s="2">
        <v>46023</v>
      </c>
      <c r="H3566" t="s">
        <v>341</v>
      </c>
    </row>
    <row r="3567" spans="1:8" x14ac:dyDescent="0.3">
      <c r="A3567" t="s">
        <v>1279</v>
      </c>
      <c r="B3567">
        <v>15</v>
      </c>
      <c r="C3567" t="s">
        <v>1335</v>
      </c>
      <c r="D3567" s="1">
        <v>0.80208333333333337</v>
      </c>
      <c r="E3567" t="s">
        <v>1000</v>
      </c>
      <c r="F3567" t="s">
        <v>33</v>
      </c>
      <c r="G3567" s="2">
        <v>46023</v>
      </c>
      <c r="H3567" t="s">
        <v>205</v>
      </c>
    </row>
    <row r="3568" spans="1:8" x14ac:dyDescent="0.3">
      <c r="A3568" t="s">
        <v>1279</v>
      </c>
      <c r="B3568">
        <v>15</v>
      </c>
      <c r="C3568" t="s">
        <v>1335</v>
      </c>
      <c r="D3568" s="1">
        <v>0.89583333333333337</v>
      </c>
      <c r="E3568" t="s">
        <v>14</v>
      </c>
      <c r="F3568" t="s">
        <v>25</v>
      </c>
      <c r="G3568" t="s">
        <v>54</v>
      </c>
      <c r="H3568" t="s">
        <v>467</v>
      </c>
    </row>
    <row r="3569" spans="1:8" x14ac:dyDescent="0.3">
      <c r="A3569" t="s">
        <v>1279</v>
      </c>
      <c r="B3569">
        <v>15</v>
      </c>
      <c r="C3569" t="s">
        <v>1336</v>
      </c>
      <c r="D3569" s="1">
        <v>0.58333333333333337</v>
      </c>
      <c r="E3569" t="s">
        <v>20</v>
      </c>
      <c r="F3569" t="s">
        <v>36</v>
      </c>
      <c r="G3569" s="2">
        <v>46023</v>
      </c>
      <c r="H3569" t="s">
        <v>181</v>
      </c>
    </row>
    <row r="3570" spans="1:8" x14ac:dyDescent="0.3">
      <c r="A3570" t="s">
        <v>1279</v>
      </c>
      <c r="B3570">
        <v>15</v>
      </c>
      <c r="C3570" t="s">
        <v>1336</v>
      </c>
      <c r="D3570" s="1">
        <v>0.67708333333333337</v>
      </c>
      <c r="E3570" t="s">
        <v>10</v>
      </c>
      <c r="F3570" t="s">
        <v>23</v>
      </c>
      <c r="G3570" t="s">
        <v>12</v>
      </c>
      <c r="H3570" t="s">
        <v>887</v>
      </c>
    </row>
    <row r="3571" spans="1:8" x14ac:dyDescent="0.3">
      <c r="A3571" t="s">
        <v>1279</v>
      </c>
      <c r="B3571">
        <v>15</v>
      </c>
      <c r="C3571" t="s">
        <v>1336</v>
      </c>
      <c r="D3571" s="1">
        <v>0.67708333333333337</v>
      </c>
      <c r="E3571" t="s">
        <v>34</v>
      </c>
      <c r="F3571" t="s">
        <v>16</v>
      </c>
      <c r="G3571" s="2">
        <v>46024</v>
      </c>
      <c r="H3571" t="s">
        <v>345</v>
      </c>
    </row>
    <row r="3572" spans="1:8" x14ac:dyDescent="0.3">
      <c r="A3572" t="s">
        <v>1279</v>
      </c>
      <c r="B3572">
        <v>16</v>
      </c>
      <c r="C3572" t="s">
        <v>1337</v>
      </c>
      <c r="D3572" s="1">
        <v>0.77083333333333337</v>
      </c>
      <c r="E3572" t="s">
        <v>31</v>
      </c>
      <c r="F3572" t="s">
        <v>35</v>
      </c>
      <c r="G3572" t="s">
        <v>42</v>
      </c>
      <c r="H3572" t="s">
        <v>1141</v>
      </c>
    </row>
    <row r="3573" spans="1:8" x14ac:dyDescent="0.3">
      <c r="A3573" t="s">
        <v>1279</v>
      </c>
      <c r="B3573">
        <v>16</v>
      </c>
      <c r="C3573" t="s">
        <v>1337</v>
      </c>
      <c r="D3573" s="1">
        <v>0.875</v>
      </c>
      <c r="E3573" t="s">
        <v>16</v>
      </c>
      <c r="F3573" t="s">
        <v>1000</v>
      </c>
      <c r="G3573" t="s">
        <v>42</v>
      </c>
      <c r="H3573" t="s">
        <v>614</v>
      </c>
    </row>
    <row r="3574" spans="1:8" x14ac:dyDescent="0.3">
      <c r="A3574" t="s">
        <v>1279</v>
      </c>
      <c r="B3574">
        <v>16</v>
      </c>
      <c r="C3574" t="s">
        <v>1338</v>
      </c>
      <c r="D3574" s="1">
        <v>0.67708333333333337</v>
      </c>
      <c r="E3574" t="s">
        <v>34</v>
      </c>
      <c r="F3574" t="s">
        <v>25</v>
      </c>
      <c r="G3574" s="2">
        <v>46024</v>
      </c>
      <c r="H3574" t="s">
        <v>883</v>
      </c>
    </row>
    <row r="3575" spans="1:8" x14ac:dyDescent="0.3">
      <c r="A3575" t="s">
        <v>1279</v>
      </c>
      <c r="B3575">
        <v>16</v>
      </c>
      <c r="C3575" t="s">
        <v>1338</v>
      </c>
      <c r="D3575" s="1">
        <v>0.77083333333333337</v>
      </c>
      <c r="E3575" t="s">
        <v>881</v>
      </c>
      <c r="F3575" t="s">
        <v>14</v>
      </c>
      <c r="G3575" t="s">
        <v>18</v>
      </c>
      <c r="H3575" t="s">
        <v>887</v>
      </c>
    </row>
    <row r="3576" spans="1:8" x14ac:dyDescent="0.3">
      <c r="A3576" t="s">
        <v>1279</v>
      </c>
      <c r="B3576">
        <v>16</v>
      </c>
      <c r="C3576" t="s">
        <v>1338</v>
      </c>
      <c r="D3576" s="1">
        <v>0.875</v>
      </c>
      <c r="E3576" t="s">
        <v>36</v>
      </c>
      <c r="F3576" t="s">
        <v>606</v>
      </c>
      <c r="G3576" s="2">
        <v>46055</v>
      </c>
      <c r="H3576" t="s">
        <v>184</v>
      </c>
    </row>
    <row r="3577" spans="1:8" x14ac:dyDescent="0.3">
      <c r="A3577" t="s">
        <v>1279</v>
      </c>
      <c r="B3577">
        <v>16</v>
      </c>
      <c r="C3577" t="s">
        <v>1339</v>
      </c>
      <c r="D3577" s="1">
        <v>0.58333333333333337</v>
      </c>
      <c r="E3577" t="s">
        <v>33</v>
      </c>
      <c r="F3577" t="s">
        <v>10</v>
      </c>
      <c r="G3577" t="s">
        <v>54</v>
      </c>
      <c r="H3577" t="s">
        <v>612</v>
      </c>
    </row>
    <row r="3578" spans="1:8" x14ac:dyDescent="0.3">
      <c r="A3578" t="s">
        <v>1279</v>
      </c>
      <c r="B3578">
        <v>16</v>
      </c>
      <c r="C3578" t="s">
        <v>1339</v>
      </c>
      <c r="D3578" s="1">
        <v>0.67708333333333337</v>
      </c>
      <c r="E3578" t="s">
        <v>30</v>
      </c>
      <c r="F3578" t="s">
        <v>26</v>
      </c>
      <c r="G3578" s="2">
        <v>46054</v>
      </c>
      <c r="H3578" t="s">
        <v>1001</v>
      </c>
    </row>
    <row r="3579" spans="1:8" x14ac:dyDescent="0.3">
      <c r="A3579" t="s">
        <v>1279</v>
      </c>
      <c r="B3579">
        <v>16</v>
      </c>
      <c r="C3579" t="s">
        <v>1339</v>
      </c>
      <c r="D3579" s="1">
        <v>0.77083333333333337</v>
      </c>
      <c r="E3579" t="s">
        <v>27</v>
      </c>
      <c r="F3579" t="s">
        <v>11</v>
      </c>
      <c r="G3579" s="2">
        <v>46024</v>
      </c>
      <c r="H3579" t="s">
        <v>205</v>
      </c>
    </row>
    <row r="3580" spans="1:8" x14ac:dyDescent="0.3">
      <c r="A3580" t="s">
        <v>1279</v>
      </c>
      <c r="B3580">
        <v>16</v>
      </c>
      <c r="C3580" t="s">
        <v>1339</v>
      </c>
      <c r="D3580" s="1">
        <v>0.875</v>
      </c>
      <c r="E3580" t="s">
        <v>28</v>
      </c>
      <c r="F3580" t="s">
        <v>20</v>
      </c>
      <c r="G3580" t="s">
        <v>42</v>
      </c>
      <c r="H3580" t="s">
        <v>467</v>
      </c>
    </row>
    <row r="3581" spans="1:8" x14ac:dyDescent="0.3">
      <c r="A3581" t="s">
        <v>1279</v>
      </c>
      <c r="B3581">
        <v>16</v>
      </c>
      <c r="C3581" t="s">
        <v>1340</v>
      </c>
      <c r="D3581" s="1">
        <v>0.875</v>
      </c>
      <c r="E3581" t="s">
        <v>15</v>
      </c>
      <c r="F3581" t="s">
        <v>23</v>
      </c>
      <c r="G3581" t="s">
        <v>41</v>
      </c>
      <c r="H3581" t="s">
        <v>190</v>
      </c>
    </row>
    <row r="3582" spans="1:8" x14ac:dyDescent="0.3">
      <c r="A3582" t="s">
        <v>1279</v>
      </c>
      <c r="B3582">
        <v>17</v>
      </c>
      <c r="C3582" t="s">
        <v>1341</v>
      </c>
      <c r="D3582" s="1">
        <v>0.875</v>
      </c>
      <c r="E3582" t="s">
        <v>35</v>
      </c>
      <c r="F3582" t="s">
        <v>34</v>
      </c>
      <c r="G3582" s="2">
        <v>46023</v>
      </c>
      <c r="H3582" t="s">
        <v>612</v>
      </c>
    </row>
    <row r="3583" spans="1:8" x14ac:dyDescent="0.3">
      <c r="A3583" t="s">
        <v>1279</v>
      </c>
      <c r="B3583">
        <v>17</v>
      </c>
      <c r="C3583" t="s">
        <v>1342</v>
      </c>
      <c r="D3583" s="1">
        <v>0.58333333333333337</v>
      </c>
      <c r="E3583" t="s">
        <v>14</v>
      </c>
      <c r="F3583" t="s">
        <v>30</v>
      </c>
      <c r="G3583" t="s">
        <v>42</v>
      </c>
      <c r="H3583" t="s">
        <v>190</v>
      </c>
    </row>
    <row r="3584" spans="1:8" x14ac:dyDescent="0.3">
      <c r="A3584" t="s">
        <v>1279</v>
      </c>
      <c r="B3584">
        <v>17</v>
      </c>
      <c r="C3584" t="s">
        <v>1342</v>
      </c>
      <c r="D3584" s="1">
        <v>0.67708333333333337</v>
      </c>
      <c r="E3584" t="s">
        <v>606</v>
      </c>
      <c r="F3584" t="s">
        <v>27</v>
      </c>
      <c r="G3584" s="2">
        <v>46024</v>
      </c>
      <c r="H3584" t="s">
        <v>887</v>
      </c>
    </row>
    <row r="3585" spans="1:8" x14ac:dyDescent="0.3">
      <c r="A3585" t="s">
        <v>1279</v>
      </c>
      <c r="B3585">
        <v>17</v>
      </c>
      <c r="C3585" t="s">
        <v>1342</v>
      </c>
      <c r="D3585" s="1">
        <v>0.77083333333333337</v>
      </c>
      <c r="E3585" t="s">
        <v>23</v>
      </c>
      <c r="F3585" t="s">
        <v>881</v>
      </c>
      <c r="G3585" t="s">
        <v>18</v>
      </c>
      <c r="H3585" t="s">
        <v>883</v>
      </c>
    </row>
    <row r="3586" spans="1:8" x14ac:dyDescent="0.3">
      <c r="A3586" t="s">
        <v>1279</v>
      </c>
      <c r="B3586">
        <v>17</v>
      </c>
      <c r="C3586" t="s">
        <v>1342</v>
      </c>
      <c r="D3586" s="1">
        <v>0.875</v>
      </c>
      <c r="E3586" t="s">
        <v>10</v>
      </c>
      <c r="F3586" t="s">
        <v>15</v>
      </c>
      <c r="G3586" s="2">
        <v>46025</v>
      </c>
      <c r="H3586" t="s">
        <v>747</v>
      </c>
    </row>
    <row r="3587" spans="1:8" x14ac:dyDescent="0.3">
      <c r="A3587" t="s">
        <v>1279</v>
      </c>
      <c r="B3587">
        <v>17</v>
      </c>
      <c r="C3587" t="s">
        <v>1343</v>
      </c>
      <c r="D3587" s="1">
        <v>0.58333333333333337</v>
      </c>
      <c r="E3587" t="s">
        <v>11</v>
      </c>
      <c r="F3587" t="s">
        <v>36</v>
      </c>
      <c r="G3587" s="2">
        <v>46054</v>
      </c>
      <c r="H3587" t="s">
        <v>1007</v>
      </c>
    </row>
    <row r="3588" spans="1:8" x14ac:dyDescent="0.3">
      <c r="A3588" t="s">
        <v>1279</v>
      </c>
      <c r="B3588">
        <v>17</v>
      </c>
      <c r="C3588" t="s">
        <v>1343</v>
      </c>
      <c r="D3588" s="1">
        <v>0.67708333333333337</v>
      </c>
      <c r="E3588" t="s">
        <v>33</v>
      </c>
      <c r="F3588" t="s">
        <v>28</v>
      </c>
      <c r="G3588" s="2">
        <v>46023</v>
      </c>
      <c r="H3588" t="s">
        <v>345</v>
      </c>
    </row>
    <row r="3589" spans="1:8" x14ac:dyDescent="0.3">
      <c r="A3589" t="s">
        <v>1279</v>
      </c>
      <c r="B3589">
        <v>17</v>
      </c>
      <c r="C3589" t="s">
        <v>1344</v>
      </c>
      <c r="D3589" s="1">
        <v>0.875</v>
      </c>
      <c r="E3589" t="s">
        <v>1000</v>
      </c>
      <c r="F3589" t="s">
        <v>31</v>
      </c>
      <c r="G3589" s="2">
        <v>46023</v>
      </c>
      <c r="H3589" t="s">
        <v>184</v>
      </c>
    </row>
    <row r="3590" spans="1:8" x14ac:dyDescent="0.3">
      <c r="A3590" t="s">
        <v>1279</v>
      </c>
      <c r="B3590">
        <v>17</v>
      </c>
      <c r="C3590" t="s">
        <v>1345</v>
      </c>
      <c r="D3590" s="1">
        <v>0.875</v>
      </c>
      <c r="E3590" t="s">
        <v>26</v>
      </c>
      <c r="F3590" t="s">
        <v>20</v>
      </c>
      <c r="G3590" s="2">
        <v>46054</v>
      </c>
      <c r="H3590" t="s">
        <v>341</v>
      </c>
    </row>
    <row r="3591" spans="1:8" x14ac:dyDescent="0.3">
      <c r="A3591" t="s">
        <v>1279</v>
      </c>
      <c r="B3591">
        <v>17</v>
      </c>
      <c r="C3591" t="s">
        <v>1346</v>
      </c>
      <c r="D3591" s="1">
        <v>0.875</v>
      </c>
      <c r="E3591" t="s">
        <v>25</v>
      </c>
      <c r="F3591" t="s">
        <v>16</v>
      </c>
      <c r="G3591" t="s">
        <v>12</v>
      </c>
      <c r="H3591" t="s">
        <v>612</v>
      </c>
    </row>
    <row r="3592" spans="1:8" x14ac:dyDescent="0.3">
      <c r="A3592" t="s">
        <v>1279</v>
      </c>
      <c r="B3592">
        <v>18</v>
      </c>
      <c r="C3592" t="s">
        <v>1347</v>
      </c>
      <c r="D3592" s="1">
        <v>0.875</v>
      </c>
      <c r="E3592" t="s">
        <v>881</v>
      </c>
      <c r="F3592" t="s">
        <v>35</v>
      </c>
      <c r="G3592" t="s">
        <v>18</v>
      </c>
      <c r="H3592" t="s">
        <v>1286</v>
      </c>
    </row>
    <row r="3593" spans="1:8" x14ac:dyDescent="0.3">
      <c r="A3593" t="s">
        <v>1279</v>
      </c>
      <c r="B3593">
        <v>18</v>
      </c>
      <c r="C3593" t="s">
        <v>1348</v>
      </c>
      <c r="D3593" s="1">
        <v>0.58333333333333337</v>
      </c>
      <c r="E3593" t="s">
        <v>30</v>
      </c>
      <c r="F3593" t="s">
        <v>10</v>
      </c>
      <c r="G3593" t="s">
        <v>54</v>
      </c>
      <c r="H3593" t="s">
        <v>181</v>
      </c>
    </row>
    <row r="3594" spans="1:8" x14ac:dyDescent="0.3">
      <c r="A3594" t="s">
        <v>1279</v>
      </c>
      <c r="B3594">
        <v>18</v>
      </c>
      <c r="C3594" t="s">
        <v>1348</v>
      </c>
      <c r="D3594" s="1">
        <v>0.67708333333333337</v>
      </c>
      <c r="E3594" t="s">
        <v>36</v>
      </c>
      <c r="F3594" t="s">
        <v>26</v>
      </c>
      <c r="G3594" t="s">
        <v>18</v>
      </c>
      <c r="H3594" t="s">
        <v>614</v>
      </c>
    </row>
    <row r="3595" spans="1:8" x14ac:dyDescent="0.3">
      <c r="A3595" t="s">
        <v>1279</v>
      </c>
      <c r="B3595">
        <v>18</v>
      </c>
      <c r="C3595" t="s">
        <v>1348</v>
      </c>
      <c r="D3595" s="1">
        <v>0.77083333333333337</v>
      </c>
      <c r="E3595" t="s">
        <v>28</v>
      </c>
      <c r="F3595" t="s">
        <v>14</v>
      </c>
      <c r="G3595" t="s">
        <v>32</v>
      </c>
      <c r="H3595" t="s">
        <v>341</v>
      </c>
    </row>
    <row r="3596" spans="1:8" x14ac:dyDescent="0.3">
      <c r="A3596" t="s">
        <v>1279</v>
      </c>
      <c r="B3596">
        <v>18</v>
      </c>
      <c r="C3596" t="s">
        <v>1348</v>
      </c>
      <c r="D3596" s="1">
        <v>0.875</v>
      </c>
      <c r="E3596" t="s">
        <v>27</v>
      </c>
      <c r="F3596" t="s">
        <v>1000</v>
      </c>
      <c r="G3596" t="s">
        <v>18</v>
      </c>
      <c r="H3596" t="s">
        <v>185</v>
      </c>
    </row>
    <row r="3597" spans="1:8" x14ac:dyDescent="0.3">
      <c r="A3597" t="s">
        <v>1279</v>
      </c>
      <c r="B3597">
        <v>18</v>
      </c>
      <c r="C3597" t="s">
        <v>1349</v>
      </c>
      <c r="D3597" s="1">
        <v>0.58333333333333337</v>
      </c>
      <c r="E3597" t="s">
        <v>34</v>
      </c>
      <c r="F3597" t="s">
        <v>606</v>
      </c>
      <c r="G3597" t="s">
        <v>18</v>
      </c>
      <c r="H3597" t="s">
        <v>184</v>
      </c>
    </row>
    <row r="3598" spans="1:8" x14ac:dyDescent="0.3">
      <c r="A3598" t="s">
        <v>1279</v>
      </c>
      <c r="B3598">
        <v>18</v>
      </c>
      <c r="C3598" t="s">
        <v>1349</v>
      </c>
      <c r="D3598" s="1">
        <v>0.67708333333333337</v>
      </c>
      <c r="E3598" t="s">
        <v>31</v>
      </c>
      <c r="F3598" t="s">
        <v>23</v>
      </c>
      <c r="G3598" s="2">
        <v>46023</v>
      </c>
      <c r="H3598" t="s">
        <v>1146</v>
      </c>
    </row>
    <row r="3599" spans="1:8" x14ac:dyDescent="0.3">
      <c r="A3599" t="s">
        <v>1279</v>
      </c>
      <c r="B3599">
        <v>18</v>
      </c>
      <c r="C3599" t="s">
        <v>1349</v>
      </c>
      <c r="D3599" s="1">
        <v>0.77083333333333337</v>
      </c>
      <c r="E3599" t="s">
        <v>20</v>
      </c>
      <c r="F3599" t="s">
        <v>11</v>
      </c>
      <c r="G3599" t="s">
        <v>18</v>
      </c>
      <c r="H3599" t="s">
        <v>1284</v>
      </c>
    </row>
    <row r="3600" spans="1:8" x14ac:dyDescent="0.3">
      <c r="A3600" t="s">
        <v>1279</v>
      </c>
      <c r="B3600">
        <v>18</v>
      </c>
      <c r="C3600" t="s">
        <v>1349</v>
      </c>
      <c r="D3600" s="1">
        <v>0.875</v>
      </c>
      <c r="E3600" t="s">
        <v>15</v>
      </c>
      <c r="F3600" t="s">
        <v>25</v>
      </c>
      <c r="G3600" t="s">
        <v>54</v>
      </c>
      <c r="H3600" t="s">
        <v>345</v>
      </c>
    </row>
    <row r="3601" spans="1:8" x14ac:dyDescent="0.3">
      <c r="A3601" t="s">
        <v>1279</v>
      </c>
      <c r="B3601">
        <v>18</v>
      </c>
      <c r="C3601" t="s">
        <v>1350</v>
      </c>
      <c r="D3601" s="1">
        <v>0.875</v>
      </c>
      <c r="E3601" t="s">
        <v>16</v>
      </c>
      <c r="F3601" t="s">
        <v>33</v>
      </c>
      <c r="G3601" s="2">
        <v>46055</v>
      </c>
      <c r="H3601" t="s">
        <v>194</v>
      </c>
    </row>
    <row r="3602" spans="1:8" x14ac:dyDescent="0.3">
      <c r="A3602" t="s">
        <v>1279</v>
      </c>
      <c r="B3602">
        <v>19</v>
      </c>
      <c r="C3602" t="s">
        <v>1351</v>
      </c>
      <c r="D3602" s="1">
        <v>0.875</v>
      </c>
      <c r="E3602" t="s">
        <v>33</v>
      </c>
      <c r="F3602" t="s">
        <v>36</v>
      </c>
      <c r="G3602" s="2">
        <v>46025</v>
      </c>
      <c r="H3602" t="s">
        <v>1284</v>
      </c>
    </row>
    <row r="3603" spans="1:8" x14ac:dyDescent="0.3">
      <c r="A3603" t="s">
        <v>1279</v>
      </c>
      <c r="B3603">
        <v>19</v>
      </c>
      <c r="C3603" t="s">
        <v>1352</v>
      </c>
      <c r="D3603" s="1">
        <v>0.58333333333333337</v>
      </c>
      <c r="E3603" t="s">
        <v>1000</v>
      </c>
      <c r="F3603" t="s">
        <v>881</v>
      </c>
      <c r="G3603" t="s">
        <v>12</v>
      </c>
      <c r="H3603" t="s">
        <v>341</v>
      </c>
    </row>
    <row r="3604" spans="1:8" x14ac:dyDescent="0.3">
      <c r="A3604" t="s">
        <v>1279</v>
      </c>
      <c r="B3604">
        <v>19</v>
      </c>
      <c r="C3604" t="s">
        <v>1352</v>
      </c>
      <c r="D3604" s="1">
        <v>0.67708333333333337</v>
      </c>
      <c r="E3604" t="s">
        <v>606</v>
      </c>
      <c r="F3604" t="s">
        <v>20</v>
      </c>
      <c r="G3604" t="s">
        <v>42</v>
      </c>
      <c r="H3604" t="s">
        <v>1146</v>
      </c>
    </row>
    <row r="3605" spans="1:8" x14ac:dyDescent="0.3">
      <c r="A3605" t="s">
        <v>1279</v>
      </c>
      <c r="B3605">
        <v>19</v>
      </c>
      <c r="C3605" t="s">
        <v>1352</v>
      </c>
      <c r="D3605" s="1">
        <v>0.77083333333333337</v>
      </c>
      <c r="E3605" t="s">
        <v>27</v>
      </c>
      <c r="F3605" t="s">
        <v>31</v>
      </c>
      <c r="G3605" t="s">
        <v>32</v>
      </c>
      <c r="H3605" t="s">
        <v>883</v>
      </c>
    </row>
    <row r="3606" spans="1:8" x14ac:dyDescent="0.3">
      <c r="A3606" t="s">
        <v>1279</v>
      </c>
      <c r="B3606">
        <v>19</v>
      </c>
      <c r="C3606" t="s">
        <v>1352</v>
      </c>
      <c r="D3606" s="1">
        <v>0.875</v>
      </c>
      <c r="E3606" t="s">
        <v>11</v>
      </c>
      <c r="F3606" t="s">
        <v>26</v>
      </c>
      <c r="G3606" t="s">
        <v>42</v>
      </c>
      <c r="H3606" t="s">
        <v>747</v>
      </c>
    </row>
    <row r="3607" spans="1:8" x14ac:dyDescent="0.3">
      <c r="A3607" t="s">
        <v>1279</v>
      </c>
      <c r="B3607">
        <v>19</v>
      </c>
      <c r="C3607" t="s">
        <v>1353</v>
      </c>
      <c r="D3607" s="1">
        <v>0.58333333333333337</v>
      </c>
      <c r="E3607" t="s">
        <v>14</v>
      </c>
      <c r="F3607" t="s">
        <v>16</v>
      </c>
      <c r="G3607" t="s">
        <v>18</v>
      </c>
      <c r="H3607" t="s">
        <v>1007</v>
      </c>
    </row>
    <row r="3608" spans="1:8" x14ac:dyDescent="0.3">
      <c r="A3608" t="s">
        <v>1279</v>
      </c>
      <c r="B3608">
        <v>19</v>
      </c>
      <c r="C3608" t="s">
        <v>1353</v>
      </c>
      <c r="D3608" s="1">
        <v>0.67708333333333337</v>
      </c>
      <c r="E3608" t="s">
        <v>23</v>
      </c>
      <c r="F3608" t="s">
        <v>28</v>
      </c>
      <c r="G3608" t="s">
        <v>42</v>
      </c>
      <c r="H3608" t="s">
        <v>612</v>
      </c>
    </row>
    <row r="3609" spans="1:8" x14ac:dyDescent="0.3">
      <c r="A3609" t="s">
        <v>1279</v>
      </c>
      <c r="B3609">
        <v>19</v>
      </c>
      <c r="C3609" t="s">
        <v>1353</v>
      </c>
      <c r="D3609" s="1">
        <v>0.77083333333333337</v>
      </c>
      <c r="E3609" t="s">
        <v>35</v>
      </c>
      <c r="F3609" t="s">
        <v>15</v>
      </c>
      <c r="G3609" t="s">
        <v>18</v>
      </c>
      <c r="H3609" t="s">
        <v>1001</v>
      </c>
    </row>
    <row r="3610" spans="1:8" x14ac:dyDescent="0.3">
      <c r="A3610" t="s">
        <v>1279</v>
      </c>
      <c r="B3610">
        <v>19</v>
      </c>
      <c r="C3610" t="s">
        <v>1353</v>
      </c>
      <c r="D3610" s="1">
        <v>0.875</v>
      </c>
      <c r="E3610" t="s">
        <v>25</v>
      </c>
      <c r="F3610" t="s">
        <v>10</v>
      </c>
      <c r="G3610" t="s">
        <v>41</v>
      </c>
      <c r="H3610" t="s">
        <v>190</v>
      </c>
    </row>
    <row r="3611" spans="1:8" x14ac:dyDescent="0.3">
      <c r="A3611" t="s">
        <v>1279</v>
      </c>
      <c r="B3611">
        <v>19</v>
      </c>
      <c r="C3611" t="s">
        <v>1354</v>
      </c>
      <c r="D3611" s="1">
        <v>0.875</v>
      </c>
      <c r="E3611" t="s">
        <v>34</v>
      </c>
      <c r="F3611" t="s">
        <v>30</v>
      </c>
      <c r="G3611" t="s">
        <v>42</v>
      </c>
      <c r="H3611" t="s">
        <v>1286</v>
      </c>
    </row>
    <row r="3612" spans="1:8" x14ac:dyDescent="0.3">
      <c r="A3612" t="s">
        <v>1279</v>
      </c>
      <c r="B3612">
        <v>20</v>
      </c>
      <c r="C3612" t="s">
        <v>1355</v>
      </c>
      <c r="D3612" s="1">
        <v>0.875</v>
      </c>
      <c r="E3612" t="s">
        <v>15</v>
      </c>
      <c r="F3612" t="s">
        <v>1000</v>
      </c>
      <c r="G3612" s="2">
        <v>46026</v>
      </c>
      <c r="H3612" t="s">
        <v>887</v>
      </c>
    </row>
    <row r="3613" spans="1:8" x14ac:dyDescent="0.3">
      <c r="A3613" t="s">
        <v>1279</v>
      </c>
      <c r="B3613">
        <v>20</v>
      </c>
      <c r="C3613" t="s">
        <v>1356</v>
      </c>
      <c r="D3613" s="1">
        <v>0.58333333333333337</v>
      </c>
      <c r="E3613" t="s">
        <v>36</v>
      </c>
      <c r="F3613" t="s">
        <v>23</v>
      </c>
      <c r="G3613" s="2">
        <v>46023</v>
      </c>
      <c r="H3613" t="s">
        <v>194</v>
      </c>
    </row>
    <row r="3614" spans="1:8" x14ac:dyDescent="0.3">
      <c r="A3614" t="s">
        <v>1279</v>
      </c>
      <c r="B3614">
        <v>20</v>
      </c>
      <c r="C3614" t="s">
        <v>1356</v>
      </c>
      <c r="D3614" s="1">
        <v>0.67708333333333337</v>
      </c>
      <c r="E3614" t="s">
        <v>31</v>
      </c>
      <c r="F3614" t="s">
        <v>34</v>
      </c>
      <c r="G3614" s="2">
        <v>46025</v>
      </c>
      <c r="H3614" t="s">
        <v>467</v>
      </c>
    </row>
    <row r="3615" spans="1:8" x14ac:dyDescent="0.3">
      <c r="A3615" t="s">
        <v>1279</v>
      </c>
      <c r="B3615">
        <v>20</v>
      </c>
      <c r="C3615" t="s">
        <v>1356</v>
      </c>
      <c r="D3615" s="1">
        <v>0.77083333333333337</v>
      </c>
      <c r="E3615" t="s">
        <v>28</v>
      </c>
      <c r="F3615" t="s">
        <v>11</v>
      </c>
      <c r="G3615" s="2">
        <v>46023</v>
      </c>
      <c r="H3615" t="s">
        <v>181</v>
      </c>
    </row>
    <row r="3616" spans="1:8" x14ac:dyDescent="0.3">
      <c r="A3616" t="s">
        <v>1279</v>
      </c>
      <c r="B3616">
        <v>20</v>
      </c>
      <c r="C3616" t="s">
        <v>1356</v>
      </c>
      <c r="D3616" s="1">
        <v>0.875</v>
      </c>
      <c r="E3616" t="s">
        <v>26</v>
      </c>
      <c r="F3616" t="s">
        <v>35</v>
      </c>
      <c r="G3616" s="2">
        <v>46115</v>
      </c>
      <c r="H3616" t="s">
        <v>184</v>
      </c>
    </row>
    <row r="3617" spans="1:8" x14ac:dyDescent="0.3">
      <c r="A3617" t="s">
        <v>1279</v>
      </c>
      <c r="B3617">
        <v>20</v>
      </c>
      <c r="C3617" t="s">
        <v>1357</v>
      </c>
      <c r="D3617" s="1">
        <v>0.58333333333333337</v>
      </c>
      <c r="E3617" t="s">
        <v>881</v>
      </c>
      <c r="F3617" t="s">
        <v>25</v>
      </c>
      <c r="G3617" t="s">
        <v>18</v>
      </c>
      <c r="H3617" t="s">
        <v>185</v>
      </c>
    </row>
    <row r="3618" spans="1:8" x14ac:dyDescent="0.3">
      <c r="A3618" t="s">
        <v>1279</v>
      </c>
      <c r="B3618">
        <v>20</v>
      </c>
      <c r="C3618" t="s">
        <v>1357</v>
      </c>
      <c r="D3618" s="1">
        <v>0.67708333333333337</v>
      </c>
      <c r="E3618" t="s">
        <v>606</v>
      </c>
      <c r="F3618" t="s">
        <v>16</v>
      </c>
      <c r="G3618" t="s">
        <v>18</v>
      </c>
      <c r="H3618" t="s">
        <v>1284</v>
      </c>
    </row>
    <row r="3619" spans="1:8" x14ac:dyDescent="0.3">
      <c r="A3619" t="s">
        <v>1279</v>
      </c>
      <c r="B3619">
        <v>20</v>
      </c>
      <c r="C3619" t="s">
        <v>1357</v>
      </c>
      <c r="D3619" s="1">
        <v>0.77083333333333337</v>
      </c>
      <c r="E3619" t="s">
        <v>10</v>
      </c>
      <c r="F3619" t="s">
        <v>14</v>
      </c>
      <c r="G3619" t="s">
        <v>42</v>
      </c>
      <c r="H3619" t="s">
        <v>614</v>
      </c>
    </row>
    <row r="3620" spans="1:8" x14ac:dyDescent="0.3">
      <c r="A3620" t="s">
        <v>1279</v>
      </c>
      <c r="B3620">
        <v>20</v>
      </c>
      <c r="C3620" t="s">
        <v>1357</v>
      </c>
      <c r="D3620" s="1">
        <v>0.875</v>
      </c>
      <c r="E3620" t="s">
        <v>20</v>
      </c>
      <c r="F3620" t="s">
        <v>27</v>
      </c>
      <c r="G3620" t="s">
        <v>32</v>
      </c>
      <c r="H3620" t="s">
        <v>345</v>
      </c>
    </row>
    <row r="3621" spans="1:8" x14ac:dyDescent="0.3">
      <c r="A3621" t="s">
        <v>1279</v>
      </c>
      <c r="B3621">
        <v>20</v>
      </c>
      <c r="C3621" t="s">
        <v>1358</v>
      </c>
      <c r="D3621" s="1">
        <v>0.875</v>
      </c>
      <c r="E3621" t="s">
        <v>30</v>
      </c>
      <c r="F3621" t="s">
        <v>33</v>
      </c>
      <c r="G3621" t="s">
        <v>12</v>
      </c>
      <c r="H3621" t="s">
        <v>883</v>
      </c>
    </row>
    <row r="3622" spans="1:8" x14ac:dyDescent="0.3">
      <c r="A3622" t="s">
        <v>1279</v>
      </c>
      <c r="B3622">
        <v>21</v>
      </c>
      <c r="C3622" t="s">
        <v>1359</v>
      </c>
      <c r="D3622" s="1">
        <v>0.875</v>
      </c>
      <c r="E3622" t="s">
        <v>1000</v>
      </c>
      <c r="F3622" t="s">
        <v>606</v>
      </c>
      <c r="G3622" t="s">
        <v>12</v>
      </c>
      <c r="H3622" t="s">
        <v>1286</v>
      </c>
    </row>
    <row r="3623" spans="1:8" x14ac:dyDescent="0.3">
      <c r="A3623" t="s">
        <v>1279</v>
      </c>
      <c r="B3623">
        <v>21</v>
      </c>
      <c r="C3623" t="s">
        <v>1360</v>
      </c>
      <c r="D3623" s="1">
        <v>0.67708333333333337</v>
      </c>
      <c r="E3623" t="s">
        <v>33</v>
      </c>
      <c r="F3623" t="s">
        <v>26</v>
      </c>
      <c r="G3623" s="2">
        <v>46083</v>
      </c>
      <c r="H3623" t="s">
        <v>612</v>
      </c>
    </row>
    <row r="3624" spans="1:8" x14ac:dyDescent="0.3">
      <c r="A3624" t="s">
        <v>1279</v>
      </c>
      <c r="B3624">
        <v>21</v>
      </c>
      <c r="C3624" t="s">
        <v>1360</v>
      </c>
      <c r="D3624" s="1">
        <v>0.77083333333333337</v>
      </c>
      <c r="E3624" t="s">
        <v>27</v>
      </c>
      <c r="F3624" t="s">
        <v>881</v>
      </c>
      <c r="G3624" t="s">
        <v>12</v>
      </c>
      <c r="H3624" t="s">
        <v>1284</v>
      </c>
    </row>
    <row r="3625" spans="1:8" x14ac:dyDescent="0.3">
      <c r="A3625" t="s">
        <v>1279</v>
      </c>
      <c r="B3625">
        <v>21</v>
      </c>
      <c r="C3625" t="s">
        <v>1360</v>
      </c>
      <c r="D3625" s="1">
        <v>0.875</v>
      </c>
      <c r="E3625" t="s">
        <v>16</v>
      </c>
      <c r="F3625" t="s">
        <v>15</v>
      </c>
      <c r="G3625" s="2">
        <v>46054</v>
      </c>
      <c r="H3625" t="s">
        <v>883</v>
      </c>
    </row>
    <row r="3626" spans="1:8" x14ac:dyDescent="0.3">
      <c r="A3626" t="s">
        <v>1279</v>
      </c>
      <c r="B3626">
        <v>21</v>
      </c>
      <c r="C3626" t="s">
        <v>1361</v>
      </c>
      <c r="D3626" s="1">
        <v>0.58333333333333337</v>
      </c>
      <c r="E3626" t="s">
        <v>11</v>
      </c>
      <c r="F3626" t="s">
        <v>30</v>
      </c>
      <c r="G3626" s="2">
        <v>46023</v>
      </c>
      <c r="H3626" t="s">
        <v>1001</v>
      </c>
    </row>
    <row r="3627" spans="1:8" x14ac:dyDescent="0.3">
      <c r="A3627" t="s">
        <v>1279</v>
      </c>
      <c r="B3627">
        <v>21</v>
      </c>
      <c r="C3627" t="s">
        <v>1361</v>
      </c>
      <c r="D3627" s="1">
        <v>0.67708333333333337</v>
      </c>
      <c r="E3627" t="s">
        <v>35</v>
      </c>
      <c r="F3627" t="s">
        <v>28</v>
      </c>
      <c r="G3627" t="s">
        <v>42</v>
      </c>
      <c r="H3627" t="s">
        <v>1007</v>
      </c>
    </row>
    <row r="3628" spans="1:8" x14ac:dyDescent="0.3">
      <c r="A3628" t="s">
        <v>1279</v>
      </c>
      <c r="B3628">
        <v>21</v>
      </c>
      <c r="C3628" t="s">
        <v>1361</v>
      </c>
      <c r="D3628" s="1">
        <v>0.77083333333333337</v>
      </c>
      <c r="E3628" t="s">
        <v>14</v>
      </c>
      <c r="F3628" t="s">
        <v>23</v>
      </c>
      <c r="G3628" t="s">
        <v>41</v>
      </c>
      <c r="H3628" t="s">
        <v>747</v>
      </c>
    </row>
    <row r="3629" spans="1:8" x14ac:dyDescent="0.3">
      <c r="A3629" t="s">
        <v>1279</v>
      </c>
      <c r="B3629">
        <v>21</v>
      </c>
      <c r="C3629" t="s">
        <v>1361</v>
      </c>
      <c r="D3629" s="1">
        <v>0.875</v>
      </c>
      <c r="E3629" t="s">
        <v>34</v>
      </c>
      <c r="F3629" t="s">
        <v>20</v>
      </c>
      <c r="G3629" t="s">
        <v>42</v>
      </c>
      <c r="H3629" t="s">
        <v>185</v>
      </c>
    </row>
    <row r="3630" spans="1:8" x14ac:dyDescent="0.3">
      <c r="A3630" t="s">
        <v>1279</v>
      </c>
      <c r="B3630">
        <v>21</v>
      </c>
      <c r="C3630" t="s">
        <v>1362</v>
      </c>
      <c r="D3630" s="1">
        <v>0.875</v>
      </c>
      <c r="E3630" t="s">
        <v>36</v>
      </c>
      <c r="F3630" t="s">
        <v>10</v>
      </c>
      <c r="G3630" s="2">
        <v>46083</v>
      </c>
      <c r="H3630" t="s">
        <v>1146</v>
      </c>
    </row>
    <row r="3631" spans="1:8" x14ac:dyDescent="0.3">
      <c r="A3631" t="s">
        <v>1279</v>
      </c>
      <c r="B3631">
        <v>21</v>
      </c>
      <c r="C3631" t="s">
        <v>1363</v>
      </c>
      <c r="D3631" s="1">
        <v>0.875</v>
      </c>
      <c r="E3631" t="s">
        <v>25</v>
      </c>
      <c r="F3631" t="s">
        <v>31</v>
      </c>
      <c r="G3631" t="s">
        <v>88</v>
      </c>
      <c r="H3631" t="s">
        <v>341</v>
      </c>
    </row>
    <row r="3632" spans="1:8" x14ac:dyDescent="0.3">
      <c r="A3632" t="s">
        <v>1279</v>
      </c>
      <c r="B3632">
        <v>22</v>
      </c>
      <c r="C3632" t="s">
        <v>1364</v>
      </c>
      <c r="D3632" s="1">
        <v>0.875</v>
      </c>
      <c r="E3632" t="s">
        <v>606</v>
      </c>
      <c r="F3632" t="s">
        <v>33</v>
      </c>
      <c r="G3632" s="2">
        <v>46059</v>
      </c>
      <c r="H3632" t="s">
        <v>887</v>
      </c>
    </row>
    <row r="3633" spans="1:8" x14ac:dyDescent="0.3">
      <c r="A3633" t="s">
        <v>1279</v>
      </c>
      <c r="B3633">
        <v>22</v>
      </c>
      <c r="C3633" t="s">
        <v>1365</v>
      </c>
      <c r="D3633" s="1">
        <v>0.58333333333333337</v>
      </c>
      <c r="E3633" t="s">
        <v>10</v>
      </c>
      <c r="F3633" t="s">
        <v>35</v>
      </c>
      <c r="G3633" s="2">
        <v>46023</v>
      </c>
      <c r="H3633" t="s">
        <v>1141</v>
      </c>
    </row>
    <row r="3634" spans="1:8" x14ac:dyDescent="0.3">
      <c r="A3634" t="s">
        <v>1279</v>
      </c>
      <c r="B3634">
        <v>22</v>
      </c>
      <c r="C3634" t="s">
        <v>1365</v>
      </c>
      <c r="D3634" s="1">
        <v>0.67708333333333337</v>
      </c>
      <c r="E3634" t="s">
        <v>26</v>
      </c>
      <c r="F3634" t="s">
        <v>14</v>
      </c>
      <c r="G3634" s="2">
        <v>46024</v>
      </c>
      <c r="H3634" t="s">
        <v>181</v>
      </c>
    </row>
    <row r="3635" spans="1:8" x14ac:dyDescent="0.3">
      <c r="A3635" t="s">
        <v>1279</v>
      </c>
      <c r="B3635">
        <v>22</v>
      </c>
      <c r="C3635" t="s">
        <v>1365</v>
      </c>
      <c r="D3635" s="1">
        <v>0.77083333333333337</v>
      </c>
      <c r="E3635" t="s">
        <v>881</v>
      </c>
      <c r="F3635" t="s">
        <v>34</v>
      </c>
      <c r="G3635" s="2">
        <v>46057</v>
      </c>
      <c r="H3635" t="s">
        <v>345</v>
      </c>
    </row>
    <row r="3636" spans="1:8" x14ac:dyDescent="0.3">
      <c r="A3636" t="s">
        <v>1279</v>
      </c>
      <c r="B3636">
        <v>22</v>
      </c>
      <c r="C3636" t="s">
        <v>1365</v>
      </c>
      <c r="D3636" s="1">
        <v>0.875</v>
      </c>
      <c r="E3636" t="s">
        <v>23</v>
      </c>
      <c r="F3636" t="s">
        <v>25</v>
      </c>
      <c r="G3636" t="s">
        <v>54</v>
      </c>
      <c r="H3636" t="s">
        <v>467</v>
      </c>
    </row>
    <row r="3637" spans="1:8" x14ac:dyDescent="0.3">
      <c r="A3637" t="s">
        <v>1279</v>
      </c>
      <c r="B3637">
        <v>22</v>
      </c>
      <c r="C3637" t="s">
        <v>1366</v>
      </c>
      <c r="D3637" s="1">
        <v>0.58333333333333337</v>
      </c>
      <c r="E3637" t="s">
        <v>31</v>
      </c>
      <c r="F3637" t="s">
        <v>36</v>
      </c>
      <c r="G3637" t="s">
        <v>42</v>
      </c>
      <c r="H3637" t="s">
        <v>184</v>
      </c>
    </row>
    <row r="3638" spans="1:8" x14ac:dyDescent="0.3">
      <c r="A3638" t="s">
        <v>1279</v>
      </c>
      <c r="B3638">
        <v>22</v>
      </c>
      <c r="C3638" t="s">
        <v>1366</v>
      </c>
      <c r="D3638" s="1">
        <v>0.67708333333333337</v>
      </c>
      <c r="E3638" t="s">
        <v>30</v>
      </c>
      <c r="F3638" t="s">
        <v>27</v>
      </c>
      <c r="G3638" s="2">
        <v>46023</v>
      </c>
      <c r="H3638" t="s">
        <v>194</v>
      </c>
    </row>
    <row r="3639" spans="1:8" x14ac:dyDescent="0.3">
      <c r="A3639" t="s">
        <v>1279</v>
      </c>
      <c r="B3639">
        <v>22</v>
      </c>
      <c r="C3639" t="s">
        <v>1366</v>
      </c>
      <c r="D3639" s="1">
        <v>0.77083333333333337</v>
      </c>
      <c r="E3639" t="s">
        <v>28</v>
      </c>
      <c r="F3639" t="s">
        <v>15</v>
      </c>
      <c r="G3639" t="s">
        <v>18</v>
      </c>
      <c r="H3639" t="s">
        <v>205</v>
      </c>
    </row>
    <row r="3640" spans="1:8" x14ac:dyDescent="0.3">
      <c r="A3640" t="s">
        <v>1279</v>
      </c>
      <c r="B3640">
        <v>22</v>
      </c>
      <c r="C3640" t="s">
        <v>1366</v>
      </c>
      <c r="D3640" s="1">
        <v>0.875</v>
      </c>
      <c r="E3640" t="s">
        <v>20</v>
      </c>
      <c r="F3640" t="s">
        <v>1000</v>
      </c>
      <c r="G3640" t="s">
        <v>12</v>
      </c>
      <c r="H3640" t="s">
        <v>614</v>
      </c>
    </row>
    <row r="3641" spans="1:8" x14ac:dyDescent="0.3">
      <c r="A3641" t="s">
        <v>1279</v>
      </c>
      <c r="B3641">
        <v>22</v>
      </c>
      <c r="C3641" t="s">
        <v>1367</v>
      </c>
      <c r="D3641" s="1">
        <v>0.875</v>
      </c>
      <c r="E3641" t="s">
        <v>11</v>
      </c>
      <c r="F3641" t="s">
        <v>16</v>
      </c>
      <c r="G3641" t="s">
        <v>18</v>
      </c>
      <c r="H3641" t="s">
        <v>190</v>
      </c>
    </row>
    <row r="3642" spans="1:8" x14ac:dyDescent="0.3">
      <c r="A3642" t="s">
        <v>1279</v>
      </c>
      <c r="B3642">
        <v>23</v>
      </c>
      <c r="C3642" t="s">
        <v>1368</v>
      </c>
      <c r="D3642" s="1">
        <v>0.875</v>
      </c>
      <c r="E3642" t="s">
        <v>31</v>
      </c>
      <c r="F3642" t="s">
        <v>26</v>
      </c>
      <c r="G3642" s="2">
        <v>46083</v>
      </c>
      <c r="H3642" t="s">
        <v>1284</v>
      </c>
    </row>
    <row r="3643" spans="1:8" x14ac:dyDescent="0.3">
      <c r="A3643" t="s">
        <v>1279</v>
      </c>
      <c r="B3643">
        <v>23</v>
      </c>
      <c r="C3643" t="s">
        <v>1369</v>
      </c>
      <c r="D3643" s="1">
        <v>0.58333333333333337</v>
      </c>
      <c r="E3643" t="s">
        <v>36</v>
      </c>
      <c r="F3643" t="s">
        <v>881</v>
      </c>
      <c r="G3643" s="2">
        <v>46024</v>
      </c>
      <c r="H3643" t="s">
        <v>612</v>
      </c>
    </row>
    <row r="3644" spans="1:8" x14ac:dyDescent="0.3">
      <c r="A3644" t="s">
        <v>1279</v>
      </c>
      <c r="B3644">
        <v>23</v>
      </c>
      <c r="C3644" t="s">
        <v>1369</v>
      </c>
      <c r="D3644" s="1">
        <v>0.67708333333333337</v>
      </c>
      <c r="E3644" t="s">
        <v>1000</v>
      </c>
      <c r="F3644" t="s">
        <v>30</v>
      </c>
      <c r="G3644" t="s">
        <v>18</v>
      </c>
      <c r="H3644" t="s">
        <v>1146</v>
      </c>
    </row>
    <row r="3645" spans="1:8" x14ac:dyDescent="0.3">
      <c r="A3645" t="s">
        <v>1279</v>
      </c>
      <c r="B3645">
        <v>23</v>
      </c>
      <c r="C3645" t="s">
        <v>1369</v>
      </c>
      <c r="D3645" s="1">
        <v>0.77083333333333337</v>
      </c>
      <c r="E3645" t="s">
        <v>25</v>
      </c>
      <c r="F3645" t="s">
        <v>28</v>
      </c>
      <c r="G3645" s="2">
        <v>46023</v>
      </c>
      <c r="H3645" t="s">
        <v>194</v>
      </c>
    </row>
    <row r="3646" spans="1:8" x14ac:dyDescent="0.3">
      <c r="A3646" t="s">
        <v>1279</v>
      </c>
      <c r="B3646">
        <v>23</v>
      </c>
      <c r="C3646" t="s">
        <v>1369</v>
      </c>
      <c r="D3646" s="1">
        <v>0.875</v>
      </c>
      <c r="E3646" t="s">
        <v>16</v>
      </c>
      <c r="F3646" t="s">
        <v>10</v>
      </c>
      <c r="G3646" t="s">
        <v>18</v>
      </c>
      <c r="H3646" t="s">
        <v>185</v>
      </c>
    </row>
    <row r="3647" spans="1:8" x14ac:dyDescent="0.3">
      <c r="A3647" t="s">
        <v>1279</v>
      </c>
      <c r="B3647">
        <v>23</v>
      </c>
      <c r="C3647" t="s">
        <v>1370</v>
      </c>
      <c r="D3647" s="1">
        <v>0.58333333333333337</v>
      </c>
      <c r="E3647" t="s">
        <v>15</v>
      </c>
      <c r="F3647" t="s">
        <v>606</v>
      </c>
      <c r="G3647" s="2">
        <v>46083</v>
      </c>
      <c r="H3647" t="s">
        <v>1001</v>
      </c>
    </row>
    <row r="3648" spans="1:8" x14ac:dyDescent="0.3">
      <c r="A3648" t="s">
        <v>1279</v>
      </c>
      <c r="B3648">
        <v>23</v>
      </c>
      <c r="C3648" t="s">
        <v>1370</v>
      </c>
      <c r="D3648" s="1">
        <v>0.67708333333333337</v>
      </c>
      <c r="E3648" t="s">
        <v>35</v>
      </c>
      <c r="F3648" t="s">
        <v>14</v>
      </c>
      <c r="G3648" t="s">
        <v>32</v>
      </c>
      <c r="H3648" t="s">
        <v>341</v>
      </c>
    </row>
    <row r="3649" spans="1:8" x14ac:dyDescent="0.3">
      <c r="A3649" t="s">
        <v>1279</v>
      </c>
      <c r="B3649">
        <v>23</v>
      </c>
      <c r="C3649" t="s">
        <v>1370</v>
      </c>
      <c r="D3649" s="1">
        <v>0.77083333333333337</v>
      </c>
      <c r="E3649" t="s">
        <v>33</v>
      </c>
      <c r="F3649" t="s">
        <v>20</v>
      </c>
      <c r="G3649" t="s">
        <v>18</v>
      </c>
      <c r="H3649" t="s">
        <v>1141</v>
      </c>
    </row>
    <row r="3650" spans="1:8" x14ac:dyDescent="0.3">
      <c r="A3650" t="s">
        <v>1279</v>
      </c>
      <c r="B3650">
        <v>23</v>
      </c>
      <c r="C3650" t="s">
        <v>1370</v>
      </c>
      <c r="D3650" s="1">
        <v>0.875</v>
      </c>
      <c r="E3650" t="s">
        <v>27</v>
      </c>
      <c r="F3650" t="s">
        <v>23</v>
      </c>
      <c r="G3650" s="2">
        <v>46083</v>
      </c>
      <c r="H3650" t="s">
        <v>1286</v>
      </c>
    </row>
    <row r="3651" spans="1:8" x14ac:dyDescent="0.3">
      <c r="A3651" t="s">
        <v>1279</v>
      </c>
      <c r="B3651">
        <v>23</v>
      </c>
      <c r="C3651" t="s">
        <v>1371</v>
      </c>
      <c r="D3651" s="1">
        <v>0.875</v>
      </c>
      <c r="E3651" t="s">
        <v>34</v>
      </c>
      <c r="F3651" t="s">
        <v>11</v>
      </c>
      <c r="G3651" s="2">
        <v>46024</v>
      </c>
      <c r="H3651" t="s">
        <v>1007</v>
      </c>
    </row>
    <row r="3652" spans="1:8" x14ac:dyDescent="0.3">
      <c r="A3652" t="s">
        <v>1279</v>
      </c>
      <c r="B3652">
        <v>24</v>
      </c>
      <c r="C3652" t="s">
        <v>1372</v>
      </c>
      <c r="D3652" s="1">
        <v>0.875</v>
      </c>
      <c r="E3652" t="s">
        <v>10</v>
      </c>
      <c r="F3652" t="s">
        <v>1000</v>
      </c>
      <c r="G3652" t="s">
        <v>41</v>
      </c>
      <c r="H3652" t="s">
        <v>181</v>
      </c>
    </row>
    <row r="3653" spans="1:8" x14ac:dyDescent="0.3">
      <c r="A3653" t="s">
        <v>1279</v>
      </c>
      <c r="B3653">
        <v>24</v>
      </c>
      <c r="C3653" t="s">
        <v>1373</v>
      </c>
      <c r="D3653" s="1">
        <v>0.58333333333333337</v>
      </c>
      <c r="E3653" t="s">
        <v>11</v>
      </c>
      <c r="F3653" t="s">
        <v>606</v>
      </c>
      <c r="G3653" s="2">
        <v>46056</v>
      </c>
      <c r="H3653" t="s">
        <v>205</v>
      </c>
    </row>
    <row r="3654" spans="1:8" x14ac:dyDescent="0.3">
      <c r="A3654" t="s">
        <v>1279</v>
      </c>
      <c r="B3654">
        <v>24</v>
      </c>
      <c r="C3654" t="s">
        <v>1373</v>
      </c>
      <c r="D3654" s="1">
        <v>0.67708333333333337</v>
      </c>
      <c r="E3654" t="s">
        <v>33</v>
      </c>
      <c r="F3654" t="s">
        <v>34</v>
      </c>
      <c r="G3654" t="s">
        <v>54</v>
      </c>
      <c r="H3654" t="s">
        <v>614</v>
      </c>
    </row>
    <row r="3655" spans="1:8" x14ac:dyDescent="0.3">
      <c r="A3655" t="s">
        <v>1279</v>
      </c>
      <c r="B3655">
        <v>24</v>
      </c>
      <c r="C3655" t="s">
        <v>1373</v>
      </c>
      <c r="D3655" s="1">
        <v>0.77083333333333337</v>
      </c>
      <c r="E3655" t="s">
        <v>881</v>
      </c>
      <c r="F3655" t="s">
        <v>31</v>
      </c>
      <c r="G3655" t="s">
        <v>42</v>
      </c>
      <c r="H3655" t="s">
        <v>467</v>
      </c>
    </row>
    <row r="3656" spans="1:8" x14ac:dyDescent="0.3">
      <c r="A3656" t="s">
        <v>1279</v>
      </c>
      <c r="B3656">
        <v>24</v>
      </c>
      <c r="C3656" t="s">
        <v>1373</v>
      </c>
      <c r="D3656" s="1">
        <v>0.875</v>
      </c>
      <c r="E3656" t="s">
        <v>28</v>
      </c>
      <c r="F3656" t="s">
        <v>27</v>
      </c>
      <c r="G3656" s="2">
        <v>46028</v>
      </c>
      <c r="H3656" t="s">
        <v>747</v>
      </c>
    </row>
    <row r="3657" spans="1:8" x14ac:dyDescent="0.3">
      <c r="A3657" t="s">
        <v>1279</v>
      </c>
      <c r="B3657">
        <v>24</v>
      </c>
      <c r="C3657" t="s">
        <v>1374</v>
      </c>
      <c r="D3657" s="1">
        <v>0.58333333333333337</v>
      </c>
      <c r="E3657" t="s">
        <v>14</v>
      </c>
      <c r="F3657" t="s">
        <v>36</v>
      </c>
      <c r="G3657" s="2">
        <v>46024</v>
      </c>
      <c r="H3657" t="s">
        <v>887</v>
      </c>
    </row>
    <row r="3658" spans="1:8" x14ac:dyDescent="0.3">
      <c r="A3658" t="s">
        <v>1279</v>
      </c>
      <c r="B3658">
        <v>24</v>
      </c>
      <c r="C3658" t="s">
        <v>1374</v>
      </c>
      <c r="D3658" s="1">
        <v>0.67708333333333337</v>
      </c>
      <c r="E3658" t="s">
        <v>20</v>
      </c>
      <c r="F3658" t="s">
        <v>16</v>
      </c>
      <c r="G3658" t="s">
        <v>18</v>
      </c>
      <c r="H3658" t="s">
        <v>612</v>
      </c>
    </row>
    <row r="3659" spans="1:8" x14ac:dyDescent="0.3">
      <c r="A3659" t="s">
        <v>1279</v>
      </c>
      <c r="B3659">
        <v>24</v>
      </c>
      <c r="C3659" t="s">
        <v>1374</v>
      </c>
      <c r="D3659" s="1">
        <v>0.77083333333333337</v>
      </c>
      <c r="E3659" t="s">
        <v>30</v>
      </c>
      <c r="F3659" t="s">
        <v>15</v>
      </c>
      <c r="G3659" t="s">
        <v>41</v>
      </c>
      <c r="H3659" t="s">
        <v>190</v>
      </c>
    </row>
    <row r="3660" spans="1:8" x14ac:dyDescent="0.3">
      <c r="A3660" t="s">
        <v>1279</v>
      </c>
      <c r="B3660">
        <v>24</v>
      </c>
      <c r="C3660" t="s">
        <v>1374</v>
      </c>
      <c r="D3660" s="1">
        <v>0.875</v>
      </c>
      <c r="E3660" t="s">
        <v>26</v>
      </c>
      <c r="F3660" t="s">
        <v>25</v>
      </c>
      <c r="G3660" t="s">
        <v>41</v>
      </c>
      <c r="H3660" t="s">
        <v>883</v>
      </c>
    </row>
    <row r="3661" spans="1:8" x14ac:dyDescent="0.3">
      <c r="A3661" t="s">
        <v>1279</v>
      </c>
      <c r="B3661">
        <v>24</v>
      </c>
      <c r="C3661" t="s">
        <v>1375</v>
      </c>
      <c r="D3661" s="1">
        <v>0.875</v>
      </c>
      <c r="E3661" t="s">
        <v>23</v>
      </c>
      <c r="F3661" t="s">
        <v>35</v>
      </c>
      <c r="G3661" t="s">
        <v>41</v>
      </c>
      <c r="H3661" t="s">
        <v>345</v>
      </c>
    </row>
    <row r="3662" spans="1:8" x14ac:dyDescent="0.3">
      <c r="A3662" t="s">
        <v>1279</v>
      </c>
      <c r="B3662">
        <v>25</v>
      </c>
      <c r="C3662" t="s">
        <v>1376</v>
      </c>
      <c r="D3662" s="1">
        <v>0.875</v>
      </c>
      <c r="E3662" t="s">
        <v>1000</v>
      </c>
      <c r="F3662" t="s">
        <v>11</v>
      </c>
      <c r="G3662" s="2">
        <v>46055</v>
      </c>
      <c r="H3662" t="s">
        <v>185</v>
      </c>
    </row>
    <row r="3663" spans="1:8" x14ac:dyDescent="0.3">
      <c r="A3663" t="s">
        <v>1279</v>
      </c>
      <c r="B3663">
        <v>25</v>
      </c>
      <c r="C3663" t="s">
        <v>1377</v>
      </c>
      <c r="D3663" s="1">
        <v>0.58333333333333337</v>
      </c>
      <c r="E3663" t="s">
        <v>25</v>
      </c>
      <c r="F3663" t="s">
        <v>36</v>
      </c>
      <c r="G3663" s="2">
        <v>46025</v>
      </c>
      <c r="H3663" t="s">
        <v>1007</v>
      </c>
    </row>
    <row r="3664" spans="1:8" x14ac:dyDescent="0.3">
      <c r="A3664" t="s">
        <v>1279</v>
      </c>
      <c r="B3664">
        <v>25</v>
      </c>
      <c r="C3664" t="s">
        <v>1377</v>
      </c>
      <c r="D3664" s="1">
        <v>0.67708333333333337</v>
      </c>
      <c r="E3664" t="s">
        <v>31</v>
      </c>
      <c r="F3664" t="s">
        <v>14</v>
      </c>
      <c r="G3664" s="2">
        <v>46023</v>
      </c>
      <c r="H3664" t="s">
        <v>1001</v>
      </c>
    </row>
    <row r="3665" spans="1:8" x14ac:dyDescent="0.3">
      <c r="A3665" t="s">
        <v>1279</v>
      </c>
      <c r="B3665">
        <v>25</v>
      </c>
      <c r="C3665" t="s">
        <v>1377</v>
      </c>
      <c r="D3665" s="1">
        <v>0.77083333333333337</v>
      </c>
      <c r="E3665" t="s">
        <v>35</v>
      </c>
      <c r="F3665" t="s">
        <v>30</v>
      </c>
      <c r="G3665" t="s">
        <v>32</v>
      </c>
      <c r="H3665" t="s">
        <v>1286</v>
      </c>
    </row>
    <row r="3666" spans="1:8" x14ac:dyDescent="0.3">
      <c r="A3666" t="s">
        <v>1279</v>
      </c>
      <c r="B3666">
        <v>25</v>
      </c>
      <c r="C3666" t="s">
        <v>1377</v>
      </c>
      <c r="D3666" s="1">
        <v>0.875</v>
      </c>
      <c r="E3666" t="s">
        <v>16</v>
      </c>
      <c r="F3666" t="s">
        <v>23</v>
      </c>
      <c r="G3666" t="s">
        <v>18</v>
      </c>
      <c r="H3666" t="s">
        <v>1284</v>
      </c>
    </row>
    <row r="3667" spans="1:8" x14ac:dyDescent="0.3">
      <c r="A3667" t="s">
        <v>1279</v>
      </c>
      <c r="B3667">
        <v>25</v>
      </c>
      <c r="C3667" t="s">
        <v>1378</v>
      </c>
      <c r="D3667" s="1">
        <v>0.58333333333333337</v>
      </c>
      <c r="E3667" t="s">
        <v>881</v>
      </c>
      <c r="F3667" t="s">
        <v>10</v>
      </c>
      <c r="G3667" s="2">
        <v>46023</v>
      </c>
      <c r="H3667" t="s">
        <v>205</v>
      </c>
    </row>
    <row r="3668" spans="1:8" x14ac:dyDescent="0.3">
      <c r="A3668" t="s">
        <v>1279</v>
      </c>
      <c r="B3668">
        <v>25</v>
      </c>
      <c r="C3668" t="s">
        <v>1378</v>
      </c>
      <c r="D3668" s="1">
        <v>0.67708333333333337</v>
      </c>
      <c r="E3668" t="s">
        <v>27</v>
      </c>
      <c r="F3668" t="s">
        <v>33</v>
      </c>
      <c r="G3668" s="2">
        <v>46024</v>
      </c>
      <c r="H3668" t="s">
        <v>341</v>
      </c>
    </row>
    <row r="3669" spans="1:8" x14ac:dyDescent="0.3">
      <c r="A3669" t="s">
        <v>1279</v>
      </c>
      <c r="B3669">
        <v>25</v>
      </c>
      <c r="C3669" t="s">
        <v>1378</v>
      </c>
      <c r="D3669" s="1">
        <v>0.77083333333333337</v>
      </c>
      <c r="E3669" t="s">
        <v>34</v>
      </c>
      <c r="F3669" t="s">
        <v>26</v>
      </c>
      <c r="G3669" s="2">
        <v>46023</v>
      </c>
      <c r="H3669" t="s">
        <v>1141</v>
      </c>
    </row>
    <row r="3670" spans="1:8" x14ac:dyDescent="0.3">
      <c r="A3670" t="s">
        <v>1279</v>
      </c>
      <c r="B3670">
        <v>25</v>
      </c>
      <c r="C3670" t="s">
        <v>1378</v>
      </c>
      <c r="D3670" s="1">
        <v>0.875</v>
      </c>
      <c r="E3670" t="s">
        <v>15</v>
      </c>
      <c r="F3670" t="s">
        <v>20</v>
      </c>
      <c r="G3670" t="s">
        <v>42</v>
      </c>
      <c r="H3670" t="s">
        <v>194</v>
      </c>
    </row>
    <row r="3671" spans="1:8" x14ac:dyDescent="0.3">
      <c r="A3671" t="s">
        <v>1279</v>
      </c>
      <c r="B3671">
        <v>25</v>
      </c>
      <c r="C3671" t="s">
        <v>1379</v>
      </c>
      <c r="D3671" s="1">
        <v>0.875</v>
      </c>
      <c r="E3671" t="s">
        <v>606</v>
      </c>
      <c r="F3671" t="s">
        <v>28</v>
      </c>
      <c r="G3671" t="s">
        <v>42</v>
      </c>
      <c r="H3671" t="s">
        <v>190</v>
      </c>
    </row>
    <row r="3672" spans="1:8" x14ac:dyDescent="0.3">
      <c r="A3672" t="s">
        <v>1279</v>
      </c>
      <c r="B3672">
        <v>26</v>
      </c>
      <c r="C3672" t="s">
        <v>1380</v>
      </c>
      <c r="D3672" s="1">
        <v>0.875</v>
      </c>
      <c r="E3672" t="s">
        <v>14</v>
      </c>
      <c r="F3672" t="s">
        <v>15</v>
      </c>
      <c r="G3672" s="2">
        <v>46082</v>
      </c>
      <c r="H3672" t="s">
        <v>612</v>
      </c>
    </row>
    <row r="3673" spans="1:8" x14ac:dyDescent="0.3">
      <c r="A3673" t="s">
        <v>1279</v>
      </c>
      <c r="B3673">
        <v>26</v>
      </c>
      <c r="C3673" t="s">
        <v>1381</v>
      </c>
      <c r="D3673" s="1">
        <v>0.58333333333333337</v>
      </c>
      <c r="E3673" t="s">
        <v>33</v>
      </c>
      <c r="F3673" t="s">
        <v>1000</v>
      </c>
      <c r="G3673" s="2">
        <v>46023</v>
      </c>
      <c r="H3673" t="s">
        <v>184</v>
      </c>
    </row>
    <row r="3674" spans="1:8" x14ac:dyDescent="0.3">
      <c r="A3674" t="s">
        <v>1279</v>
      </c>
      <c r="B3674">
        <v>26</v>
      </c>
      <c r="C3674" t="s">
        <v>1381</v>
      </c>
      <c r="D3674" s="1">
        <v>0.67708333333333337</v>
      </c>
      <c r="E3674" t="s">
        <v>30</v>
      </c>
      <c r="F3674" t="s">
        <v>606</v>
      </c>
      <c r="G3674" s="2">
        <v>46055</v>
      </c>
      <c r="H3674" t="s">
        <v>614</v>
      </c>
    </row>
    <row r="3675" spans="1:8" x14ac:dyDescent="0.3">
      <c r="A3675" t="s">
        <v>1279</v>
      </c>
      <c r="B3675">
        <v>26</v>
      </c>
      <c r="C3675" t="s">
        <v>1381</v>
      </c>
      <c r="D3675" s="1">
        <v>0.77083333333333337</v>
      </c>
      <c r="E3675" t="s">
        <v>36</v>
      </c>
      <c r="F3675" t="s">
        <v>35</v>
      </c>
      <c r="G3675" s="2">
        <v>46082</v>
      </c>
      <c r="H3675" t="s">
        <v>747</v>
      </c>
    </row>
    <row r="3676" spans="1:8" x14ac:dyDescent="0.3">
      <c r="A3676" t="s">
        <v>1279</v>
      </c>
      <c r="B3676">
        <v>26</v>
      </c>
      <c r="C3676" t="s">
        <v>1381</v>
      </c>
      <c r="D3676" s="1">
        <v>0.875</v>
      </c>
      <c r="E3676" t="s">
        <v>28</v>
      </c>
      <c r="F3676" t="s">
        <v>16</v>
      </c>
      <c r="G3676" t="s">
        <v>32</v>
      </c>
      <c r="H3676" t="s">
        <v>467</v>
      </c>
    </row>
    <row r="3677" spans="1:8" x14ac:dyDescent="0.3">
      <c r="A3677" t="s">
        <v>1279</v>
      </c>
      <c r="B3677">
        <v>26</v>
      </c>
      <c r="C3677" t="s">
        <v>1382</v>
      </c>
      <c r="D3677" s="1">
        <v>0.58333333333333337</v>
      </c>
      <c r="E3677" t="s">
        <v>26</v>
      </c>
      <c r="F3677" t="s">
        <v>881</v>
      </c>
      <c r="G3677" t="s">
        <v>18</v>
      </c>
      <c r="H3677" t="s">
        <v>887</v>
      </c>
    </row>
    <row r="3678" spans="1:8" x14ac:dyDescent="0.3">
      <c r="A3678" t="s">
        <v>1279</v>
      </c>
      <c r="B3678">
        <v>26</v>
      </c>
      <c r="C3678" t="s">
        <v>1382</v>
      </c>
      <c r="D3678" s="1">
        <v>0.67708333333333337</v>
      </c>
      <c r="E3678" t="s">
        <v>23</v>
      </c>
      <c r="F3678" t="s">
        <v>34</v>
      </c>
      <c r="G3678" t="s">
        <v>46</v>
      </c>
      <c r="H3678" t="s">
        <v>1146</v>
      </c>
    </row>
    <row r="3679" spans="1:8" x14ac:dyDescent="0.3">
      <c r="A3679" t="s">
        <v>1279</v>
      </c>
      <c r="B3679">
        <v>26</v>
      </c>
      <c r="C3679" t="s">
        <v>1382</v>
      </c>
      <c r="D3679" s="1">
        <v>0.67708333333333337</v>
      </c>
      <c r="E3679" t="s">
        <v>10</v>
      </c>
      <c r="F3679" t="s">
        <v>31</v>
      </c>
      <c r="G3679" t="s">
        <v>12</v>
      </c>
      <c r="H3679" t="s">
        <v>345</v>
      </c>
    </row>
    <row r="3680" spans="1:8" x14ac:dyDescent="0.3">
      <c r="A3680" t="s">
        <v>1279</v>
      </c>
      <c r="B3680">
        <v>26</v>
      </c>
      <c r="C3680" t="s">
        <v>1382</v>
      </c>
      <c r="D3680" s="1">
        <v>0.77083333333333337</v>
      </c>
      <c r="E3680" t="s">
        <v>11</v>
      </c>
      <c r="F3680" t="s">
        <v>27</v>
      </c>
      <c r="G3680" t="s">
        <v>12</v>
      </c>
      <c r="H3680" t="s">
        <v>181</v>
      </c>
    </row>
    <row r="3681" spans="1:8" x14ac:dyDescent="0.3">
      <c r="A3681" t="s">
        <v>1279</v>
      </c>
      <c r="B3681">
        <v>26</v>
      </c>
      <c r="C3681" t="s">
        <v>1382</v>
      </c>
      <c r="D3681" s="1">
        <v>0.875</v>
      </c>
      <c r="E3681" t="s">
        <v>20</v>
      </c>
      <c r="F3681" t="s">
        <v>25</v>
      </c>
      <c r="G3681" s="2">
        <v>46024</v>
      </c>
      <c r="H3681" t="s">
        <v>341</v>
      </c>
    </row>
    <row r="3682" spans="1:8" x14ac:dyDescent="0.3">
      <c r="A3682" t="s">
        <v>1279</v>
      </c>
      <c r="B3682">
        <v>27</v>
      </c>
      <c r="C3682" t="s">
        <v>1383</v>
      </c>
      <c r="D3682" s="1">
        <v>0.875</v>
      </c>
      <c r="E3682" t="s">
        <v>881</v>
      </c>
      <c r="F3682" t="s">
        <v>23</v>
      </c>
      <c r="G3682" t="s">
        <v>41</v>
      </c>
      <c r="H3682" t="s">
        <v>1001</v>
      </c>
    </row>
    <row r="3683" spans="1:8" x14ac:dyDescent="0.3">
      <c r="A3683" t="s">
        <v>1279</v>
      </c>
      <c r="B3683">
        <v>27</v>
      </c>
      <c r="C3683" t="s">
        <v>1384</v>
      </c>
      <c r="D3683" s="1">
        <v>0.58333333333333337</v>
      </c>
      <c r="E3683" t="s">
        <v>606</v>
      </c>
      <c r="F3683" t="s">
        <v>36</v>
      </c>
      <c r="G3683" s="2">
        <v>46024</v>
      </c>
      <c r="H3683" t="s">
        <v>1141</v>
      </c>
    </row>
    <row r="3684" spans="1:8" x14ac:dyDescent="0.3">
      <c r="A3684" t="s">
        <v>1279</v>
      </c>
      <c r="B3684">
        <v>27</v>
      </c>
      <c r="C3684" t="s">
        <v>1384</v>
      </c>
      <c r="D3684" s="1">
        <v>0.67708333333333337</v>
      </c>
      <c r="E3684" t="s">
        <v>15</v>
      </c>
      <c r="F3684" t="s">
        <v>11</v>
      </c>
      <c r="G3684" t="s">
        <v>41</v>
      </c>
      <c r="H3684" t="s">
        <v>1284</v>
      </c>
    </row>
    <row r="3685" spans="1:8" x14ac:dyDescent="0.3">
      <c r="A3685" t="s">
        <v>1279</v>
      </c>
      <c r="B3685">
        <v>27</v>
      </c>
      <c r="C3685" t="s">
        <v>1384</v>
      </c>
      <c r="D3685" s="1">
        <v>0.77083333333333337</v>
      </c>
      <c r="E3685" t="s">
        <v>1000</v>
      </c>
      <c r="F3685" t="s">
        <v>27</v>
      </c>
      <c r="G3685" t="s">
        <v>54</v>
      </c>
      <c r="H3685" t="s">
        <v>883</v>
      </c>
    </row>
    <row r="3686" spans="1:8" x14ac:dyDescent="0.3">
      <c r="A3686" t="s">
        <v>1279</v>
      </c>
      <c r="B3686">
        <v>27</v>
      </c>
      <c r="C3686" t="s">
        <v>1384</v>
      </c>
      <c r="D3686" s="1">
        <v>0.875</v>
      </c>
      <c r="E3686" t="s">
        <v>31</v>
      </c>
      <c r="F3686" t="s">
        <v>20</v>
      </c>
      <c r="G3686" t="s">
        <v>53</v>
      </c>
      <c r="H3686" t="s">
        <v>184</v>
      </c>
    </row>
    <row r="3687" spans="1:8" x14ac:dyDescent="0.3">
      <c r="A3687" t="s">
        <v>1279</v>
      </c>
      <c r="B3687">
        <v>27</v>
      </c>
      <c r="C3687" t="s">
        <v>1385</v>
      </c>
      <c r="D3687" s="1">
        <v>0.58333333333333337</v>
      </c>
      <c r="E3687" t="s">
        <v>35</v>
      </c>
      <c r="F3687" t="s">
        <v>33</v>
      </c>
      <c r="G3687" s="2">
        <v>46055</v>
      </c>
      <c r="H3687" t="s">
        <v>185</v>
      </c>
    </row>
    <row r="3688" spans="1:8" x14ac:dyDescent="0.3">
      <c r="A3688" t="s">
        <v>1279</v>
      </c>
      <c r="B3688">
        <v>27</v>
      </c>
      <c r="C3688" t="s">
        <v>1385</v>
      </c>
      <c r="D3688" s="1">
        <v>0.67708333333333337</v>
      </c>
      <c r="E3688" t="s">
        <v>25</v>
      </c>
      <c r="F3688" t="s">
        <v>14</v>
      </c>
      <c r="G3688" t="s">
        <v>126</v>
      </c>
      <c r="H3688" t="s">
        <v>1286</v>
      </c>
    </row>
    <row r="3689" spans="1:8" x14ac:dyDescent="0.3">
      <c r="A3689" t="s">
        <v>1279</v>
      </c>
      <c r="B3689">
        <v>27</v>
      </c>
      <c r="C3689" t="s">
        <v>1385</v>
      </c>
      <c r="D3689" s="1">
        <v>0.77083333333333337</v>
      </c>
      <c r="E3689" t="s">
        <v>34</v>
      </c>
      <c r="F3689" t="s">
        <v>10</v>
      </c>
      <c r="G3689" t="s">
        <v>12</v>
      </c>
      <c r="H3689" t="s">
        <v>194</v>
      </c>
    </row>
    <row r="3690" spans="1:8" x14ac:dyDescent="0.3">
      <c r="A3690" t="s">
        <v>1279</v>
      </c>
      <c r="B3690">
        <v>27</v>
      </c>
      <c r="C3690" t="s">
        <v>1385</v>
      </c>
      <c r="D3690" s="1">
        <v>0.875</v>
      </c>
      <c r="E3690" t="s">
        <v>28</v>
      </c>
      <c r="F3690" t="s">
        <v>26</v>
      </c>
      <c r="G3690" t="s">
        <v>18</v>
      </c>
      <c r="H3690" t="s">
        <v>205</v>
      </c>
    </row>
    <row r="3691" spans="1:8" x14ac:dyDescent="0.3">
      <c r="A3691" t="s">
        <v>1279</v>
      </c>
      <c r="B3691">
        <v>27</v>
      </c>
      <c r="C3691" t="s">
        <v>1386</v>
      </c>
      <c r="D3691" s="1">
        <v>0.875</v>
      </c>
      <c r="E3691" t="s">
        <v>16</v>
      </c>
      <c r="F3691" t="s">
        <v>30</v>
      </c>
      <c r="G3691" s="2">
        <v>46023</v>
      </c>
      <c r="H3691" t="s">
        <v>1007</v>
      </c>
    </row>
    <row r="3692" spans="1:8" x14ac:dyDescent="0.3">
      <c r="A3692" t="s">
        <v>1279</v>
      </c>
      <c r="B3692">
        <v>28</v>
      </c>
      <c r="C3692" t="s">
        <v>1387</v>
      </c>
      <c r="D3692" s="1">
        <v>0.875</v>
      </c>
      <c r="E3692" t="s">
        <v>27</v>
      </c>
      <c r="F3692" t="s">
        <v>35</v>
      </c>
      <c r="G3692" s="2">
        <v>46055</v>
      </c>
      <c r="H3692" t="s">
        <v>887</v>
      </c>
    </row>
    <row r="3693" spans="1:8" x14ac:dyDescent="0.3">
      <c r="A3693" t="s">
        <v>1279</v>
      </c>
      <c r="B3693">
        <v>28</v>
      </c>
      <c r="C3693" t="s">
        <v>1388</v>
      </c>
      <c r="D3693" s="1">
        <v>0.58333333333333337</v>
      </c>
      <c r="E3693" t="s">
        <v>23</v>
      </c>
      <c r="F3693" t="s">
        <v>31</v>
      </c>
      <c r="G3693" s="2">
        <v>46024</v>
      </c>
      <c r="H3693" t="s">
        <v>614</v>
      </c>
    </row>
    <row r="3694" spans="1:8" x14ac:dyDescent="0.3">
      <c r="A3694" t="s">
        <v>1279</v>
      </c>
      <c r="B3694">
        <v>28</v>
      </c>
      <c r="C3694" t="s">
        <v>1388</v>
      </c>
      <c r="D3694" s="1">
        <v>0.67708333333333337</v>
      </c>
      <c r="E3694" t="s">
        <v>36</v>
      </c>
      <c r="F3694" t="s">
        <v>15</v>
      </c>
      <c r="G3694" s="2">
        <v>46054</v>
      </c>
      <c r="H3694" t="s">
        <v>467</v>
      </c>
    </row>
    <row r="3695" spans="1:8" x14ac:dyDescent="0.3">
      <c r="A3695" t="s">
        <v>1279</v>
      </c>
      <c r="B3695">
        <v>28</v>
      </c>
      <c r="C3695" t="s">
        <v>1388</v>
      </c>
      <c r="D3695" s="1">
        <v>0.77083333333333337</v>
      </c>
      <c r="E3695" t="s">
        <v>10</v>
      </c>
      <c r="F3695" t="s">
        <v>11</v>
      </c>
      <c r="G3695" t="s">
        <v>12</v>
      </c>
      <c r="H3695" t="s">
        <v>190</v>
      </c>
    </row>
    <row r="3696" spans="1:8" x14ac:dyDescent="0.3">
      <c r="A3696" t="s">
        <v>1279</v>
      </c>
      <c r="B3696">
        <v>28</v>
      </c>
      <c r="C3696" t="s">
        <v>1388</v>
      </c>
      <c r="D3696" s="1">
        <v>0.875</v>
      </c>
      <c r="E3696" t="s">
        <v>25</v>
      </c>
      <c r="F3696" t="s">
        <v>34</v>
      </c>
      <c r="G3696" s="2">
        <v>46083</v>
      </c>
      <c r="H3696" t="s">
        <v>612</v>
      </c>
    </row>
    <row r="3697" spans="1:8" x14ac:dyDescent="0.3">
      <c r="A3697" t="s">
        <v>1279</v>
      </c>
      <c r="B3697">
        <v>28</v>
      </c>
      <c r="C3697" t="s">
        <v>1389</v>
      </c>
      <c r="D3697" s="1">
        <v>0.58333333333333337</v>
      </c>
      <c r="E3697" t="s">
        <v>14</v>
      </c>
      <c r="F3697" t="s">
        <v>881</v>
      </c>
      <c r="G3697" s="2">
        <v>46084</v>
      </c>
      <c r="H3697" t="s">
        <v>1146</v>
      </c>
    </row>
    <row r="3698" spans="1:8" x14ac:dyDescent="0.3">
      <c r="A3698" t="s">
        <v>1279</v>
      </c>
      <c r="B3698">
        <v>28</v>
      </c>
      <c r="C3698" t="s">
        <v>1389</v>
      </c>
      <c r="D3698" s="1">
        <v>0.67708333333333337</v>
      </c>
      <c r="E3698" t="s">
        <v>26</v>
      </c>
      <c r="F3698" t="s">
        <v>1000</v>
      </c>
      <c r="G3698" t="s">
        <v>54</v>
      </c>
      <c r="H3698" t="s">
        <v>747</v>
      </c>
    </row>
    <row r="3699" spans="1:8" x14ac:dyDescent="0.3">
      <c r="A3699" t="s">
        <v>1279</v>
      </c>
      <c r="B3699">
        <v>28</v>
      </c>
      <c r="C3699" t="s">
        <v>1389</v>
      </c>
      <c r="D3699" s="1">
        <v>0.77083333333333337</v>
      </c>
      <c r="E3699" t="s">
        <v>33</v>
      </c>
      <c r="F3699" t="s">
        <v>16</v>
      </c>
      <c r="G3699" s="2">
        <v>46024</v>
      </c>
      <c r="H3699" t="s">
        <v>345</v>
      </c>
    </row>
    <row r="3700" spans="1:8" x14ac:dyDescent="0.3">
      <c r="A3700" t="s">
        <v>1279</v>
      </c>
      <c r="B3700">
        <v>28</v>
      </c>
      <c r="C3700" t="s">
        <v>1389</v>
      </c>
      <c r="D3700" s="1">
        <v>0.875</v>
      </c>
      <c r="E3700" t="s">
        <v>30</v>
      </c>
      <c r="F3700" t="s">
        <v>28</v>
      </c>
      <c r="G3700" s="2">
        <v>46054</v>
      </c>
      <c r="H3700" t="s">
        <v>341</v>
      </c>
    </row>
    <row r="3701" spans="1:8" x14ac:dyDescent="0.3">
      <c r="A3701" t="s">
        <v>1279</v>
      </c>
      <c r="B3701">
        <v>28</v>
      </c>
      <c r="C3701" t="s">
        <v>1390</v>
      </c>
      <c r="D3701" s="1">
        <v>0.875</v>
      </c>
      <c r="E3701" t="s">
        <v>20</v>
      </c>
      <c r="F3701" t="s">
        <v>606</v>
      </c>
      <c r="G3701" t="s">
        <v>41</v>
      </c>
      <c r="H3701" t="s">
        <v>181</v>
      </c>
    </row>
    <row r="3702" spans="1:8" x14ac:dyDescent="0.3">
      <c r="A3702" t="s">
        <v>1279</v>
      </c>
      <c r="B3702">
        <v>29</v>
      </c>
      <c r="C3702" t="s">
        <v>1391</v>
      </c>
      <c r="D3702" s="1">
        <v>0.875</v>
      </c>
      <c r="E3702" t="s">
        <v>30</v>
      </c>
      <c r="F3702" t="s">
        <v>23</v>
      </c>
      <c r="G3702" t="s">
        <v>13</v>
      </c>
      <c r="H3702" t="s">
        <v>467</v>
      </c>
    </row>
    <row r="3703" spans="1:8" x14ac:dyDescent="0.3">
      <c r="A3703" t="s">
        <v>1279</v>
      </c>
      <c r="B3703">
        <v>29</v>
      </c>
      <c r="C3703" t="s">
        <v>1392</v>
      </c>
      <c r="D3703" s="1">
        <v>0.58333333333333337</v>
      </c>
      <c r="E3703" t="s">
        <v>34</v>
      </c>
      <c r="F3703" t="s">
        <v>14</v>
      </c>
      <c r="G3703" t="s">
        <v>13</v>
      </c>
      <c r="H3703" t="s">
        <v>1284</v>
      </c>
    </row>
    <row r="3704" spans="1:8" x14ac:dyDescent="0.3">
      <c r="A3704" t="s">
        <v>1279</v>
      </c>
      <c r="B3704">
        <v>29</v>
      </c>
      <c r="C3704" t="s">
        <v>1392</v>
      </c>
      <c r="D3704" s="1">
        <v>0.67708333333333337</v>
      </c>
      <c r="E3704" t="s">
        <v>15</v>
      </c>
      <c r="F3704" t="s">
        <v>10</v>
      </c>
      <c r="G3704" t="s">
        <v>13</v>
      </c>
      <c r="H3704" t="s">
        <v>883</v>
      </c>
    </row>
    <row r="3705" spans="1:8" x14ac:dyDescent="0.3">
      <c r="A3705" t="s">
        <v>1279</v>
      </c>
      <c r="B3705">
        <v>29</v>
      </c>
      <c r="C3705" t="s">
        <v>1392</v>
      </c>
      <c r="D3705" s="1">
        <v>0.77083333333333337</v>
      </c>
      <c r="E3705" t="s">
        <v>26</v>
      </c>
      <c r="F3705" t="s">
        <v>36</v>
      </c>
      <c r="G3705" t="s">
        <v>13</v>
      </c>
      <c r="H3705" t="s">
        <v>185</v>
      </c>
    </row>
    <row r="3706" spans="1:8" x14ac:dyDescent="0.3">
      <c r="A3706" t="s">
        <v>1279</v>
      </c>
      <c r="B3706">
        <v>29</v>
      </c>
      <c r="C3706" t="s">
        <v>1392</v>
      </c>
      <c r="D3706" s="1">
        <v>0.875</v>
      </c>
      <c r="E3706" t="s">
        <v>1000</v>
      </c>
      <c r="F3706" t="s">
        <v>25</v>
      </c>
      <c r="G3706" t="s">
        <v>13</v>
      </c>
      <c r="H3706" t="s">
        <v>194</v>
      </c>
    </row>
    <row r="3707" spans="1:8" x14ac:dyDescent="0.3">
      <c r="A3707" t="s">
        <v>1279</v>
      </c>
      <c r="B3707">
        <v>29</v>
      </c>
      <c r="C3707" t="s">
        <v>1393</v>
      </c>
      <c r="D3707" s="1">
        <v>0.58333333333333337</v>
      </c>
      <c r="E3707" t="s">
        <v>606</v>
      </c>
      <c r="F3707" t="s">
        <v>31</v>
      </c>
      <c r="G3707" t="s">
        <v>13</v>
      </c>
      <c r="H3707" t="s">
        <v>1007</v>
      </c>
    </row>
    <row r="3708" spans="1:8" x14ac:dyDescent="0.3">
      <c r="A3708" t="s">
        <v>1279</v>
      </c>
      <c r="B3708">
        <v>29</v>
      </c>
      <c r="C3708" t="s">
        <v>1393</v>
      </c>
      <c r="D3708" s="1">
        <v>0.67708333333333337</v>
      </c>
      <c r="E3708" t="s">
        <v>11</v>
      </c>
      <c r="F3708" t="s">
        <v>20</v>
      </c>
      <c r="G3708" t="s">
        <v>13</v>
      </c>
      <c r="H3708" t="s">
        <v>1286</v>
      </c>
    </row>
    <row r="3709" spans="1:8" x14ac:dyDescent="0.3">
      <c r="A3709" t="s">
        <v>1279</v>
      </c>
      <c r="B3709">
        <v>29</v>
      </c>
      <c r="C3709" t="s">
        <v>1393</v>
      </c>
      <c r="D3709" s="1">
        <v>0.77083333333333337</v>
      </c>
      <c r="E3709" t="s">
        <v>28</v>
      </c>
      <c r="F3709" t="s">
        <v>33</v>
      </c>
      <c r="G3709" t="s">
        <v>13</v>
      </c>
      <c r="H3709" t="s">
        <v>1001</v>
      </c>
    </row>
    <row r="3710" spans="1:8" x14ac:dyDescent="0.3">
      <c r="A3710" t="s">
        <v>1279</v>
      </c>
      <c r="B3710">
        <v>29</v>
      </c>
      <c r="C3710" t="s">
        <v>1393</v>
      </c>
      <c r="D3710" s="1">
        <v>0.875</v>
      </c>
      <c r="E3710" t="s">
        <v>16</v>
      </c>
      <c r="F3710" t="s">
        <v>27</v>
      </c>
      <c r="G3710" t="s">
        <v>13</v>
      </c>
      <c r="H3710" t="s">
        <v>184</v>
      </c>
    </row>
    <row r="3711" spans="1:8" x14ac:dyDescent="0.3">
      <c r="A3711" t="s">
        <v>1279</v>
      </c>
      <c r="B3711">
        <v>29</v>
      </c>
      <c r="C3711" t="s">
        <v>1394</v>
      </c>
      <c r="D3711" s="1">
        <v>0.875</v>
      </c>
      <c r="E3711" t="s">
        <v>35</v>
      </c>
      <c r="F3711" t="s">
        <v>881</v>
      </c>
      <c r="G3711" t="s">
        <v>13</v>
      </c>
      <c r="H3711" t="s">
        <v>1141</v>
      </c>
    </row>
    <row r="3712" spans="1:8" x14ac:dyDescent="0.3">
      <c r="A3712" t="s">
        <v>1279</v>
      </c>
      <c r="B3712">
        <v>30</v>
      </c>
      <c r="C3712" t="s">
        <v>1395</v>
      </c>
      <c r="D3712" s="1">
        <v>0.875</v>
      </c>
      <c r="E3712" t="s">
        <v>36</v>
      </c>
      <c r="F3712" t="s">
        <v>1000</v>
      </c>
      <c r="G3712" t="s">
        <v>13</v>
      </c>
      <c r="H3712" t="s">
        <v>13</v>
      </c>
    </row>
    <row r="3713" spans="1:8" x14ac:dyDescent="0.3">
      <c r="A3713" t="s">
        <v>1279</v>
      </c>
      <c r="B3713">
        <v>30</v>
      </c>
      <c r="C3713" t="s">
        <v>1396</v>
      </c>
      <c r="D3713" s="1">
        <v>0.58333333333333337</v>
      </c>
      <c r="E3713" t="s">
        <v>23</v>
      </c>
      <c r="F3713" t="s">
        <v>26</v>
      </c>
      <c r="G3713" t="s">
        <v>13</v>
      </c>
      <c r="H3713" t="s">
        <v>13</v>
      </c>
    </row>
    <row r="3714" spans="1:8" x14ac:dyDescent="0.3">
      <c r="A3714" t="s">
        <v>1279</v>
      </c>
      <c r="B3714">
        <v>30</v>
      </c>
      <c r="C3714" t="s">
        <v>1396</v>
      </c>
      <c r="D3714" s="1">
        <v>0.67708333333333337</v>
      </c>
      <c r="E3714" t="s">
        <v>33</v>
      </c>
      <c r="F3714" t="s">
        <v>15</v>
      </c>
      <c r="G3714" t="s">
        <v>13</v>
      </c>
      <c r="H3714" t="s">
        <v>13</v>
      </c>
    </row>
    <row r="3715" spans="1:8" x14ac:dyDescent="0.3">
      <c r="A3715" t="s">
        <v>1279</v>
      </c>
      <c r="B3715">
        <v>30</v>
      </c>
      <c r="C3715" t="s">
        <v>1396</v>
      </c>
      <c r="D3715" s="1">
        <v>0.77083333333333337</v>
      </c>
      <c r="E3715" t="s">
        <v>10</v>
      </c>
      <c r="F3715" t="s">
        <v>30</v>
      </c>
      <c r="G3715" t="s">
        <v>13</v>
      </c>
      <c r="H3715" t="s">
        <v>13</v>
      </c>
    </row>
    <row r="3716" spans="1:8" x14ac:dyDescent="0.3">
      <c r="A3716" t="s">
        <v>1279</v>
      </c>
      <c r="B3716">
        <v>30</v>
      </c>
      <c r="C3716" t="s">
        <v>1396</v>
      </c>
      <c r="D3716" s="1">
        <v>0.77083333333333337</v>
      </c>
      <c r="E3716" t="s">
        <v>14</v>
      </c>
      <c r="F3716" t="s">
        <v>606</v>
      </c>
      <c r="G3716" t="s">
        <v>13</v>
      </c>
      <c r="H3716" t="s">
        <v>13</v>
      </c>
    </row>
    <row r="3717" spans="1:8" x14ac:dyDescent="0.3">
      <c r="A3717" t="s">
        <v>1279</v>
      </c>
      <c r="B3717">
        <v>30</v>
      </c>
      <c r="C3717" t="s">
        <v>1396</v>
      </c>
      <c r="D3717" s="1">
        <v>0.875</v>
      </c>
      <c r="E3717" t="s">
        <v>25</v>
      </c>
      <c r="F3717" t="s">
        <v>35</v>
      </c>
      <c r="G3717" t="s">
        <v>13</v>
      </c>
      <c r="H3717" t="s">
        <v>13</v>
      </c>
    </row>
    <row r="3718" spans="1:8" x14ac:dyDescent="0.3">
      <c r="A3718" t="s">
        <v>1279</v>
      </c>
      <c r="B3718">
        <v>30</v>
      </c>
      <c r="C3718" t="s">
        <v>1397</v>
      </c>
      <c r="D3718" s="1">
        <v>0.58333333333333337</v>
      </c>
      <c r="E3718" t="s">
        <v>31</v>
      </c>
      <c r="F3718" t="s">
        <v>16</v>
      </c>
      <c r="G3718" t="s">
        <v>13</v>
      </c>
      <c r="H3718" t="s">
        <v>13</v>
      </c>
    </row>
    <row r="3719" spans="1:8" x14ac:dyDescent="0.3">
      <c r="A3719" t="s">
        <v>1279</v>
      </c>
      <c r="B3719">
        <v>30</v>
      </c>
      <c r="C3719" t="s">
        <v>1397</v>
      </c>
      <c r="D3719" s="1">
        <v>0.67708333333333337</v>
      </c>
      <c r="E3719" t="s">
        <v>20</v>
      </c>
      <c r="F3719" t="s">
        <v>28</v>
      </c>
      <c r="G3719" t="s">
        <v>13</v>
      </c>
      <c r="H3719" t="s">
        <v>13</v>
      </c>
    </row>
    <row r="3720" spans="1:8" x14ac:dyDescent="0.3">
      <c r="A3720" t="s">
        <v>1279</v>
      </c>
      <c r="B3720">
        <v>30</v>
      </c>
      <c r="C3720" t="s">
        <v>1397</v>
      </c>
      <c r="D3720" s="1">
        <v>0.77083333333333337</v>
      </c>
      <c r="E3720" t="s">
        <v>881</v>
      </c>
      <c r="F3720" t="s">
        <v>11</v>
      </c>
      <c r="G3720" t="s">
        <v>13</v>
      </c>
      <c r="H3720" t="s">
        <v>13</v>
      </c>
    </row>
    <row r="3721" spans="1:8" x14ac:dyDescent="0.3">
      <c r="A3721" t="s">
        <v>1279</v>
      </c>
      <c r="B3721">
        <v>30</v>
      </c>
      <c r="C3721" t="s">
        <v>1397</v>
      </c>
      <c r="D3721" s="1">
        <v>0.875</v>
      </c>
      <c r="E3721" t="s">
        <v>27</v>
      </c>
      <c r="F3721" t="s">
        <v>34</v>
      </c>
      <c r="G3721" t="s">
        <v>13</v>
      </c>
      <c r="H3721" t="s">
        <v>13</v>
      </c>
    </row>
    <row r="3722" spans="1:8" x14ac:dyDescent="0.3">
      <c r="A3722" t="s">
        <v>1279</v>
      </c>
      <c r="B3722">
        <v>31</v>
      </c>
      <c r="C3722" t="s">
        <v>1398</v>
      </c>
      <c r="D3722" s="1">
        <v>0.8125</v>
      </c>
      <c r="E3722" t="s">
        <v>1000</v>
      </c>
      <c r="F3722" t="s">
        <v>23</v>
      </c>
      <c r="G3722" t="s">
        <v>13</v>
      </c>
      <c r="H3722" t="s">
        <v>13</v>
      </c>
    </row>
    <row r="3723" spans="1:8" x14ac:dyDescent="0.3">
      <c r="A3723" t="s">
        <v>1279</v>
      </c>
      <c r="B3723">
        <v>31</v>
      </c>
      <c r="C3723" t="s">
        <v>1398</v>
      </c>
      <c r="D3723" s="1">
        <v>0.8125</v>
      </c>
      <c r="E3723" t="s">
        <v>606</v>
      </c>
      <c r="F3723" t="s">
        <v>25</v>
      </c>
      <c r="G3723" t="s">
        <v>13</v>
      </c>
      <c r="H3723" t="s">
        <v>13</v>
      </c>
    </row>
    <row r="3724" spans="1:8" x14ac:dyDescent="0.3">
      <c r="A3724" t="s">
        <v>1279</v>
      </c>
      <c r="B3724">
        <v>31</v>
      </c>
      <c r="C3724" t="s">
        <v>1398</v>
      </c>
      <c r="D3724" s="1">
        <v>0.91666666666666663</v>
      </c>
      <c r="E3724" t="s">
        <v>26</v>
      </c>
      <c r="F3724" t="s">
        <v>10</v>
      </c>
      <c r="G3724" t="s">
        <v>13</v>
      </c>
      <c r="H3724" t="s">
        <v>13</v>
      </c>
    </row>
    <row r="3725" spans="1:8" x14ac:dyDescent="0.3">
      <c r="A3725" t="s">
        <v>1279</v>
      </c>
      <c r="B3725">
        <v>31</v>
      </c>
      <c r="C3725" t="s">
        <v>1399</v>
      </c>
      <c r="D3725" s="1">
        <v>0.8125</v>
      </c>
      <c r="E3725" t="s">
        <v>28</v>
      </c>
      <c r="F3725" t="s">
        <v>881</v>
      </c>
      <c r="G3725" t="s">
        <v>13</v>
      </c>
      <c r="H3725" t="s">
        <v>13</v>
      </c>
    </row>
    <row r="3726" spans="1:8" x14ac:dyDescent="0.3">
      <c r="A3726" t="s">
        <v>1279</v>
      </c>
      <c r="B3726">
        <v>31</v>
      </c>
      <c r="C3726" t="s">
        <v>1399</v>
      </c>
      <c r="D3726" s="1">
        <v>0.8125</v>
      </c>
      <c r="E3726" t="s">
        <v>11</v>
      </c>
      <c r="F3726" t="s">
        <v>33</v>
      </c>
      <c r="G3726" t="s">
        <v>13</v>
      </c>
      <c r="H3726" t="s">
        <v>13</v>
      </c>
    </row>
    <row r="3727" spans="1:8" x14ac:dyDescent="0.3">
      <c r="A3727" t="s">
        <v>1279</v>
      </c>
      <c r="B3727">
        <v>31</v>
      </c>
      <c r="C3727" t="s">
        <v>1399</v>
      </c>
      <c r="D3727" s="1">
        <v>0.91666666666666663</v>
      </c>
      <c r="E3727" t="s">
        <v>35</v>
      </c>
      <c r="F3727" t="s">
        <v>31</v>
      </c>
      <c r="G3727" t="s">
        <v>13</v>
      </c>
      <c r="H3727" t="s">
        <v>13</v>
      </c>
    </row>
    <row r="3728" spans="1:8" x14ac:dyDescent="0.3">
      <c r="A3728" t="s">
        <v>1279</v>
      </c>
      <c r="B3728">
        <v>31</v>
      </c>
      <c r="C3728" t="s">
        <v>1399</v>
      </c>
      <c r="D3728" s="1">
        <v>0.91666666666666663</v>
      </c>
      <c r="E3728" t="s">
        <v>30</v>
      </c>
      <c r="F3728" t="s">
        <v>20</v>
      </c>
      <c r="G3728" t="s">
        <v>13</v>
      </c>
      <c r="H3728" t="s">
        <v>13</v>
      </c>
    </row>
    <row r="3729" spans="1:8" x14ac:dyDescent="0.3">
      <c r="A3729" t="s">
        <v>1279</v>
      </c>
      <c r="B3729">
        <v>31</v>
      </c>
      <c r="C3729" t="s">
        <v>1400</v>
      </c>
      <c r="D3729" s="1">
        <v>0.8125</v>
      </c>
      <c r="E3729" t="s">
        <v>16</v>
      </c>
      <c r="F3729" t="s">
        <v>14</v>
      </c>
      <c r="G3729" t="s">
        <v>13</v>
      </c>
      <c r="H3729" t="s">
        <v>13</v>
      </c>
    </row>
    <row r="3730" spans="1:8" x14ac:dyDescent="0.3">
      <c r="A3730" t="s">
        <v>1279</v>
      </c>
      <c r="B3730">
        <v>31</v>
      </c>
      <c r="C3730" t="s">
        <v>1400</v>
      </c>
      <c r="D3730" s="1">
        <v>0.8125</v>
      </c>
      <c r="E3730" t="s">
        <v>34</v>
      </c>
      <c r="F3730" t="s">
        <v>36</v>
      </c>
      <c r="G3730" t="s">
        <v>13</v>
      </c>
      <c r="H3730" t="s">
        <v>13</v>
      </c>
    </row>
    <row r="3731" spans="1:8" x14ac:dyDescent="0.3">
      <c r="A3731" t="s">
        <v>1279</v>
      </c>
      <c r="B3731">
        <v>31</v>
      </c>
      <c r="C3731" t="s">
        <v>1400</v>
      </c>
      <c r="D3731" s="1">
        <v>0.91666666666666663</v>
      </c>
      <c r="E3731" t="s">
        <v>15</v>
      </c>
      <c r="F3731" t="s">
        <v>27</v>
      </c>
      <c r="G3731" t="s">
        <v>13</v>
      </c>
      <c r="H3731" t="s">
        <v>13</v>
      </c>
    </row>
    <row r="3732" spans="1:8" x14ac:dyDescent="0.3">
      <c r="A3732" t="s">
        <v>1279</v>
      </c>
      <c r="B3732">
        <v>32</v>
      </c>
      <c r="C3732" t="s">
        <v>1401</v>
      </c>
      <c r="D3732" s="1">
        <v>0.875</v>
      </c>
      <c r="E3732" t="s">
        <v>23</v>
      </c>
      <c r="F3732" t="s">
        <v>10</v>
      </c>
      <c r="G3732" t="s">
        <v>13</v>
      </c>
      <c r="H3732" t="s">
        <v>13</v>
      </c>
    </row>
    <row r="3733" spans="1:8" x14ac:dyDescent="0.3">
      <c r="A3733" t="s">
        <v>1279</v>
      </c>
      <c r="B3733">
        <v>32</v>
      </c>
      <c r="C3733" t="s">
        <v>1402</v>
      </c>
      <c r="D3733" s="1">
        <v>0.67708333333333337</v>
      </c>
      <c r="E3733" t="s">
        <v>31</v>
      </c>
      <c r="F3733" t="s">
        <v>30</v>
      </c>
      <c r="G3733" t="s">
        <v>13</v>
      </c>
      <c r="H3733" t="s">
        <v>13</v>
      </c>
    </row>
    <row r="3734" spans="1:8" x14ac:dyDescent="0.3">
      <c r="A3734" t="s">
        <v>1279</v>
      </c>
      <c r="B3734">
        <v>32</v>
      </c>
      <c r="C3734" t="s">
        <v>1402</v>
      </c>
      <c r="D3734" s="1">
        <v>0.77083333333333337</v>
      </c>
      <c r="E3734" t="s">
        <v>25</v>
      </c>
      <c r="F3734" t="s">
        <v>33</v>
      </c>
      <c r="G3734" t="s">
        <v>13</v>
      </c>
      <c r="H3734" t="s">
        <v>13</v>
      </c>
    </row>
    <row r="3735" spans="1:8" x14ac:dyDescent="0.3">
      <c r="A3735" t="s">
        <v>1279</v>
      </c>
      <c r="B3735">
        <v>32</v>
      </c>
      <c r="C3735" t="s">
        <v>1402</v>
      </c>
      <c r="D3735" s="1">
        <v>0.875</v>
      </c>
      <c r="E3735" t="s">
        <v>20</v>
      </c>
      <c r="F3735" t="s">
        <v>26</v>
      </c>
      <c r="G3735" t="s">
        <v>13</v>
      </c>
      <c r="H3735" t="s">
        <v>13</v>
      </c>
    </row>
    <row r="3736" spans="1:8" x14ac:dyDescent="0.3">
      <c r="A3736" t="s">
        <v>1279</v>
      </c>
      <c r="B3736">
        <v>32</v>
      </c>
      <c r="C3736" t="s">
        <v>1403</v>
      </c>
      <c r="D3736" s="1">
        <v>0.58333333333333337</v>
      </c>
      <c r="E3736" t="s">
        <v>1000</v>
      </c>
      <c r="F3736" t="s">
        <v>16</v>
      </c>
      <c r="G3736" t="s">
        <v>13</v>
      </c>
      <c r="H3736" t="s">
        <v>13</v>
      </c>
    </row>
    <row r="3737" spans="1:8" x14ac:dyDescent="0.3">
      <c r="A3737" t="s">
        <v>1279</v>
      </c>
      <c r="B3737">
        <v>32</v>
      </c>
      <c r="C3737" t="s">
        <v>1403</v>
      </c>
      <c r="D3737" s="1">
        <v>0.67708333333333337</v>
      </c>
      <c r="E3737" t="s">
        <v>34</v>
      </c>
      <c r="F3737" t="s">
        <v>35</v>
      </c>
      <c r="G3737" t="s">
        <v>13</v>
      </c>
      <c r="H3737" t="s">
        <v>13</v>
      </c>
    </row>
    <row r="3738" spans="1:8" x14ac:dyDescent="0.3">
      <c r="A3738" t="s">
        <v>1279</v>
      </c>
      <c r="B3738">
        <v>32</v>
      </c>
      <c r="C3738" t="s">
        <v>1403</v>
      </c>
      <c r="D3738" s="1">
        <v>0.77083333333333337</v>
      </c>
      <c r="E3738" t="s">
        <v>36</v>
      </c>
      <c r="F3738" t="s">
        <v>11</v>
      </c>
      <c r="G3738" t="s">
        <v>13</v>
      </c>
      <c r="H3738" t="s">
        <v>13</v>
      </c>
    </row>
    <row r="3739" spans="1:8" x14ac:dyDescent="0.3">
      <c r="A3739" t="s">
        <v>1279</v>
      </c>
      <c r="B3739">
        <v>32</v>
      </c>
      <c r="C3739" t="s">
        <v>1403</v>
      </c>
      <c r="D3739" s="1">
        <v>0.875</v>
      </c>
      <c r="E3739" t="s">
        <v>14</v>
      </c>
      <c r="F3739" t="s">
        <v>28</v>
      </c>
      <c r="G3739" t="s">
        <v>13</v>
      </c>
      <c r="H3739" t="s">
        <v>13</v>
      </c>
    </row>
    <row r="3740" spans="1:8" x14ac:dyDescent="0.3">
      <c r="A3740" t="s">
        <v>1279</v>
      </c>
      <c r="B3740">
        <v>32</v>
      </c>
      <c r="C3740" t="s">
        <v>1404</v>
      </c>
      <c r="D3740" s="1">
        <v>0.79166666666666663</v>
      </c>
      <c r="E3740" t="s">
        <v>881</v>
      </c>
      <c r="F3740" t="s">
        <v>15</v>
      </c>
      <c r="G3740" t="s">
        <v>13</v>
      </c>
      <c r="H3740" t="s">
        <v>13</v>
      </c>
    </row>
    <row r="3741" spans="1:8" x14ac:dyDescent="0.3">
      <c r="A3741" t="s">
        <v>1279</v>
      </c>
      <c r="B3741">
        <v>32</v>
      </c>
      <c r="C3741" t="s">
        <v>1404</v>
      </c>
      <c r="D3741" s="1">
        <v>0.875</v>
      </c>
      <c r="E3741" t="s">
        <v>27</v>
      </c>
      <c r="F3741" t="s">
        <v>606</v>
      </c>
      <c r="G3741" t="s">
        <v>13</v>
      </c>
      <c r="H3741" t="s">
        <v>13</v>
      </c>
    </row>
    <row r="3742" spans="1:8" x14ac:dyDescent="0.3">
      <c r="A3742" t="s">
        <v>1279</v>
      </c>
      <c r="B3742">
        <v>33</v>
      </c>
      <c r="C3742" t="s">
        <v>1405</v>
      </c>
      <c r="D3742" s="1">
        <v>0.8125</v>
      </c>
      <c r="E3742" t="s">
        <v>20</v>
      </c>
      <c r="F3742" t="s">
        <v>23</v>
      </c>
      <c r="G3742" t="s">
        <v>13</v>
      </c>
      <c r="H3742" t="s">
        <v>13</v>
      </c>
    </row>
    <row r="3743" spans="1:8" x14ac:dyDescent="0.3">
      <c r="A3743" t="s">
        <v>1279</v>
      </c>
      <c r="B3743">
        <v>33</v>
      </c>
      <c r="C3743" t="s">
        <v>1405</v>
      </c>
      <c r="D3743" s="1">
        <v>0.8125</v>
      </c>
      <c r="E3743" t="s">
        <v>33</v>
      </c>
      <c r="F3743" t="s">
        <v>31</v>
      </c>
      <c r="G3743" t="s">
        <v>13</v>
      </c>
      <c r="H3743" t="s">
        <v>13</v>
      </c>
    </row>
    <row r="3744" spans="1:8" x14ac:dyDescent="0.3">
      <c r="A3744" t="s">
        <v>1279</v>
      </c>
      <c r="B3744">
        <v>33</v>
      </c>
      <c r="C3744" t="s">
        <v>1405</v>
      </c>
      <c r="D3744" s="1">
        <v>0.91666666666666663</v>
      </c>
      <c r="E3744" t="s">
        <v>10</v>
      </c>
      <c r="F3744" t="s">
        <v>25</v>
      </c>
      <c r="G3744" t="s">
        <v>13</v>
      </c>
      <c r="H3744" t="s">
        <v>13</v>
      </c>
    </row>
    <row r="3745" spans="1:8" x14ac:dyDescent="0.3">
      <c r="A3745" t="s">
        <v>1279</v>
      </c>
      <c r="B3745">
        <v>33</v>
      </c>
      <c r="C3745" t="s">
        <v>1406</v>
      </c>
      <c r="D3745" s="1">
        <v>0.8125</v>
      </c>
      <c r="E3745" t="s">
        <v>16</v>
      </c>
      <c r="F3745" t="s">
        <v>34</v>
      </c>
      <c r="G3745" t="s">
        <v>13</v>
      </c>
      <c r="H3745" t="s">
        <v>13</v>
      </c>
    </row>
    <row r="3746" spans="1:8" x14ac:dyDescent="0.3">
      <c r="A3746" t="s">
        <v>1279</v>
      </c>
      <c r="B3746">
        <v>33</v>
      </c>
      <c r="C3746" t="s">
        <v>1406</v>
      </c>
      <c r="D3746" s="1">
        <v>0.91666666666666663</v>
      </c>
      <c r="E3746" t="s">
        <v>28</v>
      </c>
      <c r="F3746" t="s">
        <v>1000</v>
      </c>
      <c r="G3746" t="s">
        <v>13</v>
      </c>
      <c r="H3746" t="s">
        <v>13</v>
      </c>
    </row>
    <row r="3747" spans="1:8" x14ac:dyDescent="0.3">
      <c r="A3747" t="s">
        <v>1279</v>
      </c>
      <c r="B3747">
        <v>33</v>
      </c>
      <c r="C3747" t="s">
        <v>1406</v>
      </c>
      <c r="D3747" s="1">
        <v>0.91666666666666663</v>
      </c>
      <c r="E3747" t="s">
        <v>11</v>
      </c>
      <c r="F3747" t="s">
        <v>35</v>
      </c>
      <c r="G3747" t="s">
        <v>13</v>
      </c>
      <c r="H3747" t="s">
        <v>13</v>
      </c>
    </row>
    <row r="3748" spans="1:8" x14ac:dyDescent="0.3">
      <c r="A3748" t="s">
        <v>1279</v>
      </c>
      <c r="B3748">
        <v>33</v>
      </c>
      <c r="C3748" t="s">
        <v>1407</v>
      </c>
      <c r="D3748" s="1">
        <v>0.8125</v>
      </c>
      <c r="E3748" t="s">
        <v>606</v>
      </c>
      <c r="F3748" t="s">
        <v>881</v>
      </c>
      <c r="G3748" t="s">
        <v>13</v>
      </c>
      <c r="H3748" t="s">
        <v>13</v>
      </c>
    </row>
    <row r="3749" spans="1:8" x14ac:dyDescent="0.3">
      <c r="A3749" t="s">
        <v>1279</v>
      </c>
      <c r="B3749">
        <v>33</v>
      </c>
      <c r="C3749" t="s">
        <v>1407</v>
      </c>
      <c r="D3749" s="1">
        <v>0.8125</v>
      </c>
      <c r="E3749" t="s">
        <v>27</v>
      </c>
      <c r="F3749" t="s">
        <v>36</v>
      </c>
      <c r="G3749" t="s">
        <v>13</v>
      </c>
      <c r="H3749" t="s">
        <v>13</v>
      </c>
    </row>
    <row r="3750" spans="1:8" x14ac:dyDescent="0.3">
      <c r="A3750" t="s">
        <v>1279</v>
      </c>
      <c r="B3750">
        <v>33</v>
      </c>
      <c r="C3750" t="s">
        <v>1407</v>
      </c>
      <c r="D3750" s="1">
        <v>0.91666666666666663</v>
      </c>
      <c r="E3750" t="s">
        <v>15</v>
      </c>
      <c r="F3750" t="s">
        <v>26</v>
      </c>
      <c r="G3750" t="s">
        <v>13</v>
      </c>
      <c r="H3750" t="s">
        <v>13</v>
      </c>
    </row>
    <row r="3751" spans="1:8" x14ac:dyDescent="0.3">
      <c r="A3751" t="s">
        <v>1279</v>
      </c>
      <c r="B3751">
        <v>33</v>
      </c>
      <c r="C3751" t="s">
        <v>1407</v>
      </c>
      <c r="D3751" s="1">
        <v>0.91666666666666663</v>
      </c>
      <c r="E3751" t="s">
        <v>30</v>
      </c>
      <c r="F3751" t="s">
        <v>14</v>
      </c>
      <c r="G3751" t="s">
        <v>13</v>
      </c>
      <c r="H3751" t="s">
        <v>13</v>
      </c>
    </row>
    <row r="3752" spans="1:8" x14ac:dyDescent="0.3">
      <c r="A3752" t="s">
        <v>1279</v>
      </c>
      <c r="B3752">
        <v>34</v>
      </c>
      <c r="C3752" t="s">
        <v>1408</v>
      </c>
      <c r="D3752" t="s">
        <v>1018</v>
      </c>
      <c r="E3752" t="s">
        <v>26</v>
      </c>
      <c r="F3752" t="s">
        <v>30</v>
      </c>
      <c r="G3752" t="s">
        <v>13</v>
      </c>
      <c r="H3752" t="s">
        <v>13</v>
      </c>
    </row>
    <row r="3753" spans="1:8" x14ac:dyDescent="0.3">
      <c r="A3753" t="s">
        <v>1279</v>
      </c>
      <c r="B3753">
        <v>34</v>
      </c>
      <c r="C3753" t="s">
        <v>1408</v>
      </c>
      <c r="D3753" t="s">
        <v>1018</v>
      </c>
      <c r="E3753" t="s">
        <v>35</v>
      </c>
      <c r="F3753" t="s">
        <v>16</v>
      </c>
      <c r="G3753" t="s">
        <v>13</v>
      </c>
      <c r="H3753" t="s">
        <v>13</v>
      </c>
    </row>
    <row r="3754" spans="1:8" x14ac:dyDescent="0.3">
      <c r="A3754" t="s">
        <v>1279</v>
      </c>
      <c r="B3754">
        <v>34</v>
      </c>
      <c r="C3754" t="s">
        <v>1408</v>
      </c>
      <c r="D3754" t="s">
        <v>1018</v>
      </c>
      <c r="E3754" t="s">
        <v>34</v>
      </c>
      <c r="F3754" t="s">
        <v>15</v>
      </c>
      <c r="G3754" t="s">
        <v>13</v>
      </c>
      <c r="H3754" t="s">
        <v>13</v>
      </c>
    </row>
    <row r="3755" spans="1:8" x14ac:dyDescent="0.3">
      <c r="A3755" t="s">
        <v>1279</v>
      </c>
      <c r="B3755">
        <v>34</v>
      </c>
      <c r="C3755" t="s">
        <v>1408</v>
      </c>
      <c r="D3755" t="s">
        <v>1018</v>
      </c>
      <c r="E3755" t="s">
        <v>31</v>
      </c>
      <c r="F3755" t="s">
        <v>28</v>
      </c>
      <c r="G3755" t="s">
        <v>13</v>
      </c>
      <c r="H3755" t="s">
        <v>13</v>
      </c>
    </row>
    <row r="3756" spans="1:8" x14ac:dyDescent="0.3">
      <c r="A3756" t="s">
        <v>1279</v>
      </c>
      <c r="B3756">
        <v>34</v>
      </c>
      <c r="C3756" t="s">
        <v>1408</v>
      </c>
      <c r="D3756" t="s">
        <v>1018</v>
      </c>
      <c r="E3756" t="s">
        <v>36</v>
      </c>
      <c r="F3756" t="s">
        <v>20</v>
      </c>
      <c r="G3756" t="s">
        <v>13</v>
      </c>
      <c r="H3756" t="s">
        <v>13</v>
      </c>
    </row>
    <row r="3757" spans="1:8" x14ac:dyDescent="0.3">
      <c r="A3757" t="s">
        <v>1279</v>
      </c>
      <c r="B3757">
        <v>34</v>
      </c>
      <c r="C3757" t="s">
        <v>1408</v>
      </c>
      <c r="D3757" t="s">
        <v>1018</v>
      </c>
      <c r="E3757" t="s">
        <v>25</v>
      </c>
      <c r="F3757" t="s">
        <v>11</v>
      </c>
      <c r="G3757" t="s">
        <v>13</v>
      </c>
      <c r="H3757" t="s">
        <v>13</v>
      </c>
    </row>
    <row r="3758" spans="1:8" x14ac:dyDescent="0.3">
      <c r="A3758" t="s">
        <v>1279</v>
      </c>
      <c r="B3758">
        <v>34</v>
      </c>
      <c r="C3758" t="s">
        <v>1408</v>
      </c>
      <c r="D3758" t="s">
        <v>1018</v>
      </c>
      <c r="E3758" t="s">
        <v>881</v>
      </c>
      <c r="F3758" t="s">
        <v>1000</v>
      </c>
      <c r="G3758" t="s">
        <v>13</v>
      </c>
      <c r="H3758" t="s">
        <v>13</v>
      </c>
    </row>
    <row r="3759" spans="1:8" x14ac:dyDescent="0.3">
      <c r="A3759" t="s">
        <v>1279</v>
      </c>
      <c r="B3759">
        <v>34</v>
      </c>
      <c r="C3759" t="s">
        <v>1408</v>
      </c>
      <c r="D3759" t="s">
        <v>1018</v>
      </c>
      <c r="E3759" t="s">
        <v>14</v>
      </c>
      <c r="F3759" t="s">
        <v>27</v>
      </c>
      <c r="G3759" t="s">
        <v>13</v>
      </c>
      <c r="H3759" t="s">
        <v>13</v>
      </c>
    </row>
    <row r="3760" spans="1:8" x14ac:dyDescent="0.3">
      <c r="A3760" t="s">
        <v>1279</v>
      </c>
      <c r="B3760">
        <v>34</v>
      </c>
      <c r="C3760" t="s">
        <v>1408</v>
      </c>
      <c r="D3760" t="s">
        <v>1018</v>
      </c>
      <c r="E3760" t="s">
        <v>23</v>
      </c>
      <c r="F3760" t="s">
        <v>33</v>
      </c>
      <c r="G3760" t="s">
        <v>13</v>
      </c>
      <c r="H3760" t="s">
        <v>13</v>
      </c>
    </row>
    <row r="3761" spans="1:8" x14ac:dyDescent="0.3">
      <c r="A3761" t="s">
        <v>1279</v>
      </c>
      <c r="B3761">
        <v>34</v>
      </c>
      <c r="C3761" t="s">
        <v>1408</v>
      </c>
      <c r="D3761" t="s">
        <v>1018</v>
      </c>
      <c r="E3761" t="s">
        <v>10</v>
      </c>
      <c r="F3761" t="s">
        <v>606</v>
      </c>
      <c r="G3761" t="s">
        <v>13</v>
      </c>
      <c r="H3761" t="s">
        <v>13</v>
      </c>
    </row>
    <row r="3762" spans="1:8" x14ac:dyDescent="0.3">
      <c r="A3762" t="s">
        <v>1279</v>
      </c>
      <c r="B3762">
        <v>35</v>
      </c>
      <c r="C3762" t="s">
        <v>1409</v>
      </c>
      <c r="D3762" t="s">
        <v>1018</v>
      </c>
      <c r="E3762" t="s">
        <v>15</v>
      </c>
      <c r="F3762" t="s">
        <v>35</v>
      </c>
      <c r="G3762" t="s">
        <v>13</v>
      </c>
      <c r="H3762" t="s">
        <v>13</v>
      </c>
    </row>
    <row r="3763" spans="1:8" x14ac:dyDescent="0.3">
      <c r="A3763" t="s">
        <v>1279</v>
      </c>
      <c r="B3763">
        <v>35</v>
      </c>
      <c r="C3763" t="s">
        <v>1409</v>
      </c>
      <c r="D3763" t="s">
        <v>1018</v>
      </c>
      <c r="E3763" t="s">
        <v>28</v>
      </c>
      <c r="F3763" t="s">
        <v>23</v>
      </c>
      <c r="G3763" t="s">
        <v>13</v>
      </c>
      <c r="H3763" t="s">
        <v>13</v>
      </c>
    </row>
    <row r="3764" spans="1:8" x14ac:dyDescent="0.3">
      <c r="A3764" t="s">
        <v>1279</v>
      </c>
      <c r="B3764">
        <v>35</v>
      </c>
      <c r="C3764" t="s">
        <v>1409</v>
      </c>
      <c r="D3764" t="s">
        <v>1018</v>
      </c>
      <c r="E3764" t="s">
        <v>20</v>
      </c>
      <c r="F3764" t="s">
        <v>10</v>
      </c>
      <c r="G3764" t="s">
        <v>13</v>
      </c>
      <c r="H3764" t="s">
        <v>13</v>
      </c>
    </row>
    <row r="3765" spans="1:8" x14ac:dyDescent="0.3">
      <c r="A3765" t="s">
        <v>1279</v>
      </c>
      <c r="B3765">
        <v>35</v>
      </c>
      <c r="C3765" t="s">
        <v>1409</v>
      </c>
      <c r="D3765" t="s">
        <v>1018</v>
      </c>
      <c r="E3765" t="s">
        <v>1000</v>
      </c>
      <c r="F3765" t="s">
        <v>14</v>
      </c>
      <c r="G3765" t="s">
        <v>13</v>
      </c>
      <c r="H3765" t="s">
        <v>13</v>
      </c>
    </row>
    <row r="3766" spans="1:8" x14ac:dyDescent="0.3">
      <c r="A3766" t="s">
        <v>1279</v>
      </c>
      <c r="B3766">
        <v>35</v>
      </c>
      <c r="C3766" t="s">
        <v>1409</v>
      </c>
      <c r="D3766" t="s">
        <v>1018</v>
      </c>
      <c r="E3766" t="s">
        <v>33</v>
      </c>
      <c r="F3766" t="s">
        <v>881</v>
      </c>
      <c r="G3766" t="s">
        <v>13</v>
      </c>
      <c r="H3766" t="s">
        <v>13</v>
      </c>
    </row>
    <row r="3767" spans="1:8" x14ac:dyDescent="0.3">
      <c r="A3767" t="s">
        <v>1279</v>
      </c>
      <c r="B3767">
        <v>35</v>
      </c>
      <c r="C3767" t="s">
        <v>1409</v>
      </c>
      <c r="D3767" t="s">
        <v>1018</v>
      </c>
      <c r="E3767" t="s">
        <v>606</v>
      </c>
      <c r="F3767" t="s">
        <v>34</v>
      </c>
      <c r="G3767" t="s">
        <v>13</v>
      </c>
      <c r="H3767" t="s">
        <v>13</v>
      </c>
    </row>
    <row r="3768" spans="1:8" x14ac:dyDescent="0.3">
      <c r="A3768" t="s">
        <v>1279</v>
      </c>
      <c r="B3768">
        <v>35</v>
      </c>
      <c r="C3768" t="s">
        <v>1409</v>
      </c>
      <c r="D3768" t="s">
        <v>1018</v>
      </c>
      <c r="E3768" t="s">
        <v>27</v>
      </c>
      <c r="F3768" t="s">
        <v>26</v>
      </c>
      <c r="G3768" t="s">
        <v>13</v>
      </c>
      <c r="H3768" t="s">
        <v>13</v>
      </c>
    </row>
    <row r="3769" spans="1:8" x14ac:dyDescent="0.3">
      <c r="A3769" t="s">
        <v>1279</v>
      </c>
      <c r="B3769">
        <v>35</v>
      </c>
      <c r="C3769" t="s">
        <v>1409</v>
      </c>
      <c r="D3769" t="s">
        <v>1018</v>
      </c>
      <c r="E3769" t="s">
        <v>11</v>
      </c>
      <c r="F3769" t="s">
        <v>31</v>
      </c>
      <c r="G3769" t="s">
        <v>13</v>
      </c>
      <c r="H3769" t="s">
        <v>13</v>
      </c>
    </row>
    <row r="3770" spans="1:8" x14ac:dyDescent="0.3">
      <c r="A3770" t="s">
        <v>1279</v>
      </c>
      <c r="B3770">
        <v>35</v>
      </c>
      <c r="C3770" t="s">
        <v>1409</v>
      </c>
      <c r="D3770" t="s">
        <v>1018</v>
      </c>
      <c r="E3770" t="s">
        <v>30</v>
      </c>
      <c r="F3770" t="s">
        <v>36</v>
      </c>
      <c r="G3770" t="s">
        <v>13</v>
      </c>
      <c r="H3770" t="s">
        <v>13</v>
      </c>
    </row>
    <row r="3771" spans="1:8" x14ac:dyDescent="0.3">
      <c r="A3771" t="s">
        <v>1279</v>
      </c>
      <c r="B3771">
        <v>35</v>
      </c>
      <c r="C3771" t="s">
        <v>1409</v>
      </c>
      <c r="D3771" t="s">
        <v>1018</v>
      </c>
      <c r="E3771" t="s">
        <v>16</v>
      </c>
      <c r="F3771" t="s">
        <v>25</v>
      </c>
      <c r="G3771" t="s">
        <v>13</v>
      </c>
      <c r="H3771" t="s">
        <v>13</v>
      </c>
    </row>
    <row r="3772" spans="1:8" x14ac:dyDescent="0.3">
      <c r="A3772" t="s">
        <v>1279</v>
      </c>
      <c r="B3772">
        <v>36</v>
      </c>
      <c r="C3772" t="s">
        <v>1410</v>
      </c>
      <c r="D3772" t="s">
        <v>1018</v>
      </c>
      <c r="E3772" t="s">
        <v>26</v>
      </c>
      <c r="F3772" t="s">
        <v>11</v>
      </c>
      <c r="G3772" t="s">
        <v>13</v>
      </c>
      <c r="H3772" t="s">
        <v>13</v>
      </c>
    </row>
    <row r="3773" spans="1:8" x14ac:dyDescent="0.3">
      <c r="A3773" t="s">
        <v>1279</v>
      </c>
      <c r="B3773">
        <v>36</v>
      </c>
      <c r="C3773" t="s">
        <v>1410</v>
      </c>
      <c r="D3773" t="s">
        <v>1018</v>
      </c>
      <c r="E3773" t="s">
        <v>35</v>
      </c>
      <c r="F3773" t="s">
        <v>606</v>
      </c>
      <c r="G3773" t="s">
        <v>13</v>
      </c>
      <c r="H3773" t="s">
        <v>13</v>
      </c>
    </row>
    <row r="3774" spans="1:8" x14ac:dyDescent="0.3">
      <c r="A3774" t="s">
        <v>1279</v>
      </c>
      <c r="B3774">
        <v>36</v>
      </c>
      <c r="C3774" t="s">
        <v>1410</v>
      </c>
      <c r="D3774" t="s">
        <v>1018</v>
      </c>
      <c r="E3774" t="s">
        <v>31</v>
      </c>
      <c r="F3774" t="s">
        <v>27</v>
      </c>
      <c r="G3774" t="s">
        <v>13</v>
      </c>
      <c r="H3774" t="s">
        <v>13</v>
      </c>
    </row>
    <row r="3775" spans="1:8" x14ac:dyDescent="0.3">
      <c r="A3775" t="s">
        <v>1279</v>
      </c>
      <c r="B3775">
        <v>36</v>
      </c>
      <c r="C3775" t="s">
        <v>1410</v>
      </c>
      <c r="D3775" t="s">
        <v>1018</v>
      </c>
      <c r="E3775" t="s">
        <v>881</v>
      </c>
      <c r="F3775" t="s">
        <v>16</v>
      </c>
      <c r="G3775" t="s">
        <v>13</v>
      </c>
      <c r="H3775" t="s">
        <v>13</v>
      </c>
    </row>
    <row r="3776" spans="1:8" x14ac:dyDescent="0.3">
      <c r="A3776" t="s">
        <v>1279</v>
      </c>
      <c r="B3776">
        <v>36</v>
      </c>
      <c r="C3776" t="s">
        <v>1410</v>
      </c>
      <c r="D3776" t="s">
        <v>1018</v>
      </c>
      <c r="E3776" t="s">
        <v>23</v>
      </c>
      <c r="F3776" t="s">
        <v>15</v>
      </c>
      <c r="G3776" t="s">
        <v>13</v>
      </c>
      <c r="H3776" t="s">
        <v>13</v>
      </c>
    </row>
    <row r="3777" spans="1:8" x14ac:dyDescent="0.3">
      <c r="A3777" t="s">
        <v>1279</v>
      </c>
      <c r="B3777">
        <v>36</v>
      </c>
      <c r="C3777" t="s">
        <v>1410</v>
      </c>
      <c r="D3777" t="s">
        <v>1018</v>
      </c>
      <c r="E3777" t="s">
        <v>36</v>
      </c>
      <c r="F3777" t="s">
        <v>28</v>
      </c>
      <c r="G3777" t="s">
        <v>13</v>
      </c>
      <c r="H3777" t="s">
        <v>13</v>
      </c>
    </row>
    <row r="3778" spans="1:8" x14ac:dyDescent="0.3">
      <c r="A3778" t="s">
        <v>1279</v>
      </c>
      <c r="B3778">
        <v>36</v>
      </c>
      <c r="C3778" t="s">
        <v>1410</v>
      </c>
      <c r="D3778" t="s">
        <v>1018</v>
      </c>
      <c r="E3778" t="s">
        <v>14</v>
      </c>
      <c r="F3778" t="s">
        <v>20</v>
      </c>
      <c r="G3778" t="s">
        <v>13</v>
      </c>
      <c r="H3778" t="s">
        <v>13</v>
      </c>
    </row>
    <row r="3779" spans="1:8" x14ac:dyDescent="0.3">
      <c r="A3779" t="s">
        <v>1279</v>
      </c>
      <c r="B3779">
        <v>36</v>
      </c>
      <c r="C3779" t="s">
        <v>1410</v>
      </c>
      <c r="D3779" t="s">
        <v>1018</v>
      </c>
      <c r="E3779" t="s">
        <v>34</v>
      </c>
      <c r="F3779" t="s">
        <v>1000</v>
      </c>
      <c r="G3779" t="s">
        <v>13</v>
      </c>
      <c r="H3779" t="s">
        <v>13</v>
      </c>
    </row>
    <row r="3780" spans="1:8" x14ac:dyDescent="0.3">
      <c r="A3780" t="s">
        <v>1279</v>
      </c>
      <c r="B3780">
        <v>36</v>
      </c>
      <c r="C3780" t="s">
        <v>1410</v>
      </c>
      <c r="D3780" t="s">
        <v>1018</v>
      </c>
      <c r="E3780" t="s">
        <v>25</v>
      </c>
      <c r="F3780" t="s">
        <v>30</v>
      </c>
      <c r="G3780" t="s">
        <v>13</v>
      </c>
      <c r="H3780" t="s">
        <v>13</v>
      </c>
    </row>
    <row r="3781" spans="1:8" x14ac:dyDescent="0.3">
      <c r="A3781" t="s">
        <v>1279</v>
      </c>
      <c r="B3781">
        <v>36</v>
      </c>
      <c r="C3781" t="s">
        <v>1410</v>
      </c>
      <c r="D3781" t="s">
        <v>1018</v>
      </c>
      <c r="E3781" t="s">
        <v>10</v>
      </c>
      <c r="F3781" t="s">
        <v>33</v>
      </c>
      <c r="G3781" t="s">
        <v>13</v>
      </c>
      <c r="H3781" t="s">
        <v>13</v>
      </c>
    </row>
    <row r="3782" spans="1:8" x14ac:dyDescent="0.3">
      <c r="A3782" t="s">
        <v>1279</v>
      </c>
      <c r="B3782">
        <v>37</v>
      </c>
      <c r="C3782" t="s">
        <v>1411</v>
      </c>
      <c r="D3782" t="s">
        <v>1018</v>
      </c>
      <c r="E3782" t="s">
        <v>15</v>
      </c>
      <c r="F3782" t="s">
        <v>31</v>
      </c>
      <c r="G3782" t="s">
        <v>13</v>
      </c>
      <c r="H3782" t="s">
        <v>13</v>
      </c>
    </row>
    <row r="3783" spans="1:8" x14ac:dyDescent="0.3">
      <c r="A3783" t="s">
        <v>1279</v>
      </c>
      <c r="B3783">
        <v>37</v>
      </c>
      <c r="C3783" t="s">
        <v>1411</v>
      </c>
      <c r="D3783" t="s">
        <v>1018</v>
      </c>
      <c r="E3783" t="s">
        <v>28</v>
      </c>
      <c r="F3783" t="s">
        <v>10</v>
      </c>
      <c r="G3783" t="s">
        <v>13</v>
      </c>
      <c r="H3783" t="s">
        <v>13</v>
      </c>
    </row>
    <row r="3784" spans="1:8" x14ac:dyDescent="0.3">
      <c r="A3784" t="s">
        <v>1279</v>
      </c>
      <c r="B3784">
        <v>37</v>
      </c>
      <c r="C3784" t="s">
        <v>1411</v>
      </c>
      <c r="D3784" t="s">
        <v>1018</v>
      </c>
      <c r="E3784" t="s">
        <v>20</v>
      </c>
      <c r="F3784" t="s">
        <v>881</v>
      </c>
      <c r="G3784" t="s">
        <v>13</v>
      </c>
      <c r="H3784" t="s">
        <v>13</v>
      </c>
    </row>
    <row r="3785" spans="1:8" x14ac:dyDescent="0.3">
      <c r="A3785" t="s">
        <v>1279</v>
      </c>
      <c r="B3785">
        <v>37</v>
      </c>
      <c r="C3785" t="s">
        <v>1411</v>
      </c>
      <c r="D3785" t="s">
        <v>1018</v>
      </c>
      <c r="E3785" t="s">
        <v>11</v>
      </c>
      <c r="F3785" t="s">
        <v>23</v>
      </c>
      <c r="G3785" t="s">
        <v>13</v>
      </c>
      <c r="H3785" t="s">
        <v>13</v>
      </c>
    </row>
    <row r="3786" spans="1:8" x14ac:dyDescent="0.3">
      <c r="A3786" t="s">
        <v>1279</v>
      </c>
      <c r="B3786">
        <v>37</v>
      </c>
      <c r="C3786" t="s">
        <v>1411</v>
      </c>
      <c r="D3786" t="s">
        <v>1018</v>
      </c>
      <c r="E3786" t="s">
        <v>1000</v>
      </c>
      <c r="F3786" t="s">
        <v>35</v>
      </c>
      <c r="G3786" t="s">
        <v>13</v>
      </c>
      <c r="H3786" t="s">
        <v>13</v>
      </c>
    </row>
    <row r="3787" spans="1:8" x14ac:dyDescent="0.3">
      <c r="A3787" t="s">
        <v>1279</v>
      </c>
      <c r="B3787">
        <v>37</v>
      </c>
      <c r="C3787" t="s">
        <v>1411</v>
      </c>
      <c r="D3787" t="s">
        <v>1018</v>
      </c>
      <c r="E3787" t="s">
        <v>30</v>
      </c>
      <c r="F3787" t="s">
        <v>34</v>
      </c>
      <c r="G3787" t="s">
        <v>13</v>
      </c>
      <c r="H3787" t="s">
        <v>13</v>
      </c>
    </row>
    <row r="3788" spans="1:8" x14ac:dyDescent="0.3">
      <c r="A3788" t="s">
        <v>1279</v>
      </c>
      <c r="B3788">
        <v>37</v>
      </c>
      <c r="C3788" t="s">
        <v>1411</v>
      </c>
      <c r="D3788" t="s">
        <v>1018</v>
      </c>
      <c r="E3788" t="s">
        <v>33</v>
      </c>
      <c r="F3788" t="s">
        <v>14</v>
      </c>
      <c r="G3788" t="s">
        <v>13</v>
      </c>
      <c r="H3788" t="s">
        <v>13</v>
      </c>
    </row>
    <row r="3789" spans="1:8" x14ac:dyDescent="0.3">
      <c r="A3789" t="s">
        <v>1279</v>
      </c>
      <c r="B3789">
        <v>37</v>
      </c>
      <c r="C3789" t="s">
        <v>1411</v>
      </c>
      <c r="D3789" t="s">
        <v>1018</v>
      </c>
      <c r="E3789" t="s">
        <v>606</v>
      </c>
      <c r="F3789" t="s">
        <v>26</v>
      </c>
      <c r="G3789" t="s">
        <v>13</v>
      </c>
      <c r="H3789" t="s">
        <v>13</v>
      </c>
    </row>
    <row r="3790" spans="1:8" x14ac:dyDescent="0.3">
      <c r="A3790" t="s">
        <v>1279</v>
      </c>
      <c r="B3790">
        <v>37</v>
      </c>
      <c r="C3790" t="s">
        <v>1411</v>
      </c>
      <c r="D3790" t="s">
        <v>1018</v>
      </c>
      <c r="E3790" t="s">
        <v>16</v>
      </c>
      <c r="F3790" t="s">
        <v>36</v>
      </c>
      <c r="G3790" t="s">
        <v>13</v>
      </c>
      <c r="H3790" t="s">
        <v>13</v>
      </c>
    </row>
    <row r="3791" spans="1:8" x14ac:dyDescent="0.3">
      <c r="A3791" t="s">
        <v>1279</v>
      </c>
      <c r="B3791">
        <v>37</v>
      </c>
      <c r="C3791" t="s">
        <v>1411</v>
      </c>
      <c r="D3791" t="s">
        <v>1018</v>
      </c>
      <c r="E3791" t="s">
        <v>27</v>
      </c>
      <c r="F3791" t="s">
        <v>25</v>
      </c>
      <c r="G3791" t="s">
        <v>13</v>
      </c>
      <c r="H3791" t="s">
        <v>13</v>
      </c>
    </row>
    <row r="3792" spans="1:8" x14ac:dyDescent="0.3">
      <c r="A3792" t="s">
        <v>1279</v>
      </c>
      <c r="B3792">
        <v>38</v>
      </c>
      <c r="C3792" t="s">
        <v>1412</v>
      </c>
      <c r="D3792" t="s">
        <v>1018</v>
      </c>
      <c r="E3792" t="s">
        <v>26</v>
      </c>
      <c r="F3792" t="s">
        <v>16</v>
      </c>
      <c r="G3792" t="s">
        <v>13</v>
      </c>
      <c r="H3792" t="s">
        <v>13</v>
      </c>
    </row>
    <row r="3793" spans="1:8" x14ac:dyDescent="0.3">
      <c r="A3793" t="s">
        <v>1279</v>
      </c>
      <c r="B3793">
        <v>38</v>
      </c>
      <c r="C3793" t="s">
        <v>1412</v>
      </c>
      <c r="D3793" t="s">
        <v>1018</v>
      </c>
      <c r="E3793" t="s">
        <v>881</v>
      </c>
      <c r="F3793" t="s">
        <v>30</v>
      </c>
      <c r="G3793" t="s">
        <v>13</v>
      </c>
      <c r="H3793" t="s">
        <v>13</v>
      </c>
    </row>
    <row r="3794" spans="1:8" x14ac:dyDescent="0.3">
      <c r="A3794" t="s">
        <v>1279</v>
      </c>
      <c r="B3794">
        <v>38</v>
      </c>
      <c r="C3794" t="s">
        <v>1412</v>
      </c>
      <c r="D3794" t="s">
        <v>1018</v>
      </c>
      <c r="E3794" t="s">
        <v>10</v>
      </c>
      <c r="F3794" t="s">
        <v>27</v>
      </c>
      <c r="G3794" t="s">
        <v>13</v>
      </c>
      <c r="H3794" t="s">
        <v>13</v>
      </c>
    </row>
    <row r="3795" spans="1:8" x14ac:dyDescent="0.3">
      <c r="A3795" t="s">
        <v>1279</v>
      </c>
      <c r="B3795">
        <v>38</v>
      </c>
      <c r="C3795" t="s">
        <v>1412</v>
      </c>
      <c r="D3795" t="s">
        <v>1018</v>
      </c>
      <c r="E3795" t="s">
        <v>25</v>
      </c>
      <c r="F3795" t="s">
        <v>15</v>
      </c>
      <c r="G3795" t="s">
        <v>13</v>
      </c>
      <c r="H3795" t="s">
        <v>13</v>
      </c>
    </row>
    <row r="3796" spans="1:8" x14ac:dyDescent="0.3">
      <c r="A3796" t="s">
        <v>1279</v>
      </c>
      <c r="B3796">
        <v>38</v>
      </c>
      <c r="C3796" t="s">
        <v>1412</v>
      </c>
      <c r="D3796" t="s">
        <v>1018</v>
      </c>
      <c r="E3796" t="s">
        <v>34</v>
      </c>
      <c r="F3796" t="s">
        <v>28</v>
      </c>
      <c r="G3796" t="s">
        <v>13</v>
      </c>
      <c r="H3796" t="s">
        <v>13</v>
      </c>
    </row>
    <row r="3797" spans="1:8" x14ac:dyDescent="0.3">
      <c r="A3797" t="s">
        <v>1279</v>
      </c>
      <c r="B3797">
        <v>38</v>
      </c>
      <c r="C3797" t="s">
        <v>1412</v>
      </c>
      <c r="D3797" t="s">
        <v>1018</v>
      </c>
      <c r="E3797" t="s">
        <v>35</v>
      </c>
      <c r="F3797" t="s">
        <v>20</v>
      </c>
      <c r="G3797" t="s">
        <v>13</v>
      </c>
      <c r="H3797" t="s">
        <v>13</v>
      </c>
    </row>
    <row r="3798" spans="1:8" x14ac:dyDescent="0.3">
      <c r="A3798" t="s">
        <v>1279</v>
      </c>
      <c r="B3798">
        <v>38</v>
      </c>
      <c r="C3798" t="s">
        <v>1412</v>
      </c>
      <c r="D3798" t="s">
        <v>1018</v>
      </c>
      <c r="E3798" t="s">
        <v>14</v>
      </c>
      <c r="F3798" t="s">
        <v>11</v>
      </c>
      <c r="G3798" t="s">
        <v>13</v>
      </c>
      <c r="H3798" t="s">
        <v>13</v>
      </c>
    </row>
    <row r="3799" spans="1:8" x14ac:dyDescent="0.3">
      <c r="A3799" t="s">
        <v>1279</v>
      </c>
      <c r="B3799">
        <v>38</v>
      </c>
      <c r="C3799" t="s">
        <v>1412</v>
      </c>
      <c r="D3799" t="s">
        <v>1018</v>
      </c>
      <c r="E3799" t="s">
        <v>31</v>
      </c>
      <c r="F3799" t="s">
        <v>1000</v>
      </c>
      <c r="G3799" t="s">
        <v>13</v>
      </c>
      <c r="H3799" t="s">
        <v>13</v>
      </c>
    </row>
    <row r="3800" spans="1:8" x14ac:dyDescent="0.3">
      <c r="A3800" t="s">
        <v>1279</v>
      </c>
      <c r="B3800">
        <v>38</v>
      </c>
      <c r="C3800" t="s">
        <v>1412</v>
      </c>
      <c r="D3800" t="s">
        <v>1018</v>
      </c>
      <c r="E3800" t="s">
        <v>36</v>
      </c>
      <c r="F3800" t="s">
        <v>33</v>
      </c>
      <c r="G3800" t="s">
        <v>13</v>
      </c>
      <c r="H3800" t="s">
        <v>13</v>
      </c>
    </row>
    <row r="3801" spans="1:8" x14ac:dyDescent="0.3">
      <c r="A3801" t="s">
        <v>1279</v>
      </c>
      <c r="B3801">
        <v>38</v>
      </c>
      <c r="C3801" t="s">
        <v>1412</v>
      </c>
      <c r="D3801" t="s">
        <v>1018</v>
      </c>
      <c r="E3801" t="s">
        <v>23</v>
      </c>
      <c r="F3801" t="s">
        <v>606</v>
      </c>
      <c r="G3801" t="s">
        <v>13</v>
      </c>
      <c r="H380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731F-52CF-4C0F-A864-4DC891B1AD55}">
  <dimension ref="A1:N3801"/>
  <sheetViews>
    <sheetView tabSelected="1" zoomScale="84" workbookViewId="0">
      <selection activeCell="F2" sqref="F2"/>
    </sheetView>
  </sheetViews>
  <sheetFormatPr defaultRowHeight="14.4" x14ac:dyDescent="0.3"/>
  <cols>
    <col min="1" max="1" width="10.21875" customWidth="1"/>
    <col min="2" max="2" width="12.5546875" customWidth="1"/>
    <col min="3" max="3" width="14.88671875" bestFit="1" customWidth="1"/>
    <col min="4" max="4" width="19.44140625" bestFit="1" customWidth="1"/>
    <col min="5" max="5" width="13.44140625" customWidth="1"/>
    <col min="6" max="7" width="23.5546875" bestFit="1" customWidth="1"/>
    <col min="8" max="8" width="11.21875" customWidth="1"/>
    <col min="9" max="9" width="18.33203125" customWidth="1"/>
    <col min="10" max="10" width="18" customWidth="1"/>
    <col min="11" max="11" width="13.21875" customWidth="1"/>
    <col min="12" max="12" width="23.5546875" bestFit="1" customWidth="1"/>
    <col min="13" max="13" width="15.88671875" customWidth="1"/>
  </cols>
  <sheetData>
    <row r="1" spans="1:14" x14ac:dyDescent="0.3">
      <c r="A1" t="s">
        <v>1415</v>
      </c>
      <c r="B1" t="s">
        <v>1416</v>
      </c>
      <c r="C1" t="s">
        <v>1417</v>
      </c>
      <c r="D1" t="s">
        <v>1423</v>
      </c>
      <c r="E1" t="s">
        <v>1418</v>
      </c>
      <c r="F1" t="s">
        <v>1413</v>
      </c>
      <c r="G1" t="s">
        <v>1419</v>
      </c>
      <c r="H1" t="s">
        <v>6</v>
      </c>
      <c r="I1" t="s">
        <v>1424</v>
      </c>
      <c r="J1" t="s">
        <v>1421</v>
      </c>
      <c r="K1" t="s">
        <v>1422</v>
      </c>
      <c r="L1" t="s">
        <v>1420</v>
      </c>
      <c r="M1" t="s">
        <v>1414</v>
      </c>
    </row>
    <row r="2" spans="1:14" x14ac:dyDescent="0.3">
      <c r="A2" t="s">
        <v>8</v>
      </c>
      <c r="B2">
        <v>1</v>
      </c>
      <c r="C2" t="s">
        <v>9</v>
      </c>
      <c r="D2" t="str">
        <f t="shared" ref="D2:D65" si="0">RIGHT(C2,10)</f>
        <v>17.08.2013</v>
      </c>
      <c r="E2" s="1">
        <v>0.79166666666666663</v>
      </c>
      <c r="F2" t="s">
        <v>10</v>
      </c>
      <c r="G2" t="s">
        <v>11</v>
      </c>
      <c r="H2" t="s">
        <v>12</v>
      </c>
      <c r="I2" t="str">
        <f t="shared" ref="I2:I65" si="1">IF(ISNUMBER(SEARCH("-",H2)),H2,"")</f>
        <v>2-0</v>
      </c>
      <c r="J2" t="str">
        <f t="shared" ref="J2:J65" si="2">IF(I2="","",LEFT(I2,FIND("-",I2)-1))</f>
        <v>2</v>
      </c>
      <c r="K2" t="str">
        <f t="shared" ref="K2:K65" si="3">IF(I2="","",RIGHT(I2,LEN(I2)-FIND("-",I2)))</f>
        <v>0</v>
      </c>
      <c r="L2" t="str">
        <f t="shared" ref="L2:L65" si="4">IF(I2="","",IF(J2&gt;K2,F2,IF(K2&gt;J2,G2,"Draw")))</f>
        <v>Real Sociedad</v>
      </c>
      <c r="M2" s="5" t="str">
        <f>IF(COUNTIF($A$2:A2,A2)=1,
     VLOOKUP(A2,Season_Winners!A:B,2,FALSE),
     "")</f>
        <v>Atlético de Madrid</v>
      </c>
    </row>
    <row r="3" spans="1:14" hidden="1" x14ac:dyDescent="0.3">
      <c r="A3" t="s">
        <v>8</v>
      </c>
      <c r="B3">
        <v>1</v>
      </c>
      <c r="C3" t="s">
        <v>9</v>
      </c>
      <c r="D3" t="str">
        <f t="shared" si="0"/>
        <v>17.08.2013</v>
      </c>
      <c r="E3" s="1">
        <v>0.875</v>
      </c>
      <c r="F3" t="s">
        <v>14</v>
      </c>
      <c r="G3" t="s">
        <v>15</v>
      </c>
      <c r="H3" s="2">
        <v>46054</v>
      </c>
      <c r="I3" s="3" t="str">
        <f t="shared" si="1"/>
        <v/>
      </c>
      <c r="J3" t="str">
        <f t="shared" si="2"/>
        <v/>
      </c>
      <c r="K3" t="str">
        <f t="shared" si="3"/>
        <v/>
      </c>
      <c r="L3" t="str">
        <f t="shared" si="4"/>
        <v/>
      </c>
      <c r="M3" t="str">
        <f>IF(COUNTIF($A$2:A3,A3)=1,
     VLOOKUP(A3,Season_Winners!A:B,2,FALSE),
     "")</f>
        <v/>
      </c>
      <c r="N3" s="2"/>
    </row>
    <row r="4" spans="1:14" x14ac:dyDescent="0.3">
      <c r="A4" t="s">
        <v>8</v>
      </c>
      <c r="B4">
        <v>1</v>
      </c>
      <c r="C4" t="s">
        <v>9</v>
      </c>
      <c r="D4" t="str">
        <f t="shared" si="0"/>
        <v>17.08.2013</v>
      </c>
      <c r="E4" s="1">
        <v>0.95833333333333337</v>
      </c>
      <c r="F4" t="s">
        <v>16</v>
      </c>
      <c r="G4" t="s">
        <v>17</v>
      </c>
      <c r="H4" t="s">
        <v>18</v>
      </c>
      <c r="I4" t="str">
        <f t="shared" si="1"/>
        <v>1-0</v>
      </c>
      <c r="J4" t="str">
        <f t="shared" si="2"/>
        <v>1</v>
      </c>
      <c r="K4" t="str">
        <f t="shared" si="3"/>
        <v>0</v>
      </c>
      <c r="L4" t="str">
        <f t="shared" si="4"/>
        <v>Valencia CF</v>
      </c>
      <c r="M4" t="str">
        <f>IF(COUNTIF($A$2:A4,A4)=1,
     VLOOKUP(A4,Season_Winners!A:B,2,FALSE),
     "")</f>
        <v/>
      </c>
    </row>
    <row r="5" spans="1:14" x14ac:dyDescent="0.3">
      <c r="A5" t="s">
        <v>8</v>
      </c>
      <c r="B5">
        <v>1</v>
      </c>
      <c r="C5" t="s">
        <v>19</v>
      </c>
      <c r="D5" t="str">
        <f t="shared" si="0"/>
        <v>18.08.2013</v>
      </c>
      <c r="E5" s="1">
        <v>0.79166666666666663</v>
      </c>
      <c r="F5" t="s">
        <v>20</v>
      </c>
      <c r="G5" t="s">
        <v>21</v>
      </c>
      <c r="H5" t="s">
        <v>22</v>
      </c>
      <c r="I5" t="str">
        <f t="shared" si="1"/>
        <v>7-0</v>
      </c>
      <c r="J5" t="str">
        <f t="shared" si="2"/>
        <v>7</v>
      </c>
      <c r="K5" t="str">
        <f t="shared" si="3"/>
        <v>0</v>
      </c>
      <c r="L5" t="str">
        <f t="shared" si="4"/>
        <v>FC Barcelona</v>
      </c>
      <c r="M5" t="str">
        <f>IF(COUNTIF($A$2:A5,A5)=1,
     VLOOKUP(A5,Season_Winners!A:B,2,FALSE),
     "")</f>
        <v/>
      </c>
    </row>
    <row r="6" spans="1:14" hidden="1" x14ac:dyDescent="0.3">
      <c r="A6" t="s">
        <v>8</v>
      </c>
      <c r="B6">
        <v>1</v>
      </c>
      <c r="C6" t="s">
        <v>19</v>
      </c>
      <c r="D6" t="str">
        <f t="shared" si="0"/>
        <v>18.08.2013</v>
      </c>
      <c r="E6" s="1">
        <v>0.875</v>
      </c>
      <c r="F6" t="s">
        <v>23</v>
      </c>
      <c r="G6" t="s">
        <v>24</v>
      </c>
      <c r="H6" s="2">
        <v>46054</v>
      </c>
      <c r="I6" s="3" t="str">
        <f t="shared" si="1"/>
        <v/>
      </c>
      <c r="J6" t="str">
        <f t="shared" si="2"/>
        <v/>
      </c>
      <c r="K6" t="str">
        <f t="shared" si="3"/>
        <v/>
      </c>
      <c r="L6" t="str">
        <f t="shared" si="4"/>
        <v/>
      </c>
      <c r="M6" t="str">
        <f>IF(COUNTIF($A$2:A6,A6)=1,
     VLOOKUP(A6,Season_Winners!A:B,2,FALSE),
     "")</f>
        <v/>
      </c>
      <c r="N6" s="2"/>
    </row>
    <row r="7" spans="1:14" hidden="1" x14ac:dyDescent="0.3">
      <c r="A7" t="s">
        <v>8</v>
      </c>
      <c r="B7">
        <v>1</v>
      </c>
      <c r="C7" t="s">
        <v>19</v>
      </c>
      <c r="D7" t="str">
        <f t="shared" si="0"/>
        <v>18.08.2013</v>
      </c>
      <c r="E7" s="1">
        <v>0.875</v>
      </c>
      <c r="F7" t="s">
        <v>25</v>
      </c>
      <c r="G7" t="s">
        <v>26</v>
      </c>
      <c r="H7" s="2">
        <v>46024</v>
      </c>
      <c r="I7" s="3" t="str">
        <f t="shared" si="1"/>
        <v/>
      </c>
      <c r="J7" t="str">
        <f t="shared" si="2"/>
        <v/>
      </c>
      <c r="K7" t="str">
        <f t="shared" si="3"/>
        <v/>
      </c>
      <c r="L7" t="str">
        <f t="shared" si="4"/>
        <v/>
      </c>
      <c r="M7" t="str">
        <f>IF(COUNTIF($A$2:A7,A7)=1,
     VLOOKUP(A7,Season_Winners!A:B,2,FALSE),
     "")</f>
        <v/>
      </c>
      <c r="N7" s="2"/>
    </row>
    <row r="8" spans="1:14" hidden="1" x14ac:dyDescent="0.3">
      <c r="A8" t="s">
        <v>8</v>
      </c>
      <c r="B8">
        <v>1</v>
      </c>
      <c r="C8" t="s">
        <v>19</v>
      </c>
      <c r="D8" t="str">
        <f t="shared" si="0"/>
        <v>18.08.2013</v>
      </c>
      <c r="E8" s="1">
        <v>0.95833333333333337</v>
      </c>
      <c r="F8" t="s">
        <v>27</v>
      </c>
      <c r="G8" t="s">
        <v>28</v>
      </c>
      <c r="H8" s="2">
        <v>46082</v>
      </c>
      <c r="I8" s="3" t="str">
        <f t="shared" si="1"/>
        <v/>
      </c>
      <c r="J8" t="str">
        <f t="shared" si="2"/>
        <v/>
      </c>
      <c r="K8" t="str">
        <f t="shared" si="3"/>
        <v/>
      </c>
      <c r="L8" t="str">
        <f t="shared" si="4"/>
        <v/>
      </c>
      <c r="M8" t="str">
        <f>IF(COUNTIF($A$2:A8,A8)=1,
     VLOOKUP(A8,Season_Winners!A:B,2,FALSE),
     "")</f>
        <v/>
      </c>
      <c r="N8" s="2"/>
    </row>
    <row r="9" spans="1:14" x14ac:dyDescent="0.3">
      <c r="A9" t="s">
        <v>8</v>
      </c>
      <c r="B9">
        <v>1</v>
      </c>
      <c r="C9" t="s">
        <v>29</v>
      </c>
      <c r="D9" t="str">
        <f t="shared" si="0"/>
        <v>19.08.2013</v>
      </c>
      <c r="E9" s="1">
        <v>0.83333333333333337</v>
      </c>
      <c r="F9" t="s">
        <v>30</v>
      </c>
      <c r="G9" t="s">
        <v>31</v>
      </c>
      <c r="H9" t="s">
        <v>32</v>
      </c>
      <c r="I9" t="str">
        <f t="shared" si="1"/>
        <v>3-0</v>
      </c>
      <c r="J9" t="str">
        <f t="shared" si="2"/>
        <v>3</v>
      </c>
      <c r="K9" t="str">
        <f t="shared" si="3"/>
        <v>0</v>
      </c>
      <c r="L9" t="str">
        <f t="shared" si="4"/>
        <v>Rayo Vallecano</v>
      </c>
      <c r="M9" t="str">
        <f>IF(COUNTIF($A$2:A9,A9)=1,
     VLOOKUP(A9,Season_Winners!A:B,2,FALSE),
     "")</f>
        <v/>
      </c>
    </row>
    <row r="10" spans="1:14" hidden="1" x14ac:dyDescent="0.3">
      <c r="A10" t="s">
        <v>8</v>
      </c>
      <c r="B10">
        <v>1</v>
      </c>
      <c r="C10" t="s">
        <v>29</v>
      </c>
      <c r="D10" t="str">
        <f t="shared" si="0"/>
        <v>19.08.2013</v>
      </c>
      <c r="E10" s="1">
        <v>0.91666666666666663</v>
      </c>
      <c r="F10" t="s">
        <v>33</v>
      </c>
      <c r="G10" t="s">
        <v>34</v>
      </c>
      <c r="H10" s="2">
        <v>46083</v>
      </c>
      <c r="I10" s="3" t="str">
        <f t="shared" si="1"/>
        <v/>
      </c>
      <c r="J10" t="str">
        <f t="shared" si="2"/>
        <v/>
      </c>
      <c r="K10" t="str">
        <f t="shared" si="3"/>
        <v/>
      </c>
      <c r="L10" t="str">
        <f t="shared" si="4"/>
        <v/>
      </c>
      <c r="M10" t="str">
        <f>IF(COUNTIF($A$2:A10,A10)=1,
     VLOOKUP(A10,Season_Winners!A:B,2,FALSE),
     "")</f>
        <v/>
      </c>
      <c r="N10" s="2"/>
    </row>
    <row r="11" spans="1:14" hidden="1" x14ac:dyDescent="0.3">
      <c r="A11" t="s">
        <v>8</v>
      </c>
      <c r="B11">
        <v>1</v>
      </c>
      <c r="C11" t="s">
        <v>29</v>
      </c>
      <c r="D11" t="str">
        <f t="shared" si="0"/>
        <v>19.08.2013</v>
      </c>
      <c r="E11" s="1">
        <v>0.91666666666666663</v>
      </c>
      <c r="F11" t="s">
        <v>35</v>
      </c>
      <c r="G11" t="s">
        <v>36</v>
      </c>
      <c r="H11" s="2">
        <v>46055</v>
      </c>
      <c r="I11" s="3" t="str">
        <f t="shared" si="1"/>
        <v/>
      </c>
      <c r="J11" t="str">
        <f t="shared" si="2"/>
        <v/>
      </c>
      <c r="K11" t="str">
        <f t="shared" si="3"/>
        <v/>
      </c>
      <c r="L11" t="str">
        <f t="shared" si="4"/>
        <v/>
      </c>
      <c r="M11" t="str">
        <f>IF(COUNTIF($A$2:A11,A11)=1,
     VLOOKUP(A11,Season_Winners!A:B,2,FALSE),
     "")</f>
        <v/>
      </c>
      <c r="N11" s="2"/>
    </row>
    <row r="12" spans="1:14" hidden="1" x14ac:dyDescent="0.3">
      <c r="A12" t="s">
        <v>8</v>
      </c>
      <c r="B12">
        <v>2</v>
      </c>
      <c r="C12" t="s">
        <v>37</v>
      </c>
      <c r="D12" t="str">
        <f t="shared" si="0"/>
        <v>23.08.2013</v>
      </c>
      <c r="E12" s="1">
        <v>0.83333333333333337</v>
      </c>
      <c r="F12" t="s">
        <v>11</v>
      </c>
      <c r="G12" t="s">
        <v>33</v>
      </c>
      <c r="H12" s="2">
        <v>46055</v>
      </c>
      <c r="I12" s="3" t="str">
        <f t="shared" si="1"/>
        <v/>
      </c>
      <c r="J12" t="str">
        <f t="shared" si="2"/>
        <v/>
      </c>
      <c r="K12" t="str">
        <f t="shared" si="3"/>
        <v/>
      </c>
      <c r="L12" t="str">
        <f t="shared" si="4"/>
        <v/>
      </c>
      <c r="M12" t="str">
        <f>IF(COUNTIF($A$2:A12,A12)=1,
     VLOOKUP(A12,Season_Winners!A:B,2,FALSE),
     "")</f>
        <v/>
      </c>
      <c r="N12" s="2"/>
    </row>
    <row r="13" spans="1:14" x14ac:dyDescent="0.3">
      <c r="A13" t="s">
        <v>8</v>
      </c>
      <c r="B13">
        <v>2</v>
      </c>
      <c r="C13" t="s">
        <v>37</v>
      </c>
      <c r="D13" t="str">
        <f t="shared" si="0"/>
        <v>23.08.2013</v>
      </c>
      <c r="E13" s="1">
        <v>0.91666666666666663</v>
      </c>
      <c r="F13" t="s">
        <v>15</v>
      </c>
      <c r="G13" t="s">
        <v>23</v>
      </c>
      <c r="H13" t="s">
        <v>12</v>
      </c>
      <c r="I13" t="str">
        <f t="shared" si="1"/>
        <v>2-0</v>
      </c>
      <c r="J13" t="str">
        <f t="shared" si="2"/>
        <v>2</v>
      </c>
      <c r="K13" t="str">
        <f t="shared" si="3"/>
        <v>0</v>
      </c>
      <c r="L13" t="str">
        <f t="shared" si="4"/>
        <v>Athletic Club</v>
      </c>
      <c r="M13" t="str">
        <f>IF(COUNTIF($A$2:A13,A13)=1,
     VLOOKUP(A13,Season_Winners!A:B,2,FALSE),
     "")</f>
        <v/>
      </c>
    </row>
    <row r="14" spans="1:14" hidden="1" x14ac:dyDescent="0.3">
      <c r="A14" t="s">
        <v>8</v>
      </c>
      <c r="B14">
        <v>2</v>
      </c>
      <c r="C14" t="s">
        <v>38</v>
      </c>
      <c r="D14" t="str">
        <f t="shared" si="0"/>
        <v>24.08.2013</v>
      </c>
      <c r="E14" s="1">
        <v>0.79166666666666663</v>
      </c>
      <c r="F14" t="s">
        <v>31</v>
      </c>
      <c r="G14" t="s">
        <v>10</v>
      </c>
      <c r="H14" s="2">
        <v>46023</v>
      </c>
      <c r="I14" s="3" t="str">
        <f t="shared" si="1"/>
        <v/>
      </c>
      <c r="J14" t="str">
        <f t="shared" si="2"/>
        <v/>
      </c>
      <c r="K14" t="str">
        <f t="shared" si="3"/>
        <v/>
      </c>
      <c r="L14" t="str">
        <f t="shared" si="4"/>
        <v/>
      </c>
      <c r="M14" t="str">
        <f>IF(COUNTIF($A$2:A14,A14)=1,
     VLOOKUP(A14,Season_Winners!A:B,2,FALSE),
     "")</f>
        <v/>
      </c>
      <c r="N14" s="2"/>
    </row>
    <row r="15" spans="1:14" hidden="1" x14ac:dyDescent="0.3">
      <c r="A15" t="s">
        <v>8</v>
      </c>
      <c r="B15">
        <v>2</v>
      </c>
      <c r="C15" t="s">
        <v>38</v>
      </c>
      <c r="D15" t="str">
        <f t="shared" si="0"/>
        <v>24.08.2013</v>
      </c>
      <c r="E15" s="1">
        <v>0.875</v>
      </c>
      <c r="F15" t="s">
        <v>36</v>
      </c>
      <c r="G15" t="s">
        <v>16</v>
      </c>
      <c r="H15" s="2">
        <v>46025</v>
      </c>
      <c r="I15" s="3" t="str">
        <f t="shared" si="1"/>
        <v/>
      </c>
      <c r="J15" t="str">
        <f t="shared" si="2"/>
        <v/>
      </c>
      <c r="K15" t="str">
        <f t="shared" si="3"/>
        <v/>
      </c>
      <c r="L15" t="str">
        <f t="shared" si="4"/>
        <v/>
      </c>
      <c r="M15" t="str">
        <f>IF(COUNTIF($A$2:A15,A15)=1,
     VLOOKUP(A15,Season_Winners!A:B,2,FALSE),
     "")</f>
        <v/>
      </c>
      <c r="N15" s="2"/>
    </row>
    <row r="16" spans="1:14" hidden="1" x14ac:dyDescent="0.3">
      <c r="A16" t="s">
        <v>8</v>
      </c>
      <c r="B16">
        <v>2</v>
      </c>
      <c r="C16" t="s">
        <v>38</v>
      </c>
      <c r="D16" t="str">
        <f t="shared" si="0"/>
        <v>24.08.2013</v>
      </c>
      <c r="E16" s="1">
        <v>0.95833333333333337</v>
      </c>
      <c r="F16" t="s">
        <v>34</v>
      </c>
      <c r="G16" t="s">
        <v>14</v>
      </c>
      <c r="H16" s="2">
        <v>46024</v>
      </c>
      <c r="I16" s="3" t="str">
        <f t="shared" si="1"/>
        <v/>
      </c>
      <c r="J16" t="str">
        <f t="shared" si="2"/>
        <v/>
      </c>
      <c r="K16" t="str">
        <f t="shared" si="3"/>
        <v/>
      </c>
      <c r="L16" t="str">
        <f t="shared" si="4"/>
        <v/>
      </c>
      <c r="M16" t="str">
        <f>IF(COUNTIF($A$2:A16,A16)=1,
     VLOOKUP(A16,Season_Winners!A:B,2,FALSE),
     "")</f>
        <v/>
      </c>
      <c r="N16" s="2"/>
    </row>
    <row r="17" spans="1:14" x14ac:dyDescent="0.3">
      <c r="A17" t="s">
        <v>8</v>
      </c>
      <c r="B17">
        <v>2</v>
      </c>
      <c r="C17" t="s">
        <v>39</v>
      </c>
      <c r="D17" t="str">
        <f t="shared" si="0"/>
        <v>25.08.2013</v>
      </c>
      <c r="E17" s="1">
        <v>0.79166666666666663</v>
      </c>
      <c r="F17" t="s">
        <v>1425</v>
      </c>
      <c r="G17" t="s">
        <v>30</v>
      </c>
      <c r="H17" t="s">
        <v>40</v>
      </c>
      <c r="I17" t="str">
        <f t="shared" si="1"/>
        <v>5-0</v>
      </c>
      <c r="J17" t="str">
        <f t="shared" si="2"/>
        <v>5</v>
      </c>
      <c r="K17" t="str">
        <f t="shared" si="3"/>
        <v>0</v>
      </c>
      <c r="L17" t="str">
        <f t="shared" si="4"/>
        <v>Atlético de Madrid</v>
      </c>
      <c r="M17" t="str">
        <f>IF(COUNTIF($A$2:A17,A17)=1,
     VLOOKUP(A17,Season_Winners!A:B,2,FALSE),
     "")</f>
        <v/>
      </c>
    </row>
    <row r="18" spans="1:14" x14ac:dyDescent="0.3">
      <c r="A18" t="s">
        <v>8</v>
      </c>
      <c r="B18">
        <v>2</v>
      </c>
      <c r="C18" t="s">
        <v>39</v>
      </c>
      <c r="D18" t="str">
        <f t="shared" si="0"/>
        <v>25.08.2013</v>
      </c>
      <c r="E18" s="1">
        <v>0.875</v>
      </c>
      <c r="F18" t="s">
        <v>21</v>
      </c>
      <c r="G18" t="s">
        <v>27</v>
      </c>
      <c r="H18" t="s">
        <v>41</v>
      </c>
      <c r="I18" t="str">
        <f t="shared" si="1"/>
        <v>0-0</v>
      </c>
      <c r="J18" t="str">
        <f t="shared" si="2"/>
        <v>0</v>
      </c>
      <c r="K18" t="str">
        <f t="shared" si="3"/>
        <v>0</v>
      </c>
      <c r="L18" t="str">
        <f t="shared" si="4"/>
        <v>Draw</v>
      </c>
      <c r="M18" t="str">
        <f>IF(COUNTIF($A$2:A18,A18)=1,
     VLOOKUP(A18,Season_Winners!A:B,2,FALSE),
     "")</f>
        <v/>
      </c>
    </row>
    <row r="19" spans="1:14" x14ac:dyDescent="0.3">
      <c r="A19" t="s">
        <v>8</v>
      </c>
      <c r="B19">
        <v>2</v>
      </c>
      <c r="C19" t="s">
        <v>39</v>
      </c>
      <c r="D19" t="str">
        <f t="shared" si="0"/>
        <v>25.08.2013</v>
      </c>
      <c r="E19" s="1">
        <v>0.875</v>
      </c>
      <c r="F19" t="s">
        <v>17</v>
      </c>
      <c r="G19" t="s">
        <v>20</v>
      </c>
      <c r="H19" t="s">
        <v>42</v>
      </c>
      <c r="I19" t="str">
        <f t="shared" si="1"/>
        <v>0-1</v>
      </c>
      <c r="J19" t="str">
        <f t="shared" si="2"/>
        <v>0</v>
      </c>
      <c r="K19" t="str">
        <f t="shared" si="3"/>
        <v>1</v>
      </c>
      <c r="L19" t="str">
        <f t="shared" si="4"/>
        <v>FC Barcelona</v>
      </c>
      <c r="M19" t="str">
        <f>IF(COUNTIF($A$2:A19,A19)=1,
     VLOOKUP(A19,Season_Winners!A:B,2,FALSE),
     "")</f>
        <v/>
      </c>
    </row>
    <row r="20" spans="1:14" hidden="1" x14ac:dyDescent="0.3">
      <c r="A20" t="s">
        <v>8</v>
      </c>
      <c r="B20">
        <v>2</v>
      </c>
      <c r="C20" t="s">
        <v>39</v>
      </c>
      <c r="D20" t="str">
        <f t="shared" si="0"/>
        <v>25.08.2013</v>
      </c>
      <c r="E20" s="1">
        <v>0.95833333333333337</v>
      </c>
      <c r="F20" t="s">
        <v>26</v>
      </c>
      <c r="G20" t="s">
        <v>35</v>
      </c>
      <c r="H20" s="2">
        <v>46054</v>
      </c>
      <c r="I20" s="3" t="str">
        <f t="shared" si="1"/>
        <v/>
      </c>
      <c r="J20" t="str">
        <f t="shared" si="2"/>
        <v/>
      </c>
      <c r="K20" t="str">
        <f t="shared" si="3"/>
        <v/>
      </c>
      <c r="L20" t="str">
        <f t="shared" si="4"/>
        <v/>
      </c>
      <c r="M20" t="str">
        <f>IF(COUNTIF($A$2:A20,A20)=1,
     VLOOKUP(A20,Season_Winners!A:B,2,FALSE),
     "")</f>
        <v/>
      </c>
      <c r="N20" s="2"/>
    </row>
    <row r="21" spans="1:14" x14ac:dyDescent="0.3">
      <c r="A21" t="s">
        <v>8</v>
      </c>
      <c r="B21">
        <v>2</v>
      </c>
      <c r="C21" t="s">
        <v>43</v>
      </c>
      <c r="D21" t="str">
        <f t="shared" si="0"/>
        <v>26.08.2013</v>
      </c>
      <c r="E21" s="1">
        <v>0.875</v>
      </c>
      <c r="F21" t="s">
        <v>24</v>
      </c>
      <c r="G21" t="s">
        <v>25</v>
      </c>
      <c r="H21" t="s">
        <v>42</v>
      </c>
      <c r="I21" t="str">
        <f t="shared" si="1"/>
        <v>0-1</v>
      </c>
      <c r="J21" t="str">
        <f t="shared" si="2"/>
        <v>0</v>
      </c>
      <c r="K21" t="str">
        <f t="shared" si="3"/>
        <v>1</v>
      </c>
      <c r="L21" t="str">
        <f t="shared" si="4"/>
        <v>Real Madrid</v>
      </c>
      <c r="M21" t="str">
        <f>IF(COUNTIF($A$2:A21,A21)=1,
     VLOOKUP(A21,Season_Winners!A:B,2,FALSE),
     "")</f>
        <v/>
      </c>
    </row>
    <row r="22" spans="1:14" hidden="1" x14ac:dyDescent="0.3">
      <c r="A22" t="s">
        <v>8</v>
      </c>
      <c r="B22">
        <v>3</v>
      </c>
      <c r="C22" t="s">
        <v>44</v>
      </c>
      <c r="D22" t="str">
        <f t="shared" si="0"/>
        <v>30.08.2013</v>
      </c>
      <c r="E22" s="1">
        <v>0.95833333333333337</v>
      </c>
      <c r="F22" t="s">
        <v>33</v>
      </c>
      <c r="G22" t="s">
        <v>31</v>
      </c>
      <c r="H22" s="2">
        <v>46055</v>
      </c>
      <c r="I22" s="3" t="str">
        <f t="shared" si="1"/>
        <v/>
      </c>
      <c r="J22" t="str">
        <f t="shared" si="2"/>
        <v/>
      </c>
      <c r="K22" t="str">
        <f t="shared" si="3"/>
        <v/>
      </c>
      <c r="L22" t="str">
        <f t="shared" si="4"/>
        <v/>
      </c>
      <c r="M22" t="str">
        <f>IF(COUNTIF($A$2:A22,A22)=1,
     VLOOKUP(A22,Season_Winners!A:B,2,FALSE),
     "")</f>
        <v/>
      </c>
      <c r="N22" s="2"/>
    </row>
    <row r="23" spans="1:14" hidden="1" x14ac:dyDescent="0.3">
      <c r="A23" t="s">
        <v>8</v>
      </c>
      <c r="B23">
        <v>3</v>
      </c>
      <c r="C23" t="s">
        <v>44</v>
      </c>
      <c r="D23" t="str">
        <f t="shared" si="0"/>
        <v>30.08.2013</v>
      </c>
      <c r="E23" s="1">
        <v>0.95833333333333337</v>
      </c>
      <c r="F23" t="s">
        <v>30</v>
      </c>
      <c r="G23" t="s">
        <v>21</v>
      </c>
      <c r="H23" s="2">
        <v>46054</v>
      </c>
      <c r="I23" s="3" t="str">
        <f t="shared" si="1"/>
        <v/>
      </c>
      <c r="J23" t="str">
        <f t="shared" si="2"/>
        <v/>
      </c>
      <c r="K23" t="str">
        <f t="shared" si="3"/>
        <v/>
      </c>
      <c r="L23" t="str">
        <f t="shared" si="4"/>
        <v/>
      </c>
      <c r="M23" t="str">
        <f>IF(COUNTIF($A$2:A23,A23)=1,
     VLOOKUP(A23,Season_Winners!A:B,2,FALSE),
     "")</f>
        <v/>
      </c>
      <c r="N23" s="2"/>
    </row>
    <row r="24" spans="1:14" hidden="1" x14ac:dyDescent="0.3">
      <c r="A24" t="s">
        <v>8</v>
      </c>
      <c r="B24">
        <v>3</v>
      </c>
      <c r="C24" t="s">
        <v>45</v>
      </c>
      <c r="D24" t="str">
        <f t="shared" si="0"/>
        <v>31.08.2013</v>
      </c>
      <c r="E24" s="1">
        <v>0.79166666666666663</v>
      </c>
      <c r="F24" t="s">
        <v>35</v>
      </c>
      <c r="G24" t="s">
        <v>24</v>
      </c>
      <c r="H24" s="2">
        <v>46023</v>
      </c>
      <c r="I24" s="3" t="str">
        <f t="shared" si="1"/>
        <v/>
      </c>
      <c r="J24" t="str">
        <f t="shared" si="2"/>
        <v/>
      </c>
      <c r="K24" t="str">
        <f t="shared" si="3"/>
        <v/>
      </c>
      <c r="L24" t="str">
        <f t="shared" si="4"/>
        <v/>
      </c>
      <c r="M24" t="str">
        <f>IF(COUNTIF($A$2:A24,A24)=1,
     VLOOKUP(A24,Season_Winners!A:B,2,FALSE),
     "")</f>
        <v/>
      </c>
      <c r="N24" s="2"/>
    </row>
    <row r="25" spans="1:14" x14ac:dyDescent="0.3">
      <c r="A25" t="s">
        <v>8</v>
      </c>
      <c r="B25">
        <v>3</v>
      </c>
      <c r="C25" t="s">
        <v>45</v>
      </c>
      <c r="D25" t="str">
        <f t="shared" si="0"/>
        <v>31.08.2013</v>
      </c>
      <c r="E25" s="1">
        <v>0.875</v>
      </c>
      <c r="F25" t="s">
        <v>14</v>
      </c>
      <c r="G25" t="s">
        <v>11</v>
      </c>
      <c r="H25" t="s">
        <v>18</v>
      </c>
      <c r="I25" t="str">
        <f t="shared" si="1"/>
        <v>1-0</v>
      </c>
      <c r="J25" t="str">
        <f t="shared" si="2"/>
        <v>1</v>
      </c>
      <c r="K25" t="str">
        <f t="shared" si="3"/>
        <v>0</v>
      </c>
      <c r="L25" t="str">
        <f t="shared" si="4"/>
        <v>Real Valladolid CF</v>
      </c>
      <c r="M25" t="str">
        <f>IF(COUNTIF($A$2:A25,A25)=1,
     VLOOKUP(A25,Season_Winners!A:B,2,FALSE),
     "")</f>
        <v/>
      </c>
    </row>
    <row r="26" spans="1:14" x14ac:dyDescent="0.3">
      <c r="A26" t="s">
        <v>8</v>
      </c>
      <c r="B26">
        <v>3</v>
      </c>
      <c r="C26" t="s">
        <v>45</v>
      </c>
      <c r="D26" t="str">
        <f t="shared" si="0"/>
        <v>31.08.2013</v>
      </c>
      <c r="E26" s="1">
        <v>0.95833333333333337</v>
      </c>
      <c r="F26" t="s">
        <v>23</v>
      </c>
      <c r="G26" t="s">
        <v>34</v>
      </c>
      <c r="H26" t="s">
        <v>46</v>
      </c>
      <c r="I26" t="str">
        <f t="shared" si="1"/>
        <v>0-3</v>
      </c>
      <c r="J26" t="str">
        <f t="shared" si="2"/>
        <v>0</v>
      </c>
      <c r="K26" t="str">
        <f t="shared" si="3"/>
        <v>3</v>
      </c>
      <c r="L26" t="str">
        <f t="shared" si="4"/>
        <v>Villarreal CF</v>
      </c>
      <c r="M26" t="str">
        <f>IF(COUNTIF($A$2:A26,A26)=1,
     VLOOKUP(A26,Season_Winners!A:B,2,FALSE),
     "")</f>
        <v/>
      </c>
    </row>
    <row r="27" spans="1:14" hidden="1" x14ac:dyDescent="0.3">
      <c r="A27" t="s">
        <v>8</v>
      </c>
      <c r="B27">
        <v>3</v>
      </c>
      <c r="C27" t="s">
        <v>47</v>
      </c>
      <c r="D27" t="str">
        <f t="shared" si="0"/>
        <v>01.09.2013</v>
      </c>
      <c r="E27" s="1">
        <v>0.5</v>
      </c>
      <c r="F27" t="s">
        <v>25</v>
      </c>
      <c r="G27" t="s">
        <v>15</v>
      </c>
      <c r="H27" s="2">
        <v>46025</v>
      </c>
      <c r="I27" s="3" t="str">
        <f t="shared" si="1"/>
        <v/>
      </c>
      <c r="J27" t="str">
        <f t="shared" si="2"/>
        <v/>
      </c>
      <c r="K27" t="str">
        <f t="shared" si="3"/>
        <v/>
      </c>
      <c r="L27" t="str">
        <f t="shared" si="4"/>
        <v/>
      </c>
      <c r="M27" t="str">
        <f>IF(COUNTIF($A$2:A27,A27)=1,
     VLOOKUP(A27,Season_Winners!A:B,2,FALSE),
     "")</f>
        <v/>
      </c>
      <c r="N27" s="2"/>
    </row>
    <row r="28" spans="1:14" x14ac:dyDescent="0.3">
      <c r="A28" t="s">
        <v>8</v>
      </c>
      <c r="B28">
        <v>3</v>
      </c>
      <c r="C28" t="s">
        <v>47</v>
      </c>
      <c r="D28" t="str">
        <f t="shared" si="0"/>
        <v>01.09.2013</v>
      </c>
      <c r="E28" s="1">
        <v>0.70833333333333337</v>
      </c>
      <c r="F28" t="s">
        <v>36</v>
      </c>
      <c r="G28" t="s">
        <v>26</v>
      </c>
      <c r="H28" t="s">
        <v>41</v>
      </c>
      <c r="I28" t="str">
        <f t="shared" si="1"/>
        <v>0-0</v>
      </c>
      <c r="J28" t="str">
        <f t="shared" si="2"/>
        <v>0</v>
      </c>
      <c r="K28" t="str">
        <f t="shared" si="3"/>
        <v>0</v>
      </c>
      <c r="L28" t="str">
        <f t="shared" si="4"/>
        <v>Draw</v>
      </c>
      <c r="M28" t="str">
        <f>IF(COUNTIF($A$2:A28,A28)=1,
     VLOOKUP(A28,Season_Winners!A:B,2,FALSE),
     "")</f>
        <v/>
      </c>
    </row>
    <row r="29" spans="1:14" hidden="1" x14ac:dyDescent="0.3">
      <c r="A29" t="s">
        <v>8</v>
      </c>
      <c r="B29">
        <v>3</v>
      </c>
      <c r="C29" t="s">
        <v>47</v>
      </c>
      <c r="D29" t="str">
        <f t="shared" si="0"/>
        <v>01.09.2013</v>
      </c>
      <c r="E29" s="1">
        <v>0.79166666666666663</v>
      </c>
      <c r="F29" t="s">
        <v>10</v>
      </c>
      <c r="G29" t="s">
        <v>28</v>
      </c>
      <c r="H29" s="2">
        <v>46054</v>
      </c>
      <c r="I29" s="3" t="str">
        <f t="shared" si="1"/>
        <v/>
      </c>
      <c r="J29" t="str">
        <f t="shared" si="2"/>
        <v/>
      </c>
      <c r="K29" t="str">
        <f t="shared" si="3"/>
        <v/>
      </c>
      <c r="L29" t="str">
        <f t="shared" si="4"/>
        <v/>
      </c>
      <c r="M29" t="str">
        <f>IF(COUNTIF($A$2:A29,A29)=1,
     VLOOKUP(A29,Season_Winners!A:B,2,FALSE),
     "")</f>
        <v/>
      </c>
      <c r="N29" s="2"/>
    </row>
    <row r="30" spans="1:14" hidden="1" x14ac:dyDescent="0.3">
      <c r="A30" t="s">
        <v>8</v>
      </c>
      <c r="B30">
        <v>3</v>
      </c>
      <c r="C30" t="s">
        <v>47</v>
      </c>
      <c r="D30" t="str">
        <f t="shared" si="0"/>
        <v>01.09.2013</v>
      </c>
      <c r="E30" s="1">
        <v>0.875</v>
      </c>
      <c r="F30" t="s">
        <v>27</v>
      </c>
      <c r="G30" t="s">
        <v>17</v>
      </c>
      <c r="H30" s="2">
        <v>46055</v>
      </c>
      <c r="I30" s="3" t="str">
        <f t="shared" si="1"/>
        <v/>
      </c>
      <c r="J30" t="str">
        <f t="shared" si="2"/>
        <v/>
      </c>
      <c r="K30" t="str">
        <f t="shared" si="3"/>
        <v/>
      </c>
      <c r="L30" t="str">
        <f t="shared" si="4"/>
        <v/>
      </c>
      <c r="M30" t="str">
        <f>IF(COUNTIF($A$2:A30,A30)=1,
     VLOOKUP(A30,Season_Winners!A:B,2,FALSE),
     "")</f>
        <v/>
      </c>
      <c r="N30" s="2"/>
    </row>
    <row r="31" spans="1:14" hidden="1" x14ac:dyDescent="0.3">
      <c r="A31" t="s">
        <v>8</v>
      </c>
      <c r="B31">
        <v>3</v>
      </c>
      <c r="C31" t="s">
        <v>47</v>
      </c>
      <c r="D31" t="str">
        <f t="shared" si="0"/>
        <v>01.09.2013</v>
      </c>
      <c r="E31" s="1">
        <v>0.875</v>
      </c>
      <c r="F31" t="s">
        <v>16</v>
      </c>
      <c r="G31" t="s">
        <v>20</v>
      </c>
      <c r="H31" s="2">
        <v>46083</v>
      </c>
      <c r="I31" s="3" t="str">
        <f t="shared" si="1"/>
        <v/>
      </c>
      <c r="J31" t="str">
        <f t="shared" si="2"/>
        <v/>
      </c>
      <c r="K31" t="str">
        <f t="shared" si="3"/>
        <v/>
      </c>
      <c r="L31" t="str">
        <f t="shared" si="4"/>
        <v/>
      </c>
      <c r="M31" t="str">
        <f>IF(COUNTIF($A$2:A31,A31)=1,
     VLOOKUP(A31,Season_Winners!A:B,2,FALSE),
     "")</f>
        <v/>
      </c>
      <c r="N31" s="2"/>
    </row>
    <row r="32" spans="1:14" hidden="1" x14ac:dyDescent="0.3">
      <c r="A32" t="s">
        <v>8</v>
      </c>
      <c r="B32">
        <v>4</v>
      </c>
      <c r="C32" t="s">
        <v>48</v>
      </c>
      <c r="D32" t="str">
        <f t="shared" si="0"/>
        <v>14.09.2013</v>
      </c>
      <c r="E32" s="1">
        <v>0.66666666666666663</v>
      </c>
      <c r="F32" t="s">
        <v>28</v>
      </c>
      <c r="G32" t="s">
        <v>33</v>
      </c>
      <c r="H32" s="2">
        <v>46057</v>
      </c>
      <c r="I32" s="3" t="str">
        <f t="shared" si="1"/>
        <v/>
      </c>
      <c r="J32" t="str">
        <f t="shared" si="2"/>
        <v/>
      </c>
      <c r="K32" t="str">
        <f t="shared" si="3"/>
        <v/>
      </c>
      <c r="L32" t="str">
        <f t="shared" si="4"/>
        <v/>
      </c>
      <c r="M32" t="str">
        <f>IF(COUNTIF($A$2:A32,A32)=1,
     VLOOKUP(A32,Season_Winners!A:B,2,FALSE),
     "")</f>
        <v/>
      </c>
      <c r="N32" s="2"/>
    </row>
    <row r="33" spans="1:14" x14ac:dyDescent="0.3">
      <c r="A33" t="s">
        <v>8</v>
      </c>
      <c r="B33">
        <v>4</v>
      </c>
      <c r="C33" t="s">
        <v>48</v>
      </c>
      <c r="D33" t="str">
        <f t="shared" si="0"/>
        <v>14.09.2013</v>
      </c>
      <c r="E33" s="1">
        <v>0.75</v>
      </c>
      <c r="F33" t="s">
        <v>21</v>
      </c>
      <c r="G33" t="s">
        <v>10</v>
      </c>
      <c r="H33" t="s">
        <v>41</v>
      </c>
      <c r="I33" t="str">
        <f t="shared" si="1"/>
        <v>0-0</v>
      </c>
      <c r="J33" t="str">
        <f t="shared" si="2"/>
        <v>0</v>
      </c>
      <c r="K33" t="str">
        <f t="shared" si="3"/>
        <v>0</v>
      </c>
      <c r="L33" t="str">
        <f t="shared" si="4"/>
        <v>Draw</v>
      </c>
      <c r="M33" t="str">
        <f>IF(COUNTIF($A$2:A33,A33)=1,
     VLOOKUP(A33,Season_Winners!A:B,2,FALSE),
     "")</f>
        <v/>
      </c>
    </row>
    <row r="34" spans="1:14" hidden="1" x14ac:dyDescent="0.3">
      <c r="A34" t="s">
        <v>8</v>
      </c>
      <c r="B34">
        <v>4</v>
      </c>
      <c r="C34" t="s">
        <v>48</v>
      </c>
      <c r="D34" t="str">
        <f t="shared" si="0"/>
        <v>14.09.2013</v>
      </c>
      <c r="E34" s="1">
        <v>0.83333333333333337</v>
      </c>
      <c r="F34" t="s">
        <v>20</v>
      </c>
      <c r="G34" t="s">
        <v>27</v>
      </c>
      <c r="H34" s="2">
        <v>46056</v>
      </c>
      <c r="I34" s="3" t="str">
        <f t="shared" si="1"/>
        <v/>
      </c>
      <c r="J34" t="str">
        <f t="shared" si="2"/>
        <v/>
      </c>
      <c r="K34" t="str">
        <f t="shared" si="3"/>
        <v/>
      </c>
      <c r="L34" t="str">
        <f t="shared" si="4"/>
        <v/>
      </c>
      <c r="M34" t="str">
        <f>IF(COUNTIF($A$2:A34,A34)=1,
     VLOOKUP(A34,Season_Winners!A:B,2,FALSE),
     "")</f>
        <v/>
      </c>
      <c r="N34" s="2"/>
    </row>
    <row r="35" spans="1:14" hidden="1" x14ac:dyDescent="0.3">
      <c r="A35" t="s">
        <v>8</v>
      </c>
      <c r="B35">
        <v>4</v>
      </c>
      <c r="C35" t="s">
        <v>48</v>
      </c>
      <c r="D35" t="str">
        <f t="shared" si="0"/>
        <v>14.09.2013</v>
      </c>
      <c r="E35" s="1">
        <v>0.91666666666666663</v>
      </c>
      <c r="F35" t="s">
        <v>34</v>
      </c>
      <c r="G35" t="s">
        <v>25</v>
      </c>
      <c r="H35" s="2">
        <v>46055</v>
      </c>
      <c r="I35" s="3" t="str">
        <f t="shared" si="1"/>
        <v/>
      </c>
      <c r="J35" t="str">
        <f t="shared" si="2"/>
        <v/>
      </c>
      <c r="K35" t="str">
        <f t="shared" si="3"/>
        <v/>
      </c>
      <c r="L35" t="str">
        <f t="shared" si="4"/>
        <v/>
      </c>
      <c r="M35" t="str">
        <f>IF(COUNTIF($A$2:A35,A35)=1,
     VLOOKUP(A35,Season_Winners!A:B,2,FALSE),
     "")</f>
        <v/>
      </c>
      <c r="N35" s="2"/>
    </row>
    <row r="36" spans="1:14" x14ac:dyDescent="0.3">
      <c r="A36" t="s">
        <v>8</v>
      </c>
      <c r="B36">
        <v>4</v>
      </c>
      <c r="C36" t="s">
        <v>49</v>
      </c>
      <c r="D36" t="str">
        <f t="shared" si="0"/>
        <v>15.09.2013</v>
      </c>
      <c r="E36" s="1">
        <v>0.5</v>
      </c>
      <c r="F36" t="s">
        <v>24</v>
      </c>
      <c r="G36" t="s">
        <v>36</v>
      </c>
      <c r="H36" t="s">
        <v>42</v>
      </c>
      <c r="I36" t="str">
        <f t="shared" si="1"/>
        <v>0-1</v>
      </c>
      <c r="J36" t="str">
        <f t="shared" si="2"/>
        <v>0</v>
      </c>
      <c r="K36" t="str">
        <f t="shared" si="3"/>
        <v>1</v>
      </c>
      <c r="L36" t="str">
        <f t="shared" si="4"/>
        <v>RCD Espanyol de Barcelona</v>
      </c>
      <c r="M36" t="str">
        <f>IF(COUNTIF($A$2:A36,A36)=1,
     VLOOKUP(A36,Season_Winners!A:B,2,FALSE),
     "")</f>
        <v/>
      </c>
    </row>
    <row r="37" spans="1:14" hidden="1" x14ac:dyDescent="0.3">
      <c r="A37" t="s">
        <v>8</v>
      </c>
      <c r="B37">
        <v>4</v>
      </c>
      <c r="C37" t="s">
        <v>49</v>
      </c>
      <c r="D37" t="str">
        <f t="shared" si="0"/>
        <v>15.09.2013</v>
      </c>
      <c r="E37" s="1">
        <v>0.70833333333333337</v>
      </c>
      <c r="F37" t="s">
        <v>11</v>
      </c>
      <c r="G37" t="s">
        <v>23</v>
      </c>
      <c r="H37" s="2">
        <v>46024</v>
      </c>
      <c r="I37" s="3" t="str">
        <f t="shared" si="1"/>
        <v/>
      </c>
      <c r="J37" t="str">
        <f t="shared" si="2"/>
        <v/>
      </c>
      <c r="K37" t="str">
        <f t="shared" si="3"/>
        <v/>
      </c>
      <c r="L37" t="str">
        <f t="shared" si="4"/>
        <v/>
      </c>
      <c r="M37" t="str">
        <f>IF(COUNTIF($A$2:A37,A37)=1,
     VLOOKUP(A37,Season_Winners!A:B,2,FALSE),
     "")</f>
        <v/>
      </c>
      <c r="N37" s="2"/>
    </row>
    <row r="38" spans="1:14" x14ac:dyDescent="0.3">
      <c r="A38" t="s">
        <v>8</v>
      </c>
      <c r="B38">
        <v>4</v>
      </c>
      <c r="C38" t="s">
        <v>49</v>
      </c>
      <c r="D38" t="str">
        <f t="shared" si="0"/>
        <v>15.09.2013</v>
      </c>
      <c r="E38" s="1">
        <v>0.79166666666666663</v>
      </c>
      <c r="F38" t="s">
        <v>17</v>
      </c>
      <c r="G38" t="s">
        <v>30</v>
      </c>
      <c r="H38" t="s">
        <v>40</v>
      </c>
      <c r="I38" t="str">
        <f t="shared" si="1"/>
        <v>5-0</v>
      </c>
      <c r="J38" t="str">
        <f t="shared" si="2"/>
        <v>5</v>
      </c>
      <c r="K38" t="str">
        <f t="shared" si="3"/>
        <v>0</v>
      </c>
      <c r="L38" t="str">
        <f t="shared" si="4"/>
        <v>MÃ¡laga CF</v>
      </c>
      <c r="M38" t="str">
        <f>IF(COUNTIF($A$2:A38,A38)=1,
     VLOOKUP(A38,Season_Winners!A:B,2,FALSE),
     "")</f>
        <v/>
      </c>
    </row>
    <row r="39" spans="1:14" hidden="1" x14ac:dyDescent="0.3">
      <c r="A39" t="s">
        <v>8</v>
      </c>
      <c r="B39">
        <v>4</v>
      </c>
      <c r="C39" t="s">
        <v>49</v>
      </c>
      <c r="D39" t="str">
        <f t="shared" si="0"/>
        <v>15.09.2013</v>
      </c>
      <c r="E39" s="1">
        <v>0.875</v>
      </c>
      <c r="F39" t="s">
        <v>26</v>
      </c>
      <c r="G39" t="s">
        <v>16</v>
      </c>
      <c r="H39" s="2">
        <v>46025</v>
      </c>
      <c r="I39" s="3" t="str">
        <f t="shared" si="1"/>
        <v/>
      </c>
      <c r="J39" t="str">
        <f t="shared" si="2"/>
        <v/>
      </c>
      <c r="K39" t="str">
        <f t="shared" si="3"/>
        <v/>
      </c>
      <c r="L39" t="str">
        <f t="shared" si="4"/>
        <v/>
      </c>
      <c r="M39" t="str">
        <f>IF(COUNTIF($A$2:A39,A39)=1,
     VLOOKUP(A39,Season_Winners!A:B,2,FALSE),
     "")</f>
        <v/>
      </c>
      <c r="N39" s="2"/>
    </row>
    <row r="40" spans="1:14" x14ac:dyDescent="0.3">
      <c r="A40" t="s">
        <v>8</v>
      </c>
      <c r="B40">
        <v>4</v>
      </c>
      <c r="C40" t="s">
        <v>50</v>
      </c>
      <c r="D40" t="str">
        <f t="shared" si="0"/>
        <v>16.09.2013</v>
      </c>
      <c r="E40" s="1">
        <v>0.83333333333333337</v>
      </c>
      <c r="F40" t="s">
        <v>31</v>
      </c>
      <c r="G40" t="s">
        <v>14</v>
      </c>
      <c r="H40" t="s">
        <v>41</v>
      </c>
      <c r="I40" t="str">
        <f t="shared" si="1"/>
        <v>0-0</v>
      </c>
      <c r="J40" t="str">
        <f t="shared" si="2"/>
        <v>0</v>
      </c>
      <c r="K40" t="str">
        <f t="shared" si="3"/>
        <v>0</v>
      </c>
      <c r="L40" t="str">
        <f t="shared" si="4"/>
        <v>Draw</v>
      </c>
      <c r="M40" t="str">
        <f>IF(COUNTIF($A$2:A40,A40)=1,
     VLOOKUP(A40,Season_Winners!A:B,2,FALSE),
     "")</f>
        <v/>
      </c>
    </row>
    <row r="41" spans="1:14" hidden="1" x14ac:dyDescent="0.3">
      <c r="A41" t="s">
        <v>8</v>
      </c>
      <c r="B41">
        <v>4</v>
      </c>
      <c r="C41" t="s">
        <v>50</v>
      </c>
      <c r="D41" t="str">
        <f t="shared" si="0"/>
        <v>16.09.2013</v>
      </c>
      <c r="E41" s="1">
        <v>0.91666666666666663</v>
      </c>
      <c r="F41" t="s">
        <v>15</v>
      </c>
      <c r="G41" t="s">
        <v>35</v>
      </c>
      <c r="H41" s="2">
        <v>46056</v>
      </c>
      <c r="I41" s="3" t="str">
        <f t="shared" si="1"/>
        <v/>
      </c>
      <c r="J41" t="str">
        <f t="shared" si="2"/>
        <v/>
      </c>
      <c r="K41" t="str">
        <f t="shared" si="3"/>
        <v/>
      </c>
      <c r="L41" t="str">
        <f t="shared" si="4"/>
        <v/>
      </c>
      <c r="M41" t="str">
        <f>IF(COUNTIF($A$2:A41,A41)=1,
     VLOOKUP(A41,Season_Winners!A:B,2,FALSE),
     "")</f>
        <v/>
      </c>
      <c r="N41" s="2"/>
    </row>
    <row r="42" spans="1:14" hidden="1" x14ac:dyDescent="0.3">
      <c r="A42" t="s">
        <v>8</v>
      </c>
      <c r="B42">
        <v>5</v>
      </c>
      <c r="C42" t="s">
        <v>51</v>
      </c>
      <c r="D42" t="str">
        <f t="shared" si="0"/>
        <v>20.09.2013</v>
      </c>
      <c r="E42" s="1">
        <v>0.875</v>
      </c>
      <c r="F42" t="s">
        <v>23</v>
      </c>
      <c r="G42" t="s">
        <v>31</v>
      </c>
      <c r="H42" s="2">
        <v>46024</v>
      </c>
      <c r="I42" s="3" t="str">
        <f t="shared" si="1"/>
        <v/>
      </c>
      <c r="J42" t="str">
        <f t="shared" si="2"/>
        <v/>
      </c>
      <c r="K42" t="str">
        <f t="shared" si="3"/>
        <v/>
      </c>
      <c r="L42" t="str">
        <f t="shared" si="4"/>
        <v/>
      </c>
      <c r="M42" t="str">
        <f>IF(COUNTIF($A$2:A42,A42)=1,
     VLOOKUP(A42,Season_Winners!A:B,2,FALSE),
     "")</f>
        <v/>
      </c>
      <c r="N42" s="2"/>
    </row>
    <row r="43" spans="1:14" x14ac:dyDescent="0.3">
      <c r="A43" t="s">
        <v>8</v>
      </c>
      <c r="B43">
        <v>5</v>
      </c>
      <c r="C43" t="s">
        <v>52</v>
      </c>
      <c r="D43" t="str">
        <f t="shared" si="0"/>
        <v>21.09.2013</v>
      </c>
      <c r="E43" s="1">
        <v>0.66666666666666663</v>
      </c>
      <c r="F43" t="s">
        <v>10</v>
      </c>
      <c r="G43" t="s">
        <v>17</v>
      </c>
      <c r="H43" t="s">
        <v>41</v>
      </c>
      <c r="I43" t="str">
        <f t="shared" si="1"/>
        <v>0-0</v>
      </c>
      <c r="J43" t="str">
        <f t="shared" si="2"/>
        <v>0</v>
      </c>
      <c r="K43" t="str">
        <f t="shared" si="3"/>
        <v>0</v>
      </c>
      <c r="L43" t="str">
        <f t="shared" si="4"/>
        <v>Draw</v>
      </c>
      <c r="M43" t="str">
        <f>IF(COUNTIF($A$2:A43,A43)=1,
     VLOOKUP(A43,Season_Winners!A:B,2,FALSE),
     "")</f>
        <v/>
      </c>
    </row>
    <row r="44" spans="1:14" hidden="1" x14ac:dyDescent="0.3">
      <c r="A44" t="s">
        <v>8</v>
      </c>
      <c r="B44">
        <v>5</v>
      </c>
      <c r="C44" t="s">
        <v>52</v>
      </c>
      <c r="D44" t="str">
        <f t="shared" si="0"/>
        <v>21.09.2013</v>
      </c>
      <c r="E44" s="1">
        <v>0.75</v>
      </c>
      <c r="F44" t="s">
        <v>33</v>
      </c>
      <c r="G44" t="s">
        <v>21</v>
      </c>
      <c r="H44" s="2">
        <v>46055</v>
      </c>
      <c r="I44" s="3" t="str">
        <f t="shared" si="1"/>
        <v/>
      </c>
      <c r="J44" t="str">
        <f t="shared" si="2"/>
        <v/>
      </c>
      <c r="K44" t="str">
        <f t="shared" si="3"/>
        <v/>
      </c>
      <c r="L44" t="str">
        <f t="shared" si="4"/>
        <v/>
      </c>
      <c r="M44" t="str">
        <f>IF(COUNTIF($A$2:A44,A44)=1,
     VLOOKUP(A44,Season_Winners!A:B,2,FALSE),
     "")</f>
        <v/>
      </c>
      <c r="N44" s="2"/>
    </row>
    <row r="45" spans="1:14" x14ac:dyDescent="0.3">
      <c r="A45" t="s">
        <v>8</v>
      </c>
      <c r="B45">
        <v>5</v>
      </c>
      <c r="C45" t="s">
        <v>52</v>
      </c>
      <c r="D45" t="str">
        <f t="shared" si="0"/>
        <v>21.09.2013</v>
      </c>
      <c r="E45" s="1">
        <v>0.83333333333333337</v>
      </c>
      <c r="F45" t="s">
        <v>30</v>
      </c>
      <c r="G45" t="s">
        <v>20</v>
      </c>
      <c r="H45" t="s">
        <v>53</v>
      </c>
      <c r="I45" t="str">
        <f t="shared" si="1"/>
        <v>0-4</v>
      </c>
      <c r="J45" t="str">
        <f t="shared" si="2"/>
        <v>0</v>
      </c>
      <c r="K45" t="str">
        <f t="shared" si="3"/>
        <v>4</v>
      </c>
      <c r="L45" t="str">
        <f t="shared" si="4"/>
        <v>FC Barcelona</v>
      </c>
      <c r="M45" t="str">
        <f>IF(COUNTIF($A$2:A45,A45)=1,
     VLOOKUP(A45,Season_Winners!A:B,2,FALSE),
     "")</f>
        <v/>
      </c>
    </row>
    <row r="46" spans="1:14" x14ac:dyDescent="0.3">
      <c r="A46" t="s">
        <v>8</v>
      </c>
      <c r="B46">
        <v>5</v>
      </c>
      <c r="C46" t="s">
        <v>52</v>
      </c>
      <c r="D46" t="str">
        <f t="shared" si="0"/>
        <v>21.09.2013</v>
      </c>
      <c r="E46" s="1">
        <v>0.91666666666666663</v>
      </c>
      <c r="F46" t="s">
        <v>14</v>
      </c>
      <c r="G46" t="s">
        <v>1425</v>
      </c>
      <c r="H46" t="s">
        <v>54</v>
      </c>
      <c r="I46" t="str">
        <f t="shared" si="1"/>
        <v>0-2</v>
      </c>
      <c r="J46" t="str">
        <f t="shared" si="2"/>
        <v>0</v>
      </c>
      <c r="K46" t="str">
        <f t="shared" si="3"/>
        <v>2</v>
      </c>
      <c r="L46" t="str">
        <f t="shared" si="4"/>
        <v>Atlético de Madrid</v>
      </c>
      <c r="M46" t="str">
        <f>IF(COUNTIF($A$2:A46,A46)=1,
     VLOOKUP(A46,Season_Winners!A:B,2,FALSE),
     "")</f>
        <v/>
      </c>
    </row>
    <row r="47" spans="1:14" x14ac:dyDescent="0.3">
      <c r="A47" t="s">
        <v>8</v>
      </c>
      <c r="B47">
        <v>5</v>
      </c>
      <c r="C47" t="s">
        <v>55</v>
      </c>
      <c r="D47" t="str">
        <f t="shared" si="0"/>
        <v>22.09.2013</v>
      </c>
      <c r="E47" s="1">
        <v>0.5</v>
      </c>
      <c r="F47" t="s">
        <v>26</v>
      </c>
      <c r="G47" t="s">
        <v>24</v>
      </c>
      <c r="H47" t="s">
        <v>41</v>
      </c>
      <c r="I47" t="str">
        <f t="shared" si="1"/>
        <v>0-0</v>
      </c>
      <c r="J47" t="str">
        <f t="shared" si="2"/>
        <v>0</v>
      </c>
      <c r="K47" t="str">
        <f t="shared" si="3"/>
        <v>0</v>
      </c>
      <c r="L47" t="str">
        <f t="shared" si="4"/>
        <v>Draw</v>
      </c>
      <c r="M47" t="str">
        <f>IF(COUNTIF($A$2:A47,A47)=1,
     VLOOKUP(A47,Season_Winners!A:B,2,FALSE),
     "")</f>
        <v/>
      </c>
    </row>
    <row r="48" spans="1:14" x14ac:dyDescent="0.3">
      <c r="A48" t="s">
        <v>8</v>
      </c>
      <c r="B48">
        <v>5</v>
      </c>
      <c r="C48" t="s">
        <v>55</v>
      </c>
      <c r="D48" t="str">
        <f t="shared" si="0"/>
        <v>22.09.2013</v>
      </c>
      <c r="E48" s="1">
        <v>0.70833333333333337</v>
      </c>
      <c r="F48" t="s">
        <v>35</v>
      </c>
      <c r="G48" t="s">
        <v>34</v>
      </c>
      <c r="H48" t="s">
        <v>41</v>
      </c>
      <c r="I48" t="str">
        <f t="shared" si="1"/>
        <v>0-0</v>
      </c>
      <c r="J48" t="str">
        <f t="shared" si="2"/>
        <v>0</v>
      </c>
      <c r="K48" t="str">
        <f t="shared" si="3"/>
        <v>0</v>
      </c>
      <c r="L48" t="str">
        <f t="shared" si="4"/>
        <v>Draw</v>
      </c>
      <c r="M48" t="str">
        <f>IF(COUNTIF($A$2:A48,A48)=1,
     VLOOKUP(A48,Season_Winners!A:B,2,FALSE),
     "")</f>
        <v/>
      </c>
    </row>
    <row r="49" spans="1:14" hidden="1" x14ac:dyDescent="0.3">
      <c r="A49" t="s">
        <v>8</v>
      </c>
      <c r="B49">
        <v>5</v>
      </c>
      <c r="C49" t="s">
        <v>55</v>
      </c>
      <c r="D49" t="str">
        <f t="shared" si="0"/>
        <v>22.09.2013</v>
      </c>
      <c r="E49" s="1">
        <v>0.79166666666666663</v>
      </c>
      <c r="F49" t="s">
        <v>25</v>
      </c>
      <c r="G49" t="s">
        <v>11</v>
      </c>
      <c r="H49" s="2">
        <v>46026</v>
      </c>
      <c r="I49" s="3" t="str">
        <f t="shared" si="1"/>
        <v/>
      </c>
      <c r="J49" t="str">
        <f t="shared" si="2"/>
        <v/>
      </c>
      <c r="K49" t="str">
        <f t="shared" si="3"/>
        <v/>
      </c>
      <c r="L49" t="str">
        <f t="shared" si="4"/>
        <v/>
      </c>
      <c r="M49" t="str">
        <f>IF(COUNTIF($A$2:A49,A49)=1,
     VLOOKUP(A49,Season_Winners!A:B,2,FALSE),
     "")</f>
        <v/>
      </c>
      <c r="N49" s="2"/>
    </row>
    <row r="50" spans="1:14" hidden="1" x14ac:dyDescent="0.3">
      <c r="A50" t="s">
        <v>8</v>
      </c>
      <c r="B50">
        <v>5</v>
      </c>
      <c r="C50" t="s">
        <v>55</v>
      </c>
      <c r="D50" t="str">
        <f t="shared" si="0"/>
        <v>22.09.2013</v>
      </c>
      <c r="E50" s="1">
        <v>0.875</v>
      </c>
      <c r="F50" t="s">
        <v>16</v>
      </c>
      <c r="G50" t="s">
        <v>27</v>
      </c>
      <c r="H50" s="2">
        <v>46025</v>
      </c>
      <c r="I50" s="3" t="str">
        <f t="shared" si="1"/>
        <v/>
      </c>
      <c r="J50" t="str">
        <f t="shared" si="2"/>
        <v/>
      </c>
      <c r="K50" t="str">
        <f t="shared" si="3"/>
        <v/>
      </c>
      <c r="L50" t="str">
        <f t="shared" si="4"/>
        <v/>
      </c>
      <c r="M50" t="str">
        <f>IF(COUNTIF($A$2:A50,A50)=1,
     VLOOKUP(A50,Season_Winners!A:B,2,FALSE),
     "")</f>
        <v/>
      </c>
      <c r="N50" s="2"/>
    </row>
    <row r="51" spans="1:14" hidden="1" x14ac:dyDescent="0.3">
      <c r="A51" t="s">
        <v>8</v>
      </c>
      <c r="B51">
        <v>5</v>
      </c>
      <c r="C51" t="s">
        <v>56</v>
      </c>
      <c r="D51" t="str">
        <f t="shared" si="0"/>
        <v>23.09.2013</v>
      </c>
      <c r="E51" s="1">
        <v>0.91666666666666663</v>
      </c>
      <c r="F51" t="s">
        <v>36</v>
      </c>
      <c r="G51" t="s">
        <v>15</v>
      </c>
      <c r="H51" s="2">
        <v>46056</v>
      </c>
      <c r="I51" s="3" t="str">
        <f t="shared" si="1"/>
        <v/>
      </c>
      <c r="J51" t="str">
        <f t="shared" si="2"/>
        <v/>
      </c>
      <c r="K51" t="str">
        <f t="shared" si="3"/>
        <v/>
      </c>
      <c r="L51" t="str">
        <f t="shared" si="4"/>
        <v/>
      </c>
      <c r="M51" t="str">
        <f>IF(COUNTIF($A$2:A51,A51)=1,
     VLOOKUP(A51,Season_Winners!A:B,2,FALSE),
     "")</f>
        <v/>
      </c>
      <c r="N51" s="2"/>
    </row>
    <row r="52" spans="1:14" hidden="1" x14ac:dyDescent="0.3">
      <c r="A52" t="s">
        <v>8</v>
      </c>
      <c r="B52">
        <v>6</v>
      </c>
      <c r="C52" t="s">
        <v>57</v>
      </c>
      <c r="D52" t="str">
        <f t="shared" si="0"/>
        <v>24.09.2013</v>
      </c>
      <c r="E52" s="1">
        <v>0.83333333333333337</v>
      </c>
      <c r="F52" t="s">
        <v>20</v>
      </c>
      <c r="G52" t="s">
        <v>10</v>
      </c>
      <c r="H52" s="2">
        <v>46026</v>
      </c>
      <c r="I52" s="3" t="str">
        <f t="shared" si="1"/>
        <v/>
      </c>
      <c r="J52" t="str">
        <f t="shared" si="2"/>
        <v/>
      </c>
      <c r="K52" t="str">
        <f t="shared" si="3"/>
        <v/>
      </c>
      <c r="L52" t="str">
        <f t="shared" si="4"/>
        <v/>
      </c>
      <c r="M52" t="str">
        <f>IF(COUNTIF($A$2:A52,A52)=1,
     VLOOKUP(A52,Season_Winners!A:B,2,FALSE),
     "")</f>
        <v/>
      </c>
      <c r="N52" s="2"/>
    </row>
    <row r="53" spans="1:14" hidden="1" x14ac:dyDescent="0.3">
      <c r="A53" t="s">
        <v>8</v>
      </c>
      <c r="B53">
        <v>6</v>
      </c>
      <c r="C53" t="s">
        <v>57</v>
      </c>
      <c r="D53" t="str">
        <f t="shared" si="0"/>
        <v>24.09.2013</v>
      </c>
      <c r="E53" s="1">
        <v>0.83333333333333337</v>
      </c>
      <c r="F53" t="s">
        <v>21</v>
      </c>
      <c r="G53" t="s">
        <v>14</v>
      </c>
      <c r="H53" s="2">
        <v>46023</v>
      </c>
      <c r="I53" s="3" t="str">
        <f t="shared" si="1"/>
        <v/>
      </c>
      <c r="J53" t="str">
        <f t="shared" si="2"/>
        <v/>
      </c>
      <c r="K53" t="str">
        <f t="shared" si="3"/>
        <v/>
      </c>
      <c r="L53" t="str">
        <f t="shared" si="4"/>
        <v/>
      </c>
      <c r="M53" t="str">
        <f>IF(COUNTIF($A$2:A53,A53)=1,
     VLOOKUP(A53,Season_Winners!A:B,2,FALSE),
     "")</f>
        <v/>
      </c>
      <c r="N53" s="2"/>
    </row>
    <row r="54" spans="1:14" hidden="1" x14ac:dyDescent="0.3">
      <c r="A54" t="s">
        <v>8</v>
      </c>
      <c r="B54">
        <v>6</v>
      </c>
      <c r="C54" t="s">
        <v>57</v>
      </c>
      <c r="D54" t="str">
        <f t="shared" si="0"/>
        <v>24.09.2013</v>
      </c>
      <c r="E54" s="1">
        <v>0.91666666666666663</v>
      </c>
      <c r="F54" t="s">
        <v>28</v>
      </c>
      <c r="G54" t="s">
        <v>23</v>
      </c>
      <c r="H54" s="2">
        <v>46024</v>
      </c>
      <c r="I54" s="3" t="str">
        <f t="shared" si="1"/>
        <v/>
      </c>
      <c r="J54" t="str">
        <f t="shared" si="2"/>
        <v/>
      </c>
      <c r="K54" t="str">
        <f t="shared" si="3"/>
        <v/>
      </c>
      <c r="L54" t="str">
        <f t="shared" si="4"/>
        <v/>
      </c>
      <c r="M54" t="str">
        <f>IF(COUNTIF($A$2:A54,A54)=1,
     VLOOKUP(A54,Season_Winners!A:B,2,FALSE),
     "")</f>
        <v/>
      </c>
      <c r="N54" s="2"/>
    </row>
    <row r="55" spans="1:14" x14ac:dyDescent="0.3">
      <c r="A55" t="s">
        <v>8</v>
      </c>
      <c r="B55">
        <v>6</v>
      </c>
      <c r="C55" t="s">
        <v>57</v>
      </c>
      <c r="D55" t="str">
        <f t="shared" si="0"/>
        <v>24.09.2013</v>
      </c>
      <c r="E55" s="1">
        <v>0.91666666666666663</v>
      </c>
      <c r="F55" t="s">
        <v>17</v>
      </c>
      <c r="G55" t="s">
        <v>33</v>
      </c>
      <c r="H55" t="s">
        <v>12</v>
      </c>
      <c r="I55" t="str">
        <f t="shared" si="1"/>
        <v>2-0</v>
      </c>
      <c r="J55" t="str">
        <f t="shared" si="2"/>
        <v>2</v>
      </c>
      <c r="K55" t="str">
        <f t="shared" si="3"/>
        <v>0</v>
      </c>
      <c r="L55" t="str">
        <f t="shared" si="4"/>
        <v>MÃ¡laga CF</v>
      </c>
      <c r="M55" t="str">
        <f>IF(COUNTIF($A$2:A55,A55)=1,
     VLOOKUP(A55,Season_Winners!A:B,2,FALSE),
     "")</f>
        <v/>
      </c>
    </row>
    <row r="56" spans="1:14" x14ac:dyDescent="0.3">
      <c r="A56" t="s">
        <v>8</v>
      </c>
      <c r="B56">
        <v>6</v>
      </c>
      <c r="C56" t="s">
        <v>58</v>
      </c>
      <c r="D56" t="str">
        <f t="shared" si="0"/>
        <v>25.09.2013</v>
      </c>
      <c r="E56" s="1">
        <v>0.83333333333333337</v>
      </c>
      <c r="F56" t="s">
        <v>24</v>
      </c>
      <c r="G56" t="s">
        <v>16</v>
      </c>
      <c r="H56" t="s">
        <v>42</v>
      </c>
      <c r="I56" t="str">
        <f t="shared" si="1"/>
        <v>0-1</v>
      </c>
      <c r="J56" t="str">
        <f t="shared" si="2"/>
        <v>0</v>
      </c>
      <c r="K56" t="str">
        <f t="shared" si="3"/>
        <v>1</v>
      </c>
      <c r="L56" t="str">
        <f t="shared" si="4"/>
        <v>Valencia CF</v>
      </c>
      <c r="M56" t="str">
        <f>IF(COUNTIF($A$2:A56,A56)=1,
     VLOOKUP(A56,Season_Winners!A:B,2,FALSE),
     "")</f>
        <v/>
      </c>
    </row>
    <row r="57" spans="1:14" hidden="1" x14ac:dyDescent="0.3">
      <c r="A57" t="s">
        <v>8</v>
      </c>
      <c r="B57">
        <v>6</v>
      </c>
      <c r="C57" t="s">
        <v>58</v>
      </c>
      <c r="D57" t="str">
        <f t="shared" si="0"/>
        <v>25.09.2013</v>
      </c>
      <c r="E57" s="1">
        <v>0.83333333333333337</v>
      </c>
      <c r="F57" t="s">
        <v>27</v>
      </c>
      <c r="G57" t="s">
        <v>30</v>
      </c>
      <c r="H57" s="2">
        <v>46026</v>
      </c>
      <c r="I57" s="3" t="str">
        <f t="shared" si="1"/>
        <v/>
      </c>
      <c r="J57" t="str">
        <f t="shared" si="2"/>
        <v/>
      </c>
      <c r="K57" t="str">
        <f t="shared" si="3"/>
        <v/>
      </c>
      <c r="L57" t="str">
        <f t="shared" si="4"/>
        <v/>
      </c>
      <c r="M57" t="str">
        <f>IF(COUNTIF($A$2:A57,A57)=1,
     VLOOKUP(A57,Season_Winners!A:B,2,FALSE),
     "")</f>
        <v/>
      </c>
      <c r="N57" s="2"/>
    </row>
    <row r="58" spans="1:14" hidden="1" x14ac:dyDescent="0.3">
      <c r="A58" t="s">
        <v>8</v>
      </c>
      <c r="B58">
        <v>6</v>
      </c>
      <c r="C58" t="s">
        <v>58</v>
      </c>
      <c r="D58" t="str">
        <f t="shared" si="0"/>
        <v>25.09.2013</v>
      </c>
      <c r="E58" s="1">
        <v>0.91666666666666663</v>
      </c>
      <c r="F58" t="s">
        <v>31</v>
      </c>
      <c r="G58" t="s">
        <v>25</v>
      </c>
      <c r="H58" s="2">
        <v>46054</v>
      </c>
      <c r="I58" s="3" t="str">
        <f t="shared" si="1"/>
        <v/>
      </c>
      <c r="J58" t="str">
        <f t="shared" si="2"/>
        <v/>
      </c>
      <c r="K58" t="str">
        <f t="shared" si="3"/>
        <v/>
      </c>
      <c r="L58" t="str">
        <f t="shared" si="4"/>
        <v/>
      </c>
      <c r="M58" t="str">
        <f>IF(COUNTIF($A$2:A58,A58)=1,
     VLOOKUP(A58,Season_Winners!A:B,2,FALSE),
     "")</f>
        <v/>
      </c>
      <c r="N58" s="2"/>
    </row>
    <row r="59" spans="1:14" hidden="1" x14ac:dyDescent="0.3">
      <c r="A59" t="s">
        <v>8</v>
      </c>
      <c r="B59">
        <v>6</v>
      </c>
      <c r="C59" t="s">
        <v>59</v>
      </c>
      <c r="D59" t="str">
        <f t="shared" si="0"/>
        <v>26.09.2013</v>
      </c>
      <c r="E59" s="1">
        <v>0.83333333333333337</v>
      </c>
      <c r="F59" t="s">
        <v>15</v>
      </c>
      <c r="G59" t="s">
        <v>26</v>
      </c>
      <c r="H59" s="2">
        <v>46024</v>
      </c>
      <c r="I59" s="3" t="str">
        <f t="shared" si="1"/>
        <v/>
      </c>
      <c r="J59" t="str">
        <f t="shared" si="2"/>
        <v/>
      </c>
      <c r="K59" t="str">
        <f t="shared" si="3"/>
        <v/>
      </c>
      <c r="L59" t="str">
        <f t="shared" si="4"/>
        <v/>
      </c>
      <c r="M59" t="str">
        <f>IF(COUNTIF($A$2:A59,A59)=1,
     VLOOKUP(A59,Season_Winners!A:B,2,FALSE),
     "")</f>
        <v/>
      </c>
      <c r="N59" s="2"/>
    </row>
    <row r="60" spans="1:14" x14ac:dyDescent="0.3">
      <c r="A60" t="s">
        <v>8</v>
      </c>
      <c r="B60">
        <v>6</v>
      </c>
      <c r="C60" t="s">
        <v>59</v>
      </c>
      <c r="D60" t="str">
        <f t="shared" si="0"/>
        <v>26.09.2013</v>
      </c>
      <c r="E60" s="1">
        <v>0.91666666666666663</v>
      </c>
      <c r="F60" t="s">
        <v>11</v>
      </c>
      <c r="G60" t="s">
        <v>35</v>
      </c>
      <c r="H60" t="s">
        <v>12</v>
      </c>
      <c r="I60" t="str">
        <f t="shared" si="1"/>
        <v>2-0</v>
      </c>
      <c r="J60" t="str">
        <f t="shared" si="2"/>
        <v>2</v>
      </c>
      <c r="K60" t="str">
        <f t="shared" si="3"/>
        <v>0</v>
      </c>
      <c r="L60" t="str">
        <f t="shared" si="4"/>
        <v>Getafe CF</v>
      </c>
      <c r="M60" t="str">
        <f>IF(COUNTIF($A$2:A60,A60)=1,
     VLOOKUP(A60,Season_Winners!A:B,2,FALSE),
     "")</f>
        <v/>
      </c>
    </row>
    <row r="61" spans="1:14" hidden="1" x14ac:dyDescent="0.3">
      <c r="A61" t="s">
        <v>8</v>
      </c>
      <c r="B61">
        <v>6</v>
      </c>
      <c r="C61" t="s">
        <v>59</v>
      </c>
      <c r="D61" t="str">
        <f t="shared" si="0"/>
        <v>26.09.2013</v>
      </c>
      <c r="E61" s="1">
        <v>0.91666666666666663</v>
      </c>
      <c r="F61" t="s">
        <v>34</v>
      </c>
      <c r="G61" t="s">
        <v>36</v>
      </c>
      <c r="H61" s="2">
        <v>46024</v>
      </c>
      <c r="I61" s="3" t="str">
        <f t="shared" si="1"/>
        <v/>
      </c>
      <c r="J61" t="str">
        <f t="shared" si="2"/>
        <v/>
      </c>
      <c r="K61" t="str">
        <f t="shared" si="3"/>
        <v/>
      </c>
      <c r="L61" t="str">
        <f t="shared" si="4"/>
        <v/>
      </c>
      <c r="M61" t="str">
        <f>IF(COUNTIF($A$2:A61,A61)=1,
     VLOOKUP(A61,Season_Winners!A:B,2,FALSE),
     "")</f>
        <v/>
      </c>
      <c r="N61" s="2"/>
    </row>
    <row r="62" spans="1:14" hidden="1" x14ac:dyDescent="0.3">
      <c r="A62" t="s">
        <v>8</v>
      </c>
      <c r="B62">
        <v>7</v>
      </c>
      <c r="C62" t="s">
        <v>60</v>
      </c>
      <c r="D62" t="str">
        <f t="shared" si="0"/>
        <v>27.09.2013</v>
      </c>
      <c r="E62" s="1">
        <v>0.875</v>
      </c>
      <c r="F62" t="s">
        <v>14</v>
      </c>
      <c r="G62" t="s">
        <v>17</v>
      </c>
      <c r="H62" s="2">
        <v>46055</v>
      </c>
      <c r="I62" s="3" t="str">
        <f t="shared" si="1"/>
        <v/>
      </c>
      <c r="J62" t="str">
        <f t="shared" si="2"/>
        <v/>
      </c>
      <c r="K62" t="str">
        <f t="shared" si="3"/>
        <v/>
      </c>
      <c r="L62" t="str">
        <f t="shared" si="4"/>
        <v/>
      </c>
      <c r="M62" t="str">
        <f>IF(COUNTIF($A$2:A62,A62)=1,
     VLOOKUP(A62,Season_Winners!A:B,2,FALSE),
     "")</f>
        <v/>
      </c>
      <c r="N62" s="2"/>
    </row>
    <row r="63" spans="1:14" x14ac:dyDescent="0.3">
      <c r="A63" t="s">
        <v>8</v>
      </c>
      <c r="B63">
        <v>7</v>
      </c>
      <c r="C63" t="s">
        <v>61</v>
      </c>
      <c r="D63" t="str">
        <f t="shared" si="0"/>
        <v>28.09.2013</v>
      </c>
      <c r="E63" s="1">
        <v>0.66666666666666663</v>
      </c>
      <c r="F63" t="s">
        <v>16</v>
      </c>
      <c r="G63" t="s">
        <v>30</v>
      </c>
      <c r="H63" t="s">
        <v>18</v>
      </c>
      <c r="I63" t="str">
        <f t="shared" si="1"/>
        <v>1-0</v>
      </c>
      <c r="J63" t="str">
        <f t="shared" si="2"/>
        <v>1</v>
      </c>
      <c r="K63" t="str">
        <f t="shared" si="3"/>
        <v>0</v>
      </c>
      <c r="L63" t="str">
        <f t="shared" si="4"/>
        <v>Valencia CF</v>
      </c>
      <c r="M63" t="str">
        <f>IF(COUNTIF($A$2:A63,A63)=1,
     VLOOKUP(A63,Season_Winners!A:B,2,FALSE),
     "")</f>
        <v/>
      </c>
    </row>
    <row r="64" spans="1:14" x14ac:dyDescent="0.3">
      <c r="A64" t="s">
        <v>8</v>
      </c>
      <c r="B64">
        <v>7</v>
      </c>
      <c r="C64" t="s">
        <v>61</v>
      </c>
      <c r="D64" t="str">
        <f t="shared" si="0"/>
        <v>28.09.2013</v>
      </c>
      <c r="E64" s="1">
        <v>0.75</v>
      </c>
      <c r="F64" t="s">
        <v>33</v>
      </c>
      <c r="G64" t="s">
        <v>20</v>
      </c>
      <c r="H64" t="s">
        <v>54</v>
      </c>
      <c r="I64" t="str">
        <f t="shared" si="1"/>
        <v>0-2</v>
      </c>
      <c r="J64" t="str">
        <f t="shared" si="2"/>
        <v>0</v>
      </c>
      <c r="K64" t="str">
        <f t="shared" si="3"/>
        <v>2</v>
      </c>
      <c r="L64" t="str">
        <f t="shared" si="4"/>
        <v>FC Barcelona</v>
      </c>
      <c r="M64" t="str">
        <f>IF(COUNTIF($A$2:A64,A64)=1,
     VLOOKUP(A64,Season_Winners!A:B,2,FALSE),
     "")</f>
        <v/>
      </c>
    </row>
    <row r="65" spans="1:14" hidden="1" x14ac:dyDescent="0.3">
      <c r="A65" t="s">
        <v>8</v>
      </c>
      <c r="B65">
        <v>7</v>
      </c>
      <c r="C65" t="s">
        <v>61</v>
      </c>
      <c r="D65" t="str">
        <f t="shared" si="0"/>
        <v>28.09.2013</v>
      </c>
      <c r="E65" s="1">
        <v>0.83333333333333337</v>
      </c>
      <c r="F65" t="s">
        <v>10</v>
      </c>
      <c r="G65" t="s">
        <v>27</v>
      </c>
      <c r="H65" s="2">
        <v>46023</v>
      </c>
      <c r="I65" s="3" t="str">
        <f t="shared" si="1"/>
        <v/>
      </c>
      <c r="J65" t="str">
        <f t="shared" si="2"/>
        <v/>
      </c>
      <c r="K65" t="str">
        <f t="shared" si="3"/>
        <v/>
      </c>
      <c r="L65" t="str">
        <f t="shared" si="4"/>
        <v/>
      </c>
      <c r="M65" t="str">
        <f>IF(COUNTIF($A$2:A65,A65)=1,
     VLOOKUP(A65,Season_Winners!A:B,2,FALSE),
     "")</f>
        <v/>
      </c>
      <c r="N65" s="2"/>
    </row>
    <row r="66" spans="1:14" x14ac:dyDescent="0.3">
      <c r="A66" t="s">
        <v>8</v>
      </c>
      <c r="B66">
        <v>7</v>
      </c>
      <c r="C66" t="s">
        <v>61</v>
      </c>
      <c r="D66" t="str">
        <f t="shared" ref="D66:D129" si="5">RIGHT(C66,10)</f>
        <v>28.09.2013</v>
      </c>
      <c r="E66" s="1">
        <v>0.91666666666666663</v>
      </c>
      <c r="F66" t="s">
        <v>25</v>
      </c>
      <c r="G66" t="s">
        <v>1425</v>
      </c>
      <c r="H66" t="s">
        <v>42</v>
      </c>
      <c r="I66" t="str">
        <f t="shared" ref="I66:I129" si="6">IF(ISNUMBER(SEARCH("-",H66)),H66,"")</f>
        <v>0-1</v>
      </c>
      <c r="J66" t="str">
        <f t="shared" ref="J66:J129" si="7">IF(I66="","",LEFT(I66,FIND("-",I66)-1))</f>
        <v>0</v>
      </c>
      <c r="K66" t="str">
        <f t="shared" ref="K66:K129" si="8">IF(I66="","",RIGHT(I66,LEN(I66)-FIND("-",I66)))</f>
        <v>1</v>
      </c>
      <c r="L66" t="str">
        <f t="shared" ref="L66:L129" si="9">IF(I66="","",IF(J66&gt;K66,F66,IF(K66&gt;J66,G66,"Draw")))</f>
        <v>Atlético de Madrid</v>
      </c>
      <c r="M66" t="str">
        <f>IF(COUNTIF($A$2:A66,A66)=1,
     VLOOKUP(A66,Season_Winners!A:B,2,FALSE),
     "")</f>
        <v/>
      </c>
    </row>
    <row r="67" spans="1:14" x14ac:dyDescent="0.3">
      <c r="A67" t="s">
        <v>8</v>
      </c>
      <c r="B67">
        <v>7</v>
      </c>
      <c r="C67" t="s">
        <v>62</v>
      </c>
      <c r="D67" t="str">
        <f t="shared" si="5"/>
        <v>29.09.2013</v>
      </c>
      <c r="E67" s="1">
        <v>0.5</v>
      </c>
      <c r="F67" t="s">
        <v>23</v>
      </c>
      <c r="G67" t="s">
        <v>21</v>
      </c>
      <c r="H67" t="s">
        <v>42</v>
      </c>
      <c r="I67" t="str">
        <f t="shared" si="6"/>
        <v>0-1</v>
      </c>
      <c r="J67" t="str">
        <f t="shared" si="7"/>
        <v>0</v>
      </c>
      <c r="K67" t="str">
        <f t="shared" si="8"/>
        <v>1</v>
      </c>
      <c r="L67" t="str">
        <f t="shared" si="9"/>
        <v>Levante UD</v>
      </c>
      <c r="M67" t="str">
        <f>IF(COUNTIF($A$2:A67,A67)=1,
     VLOOKUP(A67,Season_Winners!A:B,2,FALSE),
     "")</f>
        <v/>
      </c>
    </row>
    <row r="68" spans="1:14" x14ac:dyDescent="0.3">
      <c r="A68" t="s">
        <v>8</v>
      </c>
      <c r="B68">
        <v>7</v>
      </c>
      <c r="C68" t="s">
        <v>62</v>
      </c>
      <c r="D68" t="str">
        <f t="shared" si="5"/>
        <v>29.09.2013</v>
      </c>
      <c r="E68" s="1">
        <v>0.70833333333333337</v>
      </c>
      <c r="F68" t="s">
        <v>35</v>
      </c>
      <c r="G68" t="s">
        <v>31</v>
      </c>
      <c r="H68" t="s">
        <v>42</v>
      </c>
      <c r="I68" t="str">
        <f t="shared" si="6"/>
        <v>0-1</v>
      </c>
      <c r="J68" t="str">
        <f t="shared" si="7"/>
        <v>0</v>
      </c>
      <c r="K68" t="str">
        <f t="shared" si="8"/>
        <v>1</v>
      </c>
      <c r="L68" t="str">
        <f t="shared" si="9"/>
        <v>Elche CF</v>
      </c>
      <c r="M68" t="str">
        <f>IF(COUNTIF($A$2:A68,A68)=1,
     VLOOKUP(A68,Season_Winners!A:B,2,FALSE),
     "")</f>
        <v/>
      </c>
    </row>
    <row r="69" spans="1:14" x14ac:dyDescent="0.3">
      <c r="A69" t="s">
        <v>8</v>
      </c>
      <c r="B69">
        <v>7</v>
      </c>
      <c r="C69" t="s">
        <v>62</v>
      </c>
      <c r="D69" t="str">
        <f t="shared" si="5"/>
        <v>29.09.2013</v>
      </c>
      <c r="E69" s="1">
        <v>0.79166666666666663</v>
      </c>
      <c r="F69" t="s">
        <v>36</v>
      </c>
      <c r="G69" t="s">
        <v>11</v>
      </c>
      <c r="H69" t="s">
        <v>54</v>
      </c>
      <c r="I69" t="str">
        <f t="shared" si="6"/>
        <v>0-2</v>
      </c>
      <c r="J69" t="str">
        <f t="shared" si="7"/>
        <v>0</v>
      </c>
      <c r="K69" t="str">
        <f t="shared" si="8"/>
        <v>2</v>
      </c>
      <c r="L69" t="str">
        <f t="shared" si="9"/>
        <v>Getafe CF</v>
      </c>
      <c r="M69" t="str">
        <f>IF(COUNTIF($A$2:A69,A69)=1,
     VLOOKUP(A69,Season_Winners!A:B,2,FALSE),
     "")</f>
        <v/>
      </c>
    </row>
    <row r="70" spans="1:14" x14ac:dyDescent="0.3">
      <c r="A70" t="s">
        <v>8</v>
      </c>
      <c r="B70">
        <v>7</v>
      </c>
      <c r="C70" t="s">
        <v>62</v>
      </c>
      <c r="D70" t="str">
        <f t="shared" si="5"/>
        <v>29.09.2013</v>
      </c>
      <c r="E70" s="1">
        <v>0.875</v>
      </c>
      <c r="F70" t="s">
        <v>26</v>
      </c>
      <c r="G70" t="s">
        <v>34</v>
      </c>
      <c r="H70" t="s">
        <v>18</v>
      </c>
      <c r="I70" t="str">
        <f t="shared" si="6"/>
        <v>1-0</v>
      </c>
      <c r="J70" t="str">
        <f t="shared" si="7"/>
        <v>1</v>
      </c>
      <c r="K70" t="str">
        <f t="shared" si="8"/>
        <v>0</v>
      </c>
      <c r="L70" t="str">
        <f t="shared" si="9"/>
        <v>Real Betis</v>
      </c>
      <c r="M70" t="str">
        <f>IF(COUNTIF($A$2:A70,A70)=1,
     VLOOKUP(A70,Season_Winners!A:B,2,FALSE),
     "")</f>
        <v/>
      </c>
    </row>
    <row r="71" spans="1:14" x14ac:dyDescent="0.3">
      <c r="A71" t="s">
        <v>8</v>
      </c>
      <c r="B71">
        <v>7</v>
      </c>
      <c r="C71" t="s">
        <v>63</v>
      </c>
      <c r="D71" t="str">
        <f t="shared" si="5"/>
        <v>30.09.2013</v>
      </c>
      <c r="E71" s="1">
        <v>0.91666666666666663</v>
      </c>
      <c r="F71" t="s">
        <v>24</v>
      </c>
      <c r="G71" t="s">
        <v>15</v>
      </c>
      <c r="H71" t="s">
        <v>12</v>
      </c>
      <c r="I71" t="str">
        <f t="shared" si="6"/>
        <v>2-0</v>
      </c>
      <c r="J71" t="str">
        <f t="shared" si="7"/>
        <v>2</v>
      </c>
      <c r="K71" t="str">
        <f t="shared" si="8"/>
        <v>0</v>
      </c>
      <c r="L71" t="str">
        <f t="shared" si="9"/>
        <v>Granada CF</v>
      </c>
      <c r="M71" t="str">
        <f>IF(COUNTIF($A$2:A71,A71)=1,
     VLOOKUP(A71,Season_Winners!A:B,2,FALSE),
     "")</f>
        <v/>
      </c>
    </row>
    <row r="72" spans="1:14" x14ac:dyDescent="0.3">
      <c r="A72" t="s">
        <v>8</v>
      </c>
      <c r="B72">
        <v>8</v>
      </c>
      <c r="C72" t="s">
        <v>64</v>
      </c>
      <c r="D72" t="str">
        <f t="shared" si="5"/>
        <v>04.10.2013</v>
      </c>
      <c r="E72" s="1">
        <v>0.83333333333333337</v>
      </c>
      <c r="F72" t="s">
        <v>34</v>
      </c>
      <c r="G72" t="s">
        <v>24</v>
      </c>
      <c r="H72" t="s">
        <v>32</v>
      </c>
      <c r="I72" t="str">
        <f t="shared" si="6"/>
        <v>3-0</v>
      </c>
      <c r="J72" t="str">
        <f t="shared" si="7"/>
        <v>3</v>
      </c>
      <c r="K72" t="str">
        <f t="shared" si="8"/>
        <v>0</v>
      </c>
      <c r="L72" t="str">
        <f t="shared" si="9"/>
        <v>Villarreal CF</v>
      </c>
      <c r="M72" t="str">
        <f>IF(COUNTIF($A$2:A72,A72)=1,
     VLOOKUP(A72,Season_Winners!A:B,2,FALSE),
     "")</f>
        <v/>
      </c>
    </row>
    <row r="73" spans="1:14" x14ac:dyDescent="0.3">
      <c r="A73" t="s">
        <v>8</v>
      </c>
      <c r="B73">
        <v>8</v>
      </c>
      <c r="C73" t="s">
        <v>64</v>
      </c>
      <c r="D73" t="str">
        <f t="shared" si="5"/>
        <v>04.10.2013</v>
      </c>
      <c r="E73" s="1">
        <v>0.91666666666666663</v>
      </c>
      <c r="F73" t="s">
        <v>17</v>
      </c>
      <c r="G73" t="s">
        <v>23</v>
      </c>
      <c r="H73" t="s">
        <v>42</v>
      </c>
      <c r="I73" t="str">
        <f t="shared" si="6"/>
        <v>0-1</v>
      </c>
      <c r="J73" t="str">
        <f t="shared" si="7"/>
        <v>0</v>
      </c>
      <c r="K73" t="str">
        <f t="shared" si="8"/>
        <v>1</v>
      </c>
      <c r="L73" t="str">
        <f t="shared" si="9"/>
        <v>CA Osasuna</v>
      </c>
      <c r="M73" t="str">
        <f>IF(COUNTIF($A$2:A73,A73)=1,
     VLOOKUP(A73,Season_Winners!A:B,2,FALSE),
     "")</f>
        <v/>
      </c>
    </row>
    <row r="74" spans="1:14" hidden="1" x14ac:dyDescent="0.3">
      <c r="A74" t="s">
        <v>8</v>
      </c>
      <c r="B74">
        <v>8</v>
      </c>
      <c r="C74" t="s">
        <v>65</v>
      </c>
      <c r="D74" t="str">
        <f t="shared" si="5"/>
        <v>05.10.2013</v>
      </c>
      <c r="E74" s="1">
        <v>0.66666666666666663</v>
      </c>
      <c r="F74" t="s">
        <v>31</v>
      </c>
      <c r="G74" t="s">
        <v>36</v>
      </c>
      <c r="H74" s="2">
        <v>46024</v>
      </c>
      <c r="I74" s="3" t="str">
        <f t="shared" si="6"/>
        <v/>
      </c>
      <c r="J74" t="str">
        <f t="shared" si="7"/>
        <v/>
      </c>
      <c r="K74" t="str">
        <f t="shared" si="8"/>
        <v/>
      </c>
      <c r="L74" t="str">
        <f t="shared" si="9"/>
        <v/>
      </c>
      <c r="M74" t="str">
        <f>IF(COUNTIF($A$2:A74,A74)=1,
     VLOOKUP(A74,Season_Winners!A:B,2,FALSE),
     "")</f>
        <v/>
      </c>
      <c r="N74" s="2"/>
    </row>
    <row r="75" spans="1:14" x14ac:dyDescent="0.3">
      <c r="A75" t="s">
        <v>8</v>
      </c>
      <c r="B75">
        <v>8</v>
      </c>
      <c r="C75" t="s">
        <v>65</v>
      </c>
      <c r="D75" t="str">
        <f t="shared" si="5"/>
        <v>05.10.2013</v>
      </c>
      <c r="E75" s="1">
        <v>0.75</v>
      </c>
      <c r="F75" t="s">
        <v>30</v>
      </c>
      <c r="G75" t="s">
        <v>10</v>
      </c>
      <c r="H75" t="s">
        <v>18</v>
      </c>
      <c r="I75" t="str">
        <f t="shared" si="6"/>
        <v>1-0</v>
      </c>
      <c r="J75" t="str">
        <f t="shared" si="7"/>
        <v>1</v>
      </c>
      <c r="K75" t="str">
        <f t="shared" si="8"/>
        <v>0</v>
      </c>
      <c r="L75" t="str">
        <f t="shared" si="9"/>
        <v>Rayo Vallecano</v>
      </c>
      <c r="M75" t="str">
        <f>IF(COUNTIF($A$2:A75,A75)=1,
     VLOOKUP(A75,Season_Winners!A:B,2,FALSE),
     "")</f>
        <v/>
      </c>
    </row>
    <row r="76" spans="1:14" hidden="1" x14ac:dyDescent="0.3">
      <c r="A76" t="s">
        <v>8</v>
      </c>
      <c r="B76">
        <v>8</v>
      </c>
      <c r="C76" t="s">
        <v>65</v>
      </c>
      <c r="D76" t="str">
        <f t="shared" si="5"/>
        <v>05.10.2013</v>
      </c>
      <c r="E76" s="1">
        <v>0.83333333333333337</v>
      </c>
      <c r="F76" t="s">
        <v>21</v>
      </c>
      <c r="G76" t="s">
        <v>25</v>
      </c>
      <c r="H76" s="2">
        <v>46083</v>
      </c>
      <c r="I76" s="3" t="str">
        <f t="shared" si="6"/>
        <v/>
      </c>
      <c r="J76" t="str">
        <f t="shared" si="7"/>
        <v/>
      </c>
      <c r="K76" t="str">
        <f t="shared" si="8"/>
        <v/>
      </c>
      <c r="L76" t="str">
        <f t="shared" si="9"/>
        <v/>
      </c>
      <c r="M76" t="str">
        <f>IF(COUNTIF($A$2:A76,A76)=1,
     VLOOKUP(A76,Season_Winners!A:B,2,FALSE),
     "")</f>
        <v/>
      </c>
      <c r="N76" s="2"/>
    </row>
    <row r="77" spans="1:14" hidden="1" x14ac:dyDescent="0.3">
      <c r="A77" t="s">
        <v>8</v>
      </c>
      <c r="B77">
        <v>8</v>
      </c>
      <c r="C77" t="s">
        <v>65</v>
      </c>
      <c r="D77" t="str">
        <f t="shared" si="5"/>
        <v>05.10.2013</v>
      </c>
      <c r="E77" s="1">
        <v>0.91666666666666663</v>
      </c>
      <c r="F77" t="s">
        <v>20</v>
      </c>
      <c r="G77" t="s">
        <v>14</v>
      </c>
      <c r="H77" s="2">
        <v>46026</v>
      </c>
      <c r="I77" s="3" t="str">
        <f t="shared" si="6"/>
        <v/>
      </c>
      <c r="J77" t="str">
        <f t="shared" si="7"/>
        <v/>
      </c>
      <c r="K77" t="str">
        <f t="shared" si="8"/>
        <v/>
      </c>
      <c r="L77" t="str">
        <f t="shared" si="9"/>
        <v/>
      </c>
      <c r="M77" t="str">
        <f>IF(COUNTIF($A$2:A77,A77)=1,
     VLOOKUP(A77,Season_Winners!A:B,2,FALSE),
     "")</f>
        <v/>
      </c>
      <c r="N77" s="2"/>
    </row>
    <row r="78" spans="1:14" hidden="1" x14ac:dyDescent="0.3">
      <c r="A78" t="s">
        <v>8</v>
      </c>
      <c r="B78">
        <v>8</v>
      </c>
      <c r="C78" t="s">
        <v>66</v>
      </c>
      <c r="D78" t="str">
        <f t="shared" si="5"/>
        <v>06.10.2013</v>
      </c>
      <c r="E78" s="1">
        <v>0.5</v>
      </c>
      <c r="F78" t="s">
        <v>28</v>
      </c>
      <c r="G78" t="s">
        <v>35</v>
      </c>
      <c r="H78" s="2">
        <v>46024</v>
      </c>
      <c r="I78" s="3" t="str">
        <f t="shared" si="6"/>
        <v/>
      </c>
      <c r="J78" t="str">
        <f t="shared" si="7"/>
        <v/>
      </c>
      <c r="K78" t="str">
        <f t="shared" si="8"/>
        <v/>
      </c>
      <c r="L78" t="str">
        <f t="shared" si="9"/>
        <v/>
      </c>
      <c r="M78" t="str">
        <f>IF(COUNTIF($A$2:A78,A78)=1,
     VLOOKUP(A78,Season_Winners!A:B,2,FALSE),
     "")</f>
        <v/>
      </c>
      <c r="N78" s="2"/>
    </row>
    <row r="79" spans="1:14" hidden="1" x14ac:dyDescent="0.3">
      <c r="A79" t="s">
        <v>8</v>
      </c>
      <c r="B79">
        <v>8</v>
      </c>
      <c r="C79" t="s">
        <v>66</v>
      </c>
      <c r="D79" t="str">
        <f t="shared" si="5"/>
        <v>06.10.2013</v>
      </c>
      <c r="E79" s="1">
        <v>0.70833333333333337</v>
      </c>
      <c r="F79" t="s">
        <v>27</v>
      </c>
      <c r="G79" t="s">
        <v>33</v>
      </c>
      <c r="H79" s="2">
        <v>46024</v>
      </c>
      <c r="I79" s="3" t="str">
        <f t="shared" si="6"/>
        <v/>
      </c>
      <c r="J79" t="str">
        <f t="shared" si="7"/>
        <v/>
      </c>
      <c r="K79" t="str">
        <f t="shared" si="8"/>
        <v/>
      </c>
      <c r="L79" t="str">
        <f t="shared" si="9"/>
        <v/>
      </c>
      <c r="M79" t="str">
        <f>IF(COUNTIF($A$2:A79,A79)=1,
     VLOOKUP(A79,Season_Winners!A:B,2,FALSE),
     "")</f>
        <v/>
      </c>
      <c r="N79" s="2"/>
    </row>
    <row r="80" spans="1:14" hidden="1" x14ac:dyDescent="0.3">
      <c r="A80" t="s">
        <v>8</v>
      </c>
      <c r="B80">
        <v>8</v>
      </c>
      <c r="C80" t="s">
        <v>66</v>
      </c>
      <c r="D80" t="str">
        <f t="shared" si="5"/>
        <v>06.10.2013</v>
      </c>
      <c r="E80" s="1">
        <v>0.79166666666666663</v>
      </c>
      <c r="F80" t="s">
        <v>11</v>
      </c>
      <c r="G80" t="s">
        <v>26</v>
      </c>
      <c r="H80" s="2">
        <v>46025</v>
      </c>
      <c r="I80" s="3" t="str">
        <f t="shared" si="6"/>
        <v/>
      </c>
      <c r="J80" t="str">
        <f t="shared" si="7"/>
        <v/>
      </c>
      <c r="K80" t="str">
        <f t="shared" si="8"/>
        <v/>
      </c>
      <c r="L80" t="str">
        <f t="shared" si="9"/>
        <v/>
      </c>
      <c r="M80" t="str">
        <f>IF(COUNTIF($A$2:A80,A80)=1,
     VLOOKUP(A80,Season_Winners!A:B,2,FALSE),
     "")</f>
        <v/>
      </c>
      <c r="N80" s="2"/>
    </row>
    <row r="81" spans="1:14" hidden="1" x14ac:dyDescent="0.3">
      <c r="A81" t="s">
        <v>8</v>
      </c>
      <c r="B81">
        <v>8</v>
      </c>
      <c r="C81" t="s">
        <v>66</v>
      </c>
      <c r="D81" t="str">
        <f t="shared" si="5"/>
        <v>06.10.2013</v>
      </c>
      <c r="E81" s="1">
        <v>0.875</v>
      </c>
      <c r="F81" t="s">
        <v>15</v>
      </c>
      <c r="G81" t="s">
        <v>16</v>
      </c>
      <c r="H81" s="2">
        <v>46023</v>
      </c>
      <c r="I81" s="3" t="str">
        <f t="shared" si="6"/>
        <v/>
      </c>
      <c r="J81" t="str">
        <f t="shared" si="7"/>
        <v/>
      </c>
      <c r="K81" t="str">
        <f t="shared" si="8"/>
        <v/>
      </c>
      <c r="L81" t="str">
        <f t="shared" si="9"/>
        <v/>
      </c>
      <c r="M81" t="str">
        <f>IF(COUNTIF($A$2:A81,A81)=1,
     VLOOKUP(A81,Season_Winners!A:B,2,FALSE),
     "")</f>
        <v/>
      </c>
      <c r="N81" s="2"/>
    </row>
    <row r="82" spans="1:14" x14ac:dyDescent="0.3">
      <c r="A82" t="s">
        <v>8</v>
      </c>
      <c r="B82">
        <v>9</v>
      </c>
      <c r="C82" t="s">
        <v>67</v>
      </c>
      <c r="D82" t="str">
        <f t="shared" si="5"/>
        <v>19.10.2013</v>
      </c>
      <c r="E82" s="1">
        <v>0.66666666666666663</v>
      </c>
      <c r="F82" t="s">
        <v>25</v>
      </c>
      <c r="G82" t="s">
        <v>17</v>
      </c>
      <c r="H82" t="s">
        <v>12</v>
      </c>
      <c r="I82" t="str">
        <f t="shared" si="6"/>
        <v>2-0</v>
      </c>
      <c r="J82" t="str">
        <f t="shared" si="7"/>
        <v>2</v>
      </c>
      <c r="K82" t="str">
        <f t="shared" si="8"/>
        <v>0</v>
      </c>
      <c r="L82" t="str">
        <f t="shared" si="9"/>
        <v>Real Madrid</v>
      </c>
      <c r="M82" t="str">
        <f>IF(COUNTIF($A$2:A82,A82)=1,
     VLOOKUP(A82,Season_Winners!A:B,2,FALSE),
     "")</f>
        <v/>
      </c>
    </row>
    <row r="83" spans="1:14" hidden="1" x14ac:dyDescent="0.3">
      <c r="A83" t="s">
        <v>8</v>
      </c>
      <c r="B83">
        <v>9</v>
      </c>
      <c r="C83" t="s">
        <v>67</v>
      </c>
      <c r="D83" t="str">
        <f t="shared" si="5"/>
        <v>19.10.2013</v>
      </c>
      <c r="E83" s="1">
        <v>0.75</v>
      </c>
      <c r="F83" t="s">
        <v>16</v>
      </c>
      <c r="G83" t="s">
        <v>10</v>
      </c>
      <c r="H83" s="2">
        <v>46054</v>
      </c>
      <c r="I83" s="3" t="str">
        <f t="shared" si="6"/>
        <v/>
      </c>
      <c r="J83" t="str">
        <f t="shared" si="7"/>
        <v/>
      </c>
      <c r="K83" t="str">
        <f t="shared" si="8"/>
        <v/>
      </c>
      <c r="L83" t="str">
        <f t="shared" si="9"/>
        <v/>
      </c>
      <c r="M83" t="str">
        <f>IF(COUNTIF($A$2:A83,A83)=1,
     VLOOKUP(A83,Season_Winners!A:B,2,FALSE),
     "")</f>
        <v/>
      </c>
      <c r="N83" s="2"/>
    </row>
    <row r="84" spans="1:14" x14ac:dyDescent="0.3">
      <c r="A84" t="s">
        <v>8</v>
      </c>
      <c r="B84">
        <v>9</v>
      </c>
      <c r="C84" t="s">
        <v>67</v>
      </c>
      <c r="D84" t="str">
        <f t="shared" si="5"/>
        <v>19.10.2013</v>
      </c>
      <c r="E84" s="1">
        <v>0.83333333333333337</v>
      </c>
      <c r="F84" t="s">
        <v>23</v>
      </c>
      <c r="G84" t="s">
        <v>20</v>
      </c>
      <c r="H84" t="s">
        <v>41</v>
      </c>
      <c r="I84" t="str">
        <f t="shared" si="6"/>
        <v>0-0</v>
      </c>
      <c r="J84" t="str">
        <f t="shared" si="7"/>
        <v>0</v>
      </c>
      <c r="K84" t="str">
        <f t="shared" si="8"/>
        <v>0</v>
      </c>
      <c r="L84" t="str">
        <f t="shared" si="9"/>
        <v>Draw</v>
      </c>
      <c r="M84" t="str">
        <f>IF(COUNTIF($A$2:A84,A84)=1,
     VLOOKUP(A84,Season_Winners!A:B,2,FALSE),
     "")</f>
        <v/>
      </c>
    </row>
    <row r="85" spans="1:14" x14ac:dyDescent="0.3">
      <c r="A85" t="s">
        <v>8</v>
      </c>
      <c r="B85">
        <v>9</v>
      </c>
      <c r="C85" t="s">
        <v>67</v>
      </c>
      <c r="D85" t="str">
        <f t="shared" si="5"/>
        <v>19.10.2013</v>
      </c>
      <c r="E85" s="1">
        <v>0.91666666666666663</v>
      </c>
      <c r="F85" t="s">
        <v>36</v>
      </c>
      <c r="G85" t="s">
        <v>1425</v>
      </c>
      <c r="H85" t="s">
        <v>18</v>
      </c>
      <c r="I85" t="str">
        <f t="shared" si="6"/>
        <v>1-0</v>
      </c>
      <c r="J85" t="str">
        <f t="shared" si="7"/>
        <v>1</v>
      </c>
      <c r="K85" t="str">
        <f t="shared" si="8"/>
        <v>0</v>
      </c>
      <c r="L85" t="str">
        <f t="shared" si="9"/>
        <v>RCD Espanyol de Barcelona</v>
      </c>
      <c r="M85" t="str">
        <f>IF(COUNTIF($A$2:A85,A85)=1,
     VLOOKUP(A85,Season_Winners!A:B,2,FALSE),
     "")</f>
        <v/>
      </c>
    </row>
    <row r="86" spans="1:14" x14ac:dyDescent="0.3">
      <c r="A86" t="s">
        <v>8</v>
      </c>
      <c r="B86">
        <v>9</v>
      </c>
      <c r="C86" t="s">
        <v>68</v>
      </c>
      <c r="D86" t="str">
        <f t="shared" si="5"/>
        <v>20.10.2013</v>
      </c>
      <c r="E86" s="1">
        <v>0.5</v>
      </c>
      <c r="F86" t="s">
        <v>24</v>
      </c>
      <c r="G86" t="s">
        <v>11</v>
      </c>
      <c r="H86" t="s">
        <v>54</v>
      </c>
      <c r="I86" t="str">
        <f t="shared" si="6"/>
        <v>0-2</v>
      </c>
      <c r="J86" t="str">
        <f t="shared" si="7"/>
        <v>0</v>
      </c>
      <c r="K86" t="str">
        <f t="shared" si="8"/>
        <v>2</v>
      </c>
      <c r="L86" t="str">
        <f t="shared" si="9"/>
        <v>Getafe CF</v>
      </c>
      <c r="M86" t="str">
        <f>IF(COUNTIF($A$2:A86,A86)=1,
     VLOOKUP(A86,Season_Winners!A:B,2,FALSE),
     "")</f>
        <v/>
      </c>
    </row>
    <row r="87" spans="1:14" x14ac:dyDescent="0.3">
      <c r="A87" t="s">
        <v>8</v>
      </c>
      <c r="B87">
        <v>9</v>
      </c>
      <c r="C87" t="s">
        <v>68</v>
      </c>
      <c r="D87" t="str">
        <f t="shared" si="5"/>
        <v>20.10.2013</v>
      </c>
      <c r="E87" s="1">
        <v>0.70833333333333337</v>
      </c>
      <c r="F87" t="s">
        <v>33</v>
      </c>
      <c r="G87" t="s">
        <v>30</v>
      </c>
      <c r="H87" t="s">
        <v>42</v>
      </c>
      <c r="I87" t="str">
        <f t="shared" si="6"/>
        <v>0-1</v>
      </c>
      <c r="J87" t="str">
        <f t="shared" si="7"/>
        <v>0</v>
      </c>
      <c r="K87" t="str">
        <f t="shared" si="8"/>
        <v>1</v>
      </c>
      <c r="L87" t="str">
        <f t="shared" si="9"/>
        <v>Rayo Vallecano</v>
      </c>
      <c r="M87" t="str">
        <f>IF(COUNTIF($A$2:A87,A87)=1,
     VLOOKUP(A87,Season_Winners!A:B,2,FALSE),
     "")</f>
        <v/>
      </c>
    </row>
    <row r="88" spans="1:14" hidden="1" x14ac:dyDescent="0.3">
      <c r="A88" t="s">
        <v>8</v>
      </c>
      <c r="B88">
        <v>9</v>
      </c>
      <c r="C88" t="s">
        <v>68</v>
      </c>
      <c r="D88" t="str">
        <f t="shared" si="5"/>
        <v>20.10.2013</v>
      </c>
      <c r="E88" s="1">
        <v>0.79166666666666663</v>
      </c>
      <c r="F88" t="s">
        <v>26</v>
      </c>
      <c r="G88" t="s">
        <v>31</v>
      </c>
      <c r="H88" s="2">
        <v>46054</v>
      </c>
      <c r="I88" s="3" t="str">
        <f t="shared" si="6"/>
        <v/>
      </c>
      <c r="J88" t="str">
        <f t="shared" si="7"/>
        <v/>
      </c>
      <c r="K88" t="str">
        <f t="shared" si="8"/>
        <v/>
      </c>
      <c r="L88" t="str">
        <f t="shared" si="9"/>
        <v/>
      </c>
      <c r="M88" t="str">
        <f>IF(COUNTIF($A$2:A88,A88)=1,
     VLOOKUP(A88,Season_Winners!A:B,2,FALSE),
     "")</f>
        <v/>
      </c>
      <c r="N88" s="2"/>
    </row>
    <row r="89" spans="1:14" hidden="1" x14ac:dyDescent="0.3">
      <c r="A89" t="s">
        <v>8</v>
      </c>
      <c r="B89">
        <v>9</v>
      </c>
      <c r="C89" t="s">
        <v>68</v>
      </c>
      <c r="D89" t="str">
        <f t="shared" si="5"/>
        <v>20.10.2013</v>
      </c>
      <c r="E89" s="1">
        <v>0.875</v>
      </c>
      <c r="F89" t="s">
        <v>14</v>
      </c>
      <c r="G89" t="s">
        <v>27</v>
      </c>
      <c r="H89" s="2">
        <v>46055</v>
      </c>
      <c r="I89" s="3" t="str">
        <f t="shared" si="6"/>
        <v/>
      </c>
      <c r="J89" t="str">
        <f t="shared" si="7"/>
        <v/>
      </c>
      <c r="K89" t="str">
        <f t="shared" si="8"/>
        <v/>
      </c>
      <c r="L89" t="str">
        <f t="shared" si="9"/>
        <v/>
      </c>
      <c r="M89" t="str">
        <f>IF(COUNTIF($A$2:A89,A89)=1,
     VLOOKUP(A89,Season_Winners!A:B,2,FALSE),
     "")</f>
        <v/>
      </c>
      <c r="N89" s="2"/>
    </row>
    <row r="90" spans="1:14" x14ac:dyDescent="0.3">
      <c r="A90" t="s">
        <v>8</v>
      </c>
      <c r="B90">
        <v>9</v>
      </c>
      <c r="C90" t="s">
        <v>69</v>
      </c>
      <c r="D90" t="str">
        <f t="shared" si="5"/>
        <v>21.10.2013</v>
      </c>
      <c r="E90" s="1">
        <v>0.83333333333333337</v>
      </c>
      <c r="F90" t="s">
        <v>35</v>
      </c>
      <c r="G90" t="s">
        <v>21</v>
      </c>
      <c r="H90" t="s">
        <v>42</v>
      </c>
      <c r="I90" t="str">
        <f t="shared" si="6"/>
        <v>0-1</v>
      </c>
      <c r="J90" t="str">
        <f t="shared" si="7"/>
        <v>0</v>
      </c>
      <c r="K90" t="str">
        <f t="shared" si="8"/>
        <v>1</v>
      </c>
      <c r="L90" t="str">
        <f t="shared" si="9"/>
        <v>Levante UD</v>
      </c>
      <c r="M90" t="str">
        <f>IF(COUNTIF($A$2:A90,A90)=1,
     VLOOKUP(A90,Season_Winners!A:B,2,FALSE),
     "")</f>
        <v/>
      </c>
    </row>
    <row r="91" spans="1:14" x14ac:dyDescent="0.3">
      <c r="A91" t="s">
        <v>8</v>
      </c>
      <c r="B91">
        <v>9</v>
      </c>
      <c r="C91" t="s">
        <v>69</v>
      </c>
      <c r="D91" t="str">
        <f t="shared" si="5"/>
        <v>21.10.2013</v>
      </c>
      <c r="E91" s="1">
        <v>0.91666666666666663</v>
      </c>
      <c r="F91" t="s">
        <v>15</v>
      </c>
      <c r="G91" t="s">
        <v>34</v>
      </c>
      <c r="H91" t="s">
        <v>12</v>
      </c>
      <c r="I91" t="str">
        <f t="shared" si="6"/>
        <v>2-0</v>
      </c>
      <c r="J91" t="str">
        <f t="shared" si="7"/>
        <v>2</v>
      </c>
      <c r="K91" t="str">
        <f t="shared" si="8"/>
        <v>0</v>
      </c>
      <c r="L91" t="str">
        <f t="shared" si="9"/>
        <v>Athletic Club</v>
      </c>
      <c r="M91" t="str">
        <f>IF(COUNTIF($A$2:A91,A91)=1,
     VLOOKUP(A91,Season_Winners!A:B,2,FALSE),
     "")</f>
        <v/>
      </c>
    </row>
    <row r="92" spans="1:14" x14ac:dyDescent="0.3">
      <c r="A92" t="s">
        <v>8</v>
      </c>
      <c r="B92">
        <v>10</v>
      </c>
      <c r="C92" t="s">
        <v>70</v>
      </c>
      <c r="D92" t="str">
        <f t="shared" si="5"/>
        <v>25.10.2013</v>
      </c>
      <c r="E92" s="1">
        <v>0.875</v>
      </c>
      <c r="F92" t="s">
        <v>30</v>
      </c>
      <c r="G92" t="s">
        <v>14</v>
      </c>
      <c r="H92" t="s">
        <v>46</v>
      </c>
      <c r="I92" t="str">
        <f t="shared" si="6"/>
        <v>0-3</v>
      </c>
      <c r="J92" t="str">
        <f t="shared" si="7"/>
        <v>0</v>
      </c>
      <c r="K92" t="str">
        <f t="shared" si="8"/>
        <v>3</v>
      </c>
      <c r="L92" t="str">
        <f t="shared" si="9"/>
        <v>Real Valladolid CF</v>
      </c>
      <c r="M92" t="str">
        <f>IF(COUNTIF($A$2:A92,A92)=1,
     VLOOKUP(A92,Season_Winners!A:B,2,FALSE),
     "")</f>
        <v/>
      </c>
    </row>
    <row r="93" spans="1:14" x14ac:dyDescent="0.3">
      <c r="A93" t="s">
        <v>8</v>
      </c>
      <c r="B93">
        <v>10</v>
      </c>
      <c r="C93" t="s">
        <v>71</v>
      </c>
      <c r="D93" t="str">
        <f t="shared" si="5"/>
        <v>26.10.2013</v>
      </c>
      <c r="E93" s="1">
        <v>0.66666666666666663</v>
      </c>
      <c r="F93" t="s">
        <v>17</v>
      </c>
      <c r="G93" t="s">
        <v>35</v>
      </c>
      <c r="H93" t="s">
        <v>72</v>
      </c>
      <c r="I93" t="str">
        <f t="shared" si="6"/>
        <v>0-5</v>
      </c>
      <c r="J93" t="str">
        <f t="shared" si="7"/>
        <v>0</v>
      </c>
      <c r="K93" t="str">
        <f t="shared" si="8"/>
        <v>5</v>
      </c>
      <c r="L93" t="str">
        <f t="shared" si="9"/>
        <v>RC Celta</v>
      </c>
      <c r="M93" t="str">
        <f>IF(COUNTIF($A$2:A93,A93)=1,
     VLOOKUP(A93,Season_Winners!A:B,2,FALSE),
     "")</f>
        <v/>
      </c>
    </row>
    <row r="94" spans="1:14" hidden="1" x14ac:dyDescent="0.3">
      <c r="A94" t="s">
        <v>8</v>
      </c>
      <c r="B94">
        <v>10</v>
      </c>
      <c r="C94" t="s">
        <v>71</v>
      </c>
      <c r="D94" t="str">
        <f t="shared" si="5"/>
        <v>26.10.2013</v>
      </c>
      <c r="E94" s="1">
        <v>0.75</v>
      </c>
      <c r="F94" t="s">
        <v>20</v>
      </c>
      <c r="G94" t="s">
        <v>25</v>
      </c>
      <c r="H94" s="2">
        <v>46024</v>
      </c>
      <c r="I94" s="3" t="str">
        <f t="shared" si="6"/>
        <v/>
      </c>
      <c r="J94" t="str">
        <f t="shared" si="7"/>
        <v/>
      </c>
      <c r="K94" t="str">
        <f t="shared" si="8"/>
        <v/>
      </c>
      <c r="L94" t="str">
        <f t="shared" si="9"/>
        <v/>
      </c>
      <c r="M94" t="str">
        <f>IF(COUNTIF($A$2:A94,A94)=1,
     VLOOKUP(A94,Season_Winners!A:B,2,FALSE),
     "")</f>
        <v/>
      </c>
      <c r="N94" s="2"/>
    </row>
    <row r="95" spans="1:14" x14ac:dyDescent="0.3">
      <c r="A95" t="s">
        <v>8</v>
      </c>
      <c r="B95">
        <v>10</v>
      </c>
      <c r="C95" t="s">
        <v>71</v>
      </c>
      <c r="D95" t="str">
        <f t="shared" si="5"/>
        <v>26.10.2013</v>
      </c>
      <c r="E95" s="1">
        <v>0.83333333333333337</v>
      </c>
      <c r="F95" t="s">
        <v>31</v>
      </c>
      <c r="G95" t="s">
        <v>24</v>
      </c>
      <c r="H95" t="s">
        <v>42</v>
      </c>
      <c r="I95" t="str">
        <f t="shared" si="6"/>
        <v>0-1</v>
      </c>
      <c r="J95" t="str">
        <f t="shared" si="7"/>
        <v>0</v>
      </c>
      <c r="K95" t="str">
        <f t="shared" si="8"/>
        <v>1</v>
      </c>
      <c r="L95" t="str">
        <f t="shared" si="9"/>
        <v>Granada CF</v>
      </c>
      <c r="M95" t="str">
        <f>IF(COUNTIF($A$2:A95,A95)=1,
     VLOOKUP(A95,Season_Winners!A:B,2,FALSE),
     "")</f>
        <v/>
      </c>
    </row>
    <row r="96" spans="1:14" x14ac:dyDescent="0.3">
      <c r="A96" t="s">
        <v>8</v>
      </c>
      <c r="B96">
        <v>10</v>
      </c>
      <c r="C96" t="s">
        <v>71</v>
      </c>
      <c r="D96" t="str">
        <f t="shared" si="5"/>
        <v>26.10.2013</v>
      </c>
      <c r="E96" s="1">
        <v>0.91666666666666663</v>
      </c>
      <c r="F96" t="s">
        <v>21</v>
      </c>
      <c r="G96" t="s">
        <v>36</v>
      </c>
      <c r="H96" t="s">
        <v>32</v>
      </c>
      <c r="I96" t="str">
        <f t="shared" si="6"/>
        <v>3-0</v>
      </c>
      <c r="J96" t="str">
        <f t="shared" si="7"/>
        <v>3</v>
      </c>
      <c r="K96" t="str">
        <f t="shared" si="8"/>
        <v>0</v>
      </c>
      <c r="L96" t="str">
        <f t="shared" si="9"/>
        <v>Levante UD</v>
      </c>
      <c r="M96" t="str">
        <f>IF(COUNTIF($A$2:A96,A96)=1,
     VLOOKUP(A96,Season_Winners!A:B,2,FALSE),
     "")</f>
        <v/>
      </c>
    </row>
    <row r="97" spans="1:14" hidden="1" x14ac:dyDescent="0.3">
      <c r="A97" t="s">
        <v>8</v>
      </c>
      <c r="B97">
        <v>10</v>
      </c>
      <c r="C97" t="s">
        <v>74</v>
      </c>
      <c r="D97" t="str">
        <f t="shared" si="5"/>
        <v>27.10.2013</v>
      </c>
      <c r="E97" s="1">
        <v>0.5</v>
      </c>
      <c r="F97" t="s">
        <v>27</v>
      </c>
      <c r="G97" t="s">
        <v>23</v>
      </c>
      <c r="H97" s="2">
        <v>46024</v>
      </c>
      <c r="I97" s="3" t="str">
        <f t="shared" si="6"/>
        <v/>
      </c>
      <c r="J97" t="str">
        <f t="shared" si="7"/>
        <v/>
      </c>
      <c r="K97" t="str">
        <f t="shared" si="8"/>
        <v/>
      </c>
      <c r="L97" t="str">
        <f t="shared" si="9"/>
        <v/>
      </c>
      <c r="M97" t="str">
        <f>IF(COUNTIF($A$2:A97,A97)=1,
     VLOOKUP(A97,Season_Winners!A:B,2,FALSE),
     "")</f>
        <v/>
      </c>
      <c r="N97" s="2"/>
    </row>
    <row r="98" spans="1:14" hidden="1" x14ac:dyDescent="0.3">
      <c r="A98" t="s">
        <v>8</v>
      </c>
      <c r="B98">
        <v>10</v>
      </c>
      <c r="C98" t="s">
        <v>74</v>
      </c>
      <c r="D98" t="str">
        <f t="shared" si="5"/>
        <v>27.10.2013</v>
      </c>
      <c r="E98" s="1">
        <v>0.70833333333333337</v>
      </c>
      <c r="F98" t="s">
        <v>34</v>
      </c>
      <c r="G98" t="s">
        <v>16</v>
      </c>
      <c r="H98" s="2">
        <v>46026</v>
      </c>
      <c r="I98" s="3" t="str">
        <f t="shared" si="6"/>
        <v/>
      </c>
      <c r="J98" t="str">
        <f t="shared" si="7"/>
        <v/>
      </c>
      <c r="K98" t="str">
        <f t="shared" si="8"/>
        <v/>
      </c>
      <c r="L98" t="str">
        <f t="shared" si="9"/>
        <v/>
      </c>
      <c r="M98" t="str">
        <f>IF(COUNTIF($A$2:A98,A98)=1,
     VLOOKUP(A98,Season_Winners!A:B,2,FALSE),
     "")</f>
        <v/>
      </c>
      <c r="N98" s="2"/>
    </row>
    <row r="99" spans="1:14" x14ac:dyDescent="0.3">
      <c r="A99" t="s">
        <v>8</v>
      </c>
      <c r="B99">
        <v>10</v>
      </c>
      <c r="C99" t="s">
        <v>74</v>
      </c>
      <c r="D99" t="str">
        <f t="shared" si="5"/>
        <v>27.10.2013</v>
      </c>
      <c r="E99" s="1">
        <v>0.79166666666666663</v>
      </c>
      <c r="F99" t="s">
        <v>10</v>
      </c>
      <c r="G99" t="s">
        <v>33</v>
      </c>
      <c r="H99" t="s">
        <v>32</v>
      </c>
      <c r="I99" t="str">
        <f t="shared" si="6"/>
        <v>3-0</v>
      </c>
      <c r="J99" t="str">
        <f t="shared" si="7"/>
        <v>3</v>
      </c>
      <c r="K99" t="str">
        <f t="shared" si="8"/>
        <v>0</v>
      </c>
      <c r="L99" t="str">
        <f t="shared" si="9"/>
        <v>Real Sociedad</v>
      </c>
      <c r="M99" t="str">
        <f>IF(COUNTIF($A$2:A99,A99)=1,
     VLOOKUP(A99,Season_Winners!A:B,2,FALSE),
     "")</f>
        <v/>
      </c>
    </row>
    <row r="100" spans="1:14" x14ac:dyDescent="0.3">
      <c r="A100" t="s">
        <v>8</v>
      </c>
      <c r="B100">
        <v>10</v>
      </c>
      <c r="C100" t="s">
        <v>74</v>
      </c>
      <c r="D100" t="str">
        <f t="shared" si="5"/>
        <v>27.10.2013</v>
      </c>
      <c r="E100" s="1">
        <v>0.875</v>
      </c>
      <c r="F100" t="s">
        <v>1425</v>
      </c>
      <c r="G100" t="s">
        <v>26</v>
      </c>
      <c r="H100" t="s">
        <v>40</v>
      </c>
      <c r="I100" t="str">
        <f t="shared" si="6"/>
        <v>5-0</v>
      </c>
      <c r="J100" t="str">
        <f t="shared" si="7"/>
        <v>5</v>
      </c>
      <c r="K100" t="str">
        <f t="shared" si="8"/>
        <v>0</v>
      </c>
      <c r="L100" t="str">
        <f t="shared" si="9"/>
        <v>Atlético de Madrid</v>
      </c>
      <c r="M100" t="str">
        <f>IF(COUNTIF($A$2:A100,A100)=1,
     VLOOKUP(A100,Season_Winners!A:B,2,FALSE),
     "")</f>
        <v/>
      </c>
    </row>
    <row r="101" spans="1:14" x14ac:dyDescent="0.3">
      <c r="A101" t="s">
        <v>8</v>
      </c>
      <c r="B101">
        <v>10</v>
      </c>
      <c r="C101" t="s">
        <v>75</v>
      </c>
      <c r="D101" t="str">
        <f t="shared" si="5"/>
        <v>28.10.2013</v>
      </c>
      <c r="E101" s="1">
        <v>0.91666666666666663</v>
      </c>
      <c r="F101" t="s">
        <v>11</v>
      </c>
      <c r="G101" t="s">
        <v>15</v>
      </c>
      <c r="H101" t="s">
        <v>42</v>
      </c>
      <c r="I101" t="str">
        <f t="shared" si="6"/>
        <v>0-1</v>
      </c>
      <c r="J101" t="str">
        <f t="shared" si="7"/>
        <v>0</v>
      </c>
      <c r="K101" t="str">
        <f t="shared" si="8"/>
        <v>1</v>
      </c>
      <c r="L101" t="str">
        <f t="shared" si="9"/>
        <v>Athletic Club</v>
      </c>
      <c r="M101" t="str">
        <f>IF(COUNTIF($A$2:A101,A101)=1,
     VLOOKUP(A101,Season_Winners!A:B,2,FALSE),
     "")</f>
        <v/>
      </c>
    </row>
    <row r="102" spans="1:14" x14ac:dyDescent="0.3">
      <c r="A102" t="s">
        <v>8</v>
      </c>
      <c r="B102">
        <v>11</v>
      </c>
      <c r="C102" t="s">
        <v>76</v>
      </c>
      <c r="D102" t="str">
        <f t="shared" si="5"/>
        <v>29.10.2013</v>
      </c>
      <c r="E102" s="1">
        <v>0.83333333333333337</v>
      </c>
      <c r="F102" t="s">
        <v>36</v>
      </c>
      <c r="G102" t="s">
        <v>17</v>
      </c>
      <c r="H102" t="s">
        <v>41</v>
      </c>
      <c r="I102" t="str">
        <f t="shared" si="6"/>
        <v>0-0</v>
      </c>
      <c r="J102" t="str">
        <f t="shared" si="7"/>
        <v>0</v>
      </c>
      <c r="K102" t="str">
        <f t="shared" si="8"/>
        <v>0</v>
      </c>
      <c r="L102" t="str">
        <f t="shared" si="9"/>
        <v>Draw</v>
      </c>
      <c r="M102" t="str">
        <f>IF(COUNTIF($A$2:A102,A102)=1,
     VLOOKUP(A102,Season_Winners!A:B,2,FALSE),
     "")</f>
        <v/>
      </c>
    </row>
    <row r="103" spans="1:14" x14ac:dyDescent="0.3">
      <c r="A103" t="s">
        <v>8</v>
      </c>
      <c r="B103">
        <v>11</v>
      </c>
      <c r="C103" t="s">
        <v>76</v>
      </c>
      <c r="D103" t="str">
        <f t="shared" si="5"/>
        <v>29.10.2013</v>
      </c>
      <c r="E103" s="1">
        <v>0.91666666666666663</v>
      </c>
      <c r="F103" t="s">
        <v>35</v>
      </c>
      <c r="G103" t="s">
        <v>20</v>
      </c>
      <c r="H103" t="s">
        <v>46</v>
      </c>
      <c r="I103" t="str">
        <f t="shared" si="6"/>
        <v>0-3</v>
      </c>
      <c r="J103" t="str">
        <f t="shared" si="7"/>
        <v>0</v>
      </c>
      <c r="K103" t="str">
        <f t="shared" si="8"/>
        <v>3</v>
      </c>
      <c r="L103" t="str">
        <f t="shared" si="9"/>
        <v>FC Barcelona</v>
      </c>
      <c r="M103" t="str">
        <f>IF(COUNTIF($A$2:A103,A103)=1,
     VLOOKUP(A103,Season_Winners!A:B,2,FALSE),
     "")</f>
        <v/>
      </c>
    </row>
    <row r="104" spans="1:14" hidden="1" x14ac:dyDescent="0.3">
      <c r="A104" t="s">
        <v>8</v>
      </c>
      <c r="B104">
        <v>11</v>
      </c>
      <c r="C104" t="s">
        <v>77</v>
      </c>
      <c r="D104" t="str">
        <f t="shared" si="5"/>
        <v>30.10.2013</v>
      </c>
      <c r="E104" s="1">
        <v>0.83333333333333337</v>
      </c>
      <c r="F104" t="s">
        <v>16</v>
      </c>
      <c r="G104" t="s">
        <v>33</v>
      </c>
      <c r="H104" s="2">
        <v>46054</v>
      </c>
      <c r="I104" s="3" t="str">
        <f t="shared" si="6"/>
        <v/>
      </c>
      <c r="J104" t="str">
        <f t="shared" si="7"/>
        <v/>
      </c>
      <c r="K104" t="str">
        <f t="shared" si="8"/>
        <v/>
      </c>
      <c r="L104" t="str">
        <f t="shared" si="9"/>
        <v/>
      </c>
      <c r="M104" t="str">
        <f>IF(COUNTIF($A$2:A104,A104)=1,
     VLOOKUP(A104,Season_Winners!A:B,2,FALSE),
     "")</f>
        <v/>
      </c>
      <c r="N104" s="2"/>
    </row>
    <row r="105" spans="1:14" hidden="1" x14ac:dyDescent="0.3">
      <c r="A105" t="s">
        <v>8</v>
      </c>
      <c r="B105">
        <v>11</v>
      </c>
      <c r="C105" t="s">
        <v>77</v>
      </c>
      <c r="D105" t="str">
        <f t="shared" si="5"/>
        <v>30.10.2013</v>
      </c>
      <c r="E105" s="1">
        <v>0.83333333333333337</v>
      </c>
      <c r="F105" t="s">
        <v>14</v>
      </c>
      <c r="G105" t="s">
        <v>10</v>
      </c>
      <c r="H105" s="2">
        <v>46055</v>
      </c>
      <c r="I105" s="3" t="str">
        <f t="shared" si="6"/>
        <v/>
      </c>
      <c r="J105" t="str">
        <f t="shared" si="7"/>
        <v/>
      </c>
      <c r="K105" t="str">
        <f t="shared" si="8"/>
        <v/>
      </c>
      <c r="L105" t="str">
        <f t="shared" si="9"/>
        <v/>
      </c>
      <c r="M105" t="str">
        <f>IF(COUNTIF($A$2:A105,A105)=1,
     VLOOKUP(A105,Season_Winners!A:B,2,FALSE),
     "")</f>
        <v/>
      </c>
      <c r="N105" s="2"/>
    </row>
    <row r="106" spans="1:14" hidden="1" x14ac:dyDescent="0.3">
      <c r="A106" t="s">
        <v>8</v>
      </c>
      <c r="B106">
        <v>11</v>
      </c>
      <c r="C106" t="s">
        <v>77</v>
      </c>
      <c r="D106" t="str">
        <f t="shared" si="5"/>
        <v>30.10.2013</v>
      </c>
      <c r="E106" s="1">
        <v>0.91666666666666663</v>
      </c>
      <c r="F106" t="s">
        <v>23</v>
      </c>
      <c r="G106" t="s">
        <v>30</v>
      </c>
      <c r="H106" s="2">
        <v>46025</v>
      </c>
      <c r="I106" s="3" t="str">
        <f t="shared" si="6"/>
        <v/>
      </c>
      <c r="J106" t="str">
        <f t="shared" si="7"/>
        <v/>
      </c>
      <c r="K106" t="str">
        <f t="shared" si="8"/>
        <v/>
      </c>
      <c r="L106" t="str">
        <f t="shared" si="9"/>
        <v/>
      </c>
      <c r="M106" t="str">
        <f>IF(COUNTIF($A$2:A106,A106)=1,
     VLOOKUP(A106,Season_Winners!A:B,2,FALSE),
     "")</f>
        <v/>
      </c>
      <c r="N106" s="2"/>
    </row>
    <row r="107" spans="1:14" hidden="1" x14ac:dyDescent="0.3">
      <c r="A107" t="s">
        <v>8</v>
      </c>
      <c r="B107">
        <v>11</v>
      </c>
      <c r="C107" t="s">
        <v>77</v>
      </c>
      <c r="D107" t="str">
        <f t="shared" si="5"/>
        <v>30.10.2013</v>
      </c>
      <c r="E107" s="1">
        <v>0.91666666666666663</v>
      </c>
      <c r="F107" t="s">
        <v>25</v>
      </c>
      <c r="G107" t="s">
        <v>27</v>
      </c>
      <c r="H107" s="2">
        <v>46088</v>
      </c>
      <c r="I107" s="3" t="str">
        <f t="shared" si="6"/>
        <v/>
      </c>
      <c r="J107" t="str">
        <f t="shared" si="7"/>
        <v/>
      </c>
      <c r="K107" t="str">
        <f t="shared" si="8"/>
        <v/>
      </c>
      <c r="L107" t="str">
        <f t="shared" si="9"/>
        <v/>
      </c>
      <c r="M107" t="str">
        <f>IF(COUNTIF($A$2:A107,A107)=1,
     VLOOKUP(A107,Season_Winners!A:B,2,FALSE),
     "")</f>
        <v/>
      </c>
      <c r="N107" s="2"/>
    </row>
    <row r="108" spans="1:14" hidden="1" x14ac:dyDescent="0.3">
      <c r="A108" t="s">
        <v>8</v>
      </c>
      <c r="B108">
        <v>11</v>
      </c>
      <c r="C108" t="s">
        <v>78</v>
      </c>
      <c r="D108" t="str">
        <f t="shared" si="5"/>
        <v>31.10.2013</v>
      </c>
      <c r="E108" s="1">
        <v>0.83333333333333337</v>
      </c>
      <c r="F108" t="s">
        <v>24</v>
      </c>
      <c r="G108" t="s">
        <v>28</v>
      </c>
      <c r="H108" s="2">
        <v>46054</v>
      </c>
      <c r="I108" s="3" t="str">
        <f t="shared" si="6"/>
        <v/>
      </c>
      <c r="J108" t="str">
        <f t="shared" si="7"/>
        <v/>
      </c>
      <c r="K108" t="str">
        <f t="shared" si="8"/>
        <v/>
      </c>
      <c r="L108" t="str">
        <f t="shared" si="9"/>
        <v/>
      </c>
      <c r="M108" t="str">
        <f>IF(COUNTIF($A$2:A108,A108)=1,
     VLOOKUP(A108,Season_Winners!A:B,2,FALSE),
     "")</f>
        <v/>
      </c>
      <c r="N108" s="2"/>
    </row>
    <row r="109" spans="1:14" x14ac:dyDescent="0.3">
      <c r="A109" t="s">
        <v>8</v>
      </c>
      <c r="B109">
        <v>11</v>
      </c>
      <c r="C109" t="s">
        <v>78</v>
      </c>
      <c r="D109" t="str">
        <f t="shared" si="5"/>
        <v>31.10.2013</v>
      </c>
      <c r="E109" s="1">
        <v>0.83333333333333337</v>
      </c>
      <c r="F109" t="s">
        <v>34</v>
      </c>
      <c r="G109" t="s">
        <v>11</v>
      </c>
      <c r="H109" t="s">
        <v>54</v>
      </c>
      <c r="I109" t="str">
        <f t="shared" si="6"/>
        <v>0-2</v>
      </c>
      <c r="J109" t="str">
        <f t="shared" si="7"/>
        <v>0</v>
      </c>
      <c r="K109" t="str">
        <f t="shared" si="8"/>
        <v>2</v>
      </c>
      <c r="L109" t="str">
        <f t="shared" si="9"/>
        <v>Getafe CF</v>
      </c>
      <c r="M109" t="str">
        <f>IF(COUNTIF($A$2:A109,A109)=1,
     VLOOKUP(A109,Season_Winners!A:B,2,FALSE),
     "")</f>
        <v/>
      </c>
    </row>
    <row r="110" spans="1:14" hidden="1" x14ac:dyDescent="0.3">
      <c r="A110" t="s">
        <v>8</v>
      </c>
      <c r="B110">
        <v>11</v>
      </c>
      <c r="C110" t="s">
        <v>78</v>
      </c>
      <c r="D110" t="str">
        <f t="shared" si="5"/>
        <v>31.10.2013</v>
      </c>
      <c r="E110" s="1">
        <v>0.91666666666666663</v>
      </c>
      <c r="F110" t="s">
        <v>15</v>
      </c>
      <c r="G110" t="s">
        <v>31</v>
      </c>
      <c r="H110" s="2">
        <v>46055</v>
      </c>
      <c r="I110" s="3" t="str">
        <f t="shared" si="6"/>
        <v/>
      </c>
      <c r="J110" t="str">
        <f t="shared" si="7"/>
        <v/>
      </c>
      <c r="K110" t="str">
        <f t="shared" si="8"/>
        <v/>
      </c>
      <c r="L110" t="str">
        <f t="shared" si="9"/>
        <v/>
      </c>
      <c r="M110" t="str">
        <f>IF(COUNTIF($A$2:A110,A110)=1,
     VLOOKUP(A110,Season_Winners!A:B,2,FALSE),
     "")</f>
        <v/>
      </c>
      <c r="N110" s="2"/>
    </row>
    <row r="111" spans="1:14" x14ac:dyDescent="0.3">
      <c r="A111" t="s">
        <v>8</v>
      </c>
      <c r="B111">
        <v>11</v>
      </c>
      <c r="C111" t="s">
        <v>78</v>
      </c>
      <c r="D111" t="str">
        <f t="shared" si="5"/>
        <v>31.10.2013</v>
      </c>
      <c r="E111" s="1">
        <v>0.91666666666666663</v>
      </c>
      <c r="F111" t="s">
        <v>26</v>
      </c>
      <c r="G111" t="s">
        <v>21</v>
      </c>
      <c r="H111" t="s">
        <v>41</v>
      </c>
      <c r="I111" t="str">
        <f t="shared" si="6"/>
        <v>0-0</v>
      </c>
      <c r="J111" t="str">
        <f t="shared" si="7"/>
        <v>0</v>
      </c>
      <c r="K111" t="str">
        <f t="shared" si="8"/>
        <v>0</v>
      </c>
      <c r="L111" t="str">
        <f t="shared" si="9"/>
        <v>Draw</v>
      </c>
      <c r="M111" t="str">
        <f>IF(COUNTIF($A$2:A111,A111)=1,
     VLOOKUP(A111,Season_Winners!A:B,2,FALSE),
     "")</f>
        <v/>
      </c>
    </row>
    <row r="112" spans="1:14" x14ac:dyDescent="0.3">
      <c r="A112" t="s">
        <v>8</v>
      </c>
      <c r="B112">
        <v>12</v>
      </c>
      <c r="C112" t="s">
        <v>79</v>
      </c>
      <c r="D112" t="str">
        <f t="shared" si="5"/>
        <v>01.11.2013</v>
      </c>
      <c r="E112" s="1">
        <v>0.875</v>
      </c>
      <c r="F112" t="s">
        <v>20</v>
      </c>
      <c r="G112" t="s">
        <v>36</v>
      </c>
      <c r="H112" t="s">
        <v>18</v>
      </c>
      <c r="I112" t="str">
        <f t="shared" si="6"/>
        <v>1-0</v>
      </c>
      <c r="J112" t="str">
        <f t="shared" si="7"/>
        <v>1</v>
      </c>
      <c r="K112" t="str">
        <f t="shared" si="8"/>
        <v>0</v>
      </c>
      <c r="L112" t="str">
        <f t="shared" si="9"/>
        <v>FC Barcelona</v>
      </c>
      <c r="M112" t="str">
        <f>IF(COUNTIF($A$2:A112,A112)=1,
     VLOOKUP(A112,Season_Winners!A:B,2,FALSE),
     "")</f>
        <v/>
      </c>
    </row>
    <row r="113" spans="1:14" x14ac:dyDescent="0.3">
      <c r="A113" t="s">
        <v>8</v>
      </c>
      <c r="B113">
        <v>12</v>
      </c>
      <c r="C113" t="s">
        <v>80</v>
      </c>
      <c r="D113" t="str">
        <f t="shared" si="5"/>
        <v>02.11.2013</v>
      </c>
      <c r="E113" s="1">
        <v>0.66666666666666663</v>
      </c>
      <c r="F113" t="s">
        <v>10</v>
      </c>
      <c r="G113" t="s">
        <v>23</v>
      </c>
      <c r="H113" t="s">
        <v>40</v>
      </c>
      <c r="I113" t="str">
        <f t="shared" si="6"/>
        <v>5-0</v>
      </c>
      <c r="J113" t="str">
        <f t="shared" si="7"/>
        <v>5</v>
      </c>
      <c r="K113" t="str">
        <f t="shared" si="8"/>
        <v>0</v>
      </c>
      <c r="L113" t="str">
        <f t="shared" si="9"/>
        <v>Real Sociedad</v>
      </c>
      <c r="M113" t="str">
        <f>IF(COUNTIF($A$2:A113,A113)=1,
     VLOOKUP(A113,Season_Winners!A:B,2,FALSE),
     "")</f>
        <v/>
      </c>
    </row>
    <row r="114" spans="1:14" x14ac:dyDescent="0.3">
      <c r="A114" t="s">
        <v>8</v>
      </c>
      <c r="B114">
        <v>12</v>
      </c>
      <c r="C114" t="s">
        <v>80</v>
      </c>
      <c r="D114" t="str">
        <f t="shared" si="5"/>
        <v>02.11.2013</v>
      </c>
      <c r="E114" s="1">
        <v>0.75</v>
      </c>
      <c r="F114" t="s">
        <v>33</v>
      </c>
      <c r="G114" t="s">
        <v>14</v>
      </c>
      <c r="H114" t="s">
        <v>18</v>
      </c>
      <c r="I114" t="str">
        <f t="shared" si="6"/>
        <v>1-0</v>
      </c>
      <c r="J114" t="str">
        <f t="shared" si="7"/>
        <v>1</v>
      </c>
      <c r="K114" t="str">
        <f t="shared" si="8"/>
        <v>0</v>
      </c>
      <c r="L114" t="str">
        <f t="shared" si="9"/>
        <v>UD AlmerÃ­a</v>
      </c>
      <c r="M114" t="str">
        <f>IF(COUNTIF($A$2:A114,A114)=1,
     VLOOKUP(A114,Season_Winners!A:B,2,FALSE),
     "")</f>
        <v/>
      </c>
    </row>
    <row r="115" spans="1:14" hidden="1" x14ac:dyDescent="0.3">
      <c r="A115" t="s">
        <v>8</v>
      </c>
      <c r="B115">
        <v>12</v>
      </c>
      <c r="C115" t="s">
        <v>80</v>
      </c>
      <c r="D115" t="str">
        <f t="shared" si="5"/>
        <v>02.11.2013</v>
      </c>
      <c r="E115" s="1">
        <v>0.83333333333333337</v>
      </c>
      <c r="F115" t="s">
        <v>30</v>
      </c>
      <c r="G115" t="s">
        <v>25</v>
      </c>
      <c r="H115" s="2">
        <v>46083</v>
      </c>
      <c r="I115" s="3" t="str">
        <f t="shared" si="6"/>
        <v/>
      </c>
      <c r="J115" t="str">
        <f t="shared" si="7"/>
        <v/>
      </c>
      <c r="K115" t="str">
        <f t="shared" si="8"/>
        <v/>
      </c>
      <c r="L115" t="str">
        <f t="shared" si="9"/>
        <v/>
      </c>
      <c r="M115" t="str">
        <f>IF(COUNTIF($A$2:A115,A115)=1,
     VLOOKUP(A115,Season_Winners!A:B,2,FALSE),
     "")</f>
        <v/>
      </c>
      <c r="N115" s="2"/>
    </row>
    <row r="116" spans="1:14" x14ac:dyDescent="0.3">
      <c r="A116" t="s">
        <v>8</v>
      </c>
      <c r="B116">
        <v>12</v>
      </c>
      <c r="C116" t="s">
        <v>80</v>
      </c>
      <c r="D116" t="str">
        <f t="shared" si="5"/>
        <v>02.11.2013</v>
      </c>
      <c r="E116" s="1">
        <v>0.91666666666666663</v>
      </c>
      <c r="F116" t="s">
        <v>27</v>
      </c>
      <c r="G116" t="s">
        <v>35</v>
      </c>
      <c r="H116" t="s">
        <v>42</v>
      </c>
      <c r="I116" t="str">
        <f t="shared" si="6"/>
        <v>0-1</v>
      </c>
      <c r="J116" t="str">
        <f t="shared" si="7"/>
        <v>0</v>
      </c>
      <c r="K116" t="str">
        <f t="shared" si="8"/>
        <v>1</v>
      </c>
      <c r="L116" t="str">
        <f t="shared" si="9"/>
        <v>RC Celta</v>
      </c>
      <c r="M116" t="str">
        <f>IF(COUNTIF($A$2:A116,A116)=1,
     VLOOKUP(A116,Season_Winners!A:B,2,FALSE),
     "")</f>
        <v/>
      </c>
    </row>
    <row r="117" spans="1:14" x14ac:dyDescent="0.3">
      <c r="A117" t="s">
        <v>8</v>
      </c>
      <c r="B117">
        <v>12</v>
      </c>
      <c r="C117" t="s">
        <v>81</v>
      </c>
      <c r="D117" t="str">
        <f t="shared" si="5"/>
        <v>03.11.2013</v>
      </c>
      <c r="E117" s="1">
        <v>0.5</v>
      </c>
      <c r="F117" t="s">
        <v>11</v>
      </c>
      <c r="G117" t="s">
        <v>16</v>
      </c>
      <c r="H117" t="s">
        <v>42</v>
      </c>
      <c r="I117" t="str">
        <f t="shared" si="6"/>
        <v>0-1</v>
      </c>
      <c r="J117" t="str">
        <f t="shared" si="7"/>
        <v>0</v>
      </c>
      <c r="K117" t="str">
        <f t="shared" si="8"/>
        <v>1</v>
      </c>
      <c r="L117" t="str">
        <f t="shared" si="9"/>
        <v>Valencia CF</v>
      </c>
      <c r="M117" t="str">
        <f>IF(COUNTIF($A$2:A117,A117)=1,
     VLOOKUP(A117,Season_Winners!A:B,2,FALSE),
     "")</f>
        <v/>
      </c>
    </row>
    <row r="118" spans="1:14" x14ac:dyDescent="0.3">
      <c r="A118" t="s">
        <v>8</v>
      </c>
      <c r="B118">
        <v>12</v>
      </c>
      <c r="C118" t="s">
        <v>81</v>
      </c>
      <c r="D118" t="str">
        <f t="shared" si="5"/>
        <v>03.11.2013</v>
      </c>
      <c r="E118" s="1">
        <v>0.70833333333333337</v>
      </c>
      <c r="F118" t="s">
        <v>1425</v>
      </c>
      <c r="G118" t="s">
        <v>15</v>
      </c>
      <c r="H118" t="s">
        <v>12</v>
      </c>
      <c r="I118" t="str">
        <f t="shared" si="6"/>
        <v>2-0</v>
      </c>
      <c r="J118" t="str">
        <f t="shared" si="7"/>
        <v>2</v>
      </c>
      <c r="K118" t="str">
        <f t="shared" si="8"/>
        <v>0</v>
      </c>
      <c r="L118" t="str">
        <f t="shared" si="9"/>
        <v>Atlético de Madrid</v>
      </c>
      <c r="M118" t="str">
        <f>IF(COUNTIF($A$2:A118,A118)=1,
     VLOOKUP(A118,Season_Winners!A:B,2,FALSE),
     "")</f>
        <v/>
      </c>
    </row>
    <row r="119" spans="1:14" x14ac:dyDescent="0.3">
      <c r="A119" t="s">
        <v>8</v>
      </c>
      <c r="B119">
        <v>12</v>
      </c>
      <c r="C119" t="s">
        <v>81</v>
      </c>
      <c r="D119" t="str">
        <f t="shared" si="5"/>
        <v>03.11.2013</v>
      </c>
      <c r="E119" s="1">
        <v>0.79166666666666663</v>
      </c>
      <c r="F119" t="s">
        <v>21</v>
      </c>
      <c r="G119" t="s">
        <v>24</v>
      </c>
      <c r="H119" t="s">
        <v>42</v>
      </c>
      <c r="I119" t="str">
        <f t="shared" si="6"/>
        <v>0-1</v>
      </c>
      <c r="J119" t="str">
        <f t="shared" si="7"/>
        <v>0</v>
      </c>
      <c r="K119" t="str">
        <f t="shared" si="8"/>
        <v>1</v>
      </c>
      <c r="L119" t="str">
        <f t="shared" si="9"/>
        <v>Granada CF</v>
      </c>
      <c r="M119" t="str">
        <f>IF(COUNTIF($A$2:A119,A119)=1,
     VLOOKUP(A119,Season_Winners!A:B,2,FALSE),
     "")</f>
        <v/>
      </c>
    </row>
    <row r="120" spans="1:14" hidden="1" x14ac:dyDescent="0.3">
      <c r="A120" t="s">
        <v>8</v>
      </c>
      <c r="B120">
        <v>12</v>
      </c>
      <c r="C120" t="s">
        <v>81</v>
      </c>
      <c r="D120" t="str">
        <f t="shared" si="5"/>
        <v>03.11.2013</v>
      </c>
      <c r="E120" s="1">
        <v>0.875</v>
      </c>
      <c r="F120" t="s">
        <v>17</v>
      </c>
      <c r="G120" t="s">
        <v>26</v>
      </c>
      <c r="H120" s="2">
        <v>46056</v>
      </c>
      <c r="I120" s="3" t="str">
        <f t="shared" si="6"/>
        <v/>
      </c>
      <c r="J120" t="str">
        <f t="shared" si="7"/>
        <v/>
      </c>
      <c r="K120" t="str">
        <f t="shared" si="8"/>
        <v/>
      </c>
      <c r="L120" t="str">
        <f t="shared" si="9"/>
        <v/>
      </c>
      <c r="M120" t="str">
        <f>IF(COUNTIF($A$2:A120,A120)=1,
     VLOOKUP(A120,Season_Winners!A:B,2,FALSE),
     "")</f>
        <v/>
      </c>
      <c r="N120" s="2"/>
    </row>
    <row r="121" spans="1:14" x14ac:dyDescent="0.3">
      <c r="A121" t="s">
        <v>8</v>
      </c>
      <c r="B121">
        <v>12</v>
      </c>
      <c r="C121" t="s">
        <v>82</v>
      </c>
      <c r="D121" t="str">
        <f t="shared" si="5"/>
        <v>04.11.2013</v>
      </c>
      <c r="E121" s="1">
        <v>0.91666666666666663</v>
      </c>
      <c r="F121" t="s">
        <v>31</v>
      </c>
      <c r="G121" t="s">
        <v>34</v>
      </c>
      <c r="H121" t="s">
        <v>42</v>
      </c>
      <c r="I121" t="str">
        <f t="shared" si="6"/>
        <v>0-1</v>
      </c>
      <c r="J121" t="str">
        <f t="shared" si="7"/>
        <v>0</v>
      </c>
      <c r="K121" t="str">
        <f t="shared" si="8"/>
        <v>1</v>
      </c>
      <c r="L121" t="str">
        <f t="shared" si="9"/>
        <v>Villarreal CF</v>
      </c>
      <c r="M121" t="str">
        <f>IF(COUNTIF($A$2:A121,A121)=1,
     VLOOKUP(A121,Season_Winners!A:B,2,FALSE),
     "")</f>
        <v/>
      </c>
    </row>
    <row r="122" spans="1:14" x14ac:dyDescent="0.3">
      <c r="A122" t="s">
        <v>8</v>
      </c>
      <c r="B122">
        <v>13</v>
      </c>
      <c r="C122" t="s">
        <v>83</v>
      </c>
      <c r="D122" t="str">
        <f t="shared" si="5"/>
        <v>08.11.2013</v>
      </c>
      <c r="E122" s="1">
        <v>0.83333333333333337</v>
      </c>
      <c r="F122" t="s">
        <v>23</v>
      </c>
      <c r="G122" t="s">
        <v>33</v>
      </c>
      <c r="H122" t="s">
        <v>42</v>
      </c>
      <c r="I122" t="str">
        <f t="shared" si="6"/>
        <v>0-1</v>
      </c>
      <c r="J122" t="str">
        <f t="shared" si="7"/>
        <v>0</v>
      </c>
      <c r="K122" t="str">
        <f t="shared" si="8"/>
        <v>1</v>
      </c>
      <c r="L122" t="str">
        <f t="shared" si="9"/>
        <v>UD AlmerÃ­a</v>
      </c>
      <c r="M122" t="str">
        <f>IF(COUNTIF($A$2:A122,A122)=1,
     VLOOKUP(A122,Season_Winners!A:B,2,FALSE),
     "")</f>
        <v/>
      </c>
    </row>
    <row r="123" spans="1:14" hidden="1" x14ac:dyDescent="0.3">
      <c r="A123" t="s">
        <v>8</v>
      </c>
      <c r="B123">
        <v>13</v>
      </c>
      <c r="C123" t="s">
        <v>83</v>
      </c>
      <c r="D123" t="str">
        <f t="shared" si="5"/>
        <v>08.11.2013</v>
      </c>
      <c r="E123" s="1">
        <v>0.91666666666666663</v>
      </c>
      <c r="F123" t="s">
        <v>24</v>
      </c>
      <c r="G123" t="s">
        <v>17</v>
      </c>
      <c r="H123" s="2">
        <v>46025</v>
      </c>
      <c r="I123" s="3" t="str">
        <f t="shared" si="6"/>
        <v/>
      </c>
      <c r="J123" t="str">
        <f t="shared" si="7"/>
        <v/>
      </c>
      <c r="K123" t="str">
        <f t="shared" si="8"/>
        <v/>
      </c>
      <c r="L123" t="str">
        <f t="shared" si="9"/>
        <v/>
      </c>
      <c r="M123" t="str">
        <f>IF(COUNTIF($A$2:A123,A123)=1,
     VLOOKUP(A123,Season_Winners!A:B,2,FALSE),
     "")</f>
        <v/>
      </c>
      <c r="N123" s="2"/>
    </row>
    <row r="124" spans="1:14" hidden="1" x14ac:dyDescent="0.3">
      <c r="A124" t="s">
        <v>8</v>
      </c>
      <c r="B124">
        <v>13</v>
      </c>
      <c r="C124" t="s">
        <v>84</v>
      </c>
      <c r="D124" t="str">
        <f t="shared" si="5"/>
        <v>09.11.2013</v>
      </c>
      <c r="E124" s="1">
        <v>0.66666666666666663</v>
      </c>
      <c r="F124" t="s">
        <v>25</v>
      </c>
      <c r="G124" t="s">
        <v>10</v>
      </c>
      <c r="H124" s="2">
        <v>46027</v>
      </c>
      <c r="I124" s="3" t="str">
        <f t="shared" si="6"/>
        <v/>
      </c>
      <c r="J124" t="str">
        <f t="shared" si="7"/>
        <v/>
      </c>
      <c r="K124" t="str">
        <f t="shared" si="8"/>
        <v/>
      </c>
      <c r="L124" t="str">
        <f t="shared" si="9"/>
        <v/>
      </c>
      <c r="M124" t="str">
        <f>IF(COUNTIF($A$2:A124,A124)=1,
     VLOOKUP(A124,Season_Winners!A:B,2,FALSE),
     "")</f>
        <v/>
      </c>
      <c r="N124" s="2"/>
    </row>
    <row r="125" spans="1:14" hidden="1" x14ac:dyDescent="0.3">
      <c r="A125" t="s">
        <v>8</v>
      </c>
      <c r="B125">
        <v>13</v>
      </c>
      <c r="C125" t="s">
        <v>84</v>
      </c>
      <c r="D125" t="str">
        <f t="shared" si="5"/>
        <v>09.11.2013</v>
      </c>
      <c r="E125" s="1">
        <v>0.75</v>
      </c>
      <c r="F125" t="s">
        <v>11</v>
      </c>
      <c r="G125" t="s">
        <v>31</v>
      </c>
      <c r="H125" s="2">
        <v>46023</v>
      </c>
      <c r="I125" s="3" t="str">
        <f t="shared" si="6"/>
        <v/>
      </c>
      <c r="J125" t="str">
        <f t="shared" si="7"/>
        <v/>
      </c>
      <c r="K125" t="str">
        <f t="shared" si="8"/>
        <v/>
      </c>
      <c r="L125" t="str">
        <f t="shared" si="9"/>
        <v/>
      </c>
      <c r="M125" t="str">
        <f>IF(COUNTIF($A$2:A125,A125)=1,
     VLOOKUP(A125,Season_Winners!A:B,2,FALSE),
     "")</f>
        <v/>
      </c>
      <c r="N125" s="2"/>
    </row>
    <row r="126" spans="1:14" hidden="1" x14ac:dyDescent="0.3">
      <c r="A126" t="s">
        <v>8</v>
      </c>
      <c r="B126">
        <v>13</v>
      </c>
      <c r="C126" t="s">
        <v>84</v>
      </c>
      <c r="D126" t="str">
        <f t="shared" si="5"/>
        <v>09.11.2013</v>
      </c>
      <c r="E126" s="1">
        <v>0.83333333333333337</v>
      </c>
      <c r="F126" t="s">
        <v>15</v>
      </c>
      <c r="G126" t="s">
        <v>21</v>
      </c>
      <c r="H126" s="2">
        <v>46024</v>
      </c>
      <c r="I126" s="3" t="str">
        <f t="shared" si="6"/>
        <v/>
      </c>
      <c r="J126" t="str">
        <f t="shared" si="7"/>
        <v/>
      </c>
      <c r="K126" t="str">
        <f t="shared" si="8"/>
        <v/>
      </c>
      <c r="L126" t="str">
        <f t="shared" si="9"/>
        <v/>
      </c>
      <c r="M126" t="str">
        <f>IF(COUNTIF($A$2:A126,A126)=1,
     VLOOKUP(A126,Season_Winners!A:B,2,FALSE),
     "")</f>
        <v/>
      </c>
      <c r="N126" s="2"/>
    </row>
    <row r="127" spans="1:14" x14ac:dyDescent="0.3">
      <c r="A127" t="s">
        <v>8</v>
      </c>
      <c r="B127">
        <v>13</v>
      </c>
      <c r="C127" t="s">
        <v>84</v>
      </c>
      <c r="D127" t="str">
        <f t="shared" si="5"/>
        <v>09.11.2013</v>
      </c>
      <c r="E127" s="1">
        <v>0.91666666666666663</v>
      </c>
      <c r="F127" t="s">
        <v>35</v>
      </c>
      <c r="G127" t="s">
        <v>30</v>
      </c>
      <c r="H127" t="s">
        <v>54</v>
      </c>
      <c r="I127" t="str">
        <f t="shared" si="6"/>
        <v>0-2</v>
      </c>
      <c r="J127" t="str">
        <f t="shared" si="7"/>
        <v>0</v>
      </c>
      <c r="K127" t="str">
        <f t="shared" si="8"/>
        <v>2</v>
      </c>
      <c r="L127" t="str">
        <f t="shared" si="9"/>
        <v>Rayo Vallecano</v>
      </c>
      <c r="M127" t="str">
        <f>IF(COUNTIF($A$2:A127,A127)=1,
     VLOOKUP(A127,Season_Winners!A:B,2,FALSE),
     "")</f>
        <v/>
      </c>
    </row>
    <row r="128" spans="1:14" hidden="1" x14ac:dyDescent="0.3">
      <c r="A128" t="s">
        <v>8</v>
      </c>
      <c r="B128">
        <v>13</v>
      </c>
      <c r="C128" t="s">
        <v>85</v>
      </c>
      <c r="D128" t="str">
        <f t="shared" si="5"/>
        <v>10.11.2013</v>
      </c>
      <c r="E128" s="1">
        <v>0.5</v>
      </c>
      <c r="F128" t="s">
        <v>36</v>
      </c>
      <c r="G128" t="s">
        <v>27</v>
      </c>
      <c r="H128" s="2">
        <v>46082</v>
      </c>
      <c r="I128" s="3" t="str">
        <f t="shared" si="6"/>
        <v/>
      </c>
      <c r="J128" t="str">
        <f t="shared" si="7"/>
        <v/>
      </c>
      <c r="K128" t="str">
        <f t="shared" si="8"/>
        <v/>
      </c>
      <c r="L128" t="str">
        <f t="shared" si="9"/>
        <v/>
      </c>
      <c r="M128" t="str">
        <f>IF(COUNTIF($A$2:A128,A128)=1,
     VLOOKUP(A128,Season_Winners!A:B,2,FALSE),
     "")</f>
        <v/>
      </c>
      <c r="N128" s="2"/>
    </row>
    <row r="129" spans="1:14" hidden="1" x14ac:dyDescent="0.3">
      <c r="A129" t="s">
        <v>8</v>
      </c>
      <c r="B129">
        <v>13</v>
      </c>
      <c r="C129" t="s">
        <v>85</v>
      </c>
      <c r="D129" t="str">
        <f t="shared" si="5"/>
        <v>10.11.2013</v>
      </c>
      <c r="E129" s="1">
        <v>0.70833333333333337</v>
      </c>
      <c r="F129" t="s">
        <v>16</v>
      </c>
      <c r="G129" t="s">
        <v>14</v>
      </c>
      <c r="H129" s="2">
        <v>46055</v>
      </c>
      <c r="I129" s="3" t="str">
        <f t="shared" si="6"/>
        <v/>
      </c>
      <c r="J129" t="str">
        <f t="shared" si="7"/>
        <v/>
      </c>
      <c r="K129" t="str">
        <f t="shared" si="8"/>
        <v/>
      </c>
      <c r="L129" t="str">
        <f t="shared" si="9"/>
        <v/>
      </c>
      <c r="M129" t="str">
        <f>IF(COUNTIF($A$2:A129,A129)=1,
     VLOOKUP(A129,Season_Winners!A:B,2,FALSE),
     "")</f>
        <v/>
      </c>
      <c r="N129" s="2"/>
    </row>
    <row r="130" spans="1:14" hidden="1" x14ac:dyDescent="0.3">
      <c r="A130" t="s">
        <v>8</v>
      </c>
      <c r="B130">
        <v>13</v>
      </c>
      <c r="C130" t="s">
        <v>85</v>
      </c>
      <c r="D130" t="str">
        <f t="shared" ref="D130:D193" si="10">RIGHT(C130,10)</f>
        <v>10.11.2013</v>
      </c>
      <c r="E130" s="1">
        <v>0.79166666666666663</v>
      </c>
      <c r="F130" t="s">
        <v>34</v>
      </c>
      <c r="G130" t="s">
        <v>28</v>
      </c>
      <c r="H130" s="2">
        <v>46023</v>
      </c>
      <c r="I130" s="3" t="str">
        <f t="shared" ref="I130:I193" si="11">IF(ISNUMBER(SEARCH("-",H130)),H130,"")</f>
        <v/>
      </c>
      <c r="J130" t="str">
        <f t="shared" ref="J130:J193" si="12">IF(I130="","",LEFT(I130,FIND("-",I130)-1))</f>
        <v/>
      </c>
      <c r="K130" t="str">
        <f t="shared" ref="K130:K193" si="13">IF(I130="","",RIGHT(I130,LEN(I130)-FIND("-",I130)))</f>
        <v/>
      </c>
      <c r="L130" t="str">
        <f t="shared" ref="L130:L193" si="14">IF(I130="","",IF(J130&gt;K130,F130,IF(K130&gt;J130,G130,"Draw")))</f>
        <v/>
      </c>
      <c r="M130" t="str">
        <f>IF(COUNTIF($A$2:A130,A130)=1,
     VLOOKUP(A130,Season_Winners!A:B,2,FALSE),
     "")</f>
        <v/>
      </c>
      <c r="N130" s="2"/>
    </row>
    <row r="131" spans="1:14" hidden="1" x14ac:dyDescent="0.3">
      <c r="A131" t="s">
        <v>8</v>
      </c>
      <c r="B131">
        <v>13</v>
      </c>
      <c r="C131" t="s">
        <v>85</v>
      </c>
      <c r="D131" t="str">
        <f t="shared" si="10"/>
        <v>10.11.2013</v>
      </c>
      <c r="E131" s="1">
        <v>0.875</v>
      </c>
      <c r="F131" t="s">
        <v>26</v>
      </c>
      <c r="G131" t="s">
        <v>20</v>
      </c>
      <c r="H131" s="2">
        <v>46113</v>
      </c>
      <c r="I131" s="3" t="str">
        <f t="shared" si="11"/>
        <v/>
      </c>
      <c r="J131" t="str">
        <f t="shared" si="12"/>
        <v/>
      </c>
      <c r="K131" t="str">
        <f t="shared" si="13"/>
        <v/>
      </c>
      <c r="L131" t="str">
        <f t="shared" si="14"/>
        <v/>
      </c>
      <c r="M131" t="str">
        <f>IF(COUNTIF($A$2:A131,A131)=1,
     VLOOKUP(A131,Season_Winners!A:B,2,FALSE),
     "")</f>
        <v/>
      </c>
      <c r="N131" s="2"/>
    </row>
    <row r="132" spans="1:14" x14ac:dyDescent="0.3">
      <c r="A132" t="s">
        <v>8</v>
      </c>
      <c r="B132">
        <v>14</v>
      </c>
      <c r="C132" t="s">
        <v>86</v>
      </c>
      <c r="D132" t="str">
        <f t="shared" si="10"/>
        <v>22.11.2013</v>
      </c>
      <c r="E132" s="1">
        <v>0.875</v>
      </c>
      <c r="F132" t="s">
        <v>14</v>
      </c>
      <c r="G132" t="s">
        <v>23</v>
      </c>
      <c r="H132" t="s">
        <v>42</v>
      </c>
      <c r="I132" t="str">
        <f t="shared" si="11"/>
        <v>0-1</v>
      </c>
      <c r="J132" t="str">
        <f t="shared" si="12"/>
        <v>0</v>
      </c>
      <c r="K132" t="str">
        <f t="shared" si="13"/>
        <v>1</v>
      </c>
      <c r="L132" t="str">
        <f t="shared" si="14"/>
        <v>CA Osasuna</v>
      </c>
      <c r="M132" t="str">
        <f>IF(COUNTIF($A$2:A132,A132)=1,
     VLOOKUP(A132,Season_Winners!A:B,2,FALSE),
     "")</f>
        <v/>
      </c>
    </row>
    <row r="133" spans="1:14" x14ac:dyDescent="0.3">
      <c r="A133" t="s">
        <v>8</v>
      </c>
      <c r="B133">
        <v>14</v>
      </c>
      <c r="C133" t="s">
        <v>87</v>
      </c>
      <c r="D133" t="str">
        <f t="shared" si="10"/>
        <v>23.11.2013</v>
      </c>
      <c r="E133" s="1">
        <v>0.66666666666666663</v>
      </c>
      <c r="F133" t="s">
        <v>20</v>
      </c>
      <c r="G133" t="s">
        <v>24</v>
      </c>
      <c r="H133" t="s">
        <v>88</v>
      </c>
      <c r="I133" t="str">
        <f t="shared" si="11"/>
        <v>4-0</v>
      </c>
      <c r="J133" t="str">
        <f t="shared" si="12"/>
        <v>4</v>
      </c>
      <c r="K133" t="str">
        <f t="shared" si="13"/>
        <v>0</v>
      </c>
      <c r="L133" t="str">
        <f t="shared" si="14"/>
        <v>FC Barcelona</v>
      </c>
      <c r="M133" t="str">
        <f>IF(COUNTIF($A$2:A133,A133)=1,
     VLOOKUP(A133,Season_Winners!A:B,2,FALSE),
     "")</f>
        <v/>
      </c>
    </row>
    <row r="134" spans="1:14" hidden="1" x14ac:dyDescent="0.3">
      <c r="A134" t="s">
        <v>8</v>
      </c>
      <c r="B134">
        <v>14</v>
      </c>
      <c r="C134" t="s">
        <v>87</v>
      </c>
      <c r="D134" t="str">
        <f t="shared" si="10"/>
        <v>23.11.2013</v>
      </c>
      <c r="E134" s="1">
        <v>0.75</v>
      </c>
      <c r="F134" t="s">
        <v>10</v>
      </c>
      <c r="G134" t="s">
        <v>35</v>
      </c>
      <c r="H134" s="2">
        <v>46085</v>
      </c>
      <c r="I134" s="3" t="str">
        <f t="shared" si="11"/>
        <v/>
      </c>
      <c r="J134" t="str">
        <f t="shared" si="12"/>
        <v/>
      </c>
      <c r="K134" t="str">
        <f t="shared" si="13"/>
        <v/>
      </c>
      <c r="L134" t="str">
        <f t="shared" si="14"/>
        <v/>
      </c>
      <c r="M134" t="str">
        <f>IF(COUNTIF($A$2:A134,A134)=1,
     VLOOKUP(A134,Season_Winners!A:B,2,FALSE),
     "")</f>
        <v/>
      </c>
      <c r="N134" s="2"/>
    </row>
    <row r="135" spans="1:14" x14ac:dyDescent="0.3">
      <c r="A135" t="s">
        <v>8</v>
      </c>
      <c r="B135">
        <v>14</v>
      </c>
      <c r="C135" t="s">
        <v>87</v>
      </c>
      <c r="D135" t="str">
        <f t="shared" si="10"/>
        <v>23.11.2013</v>
      </c>
      <c r="E135" s="1">
        <v>0.83333333333333337</v>
      </c>
      <c r="F135" t="s">
        <v>33</v>
      </c>
      <c r="G135" t="s">
        <v>25</v>
      </c>
      <c r="H135" t="s">
        <v>72</v>
      </c>
      <c r="I135" t="str">
        <f t="shared" si="11"/>
        <v>0-5</v>
      </c>
      <c r="J135" t="str">
        <f t="shared" si="12"/>
        <v>0</v>
      </c>
      <c r="K135" t="str">
        <f t="shared" si="13"/>
        <v>5</v>
      </c>
      <c r="L135" t="str">
        <f t="shared" si="14"/>
        <v>Real Madrid</v>
      </c>
      <c r="M135" t="str">
        <f>IF(COUNTIF($A$2:A135,A135)=1,
     VLOOKUP(A135,Season_Winners!A:B,2,FALSE),
     "")</f>
        <v/>
      </c>
    </row>
    <row r="136" spans="1:14" x14ac:dyDescent="0.3">
      <c r="A136" t="s">
        <v>8</v>
      </c>
      <c r="B136">
        <v>14</v>
      </c>
      <c r="C136" t="s">
        <v>87</v>
      </c>
      <c r="D136" t="str">
        <f t="shared" si="10"/>
        <v>23.11.2013</v>
      </c>
      <c r="E136" s="1">
        <v>0.91666666666666663</v>
      </c>
      <c r="F136" t="s">
        <v>1425</v>
      </c>
      <c r="G136" t="s">
        <v>11</v>
      </c>
      <c r="H136" t="s">
        <v>22</v>
      </c>
      <c r="I136" t="str">
        <f t="shared" si="11"/>
        <v>7-0</v>
      </c>
      <c r="J136" t="str">
        <f t="shared" si="12"/>
        <v>7</v>
      </c>
      <c r="K136" t="str">
        <f t="shared" si="13"/>
        <v>0</v>
      </c>
      <c r="L136" t="str">
        <f t="shared" si="14"/>
        <v>Atlético de Madrid</v>
      </c>
      <c r="M136" t="str">
        <f>IF(COUNTIF($A$2:A136,A136)=1,
     VLOOKUP(A136,Season_Winners!A:B,2,FALSE),
     "")</f>
        <v/>
      </c>
    </row>
    <row r="137" spans="1:14" x14ac:dyDescent="0.3">
      <c r="A137" t="s">
        <v>8</v>
      </c>
      <c r="B137">
        <v>14</v>
      </c>
      <c r="C137" t="s">
        <v>89</v>
      </c>
      <c r="D137" t="str">
        <f t="shared" si="10"/>
        <v>24.11.2013</v>
      </c>
      <c r="E137" s="1">
        <v>0.5</v>
      </c>
      <c r="F137" t="s">
        <v>21</v>
      </c>
      <c r="G137" t="s">
        <v>34</v>
      </c>
      <c r="H137" t="s">
        <v>46</v>
      </c>
      <c r="I137" t="str">
        <f t="shared" si="11"/>
        <v>0-3</v>
      </c>
      <c r="J137" t="str">
        <f t="shared" si="12"/>
        <v>0</v>
      </c>
      <c r="K137" t="str">
        <f t="shared" si="13"/>
        <v>3</v>
      </c>
      <c r="L137" t="str">
        <f t="shared" si="14"/>
        <v>Villarreal CF</v>
      </c>
      <c r="M137" t="str">
        <f>IF(COUNTIF($A$2:A137,A137)=1,
     VLOOKUP(A137,Season_Winners!A:B,2,FALSE),
     "")</f>
        <v/>
      </c>
    </row>
    <row r="138" spans="1:14" hidden="1" x14ac:dyDescent="0.3">
      <c r="A138" t="s">
        <v>8</v>
      </c>
      <c r="B138">
        <v>14</v>
      </c>
      <c r="C138" t="s">
        <v>89</v>
      </c>
      <c r="D138" t="str">
        <f t="shared" si="10"/>
        <v>24.11.2013</v>
      </c>
      <c r="E138" s="1">
        <v>0.70833333333333337</v>
      </c>
      <c r="F138" t="s">
        <v>30</v>
      </c>
      <c r="G138" t="s">
        <v>36</v>
      </c>
      <c r="H138" s="2">
        <v>46113</v>
      </c>
      <c r="I138" s="3" t="str">
        <f t="shared" si="11"/>
        <v/>
      </c>
      <c r="J138" t="str">
        <f t="shared" si="12"/>
        <v/>
      </c>
      <c r="K138" t="str">
        <f t="shared" si="13"/>
        <v/>
      </c>
      <c r="L138" t="str">
        <f t="shared" si="14"/>
        <v/>
      </c>
      <c r="M138" t="str">
        <f>IF(COUNTIF($A$2:A138,A138)=1,
     VLOOKUP(A138,Season_Winners!A:B,2,FALSE),
     "")</f>
        <v/>
      </c>
      <c r="N138" s="2"/>
    </row>
    <row r="139" spans="1:14" hidden="1" x14ac:dyDescent="0.3">
      <c r="A139" t="s">
        <v>8</v>
      </c>
      <c r="B139">
        <v>14</v>
      </c>
      <c r="C139" t="s">
        <v>89</v>
      </c>
      <c r="D139" t="str">
        <f t="shared" si="10"/>
        <v>24.11.2013</v>
      </c>
      <c r="E139" s="1">
        <v>0.79166666666666663</v>
      </c>
      <c r="F139" t="s">
        <v>31</v>
      </c>
      <c r="G139" t="s">
        <v>16</v>
      </c>
      <c r="H139" s="2">
        <v>46024</v>
      </c>
      <c r="I139" s="3" t="str">
        <f t="shared" si="11"/>
        <v/>
      </c>
      <c r="J139" t="str">
        <f t="shared" si="12"/>
        <v/>
      </c>
      <c r="K139" t="str">
        <f t="shared" si="13"/>
        <v/>
      </c>
      <c r="L139" t="str">
        <f t="shared" si="14"/>
        <v/>
      </c>
      <c r="M139" t="str">
        <f>IF(COUNTIF($A$2:A139,A139)=1,
     VLOOKUP(A139,Season_Winners!A:B,2,FALSE),
     "")</f>
        <v/>
      </c>
      <c r="N139" s="2"/>
    </row>
    <row r="140" spans="1:14" x14ac:dyDescent="0.3">
      <c r="A140" t="s">
        <v>8</v>
      </c>
      <c r="B140">
        <v>14</v>
      </c>
      <c r="C140" t="s">
        <v>89</v>
      </c>
      <c r="D140" t="str">
        <f t="shared" si="10"/>
        <v>24.11.2013</v>
      </c>
      <c r="E140" s="1">
        <v>0.875</v>
      </c>
      <c r="F140" t="s">
        <v>27</v>
      </c>
      <c r="G140" t="s">
        <v>26</v>
      </c>
      <c r="H140" t="s">
        <v>88</v>
      </c>
      <c r="I140" t="str">
        <f t="shared" si="11"/>
        <v>4-0</v>
      </c>
      <c r="J140" t="str">
        <f t="shared" si="12"/>
        <v>4</v>
      </c>
      <c r="K140" t="str">
        <f t="shared" si="13"/>
        <v>0</v>
      </c>
      <c r="L140" t="str">
        <f t="shared" si="14"/>
        <v>Sevilla FC</v>
      </c>
      <c r="M140" t="str">
        <f>IF(COUNTIF($A$2:A140,A140)=1,
     VLOOKUP(A140,Season_Winners!A:B,2,FALSE),
     "")</f>
        <v/>
      </c>
    </row>
    <row r="141" spans="1:14" hidden="1" x14ac:dyDescent="0.3">
      <c r="A141" t="s">
        <v>8</v>
      </c>
      <c r="B141">
        <v>14</v>
      </c>
      <c r="C141" t="s">
        <v>90</v>
      </c>
      <c r="D141" t="str">
        <f t="shared" si="10"/>
        <v>25.11.2013</v>
      </c>
      <c r="E141" s="1">
        <v>0.91666666666666663</v>
      </c>
      <c r="F141" t="s">
        <v>17</v>
      </c>
      <c r="G141" t="s">
        <v>15</v>
      </c>
      <c r="H141" s="2">
        <v>46054</v>
      </c>
      <c r="I141" s="3" t="str">
        <f t="shared" si="11"/>
        <v/>
      </c>
      <c r="J141" t="str">
        <f t="shared" si="12"/>
        <v/>
      </c>
      <c r="K141" t="str">
        <f t="shared" si="13"/>
        <v/>
      </c>
      <c r="L141" t="str">
        <f t="shared" si="14"/>
        <v/>
      </c>
      <c r="M141" t="str">
        <f>IF(COUNTIF($A$2:A141,A141)=1,
     VLOOKUP(A141,Season_Winners!A:B,2,FALSE),
     "")</f>
        <v/>
      </c>
      <c r="N141" s="2"/>
    </row>
    <row r="142" spans="1:14" x14ac:dyDescent="0.3">
      <c r="A142" t="s">
        <v>8</v>
      </c>
      <c r="B142">
        <v>15</v>
      </c>
      <c r="C142" t="s">
        <v>91</v>
      </c>
      <c r="D142" t="str">
        <f t="shared" si="10"/>
        <v>29.11.2013</v>
      </c>
      <c r="E142" s="1">
        <v>0.83333333333333337</v>
      </c>
      <c r="F142" t="s">
        <v>11</v>
      </c>
      <c r="G142" t="s">
        <v>21</v>
      </c>
      <c r="H142" t="s">
        <v>18</v>
      </c>
      <c r="I142" t="str">
        <f t="shared" si="11"/>
        <v>1-0</v>
      </c>
      <c r="J142" t="str">
        <f t="shared" si="12"/>
        <v>1</v>
      </c>
      <c r="K142" t="str">
        <f t="shared" si="13"/>
        <v>0</v>
      </c>
      <c r="L142" t="str">
        <f t="shared" si="14"/>
        <v>Getafe CF</v>
      </c>
      <c r="M142" t="str">
        <f>IF(COUNTIF($A$2:A142,A142)=1,
     VLOOKUP(A142,Season_Winners!A:B,2,FALSE),
     "")</f>
        <v/>
      </c>
    </row>
    <row r="143" spans="1:14" hidden="1" x14ac:dyDescent="0.3">
      <c r="A143" t="s">
        <v>8</v>
      </c>
      <c r="B143">
        <v>15</v>
      </c>
      <c r="C143" t="s">
        <v>91</v>
      </c>
      <c r="D143" t="str">
        <f t="shared" si="10"/>
        <v>29.11.2013</v>
      </c>
      <c r="E143" s="1">
        <v>0.85416666666666663</v>
      </c>
      <c r="F143" t="s">
        <v>34</v>
      </c>
      <c r="G143" t="s">
        <v>17</v>
      </c>
      <c r="H143" s="2">
        <v>46023</v>
      </c>
      <c r="I143" s="3" t="str">
        <f t="shared" si="11"/>
        <v/>
      </c>
      <c r="J143" t="str">
        <f t="shared" si="12"/>
        <v/>
      </c>
      <c r="K143" t="str">
        <f t="shared" si="13"/>
        <v/>
      </c>
      <c r="L143" t="str">
        <f t="shared" si="14"/>
        <v/>
      </c>
      <c r="M143" t="str">
        <f>IF(COUNTIF($A$2:A143,A143)=1,
     VLOOKUP(A143,Season_Winners!A:B,2,FALSE),
     "")</f>
        <v/>
      </c>
      <c r="N143" s="2"/>
    </row>
    <row r="144" spans="1:14" x14ac:dyDescent="0.3">
      <c r="A144" t="s">
        <v>8</v>
      </c>
      <c r="B144">
        <v>15</v>
      </c>
      <c r="C144" t="s">
        <v>92</v>
      </c>
      <c r="D144" t="str">
        <f t="shared" si="10"/>
        <v>30.11.2013</v>
      </c>
      <c r="E144" s="1">
        <v>0.66666666666666663</v>
      </c>
      <c r="F144" t="s">
        <v>31</v>
      </c>
      <c r="G144" t="s">
        <v>1425</v>
      </c>
      <c r="H144" t="s">
        <v>54</v>
      </c>
      <c r="I144" t="str">
        <f t="shared" si="11"/>
        <v>0-2</v>
      </c>
      <c r="J144" t="str">
        <f t="shared" si="12"/>
        <v>0</v>
      </c>
      <c r="K144" t="str">
        <f t="shared" si="13"/>
        <v>2</v>
      </c>
      <c r="L144" t="str">
        <f t="shared" si="14"/>
        <v>Atlético de Madrid</v>
      </c>
      <c r="M144" t="str">
        <f>IF(COUNTIF($A$2:A144,A144)=1,
     VLOOKUP(A144,Season_Winners!A:B,2,FALSE),
     "")</f>
        <v/>
      </c>
    </row>
    <row r="145" spans="1:14" hidden="1" x14ac:dyDescent="0.3">
      <c r="A145" t="s">
        <v>8</v>
      </c>
      <c r="B145">
        <v>15</v>
      </c>
      <c r="C145" t="s">
        <v>92</v>
      </c>
      <c r="D145" t="str">
        <f t="shared" si="10"/>
        <v>30.11.2013</v>
      </c>
      <c r="E145" s="1">
        <v>0.75</v>
      </c>
      <c r="F145" t="s">
        <v>35</v>
      </c>
      <c r="G145" t="s">
        <v>33</v>
      </c>
      <c r="H145" s="2">
        <v>46025</v>
      </c>
      <c r="I145" s="3" t="str">
        <f t="shared" si="11"/>
        <v/>
      </c>
      <c r="J145" t="str">
        <f t="shared" si="12"/>
        <v/>
      </c>
      <c r="K145" t="str">
        <f t="shared" si="13"/>
        <v/>
      </c>
      <c r="L145" t="str">
        <f t="shared" si="14"/>
        <v/>
      </c>
      <c r="M145" t="str">
        <f>IF(COUNTIF($A$2:A145,A145)=1,
     VLOOKUP(A145,Season_Winners!A:B,2,FALSE),
     "")</f>
        <v/>
      </c>
      <c r="N145" s="2"/>
    </row>
    <row r="146" spans="1:14" x14ac:dyDescent="0.3">
      <c r="A146" t="s">
        <v>8</v>
      </c>
      <c r="B146">
        <v>15</v>
      </c>
      <c r="C146" t="s">
        <v>92</v>
      </c>
      <c r="D146" t="str">
        <f t="shared" si="10"/>
        <v>30.11.2013</v>
      </c>
      <c r="E146" s="1">
        <v>0.83333333333333337</v>
      </c>
      <c r="F146" t="s">
        <v>25</v>
      </c>
      <c r="G146" t="s">
        <v>14</v>
      </c>
      <c r="H146" t="s">
        <v>88</v>
      </c>
      <c r="I146" t="str">
        <f t="shared" si="11"/>
        <v>4-0</v>
      </c>
      <c r="J146" t="str">
        <f t="shared" si="12"/>
        <v>4</v>
      </c>
      <c r="K146" t="str">
        <f t="shared" si="13"/>
        <v>0</v>
      </c>
      <c r="L146" t="str">
        <f t="shared" si="14"/>
        <v>Real Madrid</v>
      </c>
      <c r="M146" t="str">
        <f>IF(COUNTIF($A$2:A146,A146)=1,
     VLOOKUP(A146,Season_Winners!A:B,2,FALSE),
     "")</f>
        <v/>
      </c>
    </row>
    <row r="147" spans="1:14" hidden="1" x14ac:dyDescent="0.3">
      <c r="A147" t="s">
        <v>8</v>
      </c>
      <c r="B147">
        <v>15</v>
      </c>
      <c r="C147" t="s">
        <v>92</v>
      </c>
      <c r="D147" t="str">
        <f t="shared" si="10"/>
        <v>30.11.2013</v>
      </c>
      <c r="E147" s="1">
        <v>0.91666666666666663</v>
      </c>
      <c r="F147" t="s">
        <v>36</v>
      </c>
      <c r="G147" t="s">
        <v>10</v>
      </c>
      <c r="H147" s="2">
        <v>46054</v>
      </c>
      <c r="I147" s="3" t="str">
        <f t="shared" si="11"/>
        <v/>
      </c>
      <c r="J147" t="str">
        <f t="shared" si="12"/>
        <v/>
      </c>
      <c r="K147" t="str">
        <f t="shared" si="13"/>
        <v/>
      </c>
      <c r="L147" t="str">
        <f t="shared" si="14"/>
        <v/>
      </c>
      <c r="M147" t="str">
        <f>IF(COUNTIF($A$2:A147,A147)=1,
     VLOOKUP(A147,Season_Winners!A:B,2,FALSE),
     "")</f>
        <v/>
      </c>
      <c r="N147" s="2"/>
    </row>
    <row r="148" spans="1:14" hidden="1" x14ac:dyDescent="0.3">
      <c r="A148" t="s">
        <v>8</v>
      </c>
      <c r="B148">
        <v>15</v>
      </c>
      <c r="C148" t="s">
        <v>93</v>
      </c>
      <c r="D148" t="str">
        <f t="shared" si="10"/>
        <v>01.12.2013</v>
      </c>
      <c r="E148" s="1">
        <v>0.5</v>
      </c>
      <c r="F148" t="s">
        <v>26</v>
      </c>
      <c r="G148" t="s">
        <v>30</v>
      </c>
      <c r="H148" s="2">
        <v>46055</v>
      </c>
      <c r="I148" s="3" t="str">
        <f t="shared" si="11"/>
        <v/>
      </c>
      <c r="J148" t="str">
        <f t="shared" si="12"/>
        <v/>
      </c>
      <c r="K148" t="str">
        <f t="shared" si="13"/>
        <v/>
      </c>
      <c r="L148" t="str">
        <f t="shared" si="14"/>
        <v/>
      </c>
      <c r="M148" t="str">
        <f>IF(COUNTIF($A$2:A148,A148)=1,
     VLOOKUP(A148,Season_Winners!A:B,2,FALSE),
     "")</f>
        <v/>
      </c>
      <c r="N148" s="2"/>
    </row>
    <row r="149" spans="1:14" hidden="1" x14ac:dyDescent="0.3">
      <c r="A149" t="s">
        <v>8</v>
      </c>
      <c r="B149">
        <v>15</v>
      </c>
      <c r="C149" t="s">
        <v>93</v>
      </c>
      <c r="D149" t="str">
        <f t="shared" si="10"/>
        <v>01.12.2013</v>
      </c>
      <c r="E149" s="1">
        <v>0.70833333333333337</v>
      </c>
      <c r="F149" t="s">
        <v>24</v>
      </c>
      <c r="G149" t="s">
        <v>27</v>
      </c>
      <c r="H149" s="2">
        <v>46054</v>
      </c>
      <c r="I149" s="3" t="str">
        <f t="shared" si="11"/>
        <v/>
      </c>
      <c r="J149" t="str">
        <f t="shared" si="12"/>
        <v/>
      </c>
      <c r="K149" t="str">
        <f t="shared" si="13"/>
        <v/>
      </c>
      <c r="L149" t="str">
        <f t="shared" si="14"/>
        <v/>
      </c>
      <c r="M149" t="str">
        <f>IF(COUNTIF($A$2:A149,A149)=1,
     VLOOKUP(A149,Season_Winners!A:B,2,FALSE),
     "")</f>
        <v/>
      </c>
      <c r="N149" s="2"/>
    </row>
    <row r="150" spans="1:14" x14ac:dyDescent="0.3">
      <c r="A150" t="s">
        <v>8</v>
      </c>
      <c r="B150">
        <v>15</v>
      </c>
      <c r="C150" t="s">
        <v>93</v>
      </c>
      <c r="D150" t="str">
        <f t="shared" si="10"/>
        <v>01.12.2013</v>
      </c>
      <c r="E150" s="1">
        <v>0.79166666666666663</v>
      </c>
      <c r="F150" t="s">
        <v>16</v>
      </c>
      <c r="G150" t="s">
        <v>23</v>
      </c>
      <c r="H150" t="s">
        <v>32</v>
      </c>
      <c r="I150" t="str">
        <f t="shared" si="11"/>
        <v>3-0</v>
      </c>
      <c r="J150" t="str">
        <f t="shared" si="12"/>
        <v>3</v>
      </c>
      <c r="K150" t="str">
        <f t="shared" si="13"/>
        <v>0</v>
      </c>
      <c r="L150" t="str">
        <f t="shared" si="14"/>
        <v>Valencia CF</v>
      </c>
      <c r="M150" t="str">
        <f>IF(COUNTIF($A$2:A150,A150)=1,
     VLOOKUP(A150,Season_Winners!A:B,2,FALSE),
     "")</f>
        <v/>
      </c>
    </row>
    <row r="151" spans="1:14" x14ac:dyDescent="0.3">
      <c r="A151" t="s">
        <v>8</v>
      </c>
      <c r="B151">
        <v>15</v>
      </c>
      <c r="C151" t="s">
        <v>93</v>
      </c>
      <c r="D151" t="str">
        <f t="shared" si="10"/>
        <v>01.12.2013</v>
      </c>
      <c r="E151" s="1">
        <v>0.875</v>
      </c>
      <c r="F151" t="s">
        <v>15</v>
      </c>
      <c r="G151" t="s">
        <v>20</v>
      </c>
      <c r="H151" t="s">
        <v>18</v>
      </c>
      <c r="I151" t="str">
        <f t="shared" si="11"/>
        <v>1-0</v>
      </c>
      <c r="J151" t="str">
        <f t="shared" si="12"/>
        <v>1</v>
      </c>
      <c r="K151" t="str">
        <f t="shared" si="13"/>
        <v>0</v>
      </c>
      <c r="L151" t="str">
        <f t="shared" si="14"/>
        <v>Athletic Club</v>
      </c>
      <c r="M151" t="str">
        <f>IF(COUNTIF($A$2:A151,A151)=1,
     VLOOKUP(A151,Season_Winners!A:B,2,FALSE),
     "")</f>
        <v/>
      </c>
    </row>
    <row r="152" spans="1:14" hidden="1" x14ac:dyDescent="0.3">
      <c r="A152" t="s">
        <v>8</v>
      </c>
      <c r="B152">
        <v>16</v>
      </c>
      <c r="C152" t="s">
        <v>94</v>
      </c>
      <c r="D152" t="str">
        <f t="shared" si="10"/>
        <v>13.12.2013</v>
      </c>
      <c r="E152" s="1">
        <v>0.875</v>
      </c>
      <c r="F152" t="s">
        <v>21</v>
      </c>
      <c r="G152" t="s">
        <v>31</v>
      </c>
      <c r="H152" s="2">
        <v>46024</v>
      </c>
      <c r="I152" s="3" t="str">
        <f t="shared" si="11"/>
        <v/>
      </c>
      <c r="J152" t="str">
        <f t="shared" si="12"/>
        <v/>
      </c>
      <c r="K152" t="str">
        <f t="shared" si="13"/>
        <v/>
      </c>
      <c r="L152" t="str">
        <f t="shared" si="14"/>
        <v/>
      </c>
      <c r="M152" t="str">
        <f>IF(COUNTIF($A$2:A152,A152)=1,
     VLOOKUP(A152,Season_Winners!A:B,2,FALSE),
     "")</f>
        <v/>
      </c>
      <c r="N152" s="2"/>
    </row>
    <row r="153" spans="1:14" hidden="1" x14ac:dyDescent="0.3">
      <c r="A153" t="s">
        <v>8</v>
      </c>
      <c r="B153">
        <v>16</v>
      </c>
      <c r="C153" t="s">
        <v>95</v>
      </c>
      <c r="D153" t="str">
        <f t="shared" si="10"/>
        <v>14.12.2013</v>
      </c>
      <c r="E153" s="1">
        <v>0.66666666666666663</v>
      </c>
      <c r="F153" t="s">
        <v>23</v>
      </c>
      <c r="G153" t="s">
        <v>25</v>
      </c>
      <c r="H153" s="2">
        <v>46055</v>
      </c>
      <c r="I153" s="3" t="str">
        <f t="shared" si="11"/>
        <v/>
      </c>
      <c r="J153" t="str">
        <f t="shared" si="12"/>
        <v/>
      </c>
      <c r="K153" t="str">
        <f t="shared" si="13"/>
        <v/>
      </c>
      <c r="L153" t="str">
        <f t="shared" si="14"/>
        <v/>
      </c>
      <c r="M153" t="str">
        <f>IF(COUNTIF($A$2:A153,A153)=1,
     VLOOKUP(A153,Season_Winners!A:B,2,FALSE),
     "")</f>
        <v/>
      </c>
      <c r="N153" s="2"/>
    </row>
    <row r="154" spans="1:14" x14ac:dyDescent="0.3">
      <c r="A154" t="s">
        <v>8</v>
      </c>
      <c r="B154">
        <v>16</v>
      </c>
      <c r="C154" t="s">
        <v>95</v>
      </c>
      <c r="D154" t="str">
        <f t="shared" si="10"/>
        <v>14.12.2013</v>
      </c>
      <c r="E154" s="1">
        <v>0.75</v>
      </c>
      <c r="F154" t="s">
        <v>30</v>
      </c>
      <c r="G154" t="s">
        <v>24</v>
      </c>
      <c r="H154" t="s">
        <v>54</v>
      </c>
      <c r="I154" t="str">
        <f t="shared" si="11"/>
        <v>0-2</v>
      </c>
      <c r="J154" t="str">
        <f t="shared" si="12"/>
        <v>0</v>
      </c>
      <c r="K154" t="str">
        <f t="shared" si="13"/>
        <v>2</v>
      </c>
      <c r="L154" t="str">
        <f t="shared" si="14"/>
        <v>Granada CF</v>
      </c>
      <c r="M154" t="str">
        <f>IF(COUNTIF($A$2:A154,A154)=1,
     VLOOKUP(A154,Season_Winners!A:B,2,FALSE),
     "")</f>
        <v/>
      </c>
    </row>
    <row r="155" spans="1:14" hidden="1" x14ac:dyDescent="0.3">
      <c r="A155" t="s">
        <v>8</v>
      </c>
      <c r="B155">
        <v>16</v>
      </c>
      <c r="C155" t="s">
        <v>95</v>
      </c>
      <c r="D155" t="str">
        <f t="shared" si="10"/>
        <v>14.12.2013</v>
      </c>
      <c r="E155" s="1">
        <v>0.83333333333333337</v>
      </c>
      <c r="F155" t="s">
        <v>20</v>
      </c>
      <c r="G155" t="s">
        <v>34</v>
      </c>
      <c r="H155" s="2">
        <v>46024</v>
      </c>
      <c r="I155" s="3" t="str">
        <f t="shared" si="11"/>
        <v/>
      </c>
      <c r="J155" t="str">
        <f t="shared" si="12"/>
        <v/>
      </c>
      <c r="K155" t="str">
        <f t="shared" si="13"/>
        <v/>
      </c>
      <c r="L155" t="str">
        <f t="shared" si="14"/>
        <v/>
      </c>
      <c r="M155" t="str">
        <f>IF(COUNTIF($A$2:A155,A155)=1,
     VLOOKUP(A155,Season_Winners!A:B,2,FALSE),
     "")</f>
        <v/>
      </c>
      <c r="N155" s="2"/>
    </row>
    <row r="156" spans="1:14" x14ac:dyDescent="0.3">
      <c r="A156" t="s">
        <v>8</v>
      </c>
      <c r="B156">
        <v>16</v>
      </c>
      <c r="C156" t="s">
        <v>95</v>
      </c>
      <c r="D156" t="str">
        <f t="shared" si="10"/>
        <v>14.12.2013</v>
      </c>
      <c r="E156" s="1">
        <v>0.91666666666666663</v>
      </c>
      <c r="F156" t="s">
        <v>17</v>
      </c>
      <c r="G156" t="s">
        <v>11</v>
      </c>
      <c r="H156" t="s">
        <v>18</v>
      </c>
      <c r="I156" t="str">
        <f t="shared" si="11"/>
        <v>1-0</v>
      </c>
      <c r="J156" t="str">
        <f t="shared" si="12"/>
        <v>1</v>
      </c>
      <c r="K156" t="str">
        <f t="shared" si="13"/>
        <v>0</v>
      </c>
      <c r="L156" t="str">
        <f t="shared" si="14"/>
        <v>MÃ¡laga CF</v>
      </c>
      <c r="M156" t="str">
        <f>IF(COUNTIF($A$2:A156,A156)=1,
     VLOOKUP(A156,Season_Winners!A:B,2,FALSE),
     "")</f>
        <v/>
      </c>
    </row>
    <row r="157" spans="1:14" x14ac:dyDescent="0.3">
      <c r="A157" t="s">
        <v>8</v>
      </c>
      <c r="B157">
        <v>16</v>
      </c>
      <c r="C157" t="s">
        <v>96</v>
      </c>
      <c r="D157" t="str">
        <f t="shared" si="10"/>
        <v>15.12.2013</v>
      </c>
      <c r="E157" s="1">
        <v>0.5</v>
      </c>
      <c r="F157" t="s">
        <v>33</v>
      </c>
      <c r="G157" t="s">
        <v>36</v>
      </c>
      <c r="H157" t="s">
        <v>41</v>
      </c>
      <c r="I157" t="str">
        <f t="shared" si="11"/>
        <v>0-0</v>
      </c>
      <c r="J157" t="str">
        <f t="shared" si="12"/>
        <v>0</v>
      </c>
      <c r="K157" t="str">
        <f t="shared" si="13"/>
        <v>0</v>
      </c>
      <c r="L157" t="str">
        <f t="shared" si="14"/>
        <v>Draw</v>
      </c>
      <c r="M157" t="str">
        <f>IF(COUNTIF($A$2:A157,A157)=1,
     VLOOKUP(A157,Season_Winners!A:B,2,FALSE),
     "")</f>
        <v/>
      </c>
    </row>
    <row r="158" spans="1:14" hidden="1" x14ac:dyDescent="0.3">
      <c r="A158" t="s">
        <v>8</v>
      </c>
      <c r="B158">
        <v>16</v>
      </c>
      <c r="C158" t="s">
        <v>96</v>
      </c>
      <c r="D158" t="str">
        <f t="shared" si="10"/>
        <v>15.12.2013</v>
      </c>
      <c r="E158" s="1">
        <v>0.70833333333333337</v>
      </c>
      <c r="F158" t="s">
        <v>10</v>
      </c>
      <c r="G158" t="s">
        <v>26</v>
      </c>
      <c r="H158" s="2">
        <v>46027</v>
      </c>
      <c r="I158" s="3" t="str">
        <f t="shared" si="11"/>
        <v/>
      </c>
      <c r="J158" t="str">
        <f t="shared" si="12"/>
        <v/>
      </c>
      <c r="K158" t="str">
        <f t="shared" si="13"/>
        <v/>
      </c>
      <c r="L158" t="str">
        <f t="shared" si="14"/>
        <v/>
      </c>
      <c r="M158" t="str">
        <f>IF(COUNTIF($A$2:A158,A158)=1,
     VLOOKUP(A158,Season_Winners!A:B,2,FALSE),
     "")</f>
        <v/>
      </c>
      <c r="N158" s="2"/>
    </row>
    <row r="159" spans="1:14" hidden="1" x14ac:dyDescent="0.3">
      <c r="A159" t="s">
        <v>8</v>
      </c>
      <c r="B159">
        <v>16</v>
      </c>
      <c r="C159" t="s">
        <v>96</v>
      </c>
      <c r="D159" t="str">
        <f t="shared" si="10"/>
        <v>15.12.2013</v>
      </c>
      <c r="E159" s="1">
        <v>0.79166666666666663</v>
      </c>
      <c r="F159" t="s">
        <v>27</v>
      </c>
      <c r="G159" t="s">
        <v>15</v>
      </c>
      <c r="H159" s="2">
        <v>46023</v>
      </c>
      <c r="I159" s="3" t="str">
        <f t="shared" si="11"/>
        <v/>
      </c>
      <c r="J159" t="str">
        <f t="shared" si="12"/>
        <v/>
      </c>
      <c r="K159" t="str">
        <f t="shared" si="13"/>
        <v/>
      </c>
      <c r="L159" t="str">
        <f t="shared" si="14"/>
        <v/>
      </c>
      <c r="M159" t="str">
        <f>IF(COUNTIF($A$2:A159,A159)=1,
     VLOOKUP(A159,Season_Winners!A:B,2,FALSE),
     "")</f>
        <v/>
      </c>
      <c r="N159" s="2"/>
    </row>
    <row r="160" spans="1:14" x14ac:dyDescent="0.3">
      <c r="A160" t="s">
        <v>8</v>
      </c>
      <c r="B160">
        <v>16</v>
      </c>
      <c r="C160" t="s">
        <v>96</v>
      </c>
      <c r="D160" t="str">
        <f t="shared" si="10"/>
        <v>15.12.2013</v>
      </c>
      <c r="E160" s="1">
        <v>0.875</v>
      </c>
      <c r="F160" t="s">
        <v>1425</v>
      </c>
      <c r="G160" t="s">
        <v>16</v>
      </c>
      <c r="H160" t="s">
        <v>32</v>
      </c>
      <c r="I160" t="str">
        <f t="shared" si="11"/>
        <v>3-0</v>
      </c>
      <c r="J160" t="str">
        <f t="shared" si="12"/>
        <v>3</v>
      </c>
      <c r="K160" t="str">
        <f t="shared" si="13"/>
        <v>0</v>
      </c>
      <c r="L160" t="str">
        <f t="shared" si="14"/>
        <v>Atlético de Madrid</v>
      </c>
      <c r="M160" t="str">
        <f>IF(COUNTIF($A$2:A160,A160)=1,
     VLOOKUP(A160,Season_Winners!A:B,2,FALSE),
     "")</f>
        <v/>
      </c>
    </row>
    <row r="161" spans="1:14" x14ac:dyDescent="0.3">
      <c r="A161" t="s">
        <v>8</v>
      </c>
      <c r="B161">
        <v>16</v>
      </c>
      <c r="C161" t="s">
        <v>97</v>
      </c>
      <c r="D161" t="str">
        <f t="shared" si="10"/>
        <v>16.12.2013</v>
      </c>
      <c r="E161" s="1">
        <v>0.91666666666666663</v>
      </c>
      <c r="F161" t="s">
        <v>14</v>
      </c>
      <c r="G161" t="s">
        <v>35</v>
      </c>
      <c r="H161" t="s">
        <v>32</v>
      </c>
      <c r="I161" t="str">
        <f t="shared" si="11"/>
        <v>3-0</v>
      </c>
      <c r="J161" t="str">
        <f t="shared" si="12"/>
        <v>3</v>
      </c>
      <c r="K161" t="str">
        <f t="shared" si="13"/>
        <v>0</v>
      </c>
      <c r="L161" t="str">
        <f t="shared" si="14"/>
        <v>Real Valladolid CF</v>
      </c>
      <c r="M161" t="str">
        <f>IF(COUNTIF($A$2:A161,A161)=1,
     VLOOKUP(A161,Season_Winners!A:B,2,FALSE),
     "")</f>
        <v/>
      </c>
    </row>
    <row r="162" spans="1:14" x14ac:dyDescent="0.3">
      <c r="A162" t="s">
        <v>8</v>
      </c>
      <c r="B162">
        <v>17</v>
      </c>
      <c r="C162" t="s">
        <v>98</v>
      </c>
      <c r="D162" t="str">
        <f t="shared" si="10"/>
        <v>20.12.2013</v>
      </c>
      <c r="E162" s="1">
        <v>0.85416666666666663</v>
      </c>
      <c r="F162" t="s">
        <v>31</v>
      </c>
      <c r="G162" t="s">
        <v>17</v>
      </c>
      <c r="H162" t="s">
        <v>42</v>
      </c>
      <c r="I162" t="str">
        <f t="shared" si="11"/>
        <v>0-1</v>
      </c>
      <c r="J162" t="str">
        <f t="shared" si="12"/>
        <v>0</v>
      </c>
      <c r="K162" t="str">
        <f t="shared" si="13"/>
        <v>1</v>
      </c>
      <c r="L162" t="str">
        <f t="shared" si="14"/>
        <v>MÃ¡laga CF</v>
      </c>
      <c r="M162" t="str">
        <f>IF(COUNTIF($A$2:A162,A162)=1,
     VLOOKUP(A162,Season_Winners!A:B,2,FALSE),
     "")</f>
        <v/>
      </c>
    </row>
    <row r="163" spans="1:14" hidden="1" x14ac:dyDescent="0.3">
      <c r="A163" t="s">
        <v>8</v>
      </c>
      <c r="B163">
        <v>17</v>
      </c>
      <c r="C163" t="s">
        <v>99</v>
      </c>
      <c r="D163" t="str">
        <f t="shared" si="10"/>
        <v>21.12.2013</v>
      </c>
      <c r="E163" s="1">
        <v>0.66666666666666663</v>
      </c>
      <c r="F163" t="s">
        <v>34</v>
      </c>
      <c r="G163" t="s">
        <v>27</v>
      </c>
      <c r="H163" s="2">
        <v>46054</v>
      </c>
      <c r="I163" s="3" t="str">
        <f t="shared" si="11"/>
        <v/>
      </c>
      <c r="J163" t="str">
        <f t="shared" si="12"/>
        <v/>
      </c>
      <c r="K163" t="str">
        <f t="shared" si="13"/>
        <v/>
      </c>
      <c r="L163" t="str">
        <f t="shared" si="14"/>
        <v/>
      </c>
      <c r="M163" t="str">
        <f>IF(COUNTIF($A$2:A163,A163)=1,
     VLOOKUP(A163,Season_Winners!A:B,2,FALSE),
     "")</f>
        <v/>
      </c>
      <c r="N163" s="2"/>
    </row>
    <row r="164" spans="1:14" x14ac:dyDescent="0.3">
      <c r="A164" t="s">
        <v>8</v>
      </c>
      <c r="B164">
        <v>17</v>
      </c>
      <c r="C164" t="s">
        <v>99</v>
      </c>
      <c r="D164" t="str">
        <f t="shared" si="10"/>
        <v>21.12.2013</v>
      </c>
      <c r="E164" s="1">
        <v>0.75</v>
      </c>
      <c r="F164" t="s">
        <v>26</v>
      </c>
      <c r="G164" t="s">
        <v>33</v>
      </c>
      <c r="H164" t="s">
        <v>42</v>
      </c>
      <c r="I164" t="str">
        <f t="shared" si="11"/>
        <v>0-1</v>
      </c>
      <c r="J164" t="str">
        <f t="shared" si="12"/>
        <v>0</v>
      </c>
      <c r="K164" t="str">
        <f t="shared" si="13"/>
        <v>1</v>
      </c>
      <c r="L164" t="str">
        <f t="shared" si="14"/>
        <v>UD AlmerÃ­a</v>
      </c>
      <c r="M164" t="str">
        <f>IF(COUNTIF($A$2:A164,A164)=1,
     VLOOKUP(A164,Season_Winners!A:B,2,FALSE),
     "")</f>
        <v/>
      </c>
    </row>
    <row r="165" spans="1:14" hidden="1" x14ac:dyDescent="0.3">
      <c r="A165" t="s">
        <v>8</v>
      </c>
      <c r="B165">
        <v>17</v>
      </c>
      <c r="C165" t="s">
        <v>99</v>
      </c>
      <c r="D165" t="str">
        <f t="shared" si="10"/>
        <v>21.12.2013</v>
      </c>
      <c r="E165" s="1">
        <v>0.83333333333333337</v>
      </c>
      <c r="F165" t="s">
        <v>28</v>
      </c>
      <c r="G165" t="s">
        <v>21</v>
      </c>
      <c r="H165" s="2">
        <v>46056</v>
      </c>
      <c r="I165" s="3" t="str">
        <f t="shared" si="11"/>
        <v/>
      </c>
      <c r="J165" t="str">
        <f t="shared" si="12"/>
        <v/>
      </c>
      <c r="K165" t="str">
        <f t="shared" si="13"/>
        <v/>
      </c>
      <c r="L165" t="str">
        <f t="shared" si="14"/>
        <v/>
      </c>
      <c r="M165" t="str">
        <f>IF(COUNTIF($A$2:A165,A165)=1,
     VLOOKUP(A165,Season_Winners!A:B,2,FALSE),
     "")</f>
        <v/>
      </c>
      <c r="N165" s="2"/>
    </row>
    <row r="166" spans="1:14" hidden="1" x14ac:dyDescent="0.3">
      <c r="A166" t="s">
        <v>8</v>
      </c>
      <c r="B166">
        <v>17</v>
      </c>
      <c r="C166" t="s">
        <v>99</v>
      </c>
      <c r="D166" t="str">
        <f t="shared" si="10"/>
        <v>21.12.2013</v>
      </c>
      <c r="E166" s="1">
        <v>0.91666666666666663</v>
      </c>
      <c r="F166" t="s">
        <v>24</v>
      </c>
      <c r="G166" t="s">
        <v>10</v>
      </c>
      <c r="H166" s="2">
        <v>46082</v>
      </c>
      <c r="I166" s="3" t="str">
        <f t="shared" si="11"/>
        <v/>
      </c>
      <c r="J166" t="str">
        <f t="shared" si="12"/>
        <v/>
      </c>
      <c r="K166" t="str">
        <f t="shared" si="13"/>
        <v/>
      </c>
      <c r="L166" t="str">
        <f t="shared" si="14"/>
        <v/>
      </c>
      <c r="M166" t="str">
        <f>IF(COUNTIF($A$2:A166,A166)=1,
     VLOOKUP(A166,Season_Winners!A:B,2,FALSE),
     "")</f>
        <v/>
      </c>
      <c r="N166" s="2"/>
    </row>
    <row r="167" spans="1:14" hidden="1" x14ac:dyDescent="0.3">
      <c r="A167" t="s">
        <v>8</v>
      </c>
      <c r="B167">
        <v>17</v>
      </c>
      <c r="C167" t="s">
        <v>100</v>
      </c>
      <c r="D167" t="str">
        <f t="shared" si="10"/>
        <v>22.12.2013</v>
      </c>
      <c r="E167" s="1">
        <v>0.5</v>
      </c>
      <c r="F167" t="s">
        <v>36</v>
      </c>
      <c r="G167" t="s">
        <v>14</v>
      </c>
      <c r="H167" s="2">
        <v>46057</v>
      </c>
      <c r="I167" s="3" t="str">
        <f t="shared" si="11"/>
        <v/>
      </c>
      <c r="J167" t="str">
        <f t="shared" si="12"/>
        <v/>
      </c>
      <c r="K167" t="str">
        <f t="shared" si="13"/>
        <v/>
      </c>
      <c r="L167" t="str">
        <f t="shared" si="14"/>
        <v/>
      </c>
      <c r="M167" t="str">
        <f>IF(COUNTIF($A$2:A167,A167)=1,
     VLOOKUP(A167,Season_Winners!A:B,2,FALSE),
     "")</f>
        <v/>
      </c>
      <c r="N167" s="2"/>
    </row>
    <row r="168" spans="1:14" hidden="1" x14ac:dyDescent="0.3">
      <c r="A168" t="s">
        <v>8</v>
      </c>
      <c r="B168">
        <v>17</v>
      </c>
      <c r="C168" t="s">
        <v>100</v>
      </c>
      <c r="D168" t="str">
        <f t="shared" si="10"/>
        <v>22.12.2013</v>
      </c>
      <c r="E168" s="1">
        <v>0.70833333333333337</v>
      </c>
      <c r="F168" t="s">
        <v>11</v>
      </c>
      <c r="G168" t="s">
        <v>20</v>
      </c>
      <c r="H168" s="2">
        <v>46144</v>
      </c>
      <c r="I168" s="3" t="str">
        <f t="shared" si="11"/>
        <v/>
      </c>
      <c r="J168" t="str">
        <f t="shared" si="12"/>
        <v/>
      </c>
      <c r="K168" t="str">
        <f t="shared" si="13"/>
        <v/>
      </c>
      <c r="L168" t="str">
        <f t="shared" si="14"/>
        <v/>
      </c>
      <c r="M168" t="str">
        <f>IF(COUNTIF($A$2:A168,A168)=1,
     VLOOKUP(A168,Season_Winners!A:B,2,FALSE),
     "")</f>
        <v/>
      </c>
      <c r="N168" s="2"/>
    </row>
    <row r="169" spans="1:14" hidden="1" x14ac:dyDescent="0.3">
      <c r="A169" t="s">
        <v>8</v>
      </c>
      <c r="B169">
        <v>17</v>
      </c>
      <c r="C169" t="s">
        <v>100</v>
      </c>
      <c r="D169" t="str">
        <f t="shared" si="10"/>
        <v>22.12.2013</v>
      </c>
      <c r="E169" s="1">
        <v>0.79166666666666663</v>
      </c>
      <c r="F169" t="s">
        <v>15</v>
      </c>
      <c r="G169" t="s">
        <v>30</v>
      </c>
      <c r="H169" s="2">
        <v>46024</v>
      </c>
      <c r="I169" s="3" t="str">
        <f t="shared" si="11"/>
        <v/>
      </c>
      <c r="J169" t="str">
        <f t="shared" si="12"/>
        <v/>
      </c>
      <c r="K169" t="str">
        <f t="shared" si="13"/>
        <v/>
      </c>
      <c r="L169" t="str">
        <f t="shared" si="14"/>
        <v/>
      </c>
      <c r="M169" t="str">
        <f>IF(COUNTIF($A$2:A169,A169)=1,
     VLOOKUP(A169,Season_Winners!A:B,2,FALSE),
     "")</f>
        <v/>
      </c>
      <c r="N169" s="2"/>
    </row>
    <row r="170" spans="1:14" hidden="1" x14ac:dyDescent="0.3">
      <c r="A170" t="s">
        <v>8</v>
      </c>
      <c r="B170">
        <v>17</v>
      </c>
      <c r="C170" t="s">
        <v>100</v>
      </c>
      <c r="D170" t="str">
        <f t="shared" si="10"/>
        <v>22.12.2013</v>
      </c>
      <c r="E170" s="1">
        <v>0.875</v>
      </c>
      <c r="F170" t="s">
        <v>35</v>
      </c>
      <c r="G170" t="s">
        <v>23</v>
      </c>
      <c r="H170" s="2">
        <v>46023</v>
      </c>
      <c r="I170" s="3" t="str">
        <f t="shared" si="11"/>
        <v/>
      </c>
      <c r="J170" t="str">
        <f t="shared" si="12"/>
        <v/>
      </c>
      <c r="K170" t="str">
        <f t="shared" si="13"/>
        <v/>
      </c>
      <c r="L170" t="str">
        <f t="shared" si="14"/>
        <v/>
      </c>
      <c r="M170" t="str">
        <f>IF(COUNTIF($A$2:A170,A170)=1,
     VLOOKUP(A170,Season_Winners!A:B,2,FALSE),
     "")</f>
        <v/>
      </c>
      <c r="N170" s="2"/>
    </row>
    <row r="171" spans="1:14" hidden="1" x14ac:dyDescent="0.3">
      <c r="A171" t="s">
        <v>8</v>
      </c>
      <c r="B171">
        <v>17</v>
      </c>
      <c r="C171" t="s">
        <v>100</v>
      </c>
      <c r="D171" t="str">
        <f t="shared" si="10"/>
        <v>22.12.2013</v>
      </c>
      <c r="E171" s="1">
        <v>0.875</v>
      </c>
      <c r="F171" t="s">
        <v>16</v>
      </c>
      <c r="G171" t="s">
        <v>25</v>
      </c>
      <c r="H171" s="2">
        <v>46083</v>
      </c>
      <c r="I171" s="3" t="str">
        <f t="shared" si="11"/>
        <v/>
      </c>
      <c r="J171" t="str">
        <f t="shared" si="12"/>
        <v/>
      </c>
      <c r="K171" t="str">
        <f t="shared" si="13"/>
        <v/>
      </c>
      <c r="L171" t="str">
        <f t="shared" si="14"/>
        <v/>
      </c>
      <c r="M171" t="str">
        <f>IF(COUNTIF($A$2:A171,A171)=1,
     VLOOKUP(A171,Season_Winners!A:B,2,FALSE),
     "")</f>
        <v/>
      </c>
      <c r="N171" s="2"/>
    </row>
    <row r="172" spans="1:14" x14ac:dyDescent="0.3">
      <c r="A172" t="s">
        <v>8</v>
      </c>
      <c r="B172">
        <v>18</v>
      </c>
      <c r="C172" t="s">
        <v>101</v>
      </c>
      <c r="D172" t="str">
        <f t="shared" si="10"/>
        <v>04.01.2014</v>
      </c>
      <c r="E172" s="1">
        <v>0.66666666666666663</v>
      </c>
      <c r="F172" t="s">
        <v>17</v>
      </c>
      <c r="G172" t="s">
        <v>1425</v>
      </c>
      <c r="H172" t="s">
        <v>42</v>
      </c>
      <c r="I172" t="str">
        <f t="shared" si="11"/>
        <v>0-1</v>
      </c>
      <c r="J172" t="str">
        <f t="shared" si="12"/>
        <v>0</v>
      </c>
      <c r="K172" t="str">
        <f t="shared" si="13"/>
        <v>1</v>
      </c>
      <c r="L172" t="str">
        <f t="shared" si="14"/>
        <v>Atlético de Madrid</v>
      </c>
      <c r="M172" t="str">
        <f>IF(COUNTIF($A$2:A172,A172)=1,
     VLOOKUP(A172,Season_Winners!A:B,2,FALSE),
     "")</f>
        <v/>
      </c>
    </row>
    <row r="173" spans="1:14" x14ac:dyDescent="0.3">
      <c r="A173" t="s">
        <v>8</v>
      </c>
      <c r="B173">
        <v>18</v>
      </c>
      <c r="C173" t="s">
        <v>101</v>
      </c>
      <c r="D173" t="str">
        <f t="shared" si="10"/>
        <v>04.01.2014</v>
      </c>
      <c r="E173" s="1">
        <v>0.75</v>
      </c>
      <c r="F173" t="s">
        <v>14</v>
      </c>
      <c r="G173" t="s">
        <v>26</v>
      </c>
      <c r="H173" t="s">
        <v>41</v>
      </c>
      <c r="I173" t="str">
        <f t="shared" si="11"/>
        <v>0-0</v>
      </c>
      <c r="J173" t="str">
        <f t="shared" si="12"/>
        <v>0</v>
      </c>
      <c r="K173" t="str">
        <f t="shared" si="13"/>
        <v>0</v>
      </c>
      <c r="L173" t="str">
        <f t="shared" si="14"/>
        <v>Draw</v>
      </c>
      <c r="M173" t="str">
        <f>IF(COUNTIF($A$2:A173,A173)=1,
     VLOOKUP(A173,Season_Winners!A:B,2,FALSE),
     "")</f>
        <v/>
      </c>
    </row>
    <row r="174" spans="1:14" x14ac:dyDescent="0.3">
      <c r="A174" t="s">
        <v>8</v>
      </c>
      <c r="B174">
        <v>18</v>
      </c>
      <c r="C174" t="s">
        <v>101</v>
      </c>
      <c r="D174" t="str">
        <f t="shared" si="10"/>
        <v>04.01.2014</v>
      </c>
      <c r="E174" s="1">
        <v>0.83333333333333337</v>
      </c>
      <c r="F174" t="s">
        <v>16</v>
      </c>
      <c r="G174" t="s">
        <v>21</v>
      </c>
      <c r="H174" t="s">
        <v>12</v>
      </c>
      <c r="I174" t="str">
        <f t="shared" si="11"/>
        <v>2-0</v>
      </c>
      <c r="J174" t="str">
        <f t="shared" si="12"/>
        <v>2</v>
      </c>
      <c r="K174" t="str">
        <f t="shared" si="13"/>
        <v>0</v>
      </c>
      <c r="L174" t="str">
        <f t="shared" si="14"/>
        <v>Valencia CF</v>
      </c>
      <c r="M174" t="str">
        <f>IF(COUNTIF($A$2:A174,A174)=1,
     VLOOKUP(A174,Season_Winners!A:B,2,FALSE),
     "")</f>
        <v/>
      </c>
    </row>
    <row r="175" spans="1:14" x14ac:dyDescent="0.3">
      <c r="A175" t="s">
        <v>8</v>
      </c>
      <c r="B175">
        <v>18</v>
      </c>
      <c r="C175" t="s">
        <v>101</v>
      </c>
      <c r="D175" t="str">
        <f t="shared" si="10"/>
        <v>04.01.2014</v>
      </c>
      <c r="E175" s="1">
        <v>0.91666666666666663</v>
      </c>
      <c r="F175" t="s">
        <v>33</v>
      </c>
      <c r="G175" t="s">
        <v>24</v>
      </c>
      <c r="H175" t="s">
        <v>32</v>
      </c>
      <c r="I175" t="str">
        <f t="shared" si="11"/>
        <v>3-0</v>
      </c>
      <c r="J175" t="str">
        <f t="shared" si="12"/>
        <v>3</v>
      </c>
      <c r="K175" t="str">
        <f t="shared" si="13"/>
        <v>0</v>
      </c>
      <c r="L175" t="str">
        <f t="shared" si="14"/>
        <v>UD AlmerÃ­a</v>
      </c>
      <c r="M175" t="str">
        <f>IF(COUNTIF($A$2:A175,A175)=1,
     VLOOKUP(A175,Season_Winners!A:B,2,FALSE),
     "")</f>
        <v/>
      </c>
    </row>
    <row r="176" spans="1:14" x14ac:dyDescent="0.3">
      <c r="A176" t="s">
        <v>8</v>
      </c>
      <c r="B176">
        <v>18</v>
      </c>
      <c r="C176" t="s">
        <v>102</v>
      </c>
      <c r="D176" t="str">
        <f t="shared" si="10"/>
        <v>05.01.2014</v>
      </c>
      <c r="E176" s="1">
        <v>0.5</v>
      </c>
      <c r="F176" t="s">
        <v>27</v>
      </c>
      <c r="G176" t="s">
        <v>11</v>
      </c>
      <c r="H176" t="s">
        <v>32</v>
      </c>
      <c r="I176" t="str">
        <f t="shared" si="11"/>
        <v>3-0</v>
      </c>
      <c r="J176" t="str">
        <f t="shared" si="12"/>
        <v>3</v>
      </c>
      <c r="K176" t="str">
        <f t="shared" si="13"/>
        <v>0</v>
      </c>
      <c r="L176" t="str">
        <f t="shared" si="14"/>
        <v>Sevilla FC</v>
      </c>
      <c r="M176" t="str">
        <f>IF(COUNTIF($A$2:A176,A176)=1,
     VLOOKUP(A176,Season_Winners!A:B,2,FALSE),
     "")</f>
        <v/>
      </c>
    </row>
    <row r="177" spans="1:14" x14ac:dyDescent="0.3">
      <c r="A177" t="s">
        <v>8</v>
      </c>
      <c r="B177">
        <v>18</v>
      </c>
      <c r="C177" t="s">
        <v>102</v>
      </c>
      <c r="D177" t="str">
        <f t="shared" si="10"/>
        <v>05.01.2014</v>
      </c>
      <c r="E177" s="1">
        <v>0.66666666666666663</v>
      </c>
      <c r="F177" t="s">
        <v>20</v>
      </c>
      <c r="G177" t="s">
        <v>31</v>
      </c>
      <c r="H177" t="s">
        <v>88</v>
      </c>
      <c r="I177" t="str">
        <f t="shared" si="11"/>
        <v>4-0</v>
      </c>
      <c r="J177" t="str">
        <f t="shared" si="12"/>
        <v>4</v>
      </c>
      <c r="K177" t="str">
        <f t="shared" si="13"/>
        <v>0</v>
      </c>
      <c r="L177" t="str">
        <f t="shared" si="14"/>
        <v>FC Barcelona</v>
      </c>
      <c r="M177" t="str">
        <f>IF(COUNTIF($A$2:A177,A177)=1,
     VLOOKUP(A177,Season_Winners!A:B,2,FALSE),
     "")</f>
        <v/>
      </c>
    </row>
    <row r="178" spans="1:14" x14ac:dyDescent="0.3">
      <c r="A178" t="s">
        <v>8</v>
      </c>
      <c r="B178">
        <v>18</v>
      </c>
      <c r="C178" t="s">
        <v>102</v>
      </c>
      <c r="D178" t="str">
        <f t="shared" si="10"/>
        <v>05.01.2014</v>
      </c>
      <c r="E178" s="1">
        <v>0.75</v>
      </c>
      <c r="F178" t="s">
        <v>23</v>
      </c>
      <c r="G178" t="s">
        <v>36</v>
      </c>
      <c r="H178" t="s">
        <v>18</v>
      </c>
      <c r="I178" t="str">
        <f t="shared" si="11"/>
        <v>1-0</v>
      </c>
      <c r="J178" t="str">
        <f t="shared" si="12"/>
        <v>1</v>
      </c>
      <c r="K178" t="str">
        <f t="shared" si="13"/>
        <v>0</v>
      </c>
      <c r="L178" t="str">
        <f t="shared" si="14"/>
        <v>CA Osasuna</v>
      </c>
      <c r="M178" t="str">
        <f>IF(COUNTIF($A$2:A178,A178)=1,
     VLOOKUP(A178,Season_Winners!A:B,2,FALSE),
     "")</f>
        <v/>
      </c>
    </row>
    <row r="179" spans="1:14" x14ac:dyDescent="0.3">
      <c r="A179" t="s">
        <v>8</v>
      </c>
      <c r="B179">
        <v>18</v>
      </c>
      <c r="C179" t="s">
        <v>102</v>
      </c>
      <c r="D179" t="str">
        <f t="shared" si="10"/>
        <v>05.01.2014</v>
      </c>
      <c r="E179" s="1">
        <v>0.83333333333333337</v>
      </c>
      <c r="F179" t="s">
        <v>10</v>
      </c>
      <c r="G179" t="s">
        <v>15</v>
      </c>
      <c r="H179" t="s">
        <v>12</v>
      </c>
      <c r="I179" t="str">
        <f t="shared" si="11"/>
        <v>2-0</v>
      </c>
      <c r="J179" t="str">
        <f t="shared" si="12"/>
        <v>2</v>
      </c>
      <c r="K179" t="str">
        <f t="shared" si="13"/>
        <v>0</v>
      </c>
      <c r="L179" t="str">
        <f t="shared" si="14"/>
        <v>Real Sociedad</v>
      </c>
      <c r="M179" t="str">
        <f>IF(COUNTIF($A$2:A179,A179)=1,
     VLOOKUP(A179,Season_Winners!A:B,2,FALSE),
     "")</f>
        <v/>
      </c>
    </row>
    <row r="180" spans="1:14" x14ac:dyDescent="0.3">
      <c r="A180" t="s">
        <v>8</v>
      </c>
      <c r="B180">
        <v>18</v>
      </c>
      <c r="C180" t="s">
        <v>103</v>
      </c>
      <c r="D180" t="str">
        <f t="shared" si="10"/>
        <v>06.01.2014</v>
      </c>
      <c r="E180" s="1">
        <v>0.79166666666666663</v>
      </c>
      <c r="F180" t="s">
        <v>25</v>
      </c>
      <c r="G180" t="s">
        <v>35</v>
      </c>
      <c r="H180" t="s">
        <v>32</v>
      </c>
      <c r="I180" t="str">
        <f t="shared" si="11"/>
        <v>3-0</v>
      </c>
      <c r="J180" t="str">
        <f t="shared" si="12"/>
        <v>3</v>
      </c>
      <c r="K180" t="str">
        <f t="shared" si="13"/>
        <v>0</v>
      </c>
      <c r="L180" t="str">
        <f t="shared" si="14"/>
        <v>Real Madrid</v>
      </c>
      <c r="M180" t="str">
        <f>IF(COUNTIF($A$2:A180,A180)=1,
     VLOOKUP(A180,Season_Winners!A:B,2,FALSE),
     "")</f>
        <v/>
      </c>
    </row>
    <row r="181" spans="1:14" hidden="1" x14ac:dyDescent="0.3">
      <c r="A181" t="s">
        <v>8</v>
      </c>
      <c r="B181">
        <v>18</v>
      </c>
      <c r="C181" t="s">
        <v>103</v>
      </c>
      <c r="D181" t="str">
        <f t="shared" si="10"/>
        <v>06.01.2014</v>
      </c>
      <c r="E181" s="1">
        <v>0.91666666666666663</v>
      </c>
      <c r="F181" t="s">
        <v>30</v>
      </c>
      <c r="G181" t="s">
        <v>34</v>
      </c>
      <c r="H181" s="2">
        <v>46144</v>
      </c>
      <c r="I181" s="3" t="str">
        <f t="shared" si="11"/>
        <v/>
      </c>
      <c r="J181" t="str">
        <f t="shared" si="12"/>
        <v/>
      </c>
      <c r="K181" t="str">
        <f t="shared" si="13"/>
        <v/>
      </c>
      <c r="L181" t="str">
        <f t="shared" si="14"/>
        <v/>
      </c>
      <c r="M181" t="str">
        <f>IF(COUNTIF($A$2:A181,A181)=1,
     VLOOKUP(A181,Season_Winners!A:B,2,FALSE),
     "")</f>
        <v/>
      </c>
      <c r="N181" s="2"/>
    </row>
    <row r="182" spans="1:14" x14ac:dyDescent="0.3">
      <c r="A182" t="s">
        <v>8</v>
      </c>
      <c r="B182">
        <v>19</v>
      </c>
      <c r="C182" t="s">
        <v>104</v>
      </c>
      <c r="D182" t="str">
        <f t="shared" si="10"/>
        <v>10.01.2014</v>
      </c>
      <c r="E182" s="1">
        <v>0.875</v>
      </c>
      <c r="F182" t="s">
        <v>24</v>
      </c>
      <c r="G182" t="s">
        <v>14</v>
      </c>
      <c r="H182" t="s">
        <v>88</v>
      </c>
      <c r="I182" t="str">
        <f t="shared" si="11"/>
        <v>4-0</v>
      </c>
      <c r="J182" t="str">
        <f t="shared" si="12"/>
        <v>4</v>
      </c>
      <c r="K182" t="str">
        <f t="shared" si="13"/>
        <v>0</v>
      </c>
      <c r="L182" t="str">
        <f t="shared" si="14"/>
        <v>Granada CF</v>
      </c>
      <c r="M182" t="str">
        <f>IF(COUNTIF($A$2:A182,A182)=1,
     VLOOKUP(A182,Season_Winners!A:B,2,FALSE),
     "")</f>
        <v/>
      </c>
    </row>
    <row r="183" spans="1:14" hidden="1" x14ac:dyDescent="0.3">
      <c r="A183" t="s">
        <v>8</v>
      </c>
      <c r="B183">
        <v>19</v>
      </c>
      <c r="C183" t="s">
        <v>105</v>
      </c>
      <c r="D183" t="str">
        <f t="shared" si="10"/>
        <v>11.01.2014</v>
      </c>
      <c r="E183" s="1">
        <v>0.66666666666666663</v>
      </c>
      <c r="F183" t="s">
        <v>15</v>
      </c>
      <c r="G183" t="s">
        <v>33</v>
      </c>
      <c r="H183" s="2">
        <v>46028</v>
      </c>
      <c r="I183" s="3" t="str">
        <f t="shared" si="11"/>
        <v/>
      </c>
      <c r="J183" t="str">
        <f t="shared" si="12"/>
        <v/>
      </c>
      <c r="K183" t="str">
        <f t="shared" si="13"/>
        <v/>
      </c>
      <c r="L183" t="str">
        <f t="shared" si="14"/>
        <v/>
      </c>
      <c r="M183" t="str">
        <f>IF(COUNTIF($A$2:A183,A183)=1,
     VLOOKUP(A183,Season_Winners!A:B,2,FALSE),
     "")</f>
        <v/>
      </c>
      <c r="N183" s="2"/>
    </row>
    <row r="184" spans="1:14" hidden="1" x14ac:dyDescent="0.3">
      <c r="A184" t="s">
        <v>8</v>
      </c>
      <c r="B184">
        <v>19</v>
      </c>
      <c r="C184" t="s">
        <v>105</v>
      </c>
      <c r="D184" t="str">
        <f t="shared" si="10"/>
        <v>11.01.2014</v>
      </c>
      <c r="E184" s="1">
        <v>0.75</v>
      </c>
      <c r="F184" t="s">
        <v>35</v>
      </c>
      <c r="G184" t="s">
        <v>16</v>
      </c>
      <c r="H184" s="2">
        <v>46024</v>
      </c>
      <c r="I184" s="3" t="str">
        <f t="shared" si="11"/>
        <v/>
      </c>
      <c r="J184" t="str">
        <f t="shared" si="12"/>
        <v/>
      </c>
      <c r="K184" t="str">
        <f t="shared" si="13"/>
        <v/>
      </c>
      <c r="L184" t="str">
        <f t="shared" si="14"/>
        <v/>
      </c>
      <c r="M184" t="str">
        <f>IF(COUNTIF($A$2:A184,A184)=1,
     VLOOKUP(A184,Season_Winners!A:B,2,FALSE),
     "")</f>
        <v/>
      </c>
      <c r="N184" s="2"/>
    </row>
    <row r="185" spans="1:14" x14ac:dyDescent="0.3">
      <c r="A185" t="s">
        <v>8</v>
      </c>
      <c r="B185">
        <v>19</v>
      </c>
      <c r="C185" t="s">
        <v>105</v>
      </c>
      <c r="D185" t="str">
        <f t="shared" si="10"/>
        <v>11.01.2014</v>
      </c>
      <c r="E185" s="1">
        <v>0.83333333333333337</v>
      </c>
      <c r="F185" t="s">
        <v>1425</v>
      </c>
      <c r="G185" t="s">
        <v>20</v>
      </c>
      <c r="H185" t="s">
        <v>41</v>
      </c>
      <c r="I185" t="str">
        <f t="shared" si="11"/>
        <v>0-0</v>
      </c>
      <c r="J185" t="str">
        <f t="shared" si="12"/>
        <v>0</v>
      </c>
      <c r="K185" t="str">
        <f t="shared" si="13"/>
        <v>0</v>
      </c>
      <c r="L185" t="str">
        <f t="shared" si="14"/>
        <v>Draw</v>
      </c>
      <c r="M185" t="str">
        <f>IF(COUNTIF($A$2:A185,A185)=1,
     VLOOKUP(A185,Season_Winners!A:B,2,FALSE),
     "")</f>
        <v/>
      </c>
    </row>
    <row r="186" spans="1:14" hidden="1" x14ac:dyDescent="0.3">
      <c r="A186" t="s">
        <v>8</v>
      </c>
      <c r="B186">
        <v>19</v>
      </c>
      <c r="C186" t="s">
        <v>105</v>
      </c>
      <c r="D186" t="str">
        <f t="shared" si="10"/>
        <v>11.01.2014</v>
      </c>
      <c r="E186" s="1">
        <v>0.91666666666666663</v>
      </c>
      <c r="F186" t="s">
        <v>31</v>
      </c>
      <c r="G186" t="s">
        <v>27</v>
      </c>
      <c r="H186" s="2">
        <v>46023</v>
      </c>
      <c r="I186" s="3" t="str">
        <f t="shared" si="11"/>
        <v/>
      </c>
      <c r="J186" t="str">
        <f t="shared" si="12"/>
        <v/>
      </c>
      <c r="K186" t="str">
        <f t="shared" si="13"/>
        <v/>
      </c>
      <c r="L186" t="str">
        <f t="shared" si="14"/>
        <v/>
      </c>
      <c r="M186" t="str">
        <f>IF(COUNTIF($A$2:A186,A186)=1,
     VLOOKUP(A186,Season_Winners!A:B,2,FALSE),
     "")</f>
        <v/>
      </c>
      <c r="N186" s="2"/>
    </row>
    <row r="187" spans="1:14" x14ac:dyDescent="0.3">
      <c r="A187" t="s">
        <v>8</v>
      </c>
      <c r="B187">
        <v>19</v>
      </c>
      <c r="C187" t="s">
        <v>106</v>
      </c>
      <c r="D187" t="str">
        <f t="shared" si="10"/>
        <v>12.01.2014</v>
      </c>
      <c r="E187" s="1">
        <v>0.5</v>
      </c>
      <c r="F187" t="s">
        <v>11</v>
      </c>
      <c r="G187" t="s">
        <v>30</v>
      </c>
      <c r="H187" t="s">
        <v>42</v>
      </c>
      <c r="I187" t="str">
        <f t="shared" si="11"/>
        <v>0-1</v>
      </c>
      <c r="J187" t="str">
        <f t="shared" si="12"/>
        <v>0</v>
      </c>
      <c r="K187" t="str">
        <f t="shared" si="13"/>
        <v>1</v>
      </c>
      <c r="L187" t="str">
        <f t="shared" si="14"/>
        <v>Rayo Vallecano</v>
      </c>
      <c r="M187" t="str">
        <f>IF(COUNTIF($A$2:A187,A187)=1,
     VLOOKUP(A187,Season_Winners!A:B,2,FALSE),
     "")</f>
        <v/>
      </c>
    </row>
    <row r="188" spans="1:14" hidden="1" x14ac:dyDescent="0.3">
      <c r="A188" t="s">
        <v>8</v>
      </c>
      <c r="B188">
        <v>19</v>
      </c>
      <c r="C188" t="s">
        <v>106</v>
      </c>
      <c r="D188" t="str">
        <f t="shared" si="10"/>
        <v>12.01.2014</v>
      </c>
      <c r="E188" s="1">
        <v>0.70833333333333337</v>
      </c>
      <c r="F188" t="s">
        <v>26</v>
      </c>
      <c r="G188" t="s">
        <v>23</v>
      </c>
      <c r="H188" s="2">
        <v>46054</v>
      </c>
      <c r="I188" s="3" t="str">
        <f t="shared" si="11"/>
        <v/>
      </c>
      <c r="J188" t="str">
        <f t="shared" si="12"/>
        <v/>
      </c>
      <c r="K188" t="str">
        <f t="shared" si="13"/>
        <v/>
      </c>
      <c r="L188" t="str">
        <f t="shared" si="14"/>
        <v/>
      </c>
      <c r="M188" t="str">
        <f>IF(COUNTIF($A$2:A188,A188)=1,
     VLOOKUP(A188,Season_Winners!A:B,2,FALSE),
     "")</f>
        <v/>
      </c>
      <c r="N188" s="2"/>
    </row>
    <row r="189" spans="1:14" x14ac:dyDescent="0.3">
      <c r="A189" t="s">
        <v>8</v>
      </c>
      <c r="B189">
        <v>19</v>
      </c>
      <c r="C189" t="s">
        <v>106</v>
      </c>
      <c r="D189" t="str">
        <f t="shared" si="10"/>
        <v>12.01.2014</v>
      </c>
      <c r="E189" s="1">
        <v>0.79166666666666663</v>
      </c>
      <c r="F189" t="s">
        <v>36</v>
      </c>
      <c r="G189" t="s">
        <v>25</v>
      </c>
      <c r="H189" t="s">
        <v>42</v>
      </c>
      <c r="I189" t="str">
        <f t="shared" si="11"/>
        <v>0-1</v>
      </c>
      <c r="J189" t="str">
        <f t="shared" si="12"/>
        <v>0</v>
      </c>
      <c r="K189" t="str">
        <f t="shared" si="13"/>
        <v>1</v>
      </c>
      <c r="L189" t="str">
        <f t="shared" si="14"/>
        <v>Real Madrid</v>
      </c>
      <c r="M189" t="str">
        <f>IF(COUNTIF($A$2:A189,A189)=1,
     VLOOKUP(A189,Season_Winners!A:B,2,FALSE),
     "")</f>
        <v/>
      </c>
    </row>
    <row r="190" spans="1:14" x14ac:dyDescent="0.3">
      <c r="A190" t="s">
        <v>8</v>
      </c>
      <c r="B190">
        <v>19</v>
      </c>
      <c r="C190" t="s">
        <v>106</v>
      </c>
      <c r="D190" t="str">
        <f t="shared" si="10"/>
        <v>12.01.2014</v>
      </c>
      <c r="E190" s="1">
        <v>0.875</v>
      </c>
      <c r="F190" t="s">
        <v>21</v>
      </c>
      <c r="G190" t="s">
        <v>17</v>
      </c>
      <c r="H190" t="s">
        <v>18</v>
      </c>
      <c r="I190" t="str">
        <f t="shared" si="11"/>
        <v>1-0</v>
      </c>
      <c r="J190" t="str">
        <f t="shared" si="12"/>
        <v>1</v>
      </c>
      <c r="K190" t="str">
        <f t="shared" si="13"/>
        <v>0</v>
      </c>
      <c r="L190" t="str">
        <f t="shared" si="14"/>
        <v>Levante UD</v>
      </c>
      <c r="M190" t="str">
        <f>IF(COUNTIF($A$2:A190,A190)=1,
     VLOOKUP(A190,Season_Winners!A:B,2,FALSE),
     "")</f>
        <v/>
      </c>
    </row>
    <row r="191" spans="1:14" hidden="1" x14ac:dyDescent="0.3">
      <c r="A191" t="s">
        <v>8</v>
      </c>
      <c r="B191">
        <v>19</v>
      </c>
      <c r="C191" t="s">
        <v>107</v>
      </c>
      <c r="D191" t="str">
        <f t="shared" si="10"/>
        <v>13.01.2014</v>
      </c>
      <c r="E191" s="1">
        <v>0.91666666666666663</v>
      </c>
      <c r="F191" t="s">
        <v>34</v>
      </c>
      <c r="G191" t="s">
        <v>10</v>
      </c>
      <c r="H191" s="2">
        <v>46027</v>
      </c>
      <c r="I191" s="3" t="str">
        <f t="shared" si="11"/>
        <v/>
      </c>
      <c r="J191" t="str">
        <f t="shared" si="12"/>
        <v/>
      </c>
      <c r="K191" t="str">
        <f t="shared" si="13"/>
        <v/>
      </c>
      <c r="L191" t="str">
        <f t="shared" si="14"/>
        <v/>
      </c>
      <c r="M191" t="str">
        <f>IF(COUNTIF($A$2:A191,A191)=1,
     VLOOKUP(A191,Season_Winners!A:B,2,FALSE),
     "")</f>
        <v/>
      </c>
      <c r="N191" s="2"/>
    </row>
    <row r="192" spans="1:14" x14ac:dyDescent="0.3">
      <c r="A192" t="s">
        <v>8</v>
      </c>
      <c r="B192">
        <v>20</v>
      </c>
      <c r="C192" t="s">
        <v>108</v>
      </c>
      <c r="D192" t="str">
        <f t="shared" si="10"/>
        <v>17.01.2014</v>
      </c>
      <c r="E192" s="1">
        <v>0.875</v>
      </c>
      <c r="F192" t="s">
        <v>17</v>
      </c>
      <c r="G192" t="s">
        <v>16</v>
      </c>
      <c r="H192" t="s">
        <v>41</v>
      </c>
      <c r="I192" t="str">
        <f t="shared" si="11"/>
        <v>0-0</v>
      </c>
      <c r="J192" t="str">
        <f t="shared" si="12"/>
        <v>0</v>
      </c>
      <c r="K192" t="str">
        <f t="shared" si="13"/>
        <v>0</v>
      </c>
      <c r="L192" t="str">
        <f t="shared" si="14"/>
        <v>Draw</v>
      </c>
      <c r="M192" t="str">
        <f>IF(COUNTIF($A$2:A192,A192)=1,
     VLOOKUP(A192,Season_Winners!A:B,2,FALSE),
     "")</f>
        <v/>
      </c>
    </row>
    <row r="193" spans="1:14" x14ac:dyDescent="0.3">
      <c r="A193" t="s">
        <v>8</v>
      </c>
      <c r="B193">
        <v>20</v>
      </c>
      <c r="C193" t="s">
        <v>109</v>
      </c>
      <c r="D193" t="str">
        <f t="shared" si="10"/>
        <v>18.01.2014</v>
      </c>
      <c r="E193" s="1">
        <v>0.66666666666666663</v>
      </c>
      <c r="F193" t="s">
        <v>26</v>
      </c>
      <c r="G193" t="s">
        <v>25</v>
      </c>
      <c r="H193" t="s">
        <v>72</v>
      </c>
      <c r="I193" t="str">
        <f t="shared" si="11"/>
        <v>0-5</v>
      </c>
      <c r="J193" t="str">
        <f t="shared" si="12"/>
        <v>0</v>
      </c>
      <c r="K193" t="str">
        <f t="shared" si="13"/>
        <v>5</v>
      </c>
      <c r="L193" t="str">
        <f t="shared" si="14"/>
        <v>Real Madrid</v>
      </c>
      <c r="M193" t="str">
        <f>IF(COUNTIF($A$2:A193,A193)=1,
     VLOOKUP(A193,Season_Winners!A:B,2,FALSE),
     "")</f>
        <v/>
      </c>
    </row>
    <row r="194" spans="1:14" x14ac:dyDescent="0.3">
      <c r="A194" t="s">
        <v>8</v>
      </c>
      <c r="B194">
        <v>20</v>
      </c>
      <c r="C194" t="s">
        <v>109</v>
      </c>
      <c r="D194" t="str">
        <f t="shared" ref="D194:D257" si="15">RIGHT(C194,10)</f>
        <v>18.01.2014</v>
      </c>
      <c r="E194" s="1">
        <v>0.75</v>
      </c>
      <c r="F194" t="s">
        <v>31</v>
      </c>
      <c r="G194" t="s">
        <v>30</v>
      </c>
      <c r="H194" t="s">
        <v>12</v>
      </c>
      <c r="I194" t="str">
        <f t="shared" ref="I194:I257" si="16">IF(ISNUMBER(SEARCH("-",H194)),H194,"")</f>
        <v>2-0</v>
      </c>
      <c r="J194" t="str">
        <f t="shared" ref="J194:J257" si="17">IF(I194="","",LEFT(I194,FIND("-",I194)-1))</f>
        <v>2</v>
      </c>
      <c r="K194" t="str">
        <f t="shared" ref="K194:K257" si="18">IF(I194="","",RIGHT(I194,LEN(I194)-FIND("-",I194)))</f>
        <v>0</v>
      </c>
      <c r="L194" t="str">
        <f t="shared" ref="L194:L257" si="19">IF(I194="","",IF(J194&gt;K194,F194,IF(K194&gt;J194,G194,"Draw")))</f>
        <v>Elche CF</v>
      </c>
      <c r="M194" t="str">
        <f>IF(COUNTIF($A$2:A194,A194)=1,
     VLOOKUP(A194,Season_Winners!A:B,2,FALSE),
     "")</f>
        <v/>
      </c>
    </row>
    <row r="195" spans="1:14" x14ac:dyDescent="0.3">
      <c r="A195" t="s">
        <v>8</v>
      </c>
      <c r="B195">
        <v>20</v>
      </c>
      <c r="C195" t="s">
        <v>109</v>
      </c>
      <c r="D195" t="str">
        <f t="shared" si="15"/>
        <v>18.01.2014</v>
      </c>
      <c r="E195" s="1">
        <v>0.83333333333333337</v>
      </c>
      <c r="F195" t="s">
        <v>24</v>
      </c>
      <c r="G195" t="s">
        <v>23</v>
      </c>
      <c r="H195" t="s">
        <v>41</v>
      </c>
      <c r="I195" t="str">
        <f t="shared" si="16"/>
        <v>0-0</v>
      </c>
      <c r="J195" t="str">
        <f t="shared" si="17"/>
        <v>0</v>
      </c>
      <c r="K195" t="str">
        <f t="shared" si="18"/>
        <v>0</v>
      </c>
      <c r="L195" t="str">
        <f t="shared" si="19"/>
        <v>Draw</v>
      </c>
      <c r="M195" t="str">
        <f>IF(COUNTIF($A$2:A195,A195)=1,
     VLOOKUP(A195,Season_Winners!A:B,2,FALSE),
     "")</f>
        <v/>
      </c>
    </row>
    <row r="196" spans="1:14" x14ac:dyDescent="0.3">
      <c r="A196" t="s">
        <v>8</v>
      </c>
      <c r="B196">
        <v>20</v>
      </c>
      <c r="C196" t="s">
        <v>109</v>
      </c>
      <c r="D196" t="str">
        <f t="shared" si="15"/>
        <v>18.01.2014</v>
      </c>
      <c r="E196" s="1">
        <v>0.91666666666666663</v>
      </c>
      <c r="F196" t="s">
        <v>36</v>
      </c>
      <c r="G196" t="s">
        <v>35</v>
      </c>
      <c r="H196" t="s">
        <v>18</v>
      </c>
      <c r="I196" t="str">
        <f t="shared" si="16"/>
        <v>1-0</v>
      </c>
      <c r="J196" t="str">
        <f t="shared" si="17"/>
        <v>1</v>
      </c>
      <c r="K196" t="str">
        <f t="shared" si="18"/>
        <v>0</v>
      </c>
      <c r="L196" t="str">
        <f t="shared" si="19"/>
        <v>RCD Espanyol de Barcelona</v>
      </c>
      <c r="M196" t="str">
        <f>IF(COUNTIF($A$2:A196,A196)=1,
     VLOOKUP(A196,Season_Winners!A:B,2,FALSE),
     "")</f>
        <v/>
      </c>
    </row>
    <row r="197" spans="1:14" hidden="1" x14ac:dyDescent="0.3">
      <c r="A197" t="s">
        <v>8</v>
      </c>
      <c r="B197">
        <v>20</v>
      </c>
      <c r="C197" t="s">
        <v>110</v>
      </c>
      <c r="D197" t="str">
        <f t="shared" si="15"/>
        <v>19.01.2014</v>
      </c>
      <c r="E197" s="1">
        <v>0.5</v>
      </c>
      <c r="F197" t="s">
        <v>11</v>
      </c>
      <c r="G197" t="s">
        <v>10</v>
      </c>
      <c r="H197" s="2">
        <v>46055</v>
      </c>
      <c r="I197" s="3" t="str">
        <f t="shared" si="16"/>
        <v/>
      </c>
      <c r="J197" t="str">
        <f t="shared" si="17"/>
        <v/>
      </c>
      <c r="K197" t="str">
        <f t="shared" si="18"/>
        <v/>
      </c>
      <c r="L197" t="str">
        <f t="shared" si="19"/>
        <v/>
      </c>
      <c r="M197" t="str">
        <f>IF(COUNTIF($A$2:A197,A197)=1,
     VLOOKUP(A197,Season_Winners!A:B,2,FALSE),
     "")</f>
        <v/>
      </c>
      <c r="N197" s="2"/>
    </row>
    <row r="198" spans="1:14" x14ac:dyDescent="0.3">
      <c r="A198" t="s">
        <v>8</v>
      </c>
      <c r="B198">
        <v>20</v>
      </c>
      <c r="C198" t="s">
        <v>110</v>
      </c>
      <c r="D198" t="str">
        <f t="shared" si="15"/>
        <v>19.01.2014</v>
      </c>
      <c r="E198" s="1">
        <v>0.70833333333333337</v>
      </c>
      <c r="F198" t="s">
        <v>34</v>
      </c>
      <c r="G198" t="s">
        <v>33</v>
      </c>
      <c r="H198" t="s">
        <v>12</v>
      </c>
      <c r="I198" t="str">
        <f t="shared" si="16"/>
        <v>2-0</v>
      </c>
      <c r="J198" t="str">
        <f t="shared" si="17"/>
        <v>2</v>
      </c>
      <c r="K198" t="str">
        <f t="shared" si="18"/>
        <v>0</v>
      </c>
      <c r="L198" t="str">
        <f t="shared" si="19"/>
        <v>Villarreal CF</v>
      </c>
      <c r="M198" t="str">
        <f>IF(COUNTIF($A$2:A198,A198)=1,
     VLOOKUP(A198,Season_Winners!A:B,2,FALSE),
     "")</f>
        <v/>
      </c>
    </row>
    <row r="199" spans="1:14" hidden="1" x14ac:dyDescent="0.3">
      <c r="A199" t="s">
        <v>8</v>
      </c>
      <c r="B199">
        <v>20</v>
      </c>
      <c r="C199" t="s">
        <v>110</v>
      </c>
      <c r="D199" t="str">
        <f t="shared" si="15"/>
        <v>19.01.2014</v>
      </c>
      <c r="E199" s="1">
        <v>0.79166666666666663</v>
      </c>
      <c r="F199" t="s">
        <v>21</v>
      </c>
      <c r="G199" t="s">
        <v>20</v>
      </c>
      <c r="H199" s="2">
        <v>46023</v>
      </c>
      <c r="I199" s="3" t="str">
        <f t="shared" si="16"/>
        <v/>
      </c>
      <c r="J199" t="str">
        <f t="shared" si="17"/>
        <v/>
      </c>
      <c r="K199" t="str">
        <f t="shared" si="18"/>
        <v/>
      </c>
      <c r="L199" t="str">
        <f t="shared" si="19"/>
        <v/>
      </c>
      <c r="M199" t="str">
        <f>IF(COUNTIF($A$2:A199,A199)=1,
     VLOOKUP(A199,Season_Winners!A:B,2,FALSE),
     "")</f>
        <v/>
      </c>
      <c r="N199" s="2"/>
    </row>
    <row r="200" spans="1:14" hidden="1" x14ac:dyDescent="0.3">
      <c r="A200" t="s">
        <v>8</v>
      </c>
      <c r="B200">
        <v>20</v>
      </c>
      <c r="C200" t="s">
        <v>110</v>
      </c>
      <c r="D200" t="str">
        <f t="shared" si="15"/>
        <v>19.01.2014</v>
      </c>
      <c r="E200" s="1">
        <v>0.875</v>
      </c>
      <c r="F200" t="s">
        <v>28</v>
      </c>
      <c r="G200" t="s">
        <v>27</v>
      </c>
      <c r="H200" s="2">
        <v>46023</v>
      </c>
      <c r="I200" s="3" t="str">
        <f t="shared" si="16"/>
        <v/>
      </c>
      <c r="J200" t="str">
        <f t="shared" si="17"/>
        <v/>
      </c>
      <c r="K200" t="str">
        <f t="shared" si="18"/>
        <v/>
      </c>
      <c r="L200" t="str">
        <f t="shared" si="19"/>
        <v/>
      </c>
      <c r="M200" t="str">
        <f>IF(COUNTIF($A$2:A200,A200)=1,
     VLOOKUP(A200,Season_Winners!A:B,2,FALSE),
     "")</f>
        <v/>
      </c>
      <c r="N200" s="2"/>
    </row>
    <row r="201" spans="1:14" hidden="1" x14ac:dyDescent="0.3">
      <c r="A201" t="s">
        <v>8</v>
      </c>
      <c r="B201">
        <v>20</v>
      </c>
      <c r="C201" t="s">
        <v>111</v>
      </c>
      <c r="D201" t="str">
        <f t="shared" si="15"/>
        <v>20.01.2014</v>
      </c>
      <c r="E201" s="1">
        <v>0.91666666666666663</v>
      </c>
      <c r="F201" t="s">
        <v>15</v>
      </c>
      <c r="G201" t="s">
        <v>14</v>
      </c>
      <c r="H201" s="2">
        <v>46057</v>
      </c>
      <c r="I201" s="3" t="str">
        <f t="shared" si="16"/>
        <v/>
      </c>
      <c r="J201" t="str">
        <f t="shared" si="17"/>
        <v/>
      </c>
      <c r="K201" t="str">
        <f t="shared" si="18"/>
        <v/>
      </c>
      <c r="L201" t="str">
        <f t="shared" si="19"/>
        <v/>
      </c>
      <c r="M201" t="str">
        <f>IF(COUNTIF($A$2:A201,A201)=1,
     VLOOKUP(A201,Season_Winners!A:B,2,FALSE),
     "")</f>
        <v/>
      </c>
      <c r="N201" s="2"/>
    </row>
    <row r="202" spans="1:14" hidden="1" x14ac:dyDescent="0.3">
      <c r="A202" t="s">
        <v>8</v>
      </c>
      <c r="B202">
        <v>21</v>
      </c>
      <c r="C202" t="s">
        <v>112</v>
      </c>
      <c r="D202" t="str">
        <f t="shared" si="15"/>
        <v>24.01.2014</v>
      </c>
      <c r="E202" s="1">
        <v>0.875</v>
      </c>
      <c r="F202" t="s">
        <v>35</v>
      </c>
      <c r="G202" t="s">
        <v>26</v>
      </c>
      <c r="H202" s="2">
        <v>46057</v>
      </c>
      <c r="I202" s="3" t="str">
        <f t="shared" si="16"/>
        <v/>
      </c>
      <c r="J202" t="str">
        <f t="shared" si="17"/>
        <v/>
      </c>
      <c r="K202" t="str">
        <f t="shared" si="18"/>
        <v/>
      </c>
      <c r="L202" t="str">
        <f t="shared" si="19"/>
        <v/>
      </c>
      <c r="M202" t="str">
        <f>IF(COUNTIF($A$2:A202,A202)=1,
     VLOOKUP(A202,Season_Winners!A:B,2,FALSE),
     "")</f>
        <v/>
      </c>
      <c r="N202" s="2"/>
    </row>
    <row r="203" spans="1:14" x14ac:dyDescent="0.3">
      <c r="A203" t="s">
        <v>8</v>
      </c>
      <c r="B203">
        <v>21</v>
      </c>
      <c r="C203" t="s">
        <v>113</v>
      </c>
      <c r="D203" t="str">
        <f t="shared" si="15"/>
        <v>25.01.2014</v>
      </c>
      <c r="E203" s="1">
        <v>0.66666666666666663</v>
      </c>
      <c r="F203" t="s">
        <v>25</v>
      </c>
      <c r="G203" t="s">
        <v>24</v>
      </c>
      <c r="H203" t="s">
        <v>12</v>
      </c>
      <c r="I203" t="str">
        <f t="shared" si="16"/>
        <v>2-0</v>
      </c>
      <c r="J203" t="str">
        <f t="shared" si="17"/>
        <v>2</v>
      </c>
      <c r="K203" t="str">
        <f t="shared" si="18"/>
        <v>0</v>
      </c>
      <c r="L203" t="str">
        <f t="shared" si="19"/>
        <v>Real Madrid</v>
      </c>
      <c r="M203" t="str">
        <f>IF(COUNTIF($A$2:A203,A203)=1,
     VLOOKUP(A203,Season_Winners!A:B,2,FALSE),
     "")</f>
        <v/>
      </c>
    </row>
    <row r="204" spans="1:14" x14ac:dyDescent="0.3">
      <c r="A204" t="s">
        <v>8</v>
      </c>
      <c r="B204">
        <v>21</v>
      </c>
      <c r="C204" t="s">
        <v>113</v>
      </c>
      <c r="D204" t="str">
        <f t="shared" si="15"/>
        <v>25.01.2014</v>
      </c>
      <c r="E204" s="1">
        <v>0.75</v>
      </c>
      <c r="F204" t="s">
        <v>14</v>
      </c>
      <c r="G204" t="s">
        <v>34</v>
      </c>
      <c r="H204" t="s">
        <v>18</v>
      </c>
      <c r="I204" t="str">
        <f t="shared" si="16"/>
        <v>1-0</v>
      </c>
      <c r="J204" t="str">
        <f t="shared" si="17"/>
        <v>1</v>
      </c>
      <c r="K204" t="str">
        <f t="shared" si="18"/>
        <v>0</v>
      </c>
      <c r="L204" t="str">
        <f t="shared" si="19"/>
        <v>Real Valladolid CF</v>
      </c>
      <c r="M204" t="str">
        <f>IF(COUNTIF($A$2:A204,A204)=1,
     VLOOKUP(A204,Season_Winners!A:B,2,FALSE),
     "")</f>
        <v/>
      </c>
    </row>
    <row r="205" spans="1:14" hidden="1" x14ac:dyDescent="0.3">
      <c r="A205" t="s">
        <v>8</v>
      </c>
      <c r="B205">
        <v>21</v>
      </c>
      <c r="C205" t="s">
        <v>113</v>
      </c>
      <c r="D205" t="str">
        <f t="shared" si="15"/>
        <v>25.01.2014</v>
      </c>
      <c r="E205" s="1">
        <v>0.83333333333333337</v>
      </c>
      <c r="F205" t="s">
        <v>16</v>
      </c>
      <c r="G205" t="s">
        <v>36</v>
      </c>
      <c r="H205" s="2">
        <v>46055</v>
      </c>
      <c r="I205" s="3" t="str">
        <f t="shared" si="16"/>
        <v/>
      </c>
      <c r="J205" t="str">
        <f t="shared" si="17"/>
        <v/>
      </c>
      <c r="K205" t="str">
        <f t="shared" si="18"/>
        <v/>
      </c>
      <c r="L205" t="str">
        <f t="shared" si="19"/>
        <v/>
      </c>
      <c r="M205" t="str">
        <f>IF(COUNTIF($A$2:A205,A205)=1,
     VLOOKUP(A205,Season_Winners!A:B,2,FALSE),
     "")</f>
        <v/>
      </c>
      <c r="N205" s="2"/>
    </row>
    <row r="206" spans="1:14" hidden="1" x14ac:dyDescent="0.3">
      <c r="A206" t="s">
        <v>8</v>
      </c>
      <c r="B206">
        <v>21</v>
      </c>
      <c r="C206" t="s">
        <v>113</v>
      </c>
      <c r="D206" t="str">
        <f t="shared" si="15"/>
        <v>25.01.2014</v>
      </c>
      <c r="E206" s="1">
        <v>0.91666666666666663</v>
      </c>
      <c r="F206" t="s">
        <v>27</v>
      </c>
      <c r="G206" t="s">
        <v>21</v>
      </c>
      <c r="H206" s="2">
        <v>46083</v>
      </c>
      <c r="I206" s="3" t="str">
        <f t="shared" si="16"/>
        <v/>
      </c>
      <c r="J206" t="str">
        <f t="shared" si="17"/>
        <v/>
      </c>
      <c r="K206" t="str">
        <f t="shared" si="18"/>
        <v/>
      </c>
      <c r="L206" t="str">
        <f t="shared" si="19"/>
        <v/>
      </c>
      <c r="M206" t="str">
        <f>IF(COUNTIF($A$2:A206,A206)=1,
     VLOOKUP(A206,Season_Winners!A:B,2,FALSE),
     "")</f>
        <v/>
      </c>
      <c r="N206" s="2"/>
    </row>
    <row r="207" spans="1:14" x14ac:dyDescent="0.3">
      <c r="A207" t="s">
        <v>8</v>
      </c>
      <c r="B207">
        <v>21</v>
      </c>
      <c r="C207" t="s">
        <v>114</v>
      </c>
      <c r="D207" t="str">
        <f t="shared" si="15"/>
        <v>26.01.2014</v>
      </c>
      <c r="E207" s="1">
        <v>0.5</v>
      </c>
      <c r="F207" t="s">
        <v>33</v>
      </c>
      <c r="G207" t="s">
        <v>11</v>
      </c>
      <c r="H207" t="s">
        <v>18</v>
      </c>
      <c r="I207" t="str">
        <f t="shared" si="16"/>
        <v>1-0</v>
      </c>
      <c r="J207" t="str">
        <f t="shared" si="17"/>
        <v>1</v>
      </c>
      <c r="K207" t="str">
        <f t="shared" si="18"/>
        <v>0</v>
      </c>
      <c r="L207" t="str">
        <f t="shared" si="19"/>
        <v>UD AlmerÃ­a</v>
      </c>
      <c r="M207" t="str">
        <f>IF(COUNTIF($A$2:A207,A207)=1,
     VLOOKUP(A207,Season_Winners!A:B,2,FALSE),
     "")</f>
        <v/>
      </c>
    </row>
    <row r="208" spans="1:14" hidden="1" x14ac:dyDescent="0.3">
      <c r="A208" t="s">
        <v>8</v>
      </c>
      <c r="B208">
        <v>21</v>
      </c>
      <c r="C208" t="s">
        <v>114</v>
      </c>
      <c r="D208" t="str">
        <f t="shared" si="15"/>
        <v>26.01.2014</v>
      </c>
      <c r="E208" s="1">
        <v>0.70833333333333337</v>
      </c>
      <c r="F208" t="s">
        <v>23</v>
      </c>
      <c r="G208" t="s">
        <v>15</v>
      </c>
      <c r="H208" s="2">
        <v>46143</v>
      </c>
      <c r="I208" s="3" t="str">
        <f t="shared" si="16"/>
        <v/>
      </c>
      <c r="J208" t="str">
        <f t="shared" si="17"/>
        <v/>
      </c>
      <c r="K208" t="str">
        <f t="shared" si="18"/>
        <v/>
      </c>
      <c r="L208" t="str">
        <f t="shared" si="19"/>
        <v/>
      </c>
      <c r="M208" t="str">
        <f>IF(COUNTIF($A$2:A208,A208)=1,
     VLOOKUP(A208,Season_Winners!A:B,2,FALSE),
     "")</f>
        <v/>
      </c>
      <c r="N208" s="2"/>
    </row>
    <row r="209" spans="1:14" hidden="1" x14ac:dyDescent="0.3">
      <c r="A209" t="s">
        <v>8</v>
      </c>
      <c r="B209">
        <v>21</v>
      </c>
      <c r="C209" t="s">
        <v>114</v>
      </c>
      <c r="D209" t="str">
        <f t="shared" si="15"/>
        <v>26.01.2014</v>
      </c>
      <c r="E209" s="1">
        <v>0.79166666666666663</v>
      </c>
      <c r="F209" t="s">
        <v>30</v>
      </c>
      <c r="G209" t="s">
        <v>28</v>
      </c>
      <c r="H209" s="2">
        <v>46114</v>
      </c>
      <c r="I209" s="3" t="str">
        <f t="shared" si="16"/>
        <v/>
      </c>
      <c r="J209" t="str">
        <f t="shared" si="17"/>
        <v/>
      </c>
      <c r="K209" t="str">
        <f t="shared" si="18"/>
        <v/>
      </c>
      <c r="L209" t="str">
        <f t="shared" si="19"/>
        <v/>
      </c>
      <c r="M209" t="str">
        <f>IF(COUNTIF($A$2:A209,A209)=1,
     VLOOKUP(A209,Season_Winners!A:B,2,FALSE),
     "")</f>
        <v/>
      </c>
      <c r="N209" s="2"/>
    </row>
    <row r="210" spans="1:14" x14ac:dyDescent="0.3">
      <c r="A210" t="s">
        <v>8</v>
      </c>
      <c r="B210">
        <v>21</v>
      </c>
      <c r="C210" t="s">
        <v>114</v>
      </c>
      <c r="D210" t="str">
        <f t="shared" si="15"/>
        <v>26.01.2014</v>
      </c>
      <c r="E210" s="1">
        <v>0.875</v>
      </c>
      <c r="F210" t="s">
        <v>20</v>
      </c>
      <c r="G210" t="s">
        <v>17</v>
      </c>
      <c r="H210" t="s">
        <v>32</v>
      </c>
      <c r="I210" t="str">
        <f t="shared" si="16"/>
        <v>3-0</v>
      </c>
      <c r="J210" t="str">
        <f t="shared" si="17"/>
        <v>3</v>
      </c>
      <c r="K210" t="str">
        <f t="shared" si="18"/>
        <v>0</v>
      </c>
      <c r="L210" t="str">
        <f t="shared" si="19"/>
        <v>FC Barcelona</v>
      </c>
      <c r="M210" t="str">
        <f>IF(COUNTIF($A$2:A210,A210)=1,
     VLOOKUP(A210,Season_Winners!A:B,2,FALSE),
     "")</f>
        <v/>
      </c>
    </row>
    <row r="211" spans="1:14" x14ac:dyDescent="0.3">
      <c r="A211" t="s">
        <v>8</v>
      </c>
      <c r="B211">
        <v>21</v>
      </c>
      <c r="C211" t="s">
        <v>115</v>
      </c>
      <c r="D211" t="str">
        <f t="shared" si="15"/>
        <v>27.01.2014</v>
      </c>
      <c r="E211" s="1">
        <v>0.91666666666666663</v>
      </c>
      <c r="F211" t="s">
        <v>10</v>
      </c>
      <c r="G211" t="s">
        <v>31</v>
      </c>
      <c r="H211" t="s">
        <v>88</v>
      </c>
      <c r="I211" t="str">
        <f t="shared" si="16"/>
        <v>4-0</v>
      </c>
      <c r="J211" t="str">
        <f t="shared" si="17"/>
        <v>4</v>
      </c>
      <c r="K211" t="str">
        <f t="shared" si="18"/>
        <v>0</v>
      </c>
      <c r="L211" t="str">
        <f t="shared" si="19"/>
        <v>Real Sociedad</v>
      </c>
      <c r="M211" t="str">
        <f>IF(COUNTIF($A$2:A211,A211)=1,
     VLOOKUP(A211,Season_Winners!A:B,2,FALSE),
     "")</f>
        <v/>
      </c>
    </row>
    <row r="212" spans="1:14" hidden="1" x14ac:dyDescent="0.3">
      <c r="A212" t="s">
        <v>8</v>
      </c>
      <c r="B212">
        <v>22</v>
      </c>
      <c r="C212" t="s">
        <v>116</v>
      </c>
      <c r="D212" t="str">
        <f t="shared" si="15"/>
        <v>31.01.2014</v>
      </c>
      <c r="E212" s="1">
        <v>0.875</v>
      </c>
      <c r="F212" t="s">
        <v>24</v>
      </c>
      <c r="G212" t="s">
        <v>35</v>
      </c>
      <c r="H212" s="2">
        <v>46054</v>
      </c>
      <c r="I212" s="3" t="str">
        <f t="shared" si="16"/>
        <v/>
      </c>
      <c r="J212" t="str">
        <f t="shared" si="17"/>
        <v/>
      </c>
      <c r="K212" t="str">
        <f t="shared" si="18"/>
        <v/>
      </c>
      <c r="L212" t="str">
        <f t="shared" si="19"/>
        <v/>
      </c>
      <c r="M212" t="str">
        <f>IF(COUNTIF($A$2:A212,A212)=1,
     VLOOKUP(A212,Season_Winners!A:B,2,FALSE),
     "")</f>
        <v/>
      </c>
      <c r="N212" s="2"/>
    </row>
    <row r="213" spans="1:14" hidden="1" x14ac:dyDescent="0.3">
      <c r="A213" t="s">
        <v>8</v>
      </c>
      <c r="B213">
        <v>22</v>
      </c>
      <c r="C213" t="s">
        <v>117</v>
      </c>
      <c r="D213" t="str">
        <f t="shared" si="15"/>
        <v>01.02.2014</v>
      </c>
      <c r="E213" s="1">
        <v>0.66666666666666663</v>
      </c>
      <c r="F213" t="s">
        <v>20</v>
      </c>
      <c r="G213" t="s">
        <v>16</v>
      </c>
      <c r="H213" s="2">
        <v>46083</v>
      </c>
      <c r="I213" s="3" t="str">
        <f t="shared" si="16"/>
        <v/>
      </c>
      <c r="J213" t="str">
        <f t="shared" si="17"/>
        <v/>
      </c>
      <c r="K213" t="str">
        <f t="shared" si="18"/>
        <v/>
      </c>
      <c r="L213" t="str">
        <f t="shared" si="19"/>
        <v/>
      </c>
      <c r="M213" t="str">
        <f>IF(COUNTIF($A$2:A213,A213)=1,
     VLOOKUP(A213,Season_Winners!A:B,2,FALSE),
     "")</f>
        <v/>
      </c>
      <c r="N213" s="2"/>
    </row>
    <row r="214" spans="1:14" x14ac:dyDescent="0.3">
      <c r="A214" t="s">
        <v>8</v>
      </c>
      <c r="B214">
        <v>22</v>
      </c>
      <c r="C214" t="s">
        <v>117</v>
      </c>
      <c r="D214" t="str">
        <f t="shared" si="15"/>
        <v>01.02.2014</v>
      </c>
      <c r="E214" s="1">
        <v>0.75</v>
      </c>
      <c r="F214" t="s">
        <v>21</v>
      </c>
      <c r="G214" t="s">
        <v>30</v>
      </c>
      <c r="H214" t="s">
        <v>41</v>
      </c>
      <c r="I214" t="str">
        <f t="shared" si="16"/>
        <v>0-0</v>
      </c>
      <c r="J214" t="str">
        <f t="shared" si="17"/>
        <v>0</v>
      </c>
      <c r="K214" t="str">
        <f t="shared" si="18"/>
        <v>0</v>
      </c>
      <c r="L214" t="str">
        <f t="shared" si="19"/>
        <v>Draw</v>
      </c>
      <c r="M214" t="str">
        <f>IF(COUNTIF($A$2:A214,A214)=1,
     VLOOKUP(A214,Season_Winners!A:B,2,FALSE),
     "")</f>
        <v/>
      </c>
    </row>
    <row r="215" spans="1:14" x14ac:dyDescent="0.3">
      <c r="A215" t="s">
        <v>8</v>
      </c>
      <c r="B215">
        <v>22</v>
      </c>
      <c r="C215" t="s">
        <v>117</v>
      </c>
      <c r="D215" t="str">
        <f t="shared" si="15"/>
        <v>01.02.2014</v>
      </c>
      <c r="E215" s="1">
        <v>0.83333333333333337</v>
      </c>
      <c r="F215" t="s">
        <v>11</v>
      </c>
      <c r="G215" t="s">
        <v>14</v>
      </c>
      <c r="H215" t="s">
        <v>41</v>
      </c>
      <c r="I215" t="str">
        <f t="shared" si="16"/>
        <v>0-0</v>
      </c>
      <c r="J215" t="str">
        <f t="shared" si="17"/>
        <v>0</v>
      </c>
      <c r="K215" t="str">
        <f t="shared" si="18"/>
        <v>0</v>
      </c>
      <c r="L215" t="str">
        <f t="shared" si="19"/>
        <v>Draw</v>
      </c>
      <c r="M215" t="str">
        <f>IF(COUNTIF($A$2:A215,A215)=1,
     VLOOKUP(A215,Season_Winners!A:B,2,FALSE),
     "")</f>
        <v/>
      </c>
    </row>
    <row r="216" spans="1:14" hidden="1" x14ac:dyDescent="0.3">
      <c r="A216" t="s">
        <v>8</v>
      </c>
      <c r="B216">
        <v>22</v>
      </c>
      <c r="C216" t="s">
        <v>117</v>
      </c>
      <c r="D216" t="str">
        <f t="shared" si="15"/>
        <v>01.02.2014</v>
      </c>
      <c r="E216" s="1">
        <v>0.91666666666666663</v>
      </c>
      <c r="F216" t="s">
        <v>17</v>
      </c>
      <c r="G216" t="s">
        <v>27</v>
      </c>
      <c r="H216" s="2">
        <v>46056</v>
      </c>
      <c r="I216" s="3" t="str">
        <f t="shared" si="16"/>
        <v/>
      </c>
      <c r="J216" t="str">
        <f t="shared" si="17"/>
        <v/>
      </c>
      <c r="K216" t="str">
        <f t="shared" si="18"/>
        <v/>
      </c>
      <c r="L216" t="str">
        <f t="shared" si="19"/>
        <v/>
      </c>
      <c r="M216" t="str">
        <f>IF(COUNTIF($A$2:A216,A216)=1,
     VLOOKUP(A216,Season_Winners!A:B,2,FALSE),
     "")</f>
        <v/>
      </c>
      <c r="N216" s="2"/>
    </row>
    <row r="217" spans="1:14" x14ac:dyDescent="0.3">
      <c r="A217" t="s">
        <v>8</v>
      </c>
      <c r="B217">
        <v>22</v>
      </c>
      <c r="C217" t="s">
        <v>118</v>
      </c>
      <c r="D217" t="str">
        <f t="shared" si="15"/>
        <v>02.02.2014</v>
      </c>
      <c r="E217" s="1">
        <v>0.5</v>
      </c>
      <c r="F217" t="s">
        <v>31</v>
      </c>
      <c r="G217" t="s">
        <v>33</v>
      </c>
      <c r="H217" t="s">
        <v>18</v>
      </c>
      <c r="I217" t="str">
        <f t="shared" si="16"/>
        <v>1-0</v>
      </c>
      <c r="J217" t="str">
        <f t="shared" si="17"/>
        <v>1</v>
      </c>
      <c r="K217" t="str">
        <f t="shared" si="18"/>
        <v>0</v>
      </c>
      <c r="L217" t="str">
        <f t="shared" si="19"/>
        <v>Elche CF</v>
      </c>
      <c r="M217" t="str">
        <f>IF(COUNTIF($A$2:A217,A217)=1,
     VLOOKUP(A217,Season_Winners!A:B,2,FALSE),
     "")</f>
        <v/>
      </c>
    </row>
    <row r="218" spans="1:14" x14ac:dyDescent="0.3">
      <c r="A218" t="s">
        <v>8</v>
      </c>
      <c r="B218">
        <v>22</v>
      </c>
      <c r="C218" t="s">
        <v>118</v>
      </c>
      <c r="D218" t="str">
        <f t="shared" si="15"/>
        <v>02.02.2014</v>
      </c>
      <c r="E218" s="1">
        <v>0.70833333333333337</v>
      </c>
      <c r="F218" t="s">
        <v>26</v>
      </c>
      <c r="G218" t="s">
        <v>36</v>
      </c>
      <c r="H218" t="s">
        <v>12</v>
      </c>
      <c r="I218" t="str">
        <f t="shared" si="16"/>
        <v>2-0</v>
      </c>
      <c r="J218" t="str">
        <f t="shared" si="17"/>
        <v>2</v>
      </c>
      <c r="K218" t="str">
        <f t="shared" si="18"/>
        <v>0</v>
      </c>
      <c r="L218" t="str">
        <f t="shared" si="19"/>
        <v>Real Betis</v>
      </c>
      <c r="M218" t="str">
        <f>IF(COUNTIF($A$2:A218,A218)=1,
     VLOOKUP(A218,Season_Winners!A:B,2,FALSE),
     "")</f>
        <v/>
      </c>
    </row>
    <row r="219" spans="1:14" x14ac:dyDescent="0.3">
      <c r="A219" t="s">
        <v>8</v>
      </c>
      <c r="B219">
        <v>22</v>
      </c>
      <c r="C219" t="s">
        <v>118</v>
      </c>
      <c r="D219" t="str">
        <f t="shared" si="15"/>
        <v>02.02.2014</v>
      </c>
      <c r="E219" s="1">
        <v>0.79166666666666663</v>
      </c>
      <c r="F219" t="s">
        <v>1425</v>
      </c>
      <c r="G219" t="s">
        <v>10</v>
      </c>
      <c r="H219" t="s">
        <v>88</v>
      </c>
      <c r="I219" t="str">
        <f t="shared" si="16"/>
        <v>4-0</v>
      </c>
      <c r="J219" t="str">
        <f t="shared" si="17"/>
        <v>4</v>
      </c>
      <c r="K219" t="str">
        <f t="shared" si="18"/>
        <v>0</v>
      </c>
      <c r="L219" t="str">
        <f t="shared" si="19"/>
        <v>Atlético de Madrid</v>
      </c>
      <c r="M219" t="str">
        <f>IF(COUNTIF($A$2:A219,A219)=1,
     VLOOKUP(A219,Season_Winners!A:B,2,FALSE),
     "")</f>
        <v/>
      </c>
    </row>
    <row r="220" spans="1:14" hidden="1" x14ac:dyDescent="0.3">
      <c r="A220" t="s">
        <v>8</v>
      </c>
      <c r="B220">
        <v>22</v>
      </c>
      <c r="C220" t="s">
        <v>118</v>
      </c>
      <c r="D220" t="str">
        <f t="shared" si="15"/>
        <v>02.02.2014</v>
      </c>
      <c r="E220" s="1">
        <v>0.875</v>
      </c>
      <c r="F220" t="s">
        <v>15</v>
      </c>
      <c r="G220" t="s">
        <v>25</v>
      </c>
      <c r="H220" s="2">
        <v>46023</v>
      </c>
      <c r="I220" s="3" t="str">
        <f t="shared" si="16"/>
        <v/>
      </c>
      <c r="J220" t="str">
        <f t="shared" si="17"/>
        <v/>
      </c>
      <c r="K220" t="str">
        <f t="shared" si="18"/>
        <v/>
      </c>
      <c r="L220" t="str">
        <f t="shared" si="19"/>
        <v/>
      </c>
      <c r="M220" t="str">
        <f>IF(COUNTIF($A$2:A220,A220)=1,
     VLOOKUP(A220,Season_Winners!A:B,2,FALSE),
     "")</f>
        <v/>
      </c>
      <c r="N220" s="2"/>
    </row>
    <row r="221" spans="1:14" hidden="1" x14ac:dyDescent="0.3">
      <c r="A221" t="s">
        <v>8</v>
      </c>
      <c r="B221">
        <v>22</v>
      </c>
      <c r="C221" t="s">
        <v>119</v>
      </c>
      <c r="D221" t="str">
        <f t="shared" si="15"/>
        <v>03.02.2014</v>
      </c>
      <c r="E221" s="1">
        <v>0.91666666666666663</v>
      </c>
      <c r="F221" t="s">
        <v>34</v>
      </c>
      <c r="G221" t="s">
        <v>23</v>
      </c>
      <c r="H221" s="2">
        <v>46025</v>
      </c>
      <c r="I221" s="3" t="str">
        <f t="shared" si="16"/>
        <v/>
      </c>
      <c r="J221" t="str">
        <f t="shared" si="17"/>
        <v/>
      </c>
      <c r="K221" t="str">
        <f t="shared" si="18"/>
        <v/>
      </c>
      <c r="L221" t="str">
        <f t="shared" si="19"/>
        <v/>
      </c>
      <c r="M221" t="str">
        <f>IF(COUNTIF($A$2:A221,A221)=1,
     VLOOKUP(A221,Season_Winners!A:B,2,FALSE),
     "")</f>
        <v/>
      </c>
      <c r="N221" s="2"/>
    </row>
    <row r="222" spans="1:14" x14ac:dyDescent="0.3">
      <c r="A222" t="s">
        <v>8</v>
      </c>
      <c r="B222">
        <v>23</v>
      </c>
      <c r="C222" t="s">
        <v>120</v>
      </c>
      <c r="D222" t="str">
        <f t="shared" si="15"/>
        <v>07.02.2014</v>
      </c>
      <c r="E222" s="1">
        <v>0.875</v>
      </c>
      <c r="F222" t="s">
        <v>36</v>
      </c>
      <c r="G222" t="s">
        <v>24</v>
      </c>
      <c r="H222" t="s">
        <v>18</v>
      </c>
      <c r="I222" t="str">
        <f t="shared" si="16"/>
        <v>1-0</v>
      </c>
      <c r="J222" t="str">
        <f t="shared" si="17"/>
        <v>1</v>
      </c>
      <c r="K222" t="str">
        <f t="shared" si="18"/>
        <v>0</v>
      </c>
      <c r="L222" t="str">
        <f t="shared" si="19"/>
        <v>RCD Espanyol de Barcelona</v>
      </c>
      <c r="M222" t="str">
        <f>IF(COUNTIF($A$2:A222,A222)=1,
     VLOOKUP(A222,Season_Winners!A:B,2,FALSE),
     "")</f>
        <v/>
      </c>
    </row>
    <row r="223" spans="1:14" x14ac:dyDescent="0.3">
      <c r="A223" t="s">
        <v>8</v>
      </c>
      <c r="B223">
        <v>23</v>
      </c>
      <c r="C223" t="s">
        <v>121</v>
      </c>
      <c r="D223" t="str">
        <f t="shared" si="15"/>
        <v>08.02.2014</v>
      </c>
      <c r="E223" s="1">
        <v>0.66666666666666663</v>
      </c>
      <c r="F223" t="s">
        <v>16</v>
      </c>
      <c r="G223" t="s">
        <v>26</v>
      </c>
      <c r="H223" t="s">
        <v>40</v>
      </c>
      <c r="I223" t="str">
        <f t="shared" si="16"/>
        <v>5-0</v>
      </c>
      <c r="J223" t="str">
        <f t="shared" si="17"/>
        <v>5</v>
      </c>
      <c r="K223" t="str">
        <f t="shared" si="18"/>
        <v>0</v>
      </c>
      <c r="L223" t="str">
        <f t="shared" si="19"/>
        <v>Valencia CF</v>
      </c>
      <c r="M223" t="str">
        <f>IF(COUNTIF($A$2:A223,A223)=1,
     VLOOKUP(A223,Season_Winners!A:B,2,FALSE),
     "")</f>
        <v/>
      </c>
    </row>
    <row r="224" spans="1:14" hidden="1" x14ac:dyDescent="0.3">
      <c r="A224" t="s">
        <v>8</v>
      </c>
      <c r="B224">
        <v>23</v>
      </c>
      <c r="C224" t="s">
        <v>121</v>
      </c>
      <c r="D224" t="str">
        <f t="shared" si="15"/>
        <v>08.02.2014</v>
      </c>
      <c r="E224" s="1">
        <v>0.75</v>
      </c>
      <c r="F224" t="s">
        <v>30</v>
      </c>
      <c r="G224" t="s">
        <v>17</v>
      </c>
      <c r="H224" s="2">
        <v>46026</v>
      </c>
      <c r="I224" s="3" t="str">
        <f t="shared" si="16"/>
        <v/>
      </c>
      <c r="J224" t="str">
        <f t="shared" si="17"/>
        <v/>
      </c>
      <c r="K224" t="str">
        <f t="shared" si="18"/>
        <v/>
      </c>
      <c r="L224" t="str">
        <f t="shared" si="19"/>
        <v/>
      </c>
      <c r="M224" t="str">
        <f>IF(COUNTIF($A$2:A224,A224)=1,
     VLOOKUP(A224,Season_Winners!A:B,2,FALSE),
     "")</f>
        <v/>
      </c>
      <c r="N224" s="2"/>
    </row>
    <row r="225" spans="1:14" hidden="1" x14ac:dyDescent="0.3">
      <c r="A225" t="s">
        <v>8</v>
      </c>
      <c r="B225">
        <v>23</v>
      </c>
      <c r="C225" t="s">
        <v>121</v>
      </c>
      <c r="D225" t="str">
        <f t="shared" si="15"/>
        <v>08.02.2014</v>
      </c>
      <c r="E225" s="1">
        <v>0.83333333333333337</v>
      </c>
      <c r="F225" t="s">
        <v>25</v>
      </c>
      <c r="G225" t="s">
        <v>34</v>
      </c>
      <c r="H225" s="2">
        <v>46057</v>
      </c>
      <c r="I225" s="3" t="str">
        <f t="shared" si="16"/>
        <v/>
      </c>
      <c r="J225" t="str">
        <f t="shared" si="17"/>
        <v/>
      </c>
      <c r="K225" t="str">
        <f t="shared" si="18"/>
        <v/>
      </c>
      <c r="L225" t="str">
        <f t="shared" si="19"/>
        <v/>
      </c>
      <c r="M225" t="str">
        <f>IF(COUNTIF($A$2:A225,A225)=1,
     VLOOKUP(A225,Season_Winners!A:B,2,FALSE),
     "")</f>
        <v/>
      </c>
      <c r="N225" s="2"/>
    </row>
    <row r="226" spans="1:14" x14ac:dyDescent="0.3">
      <c r="A226" t="s">
        <v>8</v>
      </c>
      <c r="B226">
        <v>23</v>
      </c>
      <c r="C226" t="s">
        <v>121</v>
      </c>
      <c r="D226" t="str">
        <f t="shared" si="15"/>
        <v>08.02.2014</v>
      </c>
      <c r="E226" s="1">
        <v>0.91666666666666663</v>
      </c>
      <c r="F226" t="s">
        <v>33</v>
      </c>
      <c r="G226" t="s">
        <v>1425</v>
      </c>
      <c r="H226" t="s">
        <v>12</v>
      </c>
      <c r="I226" t="str">
        <f t="shared" si="16"/>
        <v>2-0</v>
      </c>
      <c r="J226" t="str">
        <f t="shared" si="17"/>
        <v>2</v>
      </c>
      <c r="K226" t="str">
        <f t="shared" si="18"/>
        <v>0</v>
      </c>
      <c r="L226" t="str">
        <f t="shared" si="19"/>
        <v>UD AlmerÃ­a</v>
      </c>
      <c r="M226" t="str">
        <f>IF(COUNTIF($A$2:A226,A226)=1,
     VLOOKUP(A226,Season_Winners!A:B,2,FALSE),
     "")</f>
        <v/>
      </c>
    </row>
    <row r="227" spans="1:14" x14ac:dyDescent="0.3">
      <c r="A227" t="s">
        <v>8</v>
      </c>
      <c r="B227">
        <v>23</v>
      </c>
      <c r="C227" t="s">
        <v>122</v>
      </c>
      <c r="D227" t="str">
        <f t="shared" si="15"/>
        <v>09.02.2014</v>
      </c>
      <c r="E227" s="1">
        <v>0.5</v>
      </c>
      <c r="F227" t="s">
        <v>23</v>
      </c>
      <c r="G227" t="s">
        <v>11</v>
      </c>
      <c r="H227" t="s">
        <v>12</v>
      </c>
      <c r="I227" t="str">
        <f t="shared" si="16"/>
        <v>2-0</v>
      </c>
      <c r="J227" t="str">
        <f t="shared" si="17"/>
        <v>2</v>
      </c>
      <c r="K227" t="str">
        <f t="shared" si="18"/>
        <v>0</v>
      </c>
      <c r="L227" t="str">
        <f t="shared" si="19"/>
        <v>CA Osasuna</v>
      </c>
      <c r="M227" t="str">
        <f>IF(COUNTIF($A$2:A227,A227)=1,
     VLOOKUP(A227,Season_Winners!A:B,2,FALSE),
     "")</f>
        <v/>
      </c>
    </row>
    <row r="228" spans="1:14" hidden="1" x14ac:dyDescent="0.3">
      <c r="A228" t="s">
        <v>8</v>
      </c>
      <c r="B228">
        <v>23</v>
      </c>
      <c r="C228" t="s">
        <v>122</v>
      </c>
      <c r="D228" t="str">
        <f t="shared" si="15"/>
        <v>09.02.2014</v>
      </c>
      <c r="E228" s="1">
        <v>0.70833333333333337</v>
      </c>
      <c r="F228" t="s">
        <v>14</v>
      </c>
      <c r="G228" t="s">
        <v>31</v>
      </c>
      <c r="H228" s="2">
        <v>46055</v>
      </c>
      <c r="I228" s="3" t="str">
        <f t="shared" si="16"/>
        <v/>
      </c>
      <c r="J228" t="str">
        <f t="shared" si="17"/>
        <v/>
      </c>
      <c r="K228" t="str">
        <f t="shared" si="18"/>
        <v/>
      </c>
      <c r="L228" t="str">
        <f t="shared" si="19"/>
        <v/>
      </c>
      <c r="M228" t="str">
        <f>IF(COUNTIF($A$2:A228,A228)=1,
     VLOOKUP(A228,Season_Winners!A:B,2,FALSE),
     "")</f>
        <v/>
      </c>
      <c r="N228" s="2"/>
    </row>
    <row r="229" spans="1:14" x14ac:dyDescent="0.3">
      <c r="A229" t="s">
        <v>8</v>
      </c>
      <c r="B229">
        <v>23</v>
      </c>
      <c r="C229" t="s">
        <v>122</v>
      </c>
      <c r="D229" t="str">
        <f t="shared" si="15"/>
        <v>09.02.2014</v>
      </c>
      <c r="E229" s="1">
        <v>0.79166666666666663</v>
      </c>
      <c r="F229" t="s">
        <v>10</v>
      </c>
      <c r="G229" t="s">
        <v>21</v>
      </c>
      <c r="H229" t="s">
        <v>41</v>
      </c>
      <c r="I229" t="str">
        <f t="shared" si="16"/>
        <v>0-0</v>
      </c>
      <c r="J229" t="str">
        <f t="shared" si="17"/>
        <v>0</v>
      </c>
      <c r="K229" t="str">
        <f t="shared" si="18"/>
        <v>0</v>
      </c>
      <c r="L229" t="str">
        <f t="shared" si="19"/>
        <v>Draw</v>
      </c>
      <c r="M229" t="str">
        <f>IF(COUNTIF($A$2:A229,A229)=1,
     VLOOKUP(A229,Season_Winners!A:B,2,FALSE),
     "")</f>
        <v/>
      </c>
    </row>
    <row r="230" spans="1:14" hidden="1" x14ac:dyDescent="0.3">
      <c r="A230" t="s">
        <v>8</v>
      </c>
      <c r="B230">
        <v>23</v>
      </c>
      <c r="C230" t="s">
        <v>122</v>
      </c>
      <c r="D230" t="str">
        <f t="shared" si="15"/>
        <v>09.02.2014</v>
      </c>
      <c r="E230" s="1">
        <v>0.875</v>
      </c>
      <c r="F230" t="s">
        <v>27</v>
      </c>
      <c r="G230" t="s">
        <v>20</v>
      </c>
      <c r="H230" s="2">
        <v>46113</v>
      </c>
      <c r="I230" s="3" t="str">
        <f t="shared" si="16"/>
        <v/>
      </c>
      <c r="J230" t="str">
        <f t="shared" si="17"/>
        <v/>
      </c>
      <c r="K230" t="str">
        <f t="shared" si="18"/>
        <v/>
      </c>
      <c r="L230" t="str">
        <f t="shared" si="19"/>
        <v/>
      </c>
      <c r="M230" t="str">
        <f>IF(COUNTIF($A$2:A230,A230)=1,
     VLOOKUP(A230,Season_Winners!A:B,2,FALSE),
     "")</f>
        <v/>
      </c>
      <c r="N230" s="2"/>
    </row>
    <row r="231" spans="1:14" x14ac:dyDescent="0.3">
      <c r="A231" t="s">
        <v>8</v>
      </c>
      <c r="B231">
        <v>23</v>
      </c>
      <c r="C231" t="s">
        <v>123</v>
      </c>
      <c r="D231" t="str">
        <f t="shared" si="15"/>
        <v>10.02.2014</v>
      </c>
      <c r="E231" s="1">
        <v>0.91666666666666663</v>
      </c>
      <c r="F231" t="s">
        <v>35</v>
      </c>
      <c r="G231" t="s">
        <v>15</v>
      </c>
      <c r="H231" t="s">
        <v>41</v>
      </c>
      <c r="I231" t="str">
        <f t="shared" si="16"/>
        <v>0-0</v>
      </c>
      <c r="J231" t="str">
        <f t="shared" si="17"/>
        <v>0</v>
      </c>
      <c r="K231" t="str">
        <f t="shared" si="18"/>
        <v>0</v>
      </c>
      <c r="L231" t="str">
        <f t="shared" si="19"/>
        <v>Draw</v>
      </c>
      <c r="M231" t="str">
        <f>IF(COUNTIF($A$2:A231,A231)=1,
     VLOOKUP(A231,Season_Winners!A:B,2,FALSE),
     "")</f>
        <v/>
      </c>
    </row>
    <row r="232" spans="1:14" x14ac:dyDescent="0.3">
      <c r="A232" t="s">
        <v>8</v>
      </c>
      <c r="B232">
        <v>24</v>
      </c>
      <c r="C232" t="s">
        <v>124</v>
      </c>
      <c r="D232" t="str">
        <f t="shared" si="15"/>
        <v>14.02.2014</v>
      </c>
      <c r="E232" s="1">
        <v>0.875</v>
      </c>
      <c r="F232" t="s">
        <v>31</v>
      </c>
      <c r="G232" t="s">
        <v>23</v>
      </c>
      <c r="H232" t="s">
        <v>41</v>
      </c>
      <c r="I232" t="str">
        <f t="shared" si="16"/>
        <v>0-0</v>
      </c>
      <c r="J232" t="str">
        <f t="shared" si="17"/>
        <v>0</v>
      </c>
      <c r="K232" t="str">
        <f t="shared" si="18"/>
        <v>0</v>
      </c>
      <c r="L232" t="str">
        <f t="shared" si="19"/>
        <v>Draw</v>
      </c>
      <c r="M232" t="str">
        <f>IF(COUNTIF($A$2:A232,A232)=1,
     VLOOKUP(A232,Season_Winners!A:B,2,FALSE),
     "")</f>
        <v/>
      </c>
    </row>
    <row r="233" spans="1:14" x14ac:dyDescent="0.3">
      <c r="A233" t="s">
        <v>8</v>
      </c>
      <c r="B233">
        <v>24</v>
      </c>
      <c r="C233" t="s">
        <v>125</v>
      </c>
      <c r="D233" t="str">
        <f t="shared" si="15"/>
        <v>15.02.2014</v>
      </c>
      <c r="E233" s="1">
        <v>0.66666666666666663</v>
      </c>
      <c r="F233" t="s">
        <v>1425</v>
      </c>
      <c r="G233" t="s">
        <v>14</v>
      </c>
      <c r="H233" t="s">
        <v>32</v>
      </c>
      <c r="I233" t="str">
        <f t="shared" si="16"/>
        <v>3-0</v>
      </c>
      <c r="J233" t="str">
        <f t="shared" si="17"/>
        <v>3</v>
      </c>
      <c r="K233" t="str">
        <f t="shared" si="18"/>
        <v>0</v>
      </c>
      <c r="L233" t="str">
        <f t="shared" si="19"/>
        <v>Atlético de Madrid</v>
      </c>
      <c r="M233" t="str">
        <f>IF(COUNTIF($A$2:A233,A233)=1,
     VLOOKUP(A233,Season_Winners!A:B,2,FALSE),
     "")</f>
        <v/>
      </c>
    </row>
    <row r="234" spans="1:14" x14ac:dyDescent="0.3">
      <c r="A234" t="s">
        <v>8</v>
      </c>
      <c r="B234">
        <v>24</v>
      </c>
      <c r="C234" t="s">
        <v>125</v>
      </c>
      <c r="D234" t="str">
        <f t="shared" si="15"/>
        <v>15.02.2014</v>
      </c>
      <c r="E234" s="1">
        <v>0.75</v>
      </c>
      <c r="F234" t="s">
        <v>21</v>
      </c>
      <c r="G234" t="s">
        <v>33</v>
      </c>
      <c r="H234" t="s">
        <v>18</v>
      </c>
      <c r="I234" t="str">
        <f t="shared" si="16"/>
        <v>1-0</v>
      </c>
      <c r="J234" t="str">
        <f t="shared" si="17"/>
        <v>1</v>
      </c>
      <c r="K234" t="str">
        <f t="shared" si="18"/>
        <v>0</v>
      </c>
      <c r="L234" t="str">
        <f t="shared" si="19"/>
        <v>Levante UD</v>
      </c>
      <c r="M234" t="str">
        <f>IF(COUNTIF($A$2:A234,A234)=1,
     VLOOKUP(A234,Season_Winners!A:B,2,FALSE),
     "")</f>
        <v/>
      </c>
    </row>
    <row r="235" spans="1:14" x14ac:dyDescent="0.3">
      <c r="A235" t="s">
        <v>8</v>
      </c>
      <c r="B235">
        <v>24</v>
      </c>
      <c r="C235" t="s">
        <v>125</v>
      </c>
      <c r="D235" t="str">
        <f t="shared" si="15"/>
        <v>15.02.2014</v>
      </c>
      <c r="E235" s="1">
        <v>0.83333333333333337</v>
      </c>
      <c r="F235" t="s">
        <v>20</v>
      </c>
      <c r="G235" t="s">
        <v>30</v>
      </c>
      <c r="H235" t="s">
        <v>126</v>
      </c>
      <c r="I235" t="str">
        <f t="shared" si="16"/>
        <v>6-0</v>
      </c>
      <c r="J235" t="str">
        <f t="shared" si="17"/>
        <v>6</v>
      </c>
      <c r="K235" t="str">
        <f t="shared" si="18"/>
        <v>0</v>
      </c>
      <c r="L235" t="str">
        <f t="shared" si="19"/>
        <v>FC Barcelona</v>
      </c>
      <c r="M235" t="str">
        <f>IF(COUNTIF($A$2:A235,A235)=1,
     VLOOKUP(A235,Season_Winners!A:B,2,FALSE),
     "")</f>
        <v/>
      </c>
    </row>
    <row r="236" spans="1:14" x14ac:dyDescent="0.3">
      <c r="A236" t="s">
        <v>8</v>
      </c>
      <c r="B236">
        <v>24</v>
      </c>
      <c r="C236" t="s">
        <v>125</v>
      </c>
      <c r="D236" t="str">
        <f t="shared" si="15"/>
        <v>15.02.2014</v>
      </c>
      <c r="E236" s="1">
        <v>0.91666666666666663</v>
      </c>
      <c r="F236" t="s">
        <v>34</v>
      </c>
      <c r="G236" t="s">
        <v>35</v>
      </c>
      <c r="H236" t="s">
        <v>54</v>
      </c>
      <c r="I236" t="str">
        <f t="shared" si="16"/>
        <v>0-2</v>
      </c>
      <c r="J236" t="str">
        <f t="shared" si="17"/>
        <v>0</v>
      </c>
      <c r="K236" t="str">
        <f t="shared" si="18"/>
        <v>2</v>
      </c>
      <c r="L236" t="str">
        <f t="shared" si="19"/>
        <v>RC Celta</v>
      </c>
      <c r="M236" t="str">
        <f>IF(COUNTIF($A$2:A236,A236)=1,
     VLOOKUP(A236,Season_Winners!A:B,2,FALSE),
     "")</f>
        <v/>
      </c>
    </row>
    <row r="237" spans="1:14" x14ac:dyDescent="0.3">
      <c r="A237" t="s">
        <v>8</v>
      </c>
      <c r="B237">
        <v>24</v>
      </c>
      <c r="C237" t="s">
        <v>127</v>
      </c>
      <c r="D237" t="str">
        <f t="shared" si="15"/>
        <v>16.02.2014</v>
      </c>
      <c r="E237" s="1">
        <v>0.5</v>
      </c>
      <c r="F237" t="s">
        <v>24</v>
      </c>
      <c r="G237" t="s">
        <v>26</v>
      </c>
      <c r="H237" t="s">
        <v>18</v>
      </c>
      <c r="I237" t="str">
        <f t="shared" si="16"/>
        <v>1-0</v>
      </c>
      <c r="J237" t="str">
        <f t="shared" si="17"/>
        <v>1</v>
      </c>
      <c r="K237" t="str">
        <f t="shared" si="18"/>
        <v>0</v>
      </c>
      <c r="L237" t="str">
        <f t="shared" si="19"/>
        <v>Granada CF</v>
      </c>
      <c r="M237" t="str">
        <f>IF(COUNTIF($A$2:A237,A237)=1,
     VLOOKUP(A237,Season_Winners!A:B,2,FALSE),
     "")</f>
        <v/>
      </c>
    </row>
    <row r="238" spans="1:14" x14ac:dyDescent="0.3">
      <c r="A238" t="s">
        <v>8</v>
      </c>
      <c r="B238">
        <v>24</v>
      </c>
      <c r="C238" t="s">
        <v>127</v>
      </c>
      <c r="D238" t="str">
        <f t="shared" si="15"/>
        <v>16.02.2014</v>
      </c>
      <c r="E238" s="1">
        <v>0.70833333333333337</v>
      </c>
      <c r="F238" t="s">
        <v>11</v>
      </c>
      <c r="G238" t="s">
        <v>25</v>
      </c>
      <c r="H238" t="s">
        <v>46</v>
      </c>
      <c r="I238" t="str">
        <f t="shared" si="16"/>
        <v>0-3</v>
      </c>
      <c r="J238" t="str">
        <f t="shared" si="17"/>
        <v>0</v>
      </c>
      <c r="K238" t="str">
        <f t="shared" si="18"/>
        <v>3</v>
      </c>
      <c r="L238" t="str">
        <f t="shared" si="19"/>
        <v>Real Madrid</v>
      </c>
      <c r="M238" t="str">
        <f>IF(COUNTIF($A$2:A238,A238)=1,
     VLOOKUP(A238,Season_Winners!A:B,2,FALSE),
     "")</f>
        <v/>
      </c>
    </row>
    <row r="239" spans="1:14" hidden="1" x14ac:dyDescent="0.3">
      <c r="A239" t="s">
        <v>8</v>
      </c>
      <c r="B239">
        <v>24</v>
      </c>
      <c r="C239" t="s">
        <v>127</v>
      </c>
      <c r="D239" t="str">
        <f t="shared" si="15"/>
        <v>16.02.2014</v>
      </c>
      <c r="E239" s="1">
        <v>0.79166666666666663</v>
      </c>
      <c r="F239" t="s">
        <v>15</v>
      </c>
      <c r="G239" t="s">
        <v>36</v>
      </c>
      <c r="H239" s="2">
        <v>46054</v>
      </c>
      <c r="I239" s="3" t="str">
        <f t="shared" si="16"/>
        <v/>
      </c>
      <c r="J239" t="str">
        <f t="shared" si="17"/>
        <v/>
      </c>
      <c r="K239" t="str">
        <f t="shared" si="18"/>
        <v/>
      </c>
      <c r="L239" t="str">
        <f t="shared" si="19"/>
        <v/>
      </c>
      <c r="M239" t="str">
        <f>IF(COUNTIF($A$2:A239,A239)=1,
     VLOOKUP(A239,Season_Winners!A:B,2,FALSE),
     "")</f>
        <v/>
      </c>
      <c r="N239" s="2"/>
    </row>
    <row r="240" spans="1:14" x14ac:dyDescent="0.3">
      <c r="A240" t="s">
        <v>8</v>
      </c>
      <c r="B240">
        <v>24</v>
      </c>
      <c r="C240" t="s">
        <v>127</v>
      </c>
      <c r="D240" t="str">
        <f t="shared" si="15"/>
        <v>16.02.2014</v>
      </c>
      <c r="E240" s="1">
        <v>0.875</v>
      </c>
      <c r="F240" t="s">
        <v>27</v>
      </c>
      <c r="G240" t="s">
        <v>16</v>
      </c>
      <c r="H240" t="s">
        <v>41</v>
      </c>
      <c r="I240" t="str">
        <f t="shared" si="16"/>
        <v>0-0</v>
      </c>
      <c r="J240" t="str">
        <f t="shared" si="17"/>
        <v>0</v>
      </c>
      <c r="K240" t="str">
        <f t="shared" si="18"/>
        <v>0</v>
      </c>
      <c r="L240" t="str">
        <f t="shared" si="19"/>
        <v>Draw</v>
      </c>
      <c r="M240" t="str">
        <f>IF(COUNTIF($A$2:A240,A240)=1,
     VLOOKUP(A240,Season_Winners!A:B,2,FALSE),
     "")</f>
        <v/>
      </c>
    </row>
    <row r="241" spans="1:14" x14ac:dyDescent="0.3">
      <c r="A241" t="s">
        <v>8</v>
      </c>
      <c r="B241">
        <v>24</v>
      </c>
      <c r="C241" t="s">
        <v>128</v>
      </c>
      <c r="D241" t="str">
        <f t="shared" si="15"/>
        <v>17.02.2014</v>
      </c>
      <c r="E241" s="1">
        <v>0.91666666666666663</v>
      </c>
      <c r="F241" t="s">
        <v>17</v>
      </c>
      <c r="G241" t="s">
        <v>10</v>
      </c>
      <c r="H241" t="s">
        <v>42</v>
      </c>
      <c r="I241" t="str">
        <f t="shared" si="16"/>
        <v>0-1</v>
      </c>
      <c r="J241" t="str">
        <f t="shared" si="17"/>
        <v>0</v>
      </c>
      <c r="K241" t="str">
        <f t="shared" si="18"/>
        <v>1</v>
      </c>
      <c r="L241" t="str">
        <f t="shared" si="19"/>
        <v>Real Sociedad</v>
      </c>
      <c r="M241" t="str">
        <f>IF(COUNTIF($A$2:A241,A241)=1,
     VLOOKUP(A241,Season_Winners!A:B,2,FALSE),
     "")</f>
        <v/>
      </c>
    </row>
    <row r="242" spans="1:14" hidden="1" x14ac:dyDescent="0.3">
      <c r="A242" t="s">
        <v>8</v>
      </c>
      <c r="B242">
        <v>25</v>
      </c>
      <c r="C242" t="s">
        <v>129</v>
      </c>
      <c r="D242" t="str">
        <f t="shared" si="15"/>
        <v>21.02.2014</v>
      </c>
      <c r="E242" s="1">
        <v>0.875</v>
      </c>
      <c r="F242" t="s">
        <v>14</v>
      </c>
      <c r="G242" t="s">
        <v>21</v>
      </c>
      <c r="H242" s="2">
        <v>46023</v>
      </c>
      <c r="I242" s="3" t="str">
        <f t="shared" si="16"/>
        <v/>
      </c>
      <c r="J242" t="str">
        <f t="shared" si="17"/>
        <v/>
      </c>
      <c r="K242" t="str">
        <f t="shared" si="18"/>
        <v/>
      </c>
      <c r="L242" t="str">
        <f t="shared" si="19"/>
        <v/>
      </c>
      <c r="M242" t="str">
        <f>IF(COUNTIF($A$2:A242,A242)=1,
     VLOOKUP(A242,Season_Winners!A:B,2,FALSE),
     "")</f>
        <v/>
      </c>
      <c r="N242" s="2"/>
    </row>
    <row r="243" spans="1:14" x14ac:dyDescent="0.3">
      <c r="A243" t="s">
        <v>8</v>
      </c>
      <c r="B243">
        <v>25</v>
      </c>
      <c r="C243" t="s">
        <v>130</v>
      </c>
      <c r="D243" t="str">
        <f t="shared" si="15"/>
        <v>22.02.2014</v>
      </c>
      <c r="E243" s="1">
        <v>0.66666666666666663</v>
      </c>
      <c r="F243" t="s">
        <v>25</v>
      </c>
      <c r="G243" t="s">
        <v>31</v>
      </c>
      <c r="H243" t="s">
        <v>32</v>
      </c>
      <c r="I243" t="str">
        <f t="shared" si="16"/>
        <v>3-0</v>
      </c>
      <c r="J243" t="str">
        <f t="shared" si="17"/>
        <v>3</v>
      </c>
      <c r="K243" t="str">
        <f t="shared" si="18"/>
        <v>0</v>
      </c>
      <c r="L243" t="str">
        <f t="shared" si="19"/>
        <v>Real Madrid</v>
      </c>
      <c r="M243" t="str">
        <f>IF(COUNTIF($A$2:A243,A243)=1,
     VLOOKUP(A243,Season_Winners!A:B,2,FALSE),
     "")</f>
        <v/>
      </c>
    </row>
    <row r="244" spans="1:14" hidden="1" x14ac:dyDescent="0.3">
      <c r="A244" t="s">
        <v>8</v>
      </c>
      <c r="B244">
        <v>25</v>
      </c>
      <c r="C244" t="s">
        <v>130</v>
      </c>
      <c r="D244" t="str">
        <f t="shared" si="15"/>
        <v>22.02.2014</v>
      </c>
      <c r="E244" s="1">
        <v>0.75</v>
      </c>
      <c r="F244" t="s">
        <v>35</v>
      </c>
      <c r="G244" t="s">
        <v>11</v>
      </c>
      <c r="H244" s="2">
        <v>46023</v>
      </c>
      <c r="I244" s="3" t="str">
        <f t="shared" si="16"/>
        <v/>
      </c>
      <c r="J244" t="str">
        <f t="shared" si="17"/>
        <v/>
      </c>
      <c r="K244" t="str">
        <f t="shared" si="18"/>
        <v/>
      </c>
      <c r="L244" t="str">
        <f t="shared" si="19"/>
        <v/>
      </c>
      <c r="M244" t="str">
        <f>IF(COUNTIF($A$2:A244,A244)=1,
     VLOOKUP(A244,Season_Winners!A:B,2,FALSE),
     "")</f>
        <v/>
      </c>
      <c r="N244" s="2"/>
    </row>
    <row r="245" spans="1:14" hidden="1" x14ac:dyDescent="0.3">
      <c r="A245" t="s">
        <v>8</v>
      </c>
      <c r="B245">
        <v>25</v>
      </c>
      <c r="C245" t="s">
        <v>130</v>
      </c>
      <c r="D245" t="str">
        <f t="shared" si="15"/>
        <v>22.02.2014</v>
      </c>
      <c r="E245" s="1">
        <v>0.83333333333333337</v>
      </c>
      <c r="F245" t="s">
        <v>10</v>
      </c>
      <c r="G245" t="s">
        <v>20</v>
      </c>
      <c r="H245" s="2">
        <v>46025</v>
      </c>
      <c r="I245" s="3" t="str">
        <f t="shared" si="16"/>
        <v/>
      </c>
      <c r="J245" t="str">
        <f t="shared" si="17"/>
        <v/>
      </c>
      <c r="K245" t="str">
        <f t="shared" si="18"/>
        <v/>
      </c>
      <c r="L245" t="str">
        <f t="shared" si="19"/>
        <v/>
      </c>
      <c r="M245" t="str">
        <f>IF(COUNTIF($A$2:A245,A245)=1,
     VLOOKUP(A245,Season_Winners!A:B,2,FALSE),
     "")</f>
        <v/>
      </c>
      <c r="N245" s="2"/>
    </row>
    <row r="246" spans="1:14" x14ac:dyDescent="0.3">
      <c r="A246" t="s">
        <v>8</v>
      </c>
      <c r="B246">
        <v>25</v>
      </c>
      <c r="C246" t="s">
        <v>130</v>
      </c>
      <c r="D246" t="str">
        <f t="shared" si="15"/>
        <v>22.02.2014</v>
      </c>
      <c r="E246" s="1">
        <v>0.91666666666666663</v>
      </c>
      <c r="F246" t="s">
        <v>33</v>
      </c>
      <c r="G246" t="s">
        <v>17</v>
      </c>
      <c r="H246" t="s">
        <v>41</v>
      </c>
      <c r="I246" t="str">
        <f t="shared" si="16"/>
        <v>0-0</v>
      </c>
      <c r="J246" t="str">
        <f t="shared" si="17"/>
        <v>0</v>
      </c>
      <c r="K246" t="str">
        <f t="shared" si="18"/>
        <v>0</v>
      </c>
      <c r="L246" t="str">
        <f t="shared" si="19"/>
        <v>Draw</v>
      </c>
      <c r="M246" t="str">
        <f>IF(COUNTIF($A$2:A246,A246)=1,
     VLOOKUP(A246,Season_Winners!A:B,2,FALSE),
     "")</f>
        <v/>
      </c>
    </row>
    <row r="247" spans="1:14" x14ac:dyDescent="0.3">
      <c r="A247" t="s">
        <v>8</v>
      </c>
      <c r="B247">
        <v>25</v>
      </c>
      <c r="C247" t="s">
        <v>131</v>
      </c>
      <c r="D247" t="str">
        <f t="shared" si="15"/>
        <v>23.02.2014</v>
      </c>
      <c r="E247" s="1">
        <v>0.5</v>
      </c>
      <c r="F247" t="s">
        <v>30</v>
      </c>
      <c r="G247" t="s">
        <v>27</v>
      </c>
      <c r="H247" t="s">
        <v>42</v>
      </c>
      <c r="I247" t="str">
        <f t="shared" si="16"/>
        <v>0-1</v>
      </c>
      <c r="J247" t="str">
        <f t="shared" si="17"/>
        <v>0</v>
      </c>
      <c r="K247" t="str">
        <f t="shared" si="18"/>
        <v>1</v>
      </c>
      <c r="L247" t="str">
        <f t="shared" si="19"/>
        <v>Sevilla FC</v>
      </c>
      <c r="M247" t="str">
        <f>IF(COUNTIF($A$2:A247,A247)=1,
     VLOOKUP(A247,Season_Winners!A:B,2,FALSE),
     "")</f>
        <v/>
      </c>
    </row>
    <row r="248" spans="1:14" x14ac:dyDescent="0.3">
      <c r="A248" t="s">
        <v>8</v>
      </c>
      <c r="B248">
        <v>25</v>
      </c>
      <c r="C248" t="s">
        <v>131</v>
      </c>
      <c r="D248" t="str">
        <f t="shared" si="15"/>
        <v>23.02.2014</v>
      </c>
      <c r="E248" s="1">
        <v>0.70833333333333337</v>
      </c>
      <c r="F248" t="s">
        <v>26</v>
      </c>
      <c r="G248" t="s">
        <v>15</v>
      </c>
      <c r="H248" t="s">
        <v>54</v>
      </c>
      <c r="I248" t="str">
        <f t="shared" si="16"/>
        <v>0-2</v>
      </c>
      <c r="J248" t="str">
        <f t="shared" si="17"/>
        <v>0</v>
      </c>
      <c r="K248" t="str">
        <f t="shared" si="18"/>
        <v>2</v>
      </c>
      <c r="L248" t="str">
        <f t="shared" si="19"/>
        <v>Athletic Club</v>
      </c>
      <c r="M248" t="str">
        <f>IF(COUNTIF($A$2:A248,A248)=1,
     VLOOKUP(A248,Season_Winners!A:B,2,FALSE),
     "")</f>
        <v/>
      </c>
    </row>
    <row r="249" spans="1:14" hidden="1" x14ac:dyDescent="0.3">
      <c r="A249" t="s">
        <v>8</v>
      </c>
      <c r="B249">
        <v>25</v>
      </c>
      <c r="C249" t="s">
        <v>131</v>
      </c>
      <c r="D249" t="str">
        <f t="shared" si="15"/>
        <v>23.02.2014</v>
      </c>
      <c r="E249" s="1">
        <v>0.79166666666666663</v>
      </c>
      <c r="F249" t="s">
        <v>16</v>
      </c>
      <c r="G249" t="s">
        <v>24</v>
      </c>
      <c r="H249" s="2">
        <v>46024</v>
      </c>
      <c r="I249" s="3" t="str">
        <f t="shared" si="16"/>
        <v/>
      </c>
      <c r="J249" t="str">
        <f t="shared" si="17"/>
        <v/>
      </c>
      <c r="K249" t="str">
        <f t="shared" si="18"/>
        <v/>
      </c>
      <c r="L249" t="str">
        <f t="shared" si="19"/>
        <v/>
      </c>
      <c r="M249" t="str">
        <f>IF(COUNTIF($A$2:A249,A249)=1,
     VLOOKUP(A249,Season_Winners!A:B,2,FALSE),
     "")</f>
        <v/>
      </c>
      <c r="N249" s="2"/>
    </row>
    <row r="250" spans="1:14" x14ac:dyDescent="0.3">
      <c r="A250" t="s">
        <v>8</v>
      </c>
      <c r="B250">
        <v>25</v>
      </c>
      <c r="C250" t="s">
        <v>131</v>
      </c>
      <c r="D250" t="str">
        <f t="shared" si="15"/>
        <v>23.02.2014</v>
      </c>
      <c r="E250" s="1">
        <v>0.875</v>
      </c>
      <c r="F250" t="s">
        <v>23</v>
      </c>
      <c r="G250" t="s">
        <v>1425</v>
      </c>
      <c r="H250" t="s">
        <v>32</v>
      </c>
      <c r="I250" t="str">
        <f t="shared" si="16"/>
        <v>3-0</v>
      </c>
      <c r="J250" t="str">
        <f t="shared" si="17"/>
        <v>3</v>
      </c>
      <c r="K250" t="str">
        <f t="shared" si="18"/>
        <v>0</v>
      </c>
      <c r="L250" t="str">
        <f t="shared" si="19"/>
        <v>CA Osasuna</v>
      </c>
      <c r="M250" t="str">
        <f>IF(COUNTIF($A$2:A250,A250)=1,
     VLOOKUP(A250,Season_Winners!A:B,2,FALSE),
     "")</f>
        <v/>
      </c>
    </row>
    <row r="251" spans="1:14" hidden="1" x14ac:dyDescent="0.3">
      <c r="A251" t="s">
        <v>8</v>
      </c>
      <c r="B251">
        <v>25</v>
      </c>
      <c r="C251" t="s">
        <v>132</v>
      </c>
      <c r="D251" t="str">
        <f t="shared" si="15"/>
        <v>24.02.2014</v>
      </c>
      <c r="E251" s="1">
        <v>0.91666666666666663</v>
      </c>
      <c r="F251" t="s">
        <v>36</v>
      </c>
      <c r="G251" t="s">
        <v>34</v>
      </c>
      <c r="H251" s="2">
        <v>46054</v>
      </c>
      <c r="I251" s="3" t="str">
        <f t="shared" si="16"/>
        <v/>
      </c>
      <c r="J251" t="str">
        <f t="shared" si="17"/>
        <v/>
      </c>
      <c r="K251" t="str">
        <f t="shared" si="18"/>
        <v/>
      </c>
      <c r="L251" t="str">
        <f t="shared" si="19"/>
        <v/>
      </c>
      <c r="M251" t="str">
        <f>IF(COUNTIF($A$2:A251,A251)=1,
     VLOOKUP(A251,Season_Winners!A:B,2,FALSE),
     "")</f>
        <v/>
      </c>
      <c r="N251" s="2"/>
    </row>
    <row r="252" spans="1:14" x14ac:dyDescent="0.3">
      <c r="A252" t="s">
        <v>8</v>
      </c>
      <c r="B252">
        <v>26</v>
      </c>
      <c r="C252" t="s">
        <v>133</v>
      </c>
      <c r="D252" t="str">
        <f t="shared" si="15"/>
        <v>28.02.2014</v>
      </c>
      <c r="E252" s="1">
        <v>0.85416666666666663</v>
      </c>
      <c r="F252" t="s">
        <v>15</v>
      </c>
      <c r="G252" t="s">
        <v>24</v>
      </c>
      <c r="H252" t="s">
        <v>88</v>
      </c>
      <c r="I252" t="str">
        <f t="shared" si="16"/>
        <v>4-0</v>
      </c>
      <c r="J252" t="str">
        <f t="shared" si="17"/>
        <v>4</v>
      </c>
      <c r="K252" t="str">
        <f t="shared" si="18"/>
        <v>0</v>
      </c>
      <c r="L252" t="str">
        <f t="shared" si="19"/>
        <v>Athletic Club</v>
      </c>
      <c r="M252" t="str">
        <f>IF(COUNTIF($A$2:A252,A252)=1,
     VLOOKUP(A252,Season_Winners!A:B,2,FALSE),
     "")</f>
        <v/>
      </c>
    </row>
    <row r="253" spans="1:14" hidden="1" x14ac:dyDescent="0.3">
      <c r="A253" t="s">
        <v>8</v>
      </c>
      <c r="B253">
        <v>26</v>
      </c>
      <c r="C253" t="s">
        <v>134</v>
      </c>
      <c r="D253" t="str">
        <f t="shared" si="15"/>
        <v>01.03.2014</v>
      </c>
      <c r="E253" s="1">
        <v>0.66666666666666663</v>
      </c>
      <c r="F253" t="s">
        <v>17</v>
      </c>
      <c r="G253" t="s">
        <v>14</v>
      </c>
      <c r="H253" s="2">
        <v>46023</v>
      </c>
      <c r="I253" s="3" t="str">
        <f t="shared" si="16"/>
        <v/>
      </c>
      <c r="J253" t="str">
        <f t="shared" si="17"/>
        <v/>
      </c>
      <c r="K253" t="str">
        <f t="shared" si="18"/>
        <v/>
      </c>
      <c r="L253" t="str">
        <f t="shared" si="19"/>
        <v/>
      </c>
      <c r="M253" t="str">
        <f>IF(COUNTIF($A$2:A253,A253)=1,
     VLOOKUP(A253,Season_Winners!A:B,2,FALSE),
     "")</f>
        <v/>
      </c>
      <c r="N253" s="2"/>
    </row>
    <row r="254" spans="1:14" x14ac:dyDescent="0.3">
      <c r="A254" t="s">
        <v>8</v>
      </c>
      <c r="B254">
        <v>26</v>
      </c>
      <c r="C254" t="s">
        <v>134</v>
      </c>
      <c r="D254" t="str">
        <f t="shared" si="15"/>
        <v>01.03.2014</v>
      </c>
      <c r="E254" s="1">
        <v>0.75</v>
      </c>
      <c r="F254" t="s">
        <v>21</v>
      </c>
      <c r="G254" t="s">
        <v>23</v>
      </c>
      <c r="H254" t="s">
        <v>12</v>
      </c>
      <c r="I254" t="str">
        <f t="shared" si="16"/>
        <v>2-0</v>
      </c>
      <c r="J254" t="str">
        <f t="shared" si="17"/>
        <v>2</v>
      </c>
      <c r="K254" t="str">
        <f t="shared" si="18"/>
        <v>0</v>
      </c>
      <c r="L254" t="str">
        <f t="shared" si="19"/>
        <v>Levante UD</v>
      </c>
      <c r="M254" t="str">
        <f>IF(COUNTIF($A$2:A254,A254)=1,
     VLOOKUP(A254,Season_Winners!A:B,2,FALSE),
     "")</f>
        <v/>
      </c>
    </row>
    <row r="255" spans="1:14" x14ac:dyDescent="0.3">
      <c r="A255" t="s">
        <v>8</v>
      </c>
      <c r="B255">
        <v>26</v>
      </c>
      <c r="C255" t="s">
        <v>134</v>
      </c>
      <c r="D255" t="str">
        <f t="shared" si="15"/>
        <v>01.03.2014</v>
      </c>
      <c r="E255" s="1">
        <v>0.83333333333333337</v>
      </c>
      <c r="F255" t="s">
        <v>11</v>
      </c>
      <c r="G255" t="s">
        <v>36</v>
      </c>
      <c r="H255" t="s">
        <v>41</v>
      </c>
      <c r="I255" t="str">
        <f t="shared" si="16"/>
        <v>0-0</v>
      </c>
      <c r="J255" t="str">
        <f t="shared" si="17"/>
        <v>0</v>
      </c>
      <c r="K255" t="str">
        <f t="shared" si="18"/>
        <v>0</v>
      </c>
      <c r="L255" t="str">
        <f t="shared" si="19"/>
        <v>Draw</v>
      </c>
      <c r="M255" t="str">
        <f>IF(COUNTIF($A$2:A255,A255)=1,
     VLOOKUP(A255,Season_Winners!A:B,2,FALSE),
     "")</f>
        <v/>
      </c>
    </row>
    <row r="256" spans="1:14" x14ac:dyDescent="0.3">
      <c r="A256" t="s">
        <v>8</v>
      </c>
      <c r="B256">
        <v>26</v>
      </c>
      <c r="C256" t="s">
        <v>134</v>
      </c>
      <c r="D256" t="str">
        <f t="shared" si="15"/>
        <v>01.03.2014</v>
      </c>
      <c r="E256" s="1">
        <v>0.91666666666666663</v>
      </c>
      <c r="F256" t="s">
        <v>31</v>
      </c>
      <c r="G256" t="s">
        <v>35</v>
      </c>
      <c r="H256" t="s">
        <v>18</v>
      </c>
      <c r="I256" t="str">
        <f t="shared" si="16"/>
        <v>1-0</v>
      </c>
      <c r="J256" t="str">
        <f t="shared" si="17"/>
        <v>1</v>
      </c>
      <c r="K256" t="str">
        <f t="shared" si="18"/>
        <v>0</v>
      </c>
      <c r="L256" t="str">
        <f t="shared" si="19"/>
        <v>Elche CF</v>
      </c>
      <c r="M256" t="str">
        <f>IF(COUNTIF($A$2:A256,A256)=1,
     VLOOKUP(A256,Season_Winners!A:B,2,FALSE),
     "")</f>
        <v/>
      </c>
    </row>
    <row r="257" spans="1:14" hidden="1" x14ac:dyDescent="0.3">
      <c r="A257" t="s">
        <v>8</v>
      </c>
      <c r="B257">
        <v>26</v>
      </c>
      <c r="C257" t="s">
        <v>135</v>
      </c>
      <c r="D257" t="str">
        <f t="shared" si="15"/>
        <v>02.03.2014</v>
      </c>
      <c r="E257" s="1">
        <v>0.5</v>
      </c>
      <c r="F257" t="s">
        <v>34</v>
      </c>
      <c r="G257" t="s">
        <v>26</v>
      </c>
      <c r="H257" s="2">
        <v>46023</v>
      </c>
      <c r="I257" s="3" t="str">
        <f t="shared" si="16"/>
        <v/>
      </c>
      <c r="J257" t="str">
        <f t="shared" si="17"/>
        <v/>
      </c>
      <c r="K257" t="str">
        <f t="shared" si="18"/>
        <v/>
      </c>
      <c r="L257" t="str">
        <f t="shared" si="19"/>
        <v/>
      </c>
      <c r="M257" t="str">
        <f>IF(COUNTIF($A$2:A257,A257)=1,
     VLOOKUP(A257,Season_Winners!A:B,2,FALSE),
     "")</f>
        <v/>
      </c>
      <c r="N257" s="2"/>
    </row>
    <row r="258" spans="1:14" hidden="1" x14ac:dyDescent="0.3">
      <c r="A258" t="s">
        <v>8</v>
      </c>
      <c r="B258">
        <v>26</v>
      </c>
      <c r="C258" t="s">
        <v>135</v>
      </c>
      <c r="D258" t="str">
        <f t="shared" ref="D258:D321" si="20">RIGHT(C258,10)</f>
        <v>02.03.2014</v>
      </c>
      <c r="E258" s="1">
        <v>0.70833333333333337</v>
      </c>
      <c r="F258" t="s">
        <v>28</v>
      </c>
      <c r="G258" t="s">
        <v>25</v>
      </c>
      <c r="H258" s="2">
        <v>46055</v>
      </c>
      <c r="I258" s="3" t="str">
        <f t="shared" ref="I258:I321" si="21">IF(ISNUMBER(SEARCH("-",H258)),H258,"")</f>
        <v/>
      </c>
      <c r="J258" t="str">
        <f t="shared" ref="J258:J321" si="22">IF(I258="","",LEFT(I258,FIND("-",I258)-1))</f>
        <v/>
      </c>
      <c r="K258" t="str">
        <f t="shared" ref="K258:K321" si="23">IF(I258="","",RIGHT(I258,LEN(I258)-FIND("-",I258)))</f>
        <v/>
      </c>
      <c r="L258" t="str">
        <f t="shared" ref="L258:L321" si="24">IF(I258="","",IF(J258&gt;K258,F258,IF(K258&gt;J258,G258,"Draw")))</f>
        <v/>
      </c>
      <c r="M258" t="str">
        <f>IF(COUNTIF($A$2:A258,A258)=1,
     VLOOKUP(A258,Season_Winners!A:B,2,FALSE),
     "")</f>
        <v/>
      </c>
      <c r="N258" s="2"/>
    </row>
    <row r="259" spans="1:14" x14ac:dyDescent="0.3">
      <c r="A259" t="s">
        <v>8</v>
      </c>
      <c r="B259">
        <v>26</v>
      </c>
      <c r="C259" t="s">
        <v>135</v>
      </c>
      <c r="D259" t="str">
        <f t="shared" si="20"/>
        <v>02.03.2014</v>
      </c>
      <c r="E259" s="1">
        <v>0.79166666666666663</v>
      </c>
      <c r="F259" t="s">
        <v>27</v>
      </c>
      <c r="G259" t="s">
        <v>10</v>
      </c>
      <c r="H259" t="s">
        <v>18</v>
      </c>
      <c r="I259" t="str">
        <f t="shared" si="21"/>
        <v>1-0</v>
      </c>
      <c r="J259" t="str">
        <f t="shared" si="22"/>
        <v>1</v>
      </c>
      <c r="K259" t="str">
        <f t="shared" si="23"/>
        <v>0</v>
      </c>
      <c r="L259" t="str">
        <f t="shared" si="24"/>
        <v>Sevilla FC</v>
      </c>
      <c r="M259" t="str">
        <f>IF(COUNTIF($A$2:A259,A259)=1,
     VLOOKUP(A259,Season_Winners!A:B,2,FALSE),
     "")</f>
        <v/>
      </c>
    </row>
    <row r="260" spans="1:14" hidden="1" x14ac:dyDescent="0.3">
      <c r="A260" t="s">
        <v>8</v>
      </c>
      <c r="B260">
        <v>26</v>
      </c>
      <c r="C260" t="s">
        <v>135</v>
      </c>
      <c r="D260" t="str">
        <f t="shared" si="20"/>
        <v>02.03.2014</v>
      </c>
      <c r="E260" s="1">
        <v>0.875</v>
      </c>
      <c r="F260" t="s">
        <v>20</v>
      </c>
      <c r="G260" t="s">
        <v>33</v>
      </c>
      <c r="H260" s="2">
        <v>46026</v>
      </c>
      <c r="I260" s="3" t="str">
        <f t="shared" si="21"/>
        <v/>
      </c>
      <c r="J260" t="str">
        <f t="shared" si="22"/>
        <v/>
      </c>
      <c r="K260" t="str">
        <f t="shared" si="23"/>
        <v/>
      </c>
      <c r="L260" t="str">
        <f t="shared" si="24"/>
        <v/>
      </c>
      <c r="M260" t="str">
        <f>IF(COUNTIF($A$2:A260,A260)=1,
     VLOOKUP(A260,Season_Winners!A:B,2,FALSE),
     "")</f>
        <v/>
      </c>
      <c r="N260" s="2"/>
    </row>
    <row r="261" spans="1:14" x14ac:dyDescent="0.3">
      <c r="A261" t="s">
        <v>8</v>
      </c>
      <c r="B261">
        <v>26</v>
      </c>
      <c r="C261" t="s">
        <v>135</v>
      </c>
      <c r="D261" t="str">
        <f t="shared" si="20"/>
        <v>02.03.2014</v>
      </c>
      <c r="E261" s="1">
        <v>0.875</v>
      </c>
      <c r="F261" t="s">
        <v>30</v>
      </c>
      <c r="G261" t="s">
        <v>16</v>
      </c>
      <c r="H261" t="s">
        <v>18</v>
      </c>
      <c r="I261" t="str">
        <f t="shared" si="21"/>
        <v>1-0</v>
      </c>
      <c r="J261" t="str">
        <f t="shared" si="22"/>
        <v>1</v>
      </c>
      <c r="K261" t="str">
        <f t="shared" si="23"/>
        <v>0</v>
      </c>
      <c r="L261" t="str">
        <f t="shared" si="24"/>
        <v>Rayo Vallecano</v>
      </c>
      <c r="M261" t="str">
        <f>IF(COUNTIF($A$2:A261,A261)=1,
     VLOOKUP(A261,Season_Winners!A:B,2,FALSE),
     "")</f>
        <v/>
      </c>
    </row>
    <row r="262" spans="1:14" x14ac:dyDescent="0.3">
      <c r="A262" t="s">
        <v>8</v>
      </c>
      <c r="B262">
        <v>27</v>
      </c>
      <c r="C262" t="s">
        <v>136</v>
      </c>
      <c r="D262" t="str">
        <f t="shared" si="20"/>
        <v>08.03.2014</v>
      </c>
      <c r="E262" s="1">
        <v>0.66666666666666663</v>
      </c>
      <c r="F262" t="s">
        <v>14</v>
      </c>
      <c r="G262" t="s">
        <v>20</v>
      </c>
      <c r="H262" t="s">
        <v>18</v>
      </c>
      <c r="I262" t="str">
        <f t="shared" si="21"/>
        <v>1-0</v>
      </c>
      <c r="J262" t="str">
        <f t="shared" si="22"/>
        <v>1</v>
      </c>
      <c r="K262" t="str">
        <f t="shared" si="23"/>
        <v>0</v>
      </c>
      <c r="L262" t="str">
        <f t="shared" si="24"/>
        <v>Real Valladolid CF</v>
      </c>
      <c r="M262" t="str">
        <f>IF(COUNTIF($A$2:A262,A262)=1,
     VLOOKUP(A262,Season_Winners!A:B,2,FALSE),
     "")</f>
        <v/>
      </c>
    </row>
    <row r="263" spans="1:14" x14ac:dyDescent="0.3">
      <c r="A263" t="s">
        <v>8</v>
      </c>
      <c r="B263">
        <v>27</v>
      </c>
      <c r="C263" t="s">
        <v>136</v>
      </c>
      <c r="D263" t="str">
        <f t="shared" si="20"/>
        <v>08.03.2014</v>
      </c>
      <c r="E263" s="1">
        <v>0.75</v>
      </c>
      <c r="F263" t="s">
        <v>26</v>
      </c>
      <c r="G263" t="s">
        <v>11</v>
      </c>
      <c r="H263" t="s">
        <v>12</v>
      </c>
      <c r="I263" t="str">
        <f t="shared" si="21"/>
        <v>2-0</v>
      </c>
      <c r="J263" t="str">
        <f t="shared" si="22"/>
        <v>2</v>
      </c>
      <c r="K263" t="str">
        <f t="shared" si="23"/>
        <v>0</v>
      </c>
      <c r="L263" t="str">
        <f t="shared" si="24"/>
        <v>Real Betis</v>
      </c>
      <c r="M263" t="str">
        <f>IF(COUNTIF($A$2:A263,A263)=1,
     VLOOKUP(A263,Season_Winners!A:B,2,FALSE),
     "")</f>
        <v/>
      </c>
    </row>
    <row r="264" spans="1:14" x14ac:dyDescent="0.3">
      <c r="A264" t="s">
        <v>8</v>
      </c>
      <c r="B264">
        <v>27</v>
      </c>
      <c r="C264" t="s">
        <v>136</v>
      </c>
      <c r="D264" t="str">
        <f t="shared" si="20"/>
        <v>08.03.2014</v>
      </c>
      <c r="E264" s="1">
        <v>0.83333333333333337</v>
      </c>
      <c r="F264" t="s">
        <v>35</v>
      </c>
      <c r="G264" t="s">
        <v>1425</v>
      </c>
      <c r="H264" t="s">
        <v>54</v>
      </c>
      <c r="I264" t="str">
        <f t="shared" si="21"/>
        <v>0-2</v>
      </c>
      <c r="J264" t="str">
        <f t="shared" si="22"/>
        <v>0</v>
      </c>
      <c r="K264" t="str">
        <f t="shared" si="23"/>
        <v>2</v>
      </c>
      <c r="L264" t="str">
        <f t="shared" si="24"/>
        <v>Atlético de Madrid</v>
      </c>
      <c r="M264" t="str">
        <f>IF(COUNTIF($A$2:A264,A264)=1,
     VLOOKUP(A264,Season_Winners!A:B,2,FALSE),
     "")</f>
        <v/>
      </c>
    </row>
    <row r="265" spans="1:14" x14ac:dyDescent="0.3">
      <c r="A265" t="s">
        <v>8</v>
      </c>
      <c r="B265">
        <v>27</v>
      </c>
      <c r="C265" t="s">
        <v>136</v>
      </c>
      <c r="D265" t="str">
        <f t="shared" si="20"/>
        <v>08.03.2014</v>
      </c>
      <c r="E265" s="1">
        <v>0.91666666666666663</v>
      </c>
      <c r="F265" t="s">
        <v>24</v>
      </c>
      <c r="G265" t="s">
        <v>34</v>
      </c>
      <c r="H265" t="s">
        <v>12</v>
      </c>
      <c r="I265" t="str">
        <f t="shared" si="21"/>
        <v>2-0</v>
      </c>
      <c r="J265" t="str">
        <f t="shared" si="22"/>
        <v>2</v>
      </c>
      <c r="K265" t="str">
        <f t="shared" si="23"/>
        <v>0</v>
      </c>
      <c r="L265" t="str">
        <f t="shared" si="24"/>
        <v>Granada CF</v>
      </c>
      <c r="M265" t="str">
        <f>IF(COUNTIF($A$2:A265,A265)=1,
     VLOOKUP(A265,Season_Winners!A:B,2,FALSE),
     "")</f>
        <v/>
      </c>
    </row>
    <row r="266" spans="1:14" hidden="1" x14ac:dyDescent="0.3">
      <c r="A266" t="s">
        <v>8</v>
      </c>
      <c r="B266">
        <v>27</v>
      </c>
      <c r="C266" t="s">
        <v>137</v>
      </c>
      <c r="D266" t="str">
        <f t="shared" si="20"/>
        <v>09.03.2014</v>
      </c>
      <c r="E266" s="1">
        <v>0.5</v>
      </c>
      <c r="F266" t="s">
        <v>36</v>
      </c>
      <c r="G266" t="s">
        <v>31</v>
      </c>
      <c r="H266" s="2">
        <v>46025</v>
      </c>
      <c r="I266" s="3" t="str">
        <f t="shared" si="21"/>
        <v/>
      </c>
      <c r="J266" t="str">
        <f t="shared" si="22"/>
        <v/>
      </c>
      <c r="K266" t="str">
        <f t="shared" si="23"/>
        <v/>
      </c>
      <c r="L266" t="str">
        <f t="shared" si="24"/>
        <v/>
      </c>
      <c r="M266" t="str">
        <f>IF(COUNTIF($A$2:A266,A266)=1,
     VLOOKUP(A266,Season_Winners!A:B,2,FALSE),
     "")</f>
        <v/>
      </c>
      <c r="N266" s="2"/>
    </row>
    <row r="267" spans="1:14" hidden="1" x14ac:dyDescent="0.3">
      <c r="A267" t="s">
        <v>8</v>
      </c>
      <c r="B267">
        <v>27</v>
      </c>
      <c r="C267" t="s">
        <v>137</v>
      </c>
      <c r="D267" t="str">
        <f t="shared" si="20"/>
        <v>09.03.2014</v>
      </c>
      <c r="E267" s="1">
        <v>0.70833333333333337</v>
      </c>
      <c r="F267" t="s">
        <v>33</v>
      </c>
      <c r="G267" t="s">
        <v>27</v>
      </c>
      <c r="H267" s="2">
        <v>46082</v>
      </c>
      <c r="I267" s="3" t="str">
        <f t="shared" si="21"/>
        <v/>
      </c>
      <c r="J267" t="str">
        <f t="shared" si="22"/>
        <v/>
      </c>
      <c r="K267" t="str">
        <f t="shared" si="23"/>
        <v/>
      </c>
      <c r="L267" t="str">
        <f t="shared" si="24"/>
        <v/>
      </c>
      <c r="M267" t="str">
        <f>IF(COUNTIF($A$2:A267,A267)=1,
     VLOOKUP(A267,Season_Winners!A:B,2,FALSE),
     "")</f>
        <v/>
      </c>
      <c r="N267" s="2"/>
    </row>
    <row r="268" spans="1:14" x14ac:dyDescent="0.3">
      <c r="A268" t="s">
        <v>8</v>
      </c>
      <c r="B268">
        <v>27</v>
      </c>
      <c r="C268" t="s">
        <v>137</v>
      </c>
      <c r="D268" t="str">
        <f t="shared" si="20"/>
        <v>09.03.2014</v>
      </c>
      <c r="E268" s="1">
        <v>0.79166666666666663</v>
      </c>
      <c r="F268" t="s">
        <v>25</v>
      </c>
      <c r="G268" t="s">
        <v>21</v>
      </c>
      <c r="H268" t="s">
        <v>32</v>
      </c>
      <c r="I268" t="str">
        <f t="shared" si="21"/>
        <v>3-0</v>
      </c>
      <c r="J268" t="str">
        <f t="shared" si="22"/>
        <v>3</v>
      </c>
      <c r="K268" t="str">
        <f t="shared" si="23"/>
        <v>0</v>
      </c>
      <c r="L268" t="str">
        <f t="shared" si="24"/>
        <v>Real Madrid</v>
      </c>
      <c r="M268" t="str">
        <f>IF(COUNTIF($A$2:A268,A268)=1,
     VLOOKUP(A268,Season_Winners!A:B,2,FALSE),
     "")</f>
        <v/>
      </c>
    </row>
    <row r="269" spans="1:14" hidden="1" x14ac:dyDescent="0.3">
      <c r="A269" t="s">
        <v>8</v>
      </c>
      <c r="B269">
        <v>27</v>
      </c>
      <c r="C269" t="s">
        <v>137</v>
      </c>
      <c r="D269" t="str">
        <f t="shared" si="20"/>
        <v>09.03.2014</v>
      </c>
      <c r="E269" s="1">
        <v>0.875</v>
      </c>
      <c r="F269" t="s">
        <v>16</v>
      </c>
      <c r="G269" t="s">
        <v>15</v>
      </c>
      <c r="H269" s="2">
        <v>46023</v>
      </c>
      <c r="I269" s="3" t="str">
        <f t="shared" si="21"/>
        <v/>
      </c>
      <c r="J269" t="str">
        <f t="shared" si="22"/>
        <v/>
      </c>
      <c r="K269" t="str">
        <f t="shared" si="23"/>
        <v/>
      </c>
      <c r="L269" t="str">
        <f t="shared" si="24"/>
        <v/>
      </c>
      <c r="M269" t="str">
        <f>IF(COUNTIF($A$2:A269,A269)=1,
     VLOOKUP(A269,Season_Winners!A:B,2,FALSE),
     "")</f>
        <v/>
      </c>
      <c r="N269" s="2"/>
    </row>
    <row r="270" spans="1:14" x14ac:dyDescent="0.3">
      <c r="A270" t="s">
        <v>8</v>
      </c>
      <c r="B270">
        <v>27</v>
      </c>
      <c r="C270" t="s">
        <v>138</v>
      </c>
      <c r="D270" t="str">
        <f t="shared" si="20"/>
        <v>10.03.2014</v>
      </c>
      <c r="E270" s="1">
        <v>0.83333333333333337</v>
      </c>
      <c r="F270" t="s">
        <v>23</v>
      </c>
      <c r="G270" t="s">
        <v>17</v>
      </c>
      <c r="H270" t="s">
        <v>54</v>
      </c>
      <c r="I270" t="str">
        <f t="shared" si="21"/>
        <v>0-2</v>
      </c>
      <c r="J270" t="str">
        <f t="shared" si="22"/>
        <v>0</v>
      </c>
      <c r="K270" t="str">
        <f t="shared" si="23"/>
        <v>2</v>
      </c>
      <c r="L270" t="str">
        <f t="shared" si="24"/>
        <v>MÃ¡laga CF</v>
      </c>
      <c r="M270" t="str">
        <f>IF(COUNTIF($A$2:A270,A270)=1,
     VLOOKUP(A270,Season_Winners!A:B,2,FALSE),
     "")</f>
        <v/>
      </c>
    </row>
    <row r="271" spans="1:14" hidden="1" x14ac:dyDescent="0.3">
      <c r="A271" t="s">
        <v>8</v>
      </c>
      <c r="B271">
        <v>27</v>
      </c>
      <c r="C271" t="s">
        <v>138</v>
      </c>
      <c r="D271" t="str">
        <f t="shared" si="20"/>
        <v>10.03.2014</v>
      </c>
      <c r="E271" s="1">
        <v>0.91666666666666663</v>
      </c>
      <c r="F271" t="s">
        <v>10</v>
      </c>
      <c r="G271" t="s">
        <v>30</v>
      </c>
      <c r="H271" s="2">
        <v>46083</v>
      </c>
      <c r="I271" s="3" t="str">
        <f t="shared" si="21"/>
        <v/>
      </c>
      <c r="J271" t="str">
        <f t="shared" si="22"/>
        <v/>
      </c>
      <c r="K271" t="str">
        <f t="shared" si="23"/>
        <v/>
      </c>
      <c r="L271" t="str">
        <f t="shared" si="24"/>
        <v/>
      </c>
      <c r="M271" t="str">
        <f>IF(COUNTIF($A$2:A271,A271)=1,
     VLOOKUP(A271,Season_Winners!A:B,2,FALSE),
     "")</f>
        <v/>
      </c>
      <c r="N271" s="2"/>
    </row>
    <row r="272" spans="1:14" hidden="1" x14ac:dyDescent="0.3">
      <c r="A272" t="s">
        <v>8</v>
      </c>
      <c r="B272">
        <v>28</v>
      </c>
      <c r="C272" t="s">
        <v>139</v>
      </c>
      <c r="D272" t="str">
        <f t="shared" si="20"/>
        <v>14.03.2014</v>
      </c>
      <c r="E272" s="1">
        <v>0.875</v>
      </c>
      <c r="F272" t="s">
        <v>11</v>
      </c>
      <c r="G272" t="s">
        <v>24</v>
      </c>
      <c r="H272" s="2">
        <v>46084</v>
      </c>
      <c r="I272" s="3" t="str">
        <f t="shared" si="21"/>
        <v/>
      </c>
      <c r="J272" t="str">
        <f t="shared" si="22"/>
        <v/>
      </c>
      <c r="K272" t="str">
        <f t="shared" si="23"/>
        <v/>
      </c>
      <c r="L272" t="str">
        <f t="shared" si="24"/>
        <v/>
      </c>
      <c r="M272" t="str">
        <f>IF(COUNTIF($A$2:A272,A272)=1,
     VLOOKUP(A272,Season_Winners!A:B,2,FALSE),
     "")</f>
        <v/>
      </c>
      <c r="N272" s="2"/>
    </row>
    <row r="273" spans="1:14" x14ac:dyDescent="0.3">
      <c r="A273" t="s">
        <v>8</v>
      </c>
      <c r="B273">
        <v>28</v>
      </c>
      <c r="C273" t="s">
        <v>140</v>
      </c>
      <c r="D273" t="str">
        <f t="shared" si="20"/>
        <v>15.03.2014</v>
      </c>
      <c r="E273" s="1">
        <v>0.66666666666666663</v>
      </c>
      <c r="F273" t="s">
        <v>21</v>
      </c>
      <c r="G273" t="s">
        <v>35</v>
      </c>
      <c r="H273" t="s">
        <v>42</v>
      </c>
      <c r="I273" t="str">
        <f t="shared" si="21"/>
        <v>0-1</v>
      </c>
      <c r="J273" t="str">
        <f t="shared" si="22"/>
        <v>0</v>
      </c>
      <c r="K273" t="str">
        <f t="shared" si="23"/>
        <v>1</v>
      </c>
      <c r="L273" t="str">
        <f t="shared" si="24"/>
        <v>RC Celta</v>
      </c>
      <c r="M273" t="str">
        <f>IF(COUNTIF($A$2:A273,A273)=1,
     VLOOKUP(A273,Season_Winners!A:B,2,FALSE),
     "")</f>
        <v/>
      </c>
    </row>
    <row r="274" spans="1:14" hidden="1" x14ac:dyDescent="0.3">
      <c r="A274" t="s">
        <v>8</v>
      </c>
      <c r="B274">
        <v>28</v>
      </c>
      <c r="C274" t="s">
        <v>140</v>
      </c>
      <c r="D274" t="str">
        <f t="shared" si="20"/>
        <v>15.03.2014</v>
      </c>
      <c r="E274" s="1">
        <v>0.75</v>
      </c>
      <c r="F274" t="s">
        <v>30</v>
      </c>
      <c r="G274" t="s">
        <v>33</v>
      </c>
      <c r="H274" s="2">
        <v>46025</v>
      </c>
      <c r="I274" s="3" t="str">
        <f t="shared" si="21"/>
        <v/>
      </c>
      <c r="J274" t="str">
        <f t="shared" si="22"/>
        <v/>
      </c>
      <c r="K274" t="str">
        <f t="shared" si="23"/>
        <v/>
      </c>
      <c r="L274" t="str">
        <f t="shared" si="24"/>
        <v/>
      </c>
      <c r="M274" t="str">
        <f>IF(COUNTIF($A$2:A274,A274)=1,
     VLOOKUP(A274,Season_Winners!A:B,2,FALSE),
     "")</f>
        <v/>
      </c>
      <c r="N274" s="2"/>
    </row>
    <row r="275" spans="1:14" x14ac:dyDescent="0.3">
      <c r="A275" t="s">
        <v>8</v>
      </c>
      <c r="B275">
        <v>28</v>
      </c>
      <c r="C275" t="s">
        <v>140</v>
      </c>
      <c r="D275" t="str">
        <f t="shared" si="20"/>
        <v>15.03.2014</v>
      </c>
      <c r="E275" s="1">
        <v>0.83333333333333337</v>
      </c>
      <c r="F275" t="s">
        <v>17</v>
      </c>
      <c r="G275" t="s">
        <v>25</v>
      </c>
      <c r="H275" t="s">
        <v>42</v>
      </c>
      <c r="I275" t="str">
        <f t="shared" si="21"/>
        <v>0-1</v>
      </c>
      <c r="J275" t="str">
        <f t="shared" si="22"/>
        <v>0</v>
      </c>
      <c r="K275" t="str">
        <f t="shared" si="23"/>
        <v>1</v>
      </c>
      <c r="L275" t="str">
        <f t="shared" si="24"/>
        <v>Real Madrid</v>
      </c>
      <c r="M275" t="str">
        <f>IF(COUNTIF($A$2:A275,A275)=1,
     VLOOKUP(A275,Season_Winners!A:B,2,FALSE),
     "")</f>
        <v/>
      </c>
    </row>
    <row r="276" spans="1:14" x14ac:dyDescent="0.3">
      <c r="A276" t="s">
        <v>8</v>
      </c>
      <c r="B276">
        <v>28</v>
      </c>
      <c r="C276" t="s">
        <v>140</v>
      </c>
      <c r="D276" t="str">
        <f t="shared" si="20"/>
        <v>15.03.2014</v>
      </c>
      <c r="E276" s="1">
        <v>0.91666666666666663</v>
      </c>
      <c r="F276" t="s">
        <v>1425</v>
      </c>
      <c r="G276" t="s">
        <v>36</v>
      </c>
      <c r="H276" t="s">
        <v>18</v>
      </c>
      <c r="I276" t="str">
        <f t="shared" si="21"/>
        <v>1-0</v>
      </c>
      <c r="J276" t="str">
        <f t="shared" si="22"/>
        <v>1</v>
      </c>
      <c r="K276" t="str">
        <f t="shared" si="23"/>
        <v>0</v>
      </c>
      <c r="L276" t="str">
        <f t="shared" si="24"/>
        <v>Atlético de Madrid</v>
      </c>
      <c r="M276" t="str">
        <f>IF(COUNTIF($A$2:A276,A276)=1,
     VLOOKUP(A276,Season_Winners!A:B,2,FALSE),
     "")</f>
        <v/>
      </c>
    </row>
    <row r="277" spans="1:14" x14ac:dyDescent="0.3">
      <c r="A277" t="s">
        <v>8</v>
      </c>
      <c r="B277">
        <v>28</v>
      </c>
      <c r="C277" t="s">
        <v>141</v>
      </c>
      <c r="D277" t="str">
        <f t="shared" si="20"/>
        <v>16.03.2014</v>
      </c>
      <c r="E277" s="1">
        <v>0.5</v>
      </c>
      <c r="F277" t="s">
        <v>31</v>
      </c>
      <c r="G277" t="s">
        <v>26</v>
      </c>
      <c r="H277" t="s">
        <v>41</v>
      </c>
      <c r="I277" t="str">
        <f t="shared" si="21"/>
        <v>0-0</v>
      </c>
      <c r="J277" t="str">
        <f t="shared" si="22"/>
        <v>0</v>
      </c>
      <c r="K277" t="str">
        <f t="shared" si="23"/>
        <v>0</v>
      </c>
      <c r="L277" t="str">
        <f t="shared" si="24"/>
        <v>Draw</v>
      </c>
      <c r="M277" t="str">
        <f>IF(COUNTIF($A$2:A277,A277)=1,
     VLOOKUP(A277,Season_Winners!A:B,2,FALSE),
     "")</f>
        <v/>
      </c>
    </row>
    <row r="278" spans="1:14" x14ac:dyDescent="0.3">
      <c r="A278" t="s">
        <v>8</v>
      </c>
      <c r="B278">
        <v>28</v>
      </c>
      <c r="C278" t="s">
        <v>141</v>
      </c>
      <c r="D278" t="str">
        <f t="shared" si="20"/>
        <v>16.03.2014</v>
      </c>
      <c r="E278" s="1">
        <v>0.70833333333333337</v>
      </c>
      <c r="F278" t="s">
        <v>20</v>
      </c>
      <c r="G278" t="s">
        <v>23</v>
      </c>
      <c r="H278" t="s">
        <v>22</v>
      </c>
      <c r="I278" t="str">
        <f t="shared" si="21"/>
        <v>7-0</v>
      </c>
      <c r="J278" t="str">
        <f t="shared" si="22"/>
        <v>7</v>
      </c>
      <c r="K278" t="str">
        <f t="shared" si="23"/>
        <v>0</v>
      </c>
      <c r="L278" t="str">
        <f t="shared" si="24"/>
        <v>FC Barcelona</v>
      </c>
      <c r="M278" t="str">
        <f>IF(COUNTIF($A$2:A278,A278)=1,
     VLOOKUP(A278,Season_Winners!A:B,2,FALSE),
     "")</f>
        <v/>
      </c>
    </row>
    <row r="279" spans="1:14" hidden="1" x14ac:dyDescent="0.3">
      <c r="A279" t="s">
        <v>8</v>
      </c>
      <c r="B279">
        <v>28</v>
      </c>
      <c r="C279" t="s">
        <v>141</v>
      </c>
      <c r="D279" t="str">
        <f t="shared" si="20"/>
        <v>16.03.2014</v>
      </c>
      <c r="E279" s="1">
        <v>0.79166666666666663</v>
      </c>
      <c r="F279" t="s">
        <v>27</v>
      </c>
      <c r="G279" t="s">
        <v>14</v>
      </c>
      <c r="H279" s="2">
        <v>46026</v>
      </c>
      <c r="I279" s="3" t="str">
        <f t="shared" si="21"/>
        <v/>
      </c>
      <c r="J279" t="str">
        <f t="shared" si="22"/>
        <v/>
      </c>
      <c r="K279" t="str">
        <f t="shared" si="23"/>
        <v/>
      </c>
      <c r="L279" t="str">
        <f t="shared" si="24"/>
        <v/>
      </c>
      <c r="M279" t="str">
        <f>IF(COUNTIF($A$2:A279,A279)=1,
     VLOOKUP(A279,Season_Winners!A:B,2,FALSE),
     "")</f>
        <v/>
      </c>
      <c r="N279" s="2"/>
    </row>
    <row r="280" spans="1:14" x14ac:dyDescent="0.3">
      <c r="A280" t="s">
        <v>8</v>
      </c>
      <c r="B280">
        <v>28</v>
      </c>
      <c r="C280" t="s">
        <v>141</v>
      </c>
      <c r="D280" t="str">
        <f t="shared" si="20"/>
        <v>16.03.2014</v>
      </c>
      <c r="E280" s="1">
        <v>0.875</v>
      </c>
      <c r="F280" t="s">
        <v>10</v>
      </c>
      <c r="G280" t="s">
        <v>16</v>
      </c>
      <c r="H280" t="s">
        <v>18</v>
      </c>
      <c r="I280" t="str">
        <f t="shared" si="21"/>
        <v>1-0</v>
      </c>
      <c r="J280" t="str">
        <f t="shared" si="22"/>
        <v>1</v>
      </c>
      <c r="K280" t="str">
        <f t="shared" si="23"/>
        <v>0</v>
      </c>
      <c r="L280" t="str">
        <f t="shared" si="24"/>
        <v>Real Sociedad</v>
      </c>
      <c r="M280" t="str">
        <f>IF(COUNTIF($A$2:A280,A280)=1,
     VLOOKUP(A280,Season_Winners!A:B,2,FALSE),
     "")</f>
        <v/>
      </c>
    </row>
    <row r="281" spans="1:14" hidden="1" x14ac:dyDescent="0.3">
      <c r="A281" t="s">
        <v>8</v>
      </c>
      <c r="B281">
        <v>28</v>
      </c>
      <c r="C281" t="s">
        <v>142</v>
      </c>
      <c r="D281" t="str">
        <f t="shared" si="20"/>
        <v>17.03.2014</v>
      </c>
      <c r="E281" s="1">
        <v>0.91666666666666663</v>
      </c>
      <c r="F281" t="s">
        <v>34</v>
      </c>
      <c r="G281" t="s">
        <v>15</v>
      </c>
      <c r="H281" s="2">
        <v>46023</v>
      </c>
      <c r="I281" s="3" t="str">
        <f t="shared" si="21"/>
        <v/>
      </c>
      <c r="J281" t="str">
        <f t="shared" si="22"/>
        <v/>
      </c>
      <c r="K281" t="str">
        <f t="shared" si="23"/>
        <v/>
      </c>
      <c r="L281" t="str">
        <f t="shared" si="24"/>
        <v/>
      </c>
      <c r="M281" t="str">
        <f>IF(COUNTIF($A$2:A281,A281)=1,
     VLOOKUP(A281,Season_Winners!A:B,2,FALSE),
     "")</f>
        <v/>
      </c>
      <c r="N281" s="2"/>
    </row>
    <row r="282" spans="1:14" x14ac:dyDescent="0.3">
      <c r="A282" t="s">
        <v>8</v>
      </c>
      <c r="B282">
        <v>29</v>
      </c>
      <c r="C282" t="s">
        <v>143</v>
      </c>
      <c r="D282" t="str">
        <f t="shared" si="20"/>
        <v>21.03.2014</v>
      </c>
      <c r="E282" s="1">
        <v>0.875</v>
      </c>
      <c r="F282" t="s">
        <v>35</v>
      </c>
      <c r="G282" t="s">
        <v>17</v>
      </c>
      <c r="H282" t="s">
        <v>54</v>
      </c>
      <c r="I282" t="str">
        <f t="shared" si="21"/>
        <v>0-2</v>
      </c>
      <c r="J282" t="str">
        <f t="shared" si="22"/>
        <v>0</v>
      </c>
      <c r="K282" t="str">
        <f t="shared" si="23"/>
        <v>2</v>
      </c>
      <c r="L282" t="str">
        <f t="shared" si="24"/>
        <v>MÃ¡laga CF</v>
      </c>
      <c r="M282" t="str">
        <f>IF(COUNTIF($A$2:A282,A282)=1,
     VLOOKUP(A282,Season_Winners!A:B,2,FALSE),
     "")</f>
        <v/>
      </c>
    </row>
    <row r="283" spans="1:14" x14ac:dyDescent="0.3">
      <c r="A283" t="s">
        <v>8</v>
      </c>
      <c r="B283">
        <v>29</v>
      </c>
      <c r="C283" t="s">
        <v>144</v>
      </c>
      <c r="D283" t="str">
        <f t="shared" si="20"/>
        <v>22.03.2014</v>
      </c>
      <c r="E283" s="1">
        <v>0.66666666666666663</v>
      </c>
      <c r="F283" t="s">
        <v>24</v>
      </c>
      <c r="G283" t="s">
        <v>31</v>
      </c>
      <c r="H283" t="s">
        <v>18</v>
      </c>
      <c r="I283" t="str">
        <f t="shared" si="21"/>
        <v>1-0</v>
      </c>
      <c r="J283" t="str">
        <f t="shared" si="22"/>
        <v>1</v>
      </c>
      <c r="K283" t="str">
        <f t="shared" si="23"/>
        <v>0</v>
      </c>
      <c r="L283" t="str">
        <f t="shared" si="24"/>
        <v>Granada CF</v>
      </c>
      <c r="M283" t="str">
        <f>IF(COUNTIF($A$2:A283,A283)=1,
     VLOOKUP(A283,Season_Winners!A:B,2,FALSE),
     "")</f>
        <v/>
      </c>
    </row>
    <row r="284" spans="1:14" x14ac:dyDescent="0.3">
      <c r="A284" t="s">
        <v>8</v>
      </c>
      <c r="B284">
        <v>29</v>
      </c>
      <c r="C284" t="s">
        <v>144</v>
      </c>
      <c r="D284" t="str">
        <f t="shared" si="20"/>
        <v>22.03.2014</v>
      </c>
      <c r="E284" s="1">
        <v>0.75</v>
      </c>
      <c r="F284" t="s">
        <v>36</v>
      </c>
      <c r="G284" t="s">
        <v>21</v>
      </c>
      <c r="H284" t="s">
        <v>41</v>
      </c>
      <c r="I284" t="str">
        <f t="shared" si="21"/>
        <v>0-0</v>
      </c>
      <c r="J284" t="str">
        <f t="shared" si="22"/>
        <v>0</v>
      </c>
      <c r="K284" t="str">
        <f t="shared" si="23"/>
        <v>0</v>
      </c>
      <c r="L284" t="str">
        <f t="shared" si="24"/>
        <v>Draw</v>
      </c>
      <c r="M284" t="str">
        <f>IF(COUNTIF($A$2:A284,A284)=1,
     VLOOKUP(A284,Season_Winners!A:B,2,FALSE),
     "")</f>
        <v/>
      </c>
    </row>
    <row r="285" spans="1:14" hidden="1" x14ac:dyDescent="0.3">
      <c r="A285" t="s">
        <v>8</v>
      </c>
      <c r="B285">
        <v>29</v>
      </c>
      <c r="C285" t="s">
        <v>144</v>
      </c>
      <c r="D285" t="str">
        <f t="shared" si="20"/>
        <v>22.03.2014</v>
      </c>
      <c r="E285" s="1">
        <v>0.83333333333333337</v>
      </c>
      <c r="F285" t="s">
        <v>14</v>
      </c>
      <c r="G285" t="s">
        <v>30</v>
      </c>
      <c r="H285" s="2">
        <v>46023</v>
      </c>
      <c r="I285" s="3" t="str">
        <f t="shared" si="21"/>
        <v/>
      </c>
      <c r="J285" t="str">
        <f t="shared" si="22"/>
        <v/>
      </c>
      <c r="K285" t="str">
        <f t="shared" si="23"/>
        <v/>
      </c>
      <c r="L285" t="str">
        <f t="shared" si="24"/>
        <v/>
      </c>
      <c r="M285" t="str">
        <f>IF(COUNTIF($A$2:A285,A285)=1,
     VLOOKUP(A285,Season_Winners!A:B,2,FALSE),
     "")</f>
        <v/>
      </c>
      <c r="N285" s="2"/>
    </row>
    <row r="286" spans="1:14" x14ac:dyDescent="0.3">
      <c r="A286" t="s">
        <v>8</v>
      </c>
      <c r="B286">
        <v>29</v>
      </c>
      <c r="C286" t="s">
        <v>144</v>
      </c>
      <c r="D286" t="str">
        <f t="shared" si="20"/>
        <v>22.03.2014</v>
      </c>
      <c r="E286" s="1">
        <v>0.91666666666666663</v>
      </c>
      <c r="F286" t="s">
        <v>15</v>
      </c>
      <c r="G286" t="s">
        <v>11</v>
      </c>
      <c r="H286" t="s">
        <v>18</v>
      </c>
      <c r="I286" t="str">
        <f t="shared" si="21"/>
        <v>1-0</v>
      </c>
      <c r="J286" t="str">
        <f t="shared" si="22"/>
        <v>1</v>
      </c>
      <c r="K286" t="str">
        <f t="shared" si="23"/>
        <v>0</v>
      </c>
      <c r="L286" t="str">
        <f t="shared" si="24"/>
        <v>Athletic Club</v>
      </c>
      <c r="M286" t="str">
        <f>IF(COUNTIF($A$2:A286,A286)=1,
     VLOOKUP(A286,Season_Winners!A:B,2,FALSE),
     "")</f>
        <v/>
      </c>
    </row>
    <row r="287" spans="1:14" hidden="1" x14ac:dyDescent="0.3">
      <c r="A287" t="s">
        <v>8</v>
      </c>
      <c r="B287">
        <v>29</v>
      </c>
      <c r="C287" t="s">
        <v>145</v>
      </c>
      <c r="D287" t="str">
        <f t="shared" si="20"/>
        <v>23.03.2014</v>
      </c>
      <c r="E287" s="1">
        <v>0.5</v>
      </c>
      <c r="F287" t="s">
        <v>23</v>
      </c>
      <c r="G287" t="s">
        <v>27</v>
      </c>
      <c r="H287" s="2">
        <v>46054</v>
      </c>
      <c r="I287" s="3" t="str">
        <f t="shared" si="21"/>
        <v/>
      </c>
      <c r="J287" t="str">
        <f t="shared" si="22"/>
        <v/>
      </c>
      <c r="K287" t="str">
        <f t="shared" si="23"/>
        <v/>
      </c>
      <c r="L287" t="str">
        <f t="shared" si="24"/>
        <v/>
      </c>
      <c r="M287" t="str">
        <f>IF(COUNTIF($A$2:A287,A287)=1,
     VLOOKUP(A287,Season_Winners!A:B,2,FALSE),
     "")</f>
        <v/>
      </c>
      <c r="N287" s="2"/>
    </row>
    <row r="288" spans="1:14" x14ac:dyDescent="0.3">
      <c r="A288" t="s">
        <v>8</v>
      </c>
      <c r="B288">
        <v>29</v>
      </c>
      <c r="C288" t="s">
        <v>145</v>
      </c>
      <c r="D288" t="str">
        <f t="shared" si="20"/>
        <v>23.03.2014</v>
      </c>
      <c r="E288" s="1">
        <v>0.70833333333333337</v>
      </c>
      <c r="F288" t="s">
        <v>26</v>
      </c>
      <c r="G288" t="s">
        <v>1425</v>
      </c>
      <c r="H288" t="s">
        <v>54</v>
      </c>
      <c r="I288" t="str">
        <f t="shared" si="21"/>
        <v>0-2</v>
      </c>
      <c r="J288" t="str">
        <f t="shared" si="22"/>
        <v>0</v>
      </c>
      <c r="K288" t="str">
        <f t="shared" si="23"/>
        <v>2</v>
      </c>
      <c r="L288" t="str">
        <f t="shared" si="24"/>
        <v>Atlético de Madrid</v>
      </c>
      <c r="M288" t="str">
        <f>IF(COUNTIF($A$2:A288,A288)=1,
     VLOOKUP(A288,Season_Winners!A:B,2,FALSE),
     "")</f>
        <v/>
      </c>
    </row>
    <row r="289" spans="1:14" hidden="1" x14ac:dyDescent="0.3">
      <c r="A289" t="s">
        <v>8</v>
      </c>
      <c r="B289">
        <v>29</v>
      </c>
      <c r="C289" t="s">
        <v>145</v>
      </c>
      <c r="D289" t="str">
        <f t="shared" si="20"/>
        <v>23.03.2014</v>
      </c>
      <c r="E289" s="1">
        <v>0.79166666666666663</v>
      </c>
      <c r="F289" t="s">
        <v>16</v>
      </c>
      <c r="G289" t="s">
        <v>34</v>
      </c>
      <c r="H289" s="2">
        <v>46024</v>
      </c>
      <c r="I289" s="3" t="str">
        <f t="shared" si="21"/>
        <v/>
      </c>
      <c r="J289" t="str">
        <f t="shared" si="22"/>
        <v/>
      </c>
      <c r="K289" t="str">
        <f t="shared" si="23"/>
        <v/>
      </c>
      <c r="L289" t="str">
        <f t="shared" si="24"/>
        <v/>
      </c>
      <c r="M289" t="str">
        <f>IF(COUNTIF($A$2:A289,A289)=1,
     VLOOKUP(A289,Season_Winners!A:B,2,FALSE),
     "")</f>
        <v/>
      </c>
      <c r="N289" s="2"/>
    </row>
    <row r="290" spans="1:14" hidden="1" x14ac:dyDescent="0.3">
      <c r="A290" t="s">
        <v>8</v>
      </c>
      <c r="B290">
        <v>29</v>
      </c>
      <c r="C290" t="s">
        <v>145</v>
      </c>
      <c r="D290" t="str">
        <f t="shared" si="20"/>
        <v>23.03.2014</v>
      </c>
      <c r="E290" s="1">
        <v>0.875</v>
      </c>
      <c r="F290" t="s">
        <v>25</v>
      </c>
      <c r="G290" t="s">
        <v>20</v>
      </c>
      <c r="H290" s="2">
        <v>46115</v>
      </c>
      <c r="I290" s="3" t="str">
        <f t="shared" si="21"/>
        <v/>
      </c>
      <c r="J290" t="str">
        <f t="shared" si="22"/>
        <v/>
      </c>
      <c r="K290" t="str">
        <f t="shared" si="23"/>
        <v/>
      </c>
      <c r="L290" t="str">
        <f t="shared" si="24"/>
        <v/>
      </c>
      <c r="M290" t="str">
        <f>IF(COUNTIF($A$2:A290,A290)=1,
     VLOOKUP(A290,Season_Winners!A:B,2,FALSE),
     "")</f>
        <v/>
      </c>
      <c r="N290" s="2"/>
    </row>
    <row r="291" spans="1:14" hidden="1" x14ac:dyDescent="0.3">
      <c r="A291" t="s">
        <v>8</v>
      </c>
      <c r="B291">
        <v>29</v>
      </c>
      <c r="C291" t="s">
        <v>146</v>
      </c>
      <c r="D291" t="str">
        <f t="shared" si="20"/>
        <v>24.03.2014</v>
      </c>
      <c r="E291" s="1">
        <v>0.91666666666666663</v>
      </c>
      <c r="F291" t="s">
        <v>33</v>
      </c>
      <c r="G291" t="s">
        <v>10</v>
      </c>
      <c r="H291" s="2">
        <v>46085</v>
      </c>
      <c r="I291" s="3" t="str">
        <f t="shared" si="21"/>
        <v/>
      </c>
      <c r="J291" t="str">
        <f t="shared" si="22"/>
        <v/>
      </c>
      <c r="K291" t="str">
        <f t="shared" si="23"/>
        <v/>
      </c>
      <c r="L291" t="str">
        <f t="shared" si="24"/>
        <v/>
      </c>
      <c r="M291" t="str">
        <f>IF(COUNTIF($A$2:A291,A291)=1,
     VLOOKUP(A291,Season_Winners!A:B,2,FALSE),
     "")</f>
        <v/>
      </c>
      <c r="N291" s="2"/>
    </row>
    <row r="292" spans="1:14" hidden="1" x14ac:dyDescent="0.3">
      <c r="A292" t="s">
        <v>8</v>
      </c>
      <c r="B292">
        <v>30</v>
      </c>
      <c r="C292" t="s">
        <v>147</v>
      </c>
      <c r="D292" t="str">
        <f t="shared" si="20"/>
        <v>25.03.2014</v>
      </c>
      <c r="E292" s="1">
        <v>0.83333333333333337</v>
      </c>
      <c r="F292" t="s">
        <v>17</v>
      </c>
      <c r="G292" t="s">
        <v>36</v>
      </c>
      <c r="H292" s="2">
        <v>46054</v>
      </c>
      <c r="I292" s="3" t="str">
        <f t="shared" si="21"/>
        <v/>
      </c>
      <c r="J292" t="str">
        <f t="shared" si="22"/>
        <v/>
      </c>
      <c r="K292" t="str">
        <f t="shared" si="23"/>
        <v/>
      </c>
      <c r="L292" t="str">
        <f t="shared" si="24"/>
        <v/>
      </c>
      <c r="M292" t="str">
        <f>IF(COUNTIF($A$2:A292,A292)=1,
     VLOOKUP(A292,Season_Winners!A:B,2,FALSE),
     "")</f>
        <v/>
      </c>
      <c r="N292" s="2"/>
    </row>
    <row r="293" spans="1:14" x14ac:dyDescent="0.3">
      <c r="A293" t="s">
        <v>8</v>
      </c>
      <c r="B293">
        <v>30</v>
      </c>
      <c r="C293" t="s">
        <v>147</v>
      </c>
      <c r="D293" t="str">
        <f t="shared" si="20"/>
        <v>25.03.2014</v>
      </c>
      <c r="E293" s="1">
        <v>0.91666666666666663</v>
      </c>
      <c r="F293" t="s">
        <v>31</v>
      </c>
      <c r="G293" t="s">
        <v>15</v>
      </c>
      <c r="H293" t="s">
        <v>41</v>
      </c>
      <c r="I293" t="str">
        <f t="shared" si="21"/>
        <v>0-0</v>
      </c>
      <c r="J293" t="str">
        <f t="shared" si="22"/>
        <v>0</v>
      </c>
      <c r="K293" t="str">
        <f t="shared" si="23"/>
        <v>0</v>
      </c>
      <c r="L293" t="str">
        <f t="shared" si="24"/>
        <v>Draw</v>
      </c>
      <c r="M293" t="str">
        <f>IF(COUNTIF($A$2:A293,A293)=1,
     VLOOKUP(A293,Season_Winners!A:B,2,FALSE),
     "")</f>
        <v/>
      </c>
    </row>
    <row r="294" spans="1:14" x14ac:dyDescent="0.3">
      <c r="A294" t="s">
        <v>8</v>
      </c>
      <c r="B294">
        <v>30</v>
      </c>
      <c r="C294" t="s">
        <v>148</v>
      </c>
      <c r="D294" t="str">
        <f t="shared" si="20"/>
        <v>26.03.2014</v>
      </c>
      <c r="E294" s="1">
        <v>0.83333333333333337</v>
      </c>
      <c r="F294" t="s">
        <v>20</v>
      </c>
      <c r="G294" t="s">
        <v>35</v>
      </c>
      <c r="H294" t="s">
        <v>32</v>
      </c>
      <c r="I294" t="str">
        <f t="shared" si="21"/>
        <v>3-0</v>
      </c>
      <c r="J294" t="str">
        <f t="shared" si="22"/>
        <v>3</v>
      </c>
      <c r="K294" t="str">
        <f t="shared" si="23"/>
        <v>0</v>
      </c>
      <c r="L294" t="str">
        <f t="shared" si="24"/>
        <v>FC Barcelona</v>
      </c>
      <c r="M294" t="str">
        <f>IF(COUNTIF($A$2:A294,A294)=1,
     VLOOKUP(A294,Season_Winners!A:B,2,FALSE),
     "")</f>
        <v/>
      </c>
    </row>
    <row r="295" spans="1:14" x14ac:dyDescent="0.3">
      <c r="A295" t="s">
        <v>8</v>
      </c>
      <c r="B295">
        <v>30</v>
      </c>
      <c r="C295" t="s">
        <v>148</v>
      </c>
      <c r="D295" t="str">
        <f t="shared" si="20"/>
        <v>26.03.2014</v>
      </c>
      <c r="E295" s="1">
        <v>0.83333333333333337</v>
      </c>
      <c r="F295" t="s">
        <v>30</v>
      </c>
      <c r="G295" t="s">
        <v>23</v>
      </c>
      <c r="H295" t="s">
        <v>18</v>
      </c>
      <c r="I295" t="str">
        <f t="shared" si="21"/>
        <v>1-0</v>
      </c>
      <c r="J295" t="str">
        <f t="shared" si="22"/>
        <v>1</v>
      </c>
      <c r="K295" t="str">
        <f t="shared" si="23"/>
        <v>0</v>
      </c>
      <c r="L295" t="str">
        <f t="shared" si="24"/>
        <v>Rayo Vallecano</v>
      </c>
      <c r="M295" t="str">
        <f>IF(COUNTIF($A$2:A295,A295)=1,
     VLOOKUP(A295,Season_Winners!A:B,2,FALSE),
     "")</f>
        <v/>
      </c>
    </row>
    <row r="296" spans="1:14" x14ac:dyDescent="0.3">
      <c r="A296" t="s">
        <v>8</v>
      </c>
      <c r="B296">
        <v>30</v>
      </c>
      <c r="C296" t="s">
        <v>148</v>
      </c>
      <c r="D296" t="str">
        <f t="shared" si="20"/>
        <v>26.03.2014</v>
      </c>
      <c r="E296" s="1">
        <v>0.91666666666666663</v>
      </c>
      <c r="F296" t="s">
        <v>1425</v>
      </c>
      <c r="G296" t="s">
        <v>24</v>
      </c>
      <c r="H296" t="s">
        <v>18</v>
      </c>
      <c r="I296" t="str">
        <f t="shared" si="21"/>
        <v>1-0</v>
      </c>
      <c r="J296" t="str">
        <f t="shared" si="22"/>
        <v>1</v>
      </c>
      <c r="K296" t="str">
        <f t="shared" si="23"/>
        <v>0</v>
      </c>
      <c r="L296" t="str">
        <f t="shared" si="24"/>
        <v>Atlético de Madrid</v>
      </c>
      <c r="M296" t="str">
        <f>IF(COUNTIF($A$2:A296,A296)=1,
     VLOOKUP(A296,Season_Winners!A:B,2,FALSE),
     "")</f>
        <v/>
      </c>
    </row>
    <row r="297" spans="1:14" hidden="1" x14ac:dyDescent="0.3">
      <c r="A297" t="s">
        <v>8</v>
      </c>
      <c r="B297">
        <v>30</v>
      </c>
      <c r="C297" t="s">
        <v>148</v>
      </c>
      <c r="D297" t="str">
        <f t="shared" si="20"/>
        <v>26.03.2014</v>
      </c>
      <c r="E297" s="1">
        <v>0.91666666666666663</v>
      </c>
      <c r="F297" t="s">
        <v>27</v>
      </c>
      <c r="G297" t="s">
        <v>25</v>
      </c>
      <c r="H297" s="2">
        <v>46024</v>
      </c>
      <c r="I297" s="3" t="str">
        <f t="shared" si="21"/>
        <v/>
      </c>
      <c r="J297" t="str">
        <f t="shared" si="22"/>
        <v/>
      </c>
      <c r="K297" t="str">
        <f t="shared" si="23"/>
        <v/>
      </c>
      <c r="L297" t="str">
        <f t="shared" si="24"/>
        <v/>
      </c>
      <c r="M297" t="str">
        <f>IF(COUNTIF($A$2:A297,A297)=1,
     VLOOKUP(A297,Season_Winners!A:B,2,FALSE),
     "")</f>
        <v/>
      </c>
      <c r="N297" s="2"/>
    </row>
    <row r="298" spans="1:14" x14ac:dyDescent="0.3">
      <c r="A298" t="s">
        <v>8</v>
      </c>
      <c r="B298">
        <v>30</v>
      </c>
      <c r="C298" t="s">
        <v>149</v>
      </c>
      <c r="D298" t="str">
        <f t="shared" si="20"/>
        <v>27.03.2014</v>
      </c>
      <c r="E298" s="1">
        <v>0.83333333333333337</v>
      </c>
      <c r="F298" t="s">
        <v>11</v>
      </c>
      <c r="G298" t="s">
        <v>34</v>
      </c>
      <c r="H298" t="s">
        <v>42</v>
      </c>
      <c r="I298" t="str">
        <f t="shared" si="21"/>
        <v>0-1</v>
      </c>
      <c r="J298" t="str">
        <f t="shared" si="22"/>
        <v>0</v>
      </c>
      <c r="K298" t="str">
        <f t="shared" si="23"/>
        <v>1</v>
      </c>
      <c r="L298" t="str">
        <f t="shared" si="24"/>
        <v>Villarreal CF</v>
      </c>
      <c r="M298" t="str">
        <f>IF(COUNTIF($A$2:A298,A298)=1,
     VLOOKUP(A298,Season_Winners!A:B,2,FALSE),
     "")</f>
        <v/>
      </c>
    </row>
    <row r="299" spans="1:14" x14ac:dyDescent="0.3">
      <c r="A299" t="s">
        <v>8</v>
      </c>
      <c r="B299">
        <v>30</v>
      </c>
      <c r="C299" t="s">
        <v>149</v>
      </c>
      <c r="D299" t="str">
        <f t="shared" si="20"/>
        <v>27.03.2014</v>
      </c>
      <c r="E299" s="1">
        <v>0.83333333333333337</v>
      </c>
      <c r="F299" t="s">
        <v>10</v>
      </c>
      <c r="G299" t="s">
        <v>14</v>
      </c>
      <c r="H299" t="s">
        <v>18</v>
      </c>
      <c r="I299" t="str">
        <f t="shared" si="21"/>
        <v>1-0</v>
      </c>
      <c r="J299" t="str">
        <f t="shared" si="22"/>
        <v>1</v>
      </c>
      <c r="K299" t="str">
        <f t="shared" si="23"/>
        <v>0</v>
      </c>
      <c r="L299" t="str">
        <f t="shared" si="24"/>
        <v>Real Sociedad</v>
      </c>
      <c r="M299" t="str">
        <f>IF(COUNTIF($A$2:A299,A299)=1,
     VLOOKUP(A299,Season_Winners!A:B,2,FALSE),
     "")</f>
        <v/>
      </c>
    </row>
    <row r="300" spans="1:14" hidden="1" x14ac:dyDescent="0.3">
      <c r="A300" t="s">
        <v>8</v>
      </c>
      <c r="B300">
        <v>30</v>
      </c>
      <c r="C300" t="s">
        <v>149</v>
      </c>
      <c r="D300" t="str">
        <f t="shared" si="20"/>
        <v>27.03.2014</v>
      </c>
      <c r="E300" s="1">
        <v>0.91666666666666663</v>
      </c>
      <c r="F300" t="s">
        <v>33</v>
      </c>
      <c r="G300" t="s">
        <v>16</v>
      </c>
      <c r="H300" s="2">
        <v>46055</v>
      </c>
      <c r="I300" s="3" t="str">
        <f t="shared" si="21"/>
        <v/>
      </c>
      <c r="J300" t="str">
        <f t="shared" si="22"/>
        <v/>
      </c>
      <c r="K300" t="str">
        <f t="shared" si="23"/>
        <v/>
      </c>
      <c r="L300" t="str">
        <f t="shared" si="24"/>
        <v/>
      </c>
      <c r="M300" t="str">
        <f>IF(COUNTIF($A$2:A300,A300)=1,
     VLOOKUP(A300,Season_Winners!A:B,2,FALSE),
     "")</f>
        <v/>
      </c>
      <c r="N300" s="2"/>
    </row>
    <row r="301" spans="1:14" hidden="1" x14ac:dyDescent="0.3">
      <c r="A301" t="s">
        <v>8</v>
      </c>
      <c r="B301">
        <v>30</v>
      </c>
      <c r="C301" t="s">
        <v>149</v>
      </c>
      <c r="D301" t="str">
        <f t="shared" si="20"/>
        <v>27.03.2014</v>
      </c>
      <c r="E301" s="1">
        <v>0.91666666666666663</v>
      </c>
      <c r="F301" t="s">
        <v>21</v>
      </c>
      <c r="G301" t="s">
        <v>26</v>
      </c>
      <c r="H301" s="2">
        <v>46082</v>
      </c>
      <c r="I301" s="3" t="str">
        <f t="shared" si="21"/>
        <v/>
      </c>
      <c r="J301" t="str">
        <f t="shared" si="22"/>
        <v/>
      </c>
      <c r="K301" t="str">
        <f t="shared" si="23"/>
        <v/>
      </c>
      <c r="L301" t="str">
        <f t="shared" si="24"/>
        <v/>
      </c>
      <c r="M301" t="str">
        <f>IF(COUNTIF($A$2:A301,A301)=1,
     VLOOKUP(A301,Season_Winners!A:B,2,FALSE),
     "")</f>
        <v/>
      </c>
      <c r="N301" s="2"/>
    </row>
    <row r="302" spans="1:14" x14ac:dyDescent="0.3">
      <c r="A302" t="s">
        <v>8</v>
      </c>
      <c r="B302">
        <v>31</v>
      </c>
      <c r="C302" t="s">
        <v>150</v>
      </c>
      <c r="D302" t="str">
        <f t="shared" si="20"/>
        <v>29.03.2014</v>
      </c>
      <c r="E302" s="1">
        <v>0.66666666666666663</v>
      </c>
      <c r="F302" t="s">
        <v>36</v>
      </c>
      <c r="G302" t="s">
        <v>20</v>
      </c>
      <c r="H302" t="s">
        <v>42</v>
      </c>
      <c r="I302" t="str">
        <f t="shared" si="21"/>
        <v>0-1</v>
      </c>
      <c r="J302" t="str">
        <f t="shared" si="22"/>
        <v>0</v>
      </c>
      <c r="K302" t="str">
        <f t="shared" si="23"/>
        <v>1</v>
      </c>
      <c r="L302" t="str">
        <f t="shared" si="24"/>
        <v>FC Barcelona</v>
      </c>
      <c r="M302" t="str">
        <f>IF(COUNTIF($A$2:A302,A302)=1,
     VLOOKUP(A302,Season_Winners!A:B,2,FALSE),
     "")</f>
        <v/>
      </c>
    </row>
    <row r="303" spans="1:14" x14ac:dyDescent="0.3">
      <c r="A303" t="s">
        <v>8</v>
      </c>
      <c r="B303">
        <v>31</v>
      </c>
      <c r="C303" t="s">
        <v>150</v>
      </c>
      <c r="D303" t="str">
        <f t="shared" si="20"/>
        <v>29.03.2014</v>
      </c>
      <c r="E303" s="1">
        <v>0.75</v>
      </c>
      <c r="F303" t="s">
        <v>35</v>
      </c>
      <c r="G303" t="s">
        <v>27</v>
      </c>
      <c r="H303" t="s">
        <v>18</v>
      </c>
      <c r="I303" t="str">
        <f t="shared" si="21"/>
        <v>1-0</v>
      </c>
      <c r="J303" t="str">
        <f t="shared" si="22"/>
        <v>1</v>
      </c>
      <c r="K303" t="str">
        <f t="shared" si="23"/>
        <v>0</v>
      </c>
      <c r="L303" t="str">
        <f t="shared" si="24"/>
        <v>RC Celta</v>
      </c>
      <c r="M303" t="str">
        <f>IF(COUNTIF($A$2:A303,A303)=1,
     VLOOKUP(A303,Season_Winners!A:B,2,FALSE),
     "")</f>
        <v/>
      </c>
    </row>
    <row r="304" spans="1:14" hidden="1" x14ac:dyDescent="0.3">
      <c r="A304" t="s">
        <v>8</v>
      </c>
      <c r="B304">
        <v>31</v>
      </c>
      <c r="C304" t="s">
        <v>150</v>
      </c>
      <c r="D304" t="str">
        <f t="shared" si="20"/>
        <v>29.03.2014</v>
      </c>
      <c r="E304" s="1">
        <v>0.83333333333333337</v>
      </c>
      <c r="F304" t="s">
        <v>15</v>
      </c>
      <c r="G304" t="s">
        <v>28</v>
      </c>
      <c r="H304" s="2">
        <v>46054</v>
      </c>
      <c r="I304" s="3" t="str">
        <f t="shared" si="21"/>
        <v/>
      </c>
      <c r="J304" t="str">
        <f t="shared" si="22"/>
        <v/>
      </c>
      <c r="K304" t="str">
        <f t="shared" si="23"/>
        <v/>
      </c>
      <c r="L304" t="str">
        <f t="shared" si="24"/>
        <v/>
      </c>
      <c r="M304" t="str">
        <f>IF(COUNTIF($A$2:A304,A304)=1,
     VLOOKUP(A304,Season_Winners!A:B,2,FALSE),
     "")</f>
        <v/>
      </c>
      <c r="N304" s="2"/>
    </row>
    <row r="305" spans="1:14" x14ac:dyDescent="0.3">
      <c r="A305" t="s">
        <v>8</v>
      </c>
      <c r="B305">
        <v>31</v>
      </c>
      <c r="C305" t="s">
        <v>150</v>
      </c>
      <c r="D305" t="str">
        <f t="shared" si="20"/>
        <v>29.03.2014</v>
      </c>
      <c r="E305" s="1">
        <v>0.91666666666666663</v>
      </c>
      <c r="F305" t="s">
        <v>25</v>
      </c>
      <c r="G305" t="s">
        <v>30</v>
      </c>
      <c r="H305" t="s">
        <v>40</v>
      </c>
      <c r="I305" t="str">
        <f t="shared" si="21"/>
        <v>5-0</v>
      </c>
      <c r="J305" t="str">
        <f t="shared" si="22"/>
        <v>5</v>
      </c>
      <c r="K305" t="str">
        <f t="shared" si="23"/>
        <v>0</v>
      </c>
      <c r="L305" t="str">
        <f t="shared" si="24"/>
        <v>Real Madrid</v>
      </c>
      <c r="M305" t="str">
        <f>IF(COUNTIF($A$2:A305,A305)=1,
     VLOOKUP(A305,Season_Winners!A:B,2,FALSE),
     "")</f>
        <v/>
      </c>
    </row>
    <row r="306" spans="1:14" x14ac:dyDescent="0.3">
      <c r="A306" t="s">
        <v>8</v>
      </c>
      <c r="B306">
        <v>31</v>
      </c>
      <c r="C306" t="s">
        <v>151</v>
      </c>
      <c r="D306" t="str">
        <f t="shared" si="20"/>
        <v>30.03.2014</v>
      </c>
      <c r="E306" s="1">
        <v>0.5</v>
      </c>
      <c r="F306" t="s">
        <v>14</v>
      </c>
      <c r="G306" t="s">
        <v>33</v>
      </c>
      <c r="H306" t="s">
        <v>18</v>
      </c>
      <c r="I306" t="str">
        <f t="shared" si="21"/>
        <v>1-0</v>
      </c>
      <c r="J306" t="str">
        <f t="shared" si="22"/>
        <v>1</v>
      </c>
      <c r="K306" t="str">
        <f t="shared" si="23"/>
        <v>0</v>
      </c>
      <c r="L306" t="str">
        <f t="shared" si="24"/>
        <v>Real Valladolid CF</v>
      </c>
      <c r="M306" t="str">
        <f>IF(COUNTIF($A$2:A306,A306)=1,
     VLOOKUP(A306,Season_Winners!A:B,2,FALSE),
     "")</f>
        <v/>
      </c>
    </row>
    <row r="307" spans="1:14" hidden="1" x14ac:dyDescent="0.3">
      <c r="A307" t="s">
        <v>8</v>
      </c>
      <c r="B307">
        <v>31</v>
      </c>
      <c r="C307" t="s">
        <v>151</v>
      </c>
      <c r="D307" t="str">
        <f t="shared" si="20"/>
        <v>30.03.2014</v>
      </c>
      <c r="E307" s="1">
        <v>0.70833333333333337</v>
      </c>
      <c r="F307" t="s">
        <v>23</v>
      </c>
      <c r="G307" t="s">
        <v>10</v>
      </c>
      <c r="H307" s="2">
        <v>46023</v>
      </c>
      <c r="I307" s="3" t="str">
        <f t="shared" si="21"/>
        <v/>
      </c>
      <c r="J307" t="str">
        <f t="shared" si="22"/>
        <v/>
      </c>
      <c r="K307" t="str">
        <f t="shared" si="23"/>
        <v/>
      </c>
      <c r="L307" t="str">
        <f t="shared" si="24"/>
        <v/>
      </c>
      <c r="M307" t="str">
        <f>IF(COUNTIF($A$2:A307,A307)=1,
     VLOOKUP(A307,Season_Winners!A:B,2,FALSE),
     "")</f>
        <v/>
      </c>
      <c r="N307" s="2"/>
    </row>
    <row r="308" spans="1:14" hidden="1" x14ac:dyDescent="0.3">
      <c r="A308" t="s">
        <v>8</v>
      </c>
      <c r="B308">
        <v>31</v>
      </c>
      <c r="C308" t="s">
        <v>151</v>
      </c>
      <c r="D308" t="str">
        <f t="shared" si="20"/>
        <v>30.03.2014</v>
      </c>
      <c r="E308" s="1">
        <v>0.79166666666666663</v>
      </c>
      <c r="F308" t="s">
        <v>34</v>
      </c>
      <c r="G308" t="s">
        <v>31</v>
      </c>
      <c r="H308" s="2">
        <v>46023</v>
      </c>
      <c r="I308" s="3" t="str">
        <f t="shared" si="21"/>
        <v/>
      </c>
      <c r="J308" t="str">
        <f t="shared" si="22"/>
        <v/>
      </c>
      <c r="K308" t="str">
        <f t="shared" si="23"/>
        <v/>
      </c>
      <c r="L308" t="str">
        <f t="shared" si="24"/>
        <v/>
      </c>
      <c r="M308" t="str">
        <f>IF(COUNTIF($A$2:A308,A308)=1,
     VLOOKUP(A308,Season_Winners!A:B,2,FALSE),
     "")</f>
        <v/>
      </c>
      <c r="N308" s="2"/>
    </row>
    <row r="309" spans="1:14" hidden="1" x14ac:dyDescent="0.3">
      <c r="A309" t="s">
        <v>8</v>
      </c>
      <c r="B309">
        <v>31</v>
      </c>
      <c r="C309" t="s">
        <v>151</v>
      </c>
      <c r="D309" t="str">
        <f t="shared" si="20"/>
        <v>30.03.2014</v>
      </c>
      <c r="E309" s="1">
        <v>0.875</v>
      </c>
      <c r="F309" t="s">
        <v>16</v>
      </c>
      <c r="G309" t="s">
        <v>11</v>
      </c>
      <c r="H309" s="2">
        <v>46082</v>
      </c>
      <c r="I309" s="3" t="str">
        <f t="shared" si="21"/>
        <v/>
      </c>
      <c r="J309" t="str">
        <f t="shared" si="22"/>
        <v/>
      </c>
      <c r="K309" t="str">
        <f t="shared" si="23"/>
        <v/>
      </c>
      <c r="L309" t="str">
        <f t="shared" si="24"/>
        <v/>
      </c>
      <c r="M309" t="str">
        <f>IF(COUNTIF($A$2:A309,A309)=1,
     VLOOKUP(A309,Season_Winners!A:B,2,FALSE),
     "")</f>
        <v/>
      </c>
      <c r="N309" s="2"/>
    </row>
    <row r="310" spans="1:14" x14ac:dyDescent="0.3">
      <c r="A310" t="s">
        <v>8</v>
      </c>
      <c r="B310">
        <v>31</v>
      </c>
      <c r="C310" t="s">
        <v>152</v>
      </c>
      <c r="D310" t="str">
        <f t="shared" si="20"/>
        <v>31.03.2014</v>
      </c>
      <c r="E310" s="1">
        <v>0.83333333333333337</v>
      </c>
      <c r="F310" t="s">
        <v>24</v>
      </c>
      <c r="G310" t="s">
        <v>21</v>
      </c>
      <c r="H310" t="s">
        <v>54</v>
      </c>
      <c r="I310" t="str">
        <f t="shared" si="21"/>
        <v>0-2</v>
      </c>
      <c r="J310" t="str">
        <f t="shared" si="22"/>
        <v>0</v>
      </c>
      <c r="K310" t="str">
        <f t="shared" si="23"/>
        <v>2</v>
      </c>
      <c r="L310" t="str">
        <f t="shared" si="24"/>
        <v>Levante UD</v>
      </c>
      <c r="M310" t="str">
        <f>IF(COUNTIF($A$2:A310,A310)=1,
     VLOOKUP(A310,Season_Winners!A:B,2,FALSE),
     "")</f>
        <v/>
      </c>
    </row>
    <row r="311" spans="1:14" hidden="1" x14ac:dyDescent="0.3">
      <c r="A311" t="s">
        <v>8</v>
      </c>
      <c r="B311">
        <v>31</v>
      </c>
      <c r="C311" t="s">
        <v>152</v>
      </c>
      <c r="D311" t="str">
        <f t="shared" si="20"/>
        <v>31.03.2014</v>
      </c>
      <c r="E311" s="1">
        <v>0.91666666666666663</v>
      </c>
      <c r="F311" t="s">
        <v>26</v>
      </c>
      <c r="G311" t="s">
        <v>17</v>
      </c>
      <c r="H311" s="2">
        <v>46054</v>
      </c>
      <c r="I311" s="3" t="str">
        <f t="shared" si="21"/>
        <v/>
      </c>
      <c r="J311" t="str">
        <f t="shared" si="22"/>
        <v/>
      </c>
      <c r="K311" t="str">
        <f t="shared" si="23"/>
        <v/>
      </c>
      <c r="L311" t="str">
        <f t="shared" si="24"/>
        <v/>
      </c>
      <c r="M311" t="str">
        <f>IF(COUNTIF($A$2:A311,A311)=1,
     VLOOKUP(A311,Season_Winners!A:B,2,FALSE),
     "")</f>
        <v/>
      </c>
      <c r="N311" s="2"/>
    </row>
    <row r="312" spans="1:14" hidden="1" x14ac:dyDescent="0.3">
      <c r="A312" t="s">
        <v>8</v>
      </c>
      <c r="B312">
        <v>32</v>
      </c>
      <c r="C312" t="s">
        <v>153</v>
      </c>
      <c r="D312" t="str">
        <f t="shared" si="20"/>
        <v>04.04.2014</v>
      </c>
      <c r="E312" s="1">
        <v>0.875</v>
      </c>
      <c r="F312" t="s">
        <v>33</v>
      </c>
      <c r="G312" t="s">
        <v>23</v>
      </c>
      <c r="H312" s="2">
        <v>46054</v>
      </c>
      <c r="I312" s="3" t="str">
        <f t="shared" si="21"/>
        <v/>
      </c>
      <c r="J312" t="str">
        <f t="shared" si="22"/>
        <v/>
      </c>
      <c r="K312" t="str">
        <f t="shared" si="23"/>
        <v/>
      </c>
      <c r="L312" t="str">
        <f t="shared" si="24"/>
        <v/>
      </c>
      <c r="M312" t="str">
        <f>IF(COUNTIF($A$2:A312,A312)=1,
     VLOOKUP(A312,Season_Winners!A:B,2,FALSE),
     "")</f>
        <v/>
      </c>
      <c r="N312" s="2"/>
    </row>
    <row r="313" spans="1:14" x14ac:dyDescent="0.3">
      <c r="A313" t="s">
        <v>8</v>
      </c>
      <c r="B313">
        <v>32</v>
      </c>
      <c r="C313" t="s">
        <v>154</v>
      </c>
      <c r="D313" t="str">
        <f t="shared" si="20"/>
        <v>05.04.2014</v>
      </c>
      <c r="E313" s="1">
        <v>0.66666666666666663</v>
      </c>
      <c r="F313" t="s">
        <v>1425</v>
      </c>
      <c r="G313" t="s">
        <v>34</v>
      </c>
      <c r="H313" t="s">
        <v>18</v>
      </c>
      <c r="I313" t="str">
        <f t="shared" si="21"/>
        <v>1-0</v>
      </c>
      <c r="J313" t="str">
        <f t="shared" si="22"/>
        <v>1</v>
      </c>
      <c r="K313" t="str">
        <f t="shared" si="23"/>
        <v>0</v>
      </c>
      <c r="L313" t="str">
        <f t="shared" si="24"/>
        <v>Atlético de Madrid</v>
      </c>
      <c r="M313" t="str">
        <f>IF(COUNTIF($A$2:A313,A313)=1,
     VLOOKUP(A313,Season_Winners!A:B,2,FALSE),
     "")</f>
        <v/>
      </c>
    </row>
    <row r="314" spans="1:14" hidden="1" x14ac:dyDescent="0.3">
      <c r="A314" t="s">
        <v>8</v>
      </c>
      <c r="B314">
        <v>32</v>
      </c>
      <c r="C314" t="s">
        <v>154</v>
      </c>
      <c r="D314" t="str">
        <f t="shared" si="20"/>
        <v>05.04.2014</v>
      </c>
      <c r="E314" s="1">
        <v>0.75</v>
      </c>
      <c r="F314" t="s">
        <v>20</v>
      </c>
      <c r="G314" t="s">
        <v>26</v>
      </c>
      <c r="H314" s="2">
        <v>46025</v>
      </c>
      <c r="I314" s="3" t="str">
        <f t="shared" si="21"/>
        <v/>
      </c>
      <c r="J314" t="str">
        <f t="shared" si="22"/>
        <v/>
      </c>
      <c r="K314" t="str">
        <f t="shared" si="23"/>
        <v/>
      </c>
      <c r="L314" t="str">
        <f t="shared" si="24"/>
        <v/>
      </c>
      <c r="M314" t="str">
        <f>IF(COUNTIF($A$2:A314,A314)=1,
     VLOOKUP(A314,Season_Winners!A:B,2,FALSE),
     "")</f>
        <v/>
      </c>
      <c r="N314" s="2"/>
    </row>
    <row r="315" spans="1:14" x14ac:dyDescent="0.3">
      <c r="A315" t="s">
        <v>8</v>
      </c>
      <c r="B315">
        <v>32</v>
      </c>
      <c r="C315" t="s">
        <v>154</v>
      </c>
      <c r="D315" t="str">
        <f t="shared" si="20"/>
        <v>05.04.2014</v>
      </c>
      <c r="E315" s="1">
        <v>0.83333333333333337</v>
      </c>
      <c r="F315" t="s">
        <v>10</v>
      </c>
      <c r="G315" t="s">
        <v>25</v>
      </c>
      <c r="H315" t="s">
        <v>53</v>
      </c>
      <c r="I315" t="str">
        <f t="shared" si="21"/>
        <v>0-4</v>
      </c>
      <c r="J315" t="str">
        <f t="shared" si="22"/>
        <v>0</v>
      </c>
      <c r="K315" t="str">
        <f t="shared" si="23"/>
        <v>4</v>
      </c>
      <c r="L315" t="str">
        <f t="shared" si="24"/>
        <v>Real Madrid</v>
      </c>
      <c r="M315" t="str">
        <f>IF(COUNTIF($A$2:A315,A315)=1,
     VLOOKUP(A315,Season_Winners!A:B,2,FALSE),
     "")</f>
        <v/>
      </c>
    </row>
    <row r="316" spans="1:14" x14ac:dyDescent="0.3">
      <c r="A316" t="s">
        <v>8</v>
      </c>
      <c r="B316">
        <v>32</v>
      </c>
      <c r="C316" t="s">
        <v>154</v>
      </c>
      <c r="D316" t="str">
        <f t="shared" si="20"/>
        <v>05.04.2014</v>
      </c>
      <c r="E316" s="1">
        <v>0.91666666666666663</v>
      </c>
      <c r="F316" t="s">
        <v>30</v>
      </c>
      <c r="G316" t="s">
        <v>35</v>
      </c>
      <c r="H316" t="s">
        <v>32</v>
      </c>
      <c r="I316" t="str">
        <f t="shared" si="21"/>
        <v>3-0</v>
      </c>
      <c r="J316" t="str">
        <f t="shared" si="22"/>
        <v>3</v>
      </c>
      <c r="K316" t="str">
        <f t="shared" si="23"/>
        <v>0</v>
      </c>
      <c r="L316" t="str">
        <f t="shared" si="24"/>
        <v>Rayo Vallecano</v>
      </c>
      <c r="M316" t="str">
        <f>IF(COUNTIF($A$2:A316,A316)=1,
     VLOOKUP(A316,Season_Winners!A:B,2,FALSE),
     "")</f>
        <v/>
      </c>
    </row>
    <row r="317" spans="1:14" hidden="1" x14ac:dyDescent="0.3">
      <c r="A317" t="s">
        <v>8</v>
      </c>
      <c r="B317">
        <v>32</v>
      </c>
      <c r="C317" t="s">
        <v>155</v>
      </c>
      <c r="D317" t="str">
        <f t="shared" si="20"/>
        <v>06.04.2014</v>
      </c>
      <c r="E317" s="1">
        <v>0.5</v>
      </c>
      <c r="F317" t="s">
        <v>17</v>
      </c>
      <c r="G317" t="s">
        <v>24</v>
      </c>
      <c r="H317" s="2">
        <v>46026</v>
      </c>
      <c r="I317" s="3" t="str">
        <f t="shared" si="21"/>
        <v/>
      </c>
      <c r="J317" t="str">
        <f t="shared" si="22"/>
        <v/>
      </c>
      <c r="K317" t="str">
        <f t="shared" si="23"/>
        <v/>
      </c>
      <c r="L317" t="str">
        <f t="shared" si="24"/>
        <v/>
      </c>
      <c r="M317" t="str">
        <f>IF(COUNTIF($A$2:A317,A317)=1,
     VLOOKUP(A317,Season_Winners!A:B,2,FALSE),
     "")</f>
        <v/>
      </c>
      <c r="N317" s="2"/>
    </row>
    <row r="318" spans="1:14" x14ac:dyDescent="0.3">
      <c r="A318" t="s">
        <v>8</v>
      </c>
      <c r="B318">
        <v>32</v>
      </c>
      <c r="C318" t="s">
        <v>155</v>
      </c>
      <c r="D318" t="str">
        <f t="shared" si="20"/>
        <v>06.04.2014</v>
      </c>
      <c r="E318" s="1">
        <v>0.70833333333333337</v>
      </c>
      <c r="F318" t="s">
        <v>31</v>
      </c>
      <c r="G318" t="s">
        <v>11</v>
      </c>
      <c r="H318" t="s">
        <v>18</v>
      </c>
      <c r="I318" t="str">
        <f t="shared" si="21"/>
        <v>1-0</v>
      </c>
      <c r="J318" t="str">
        <f t="shared" si="22"/>
        <v>1</v>
      </c>
      <c r="K318" t="str">
        <f t="shared" si="23"/>
        <v>0</v>
      </c>
      <c r="L318" t="str">
        <f t="shared" si="24"/>
        <v>Elche CF</v>
      </c>
      <c r="M318" t="str">
        <f>IF(COUNTIF($A$2:A318,A318)=1,
     VLOOKUP(A318,Season_Winners!A:B,2,FALSE),
     "")</f>
        <v/>
      </c>
    </row>
    <row r="319" spans="1:14" hidden="1" x14ac:dyDescent="0.3">
      <c r="A319" t="s">
        <v>8</v>
      </c>
      <c r="B319">
        <v>32</v>
      </c>
      <c r="C319" t="s">
        <v>155</v>
      </c>
      <c r="D319" t="str">
        <f t="shared" si="20"/>
        <v>06.04.2014</v>
      </c>
      <c r="E319" s="1">
        <v>0.79166666666666663</v>
      </c>
      <c r="F319" t="s">
        <v>27</v>
      </c>
      <c r="G319" t="s">
        <v>36</v>
      </c>
      <c r="H319" s="2">
        <v>46026</v>
      </c>
      <c r="I319" s="3" t="str">
        <f t="shared" si="21"/>
        <v/>
      </c>
      <c r="J319" t="str">
        <f t="shared" si="22"/>
        <v/>
      </c>
      <c r="K319" t="str">
        <f t="shared" si="23"/>
        <v/>
      </c>
      <c r="L319" t="str">
        <f t="shared" si="24"/>
        <v/>
      </c>
      <c r="M319" t="str">
        <f>IF(COUNTIF($A$2:A319,A319)=1,
     VLOOKUP(A319,Season_Winners!A:B,2,FALSE),
     "")</f>
        <v/>
      </c>
      <c r="N319" s="2"/>
    </row>
    <row r="320" spans="1:14" x14ac:dyDescent="0.3">
      <c r="A320" t="s">
        <v>8</v>
      </c>
      <c r="B320">
        <v>32</v>
      </c>
      <c r="C320" t="s">
        <v>155</v>
      </c>
      <c r="D320" t="str">
        <f t="shared" si="20"/>
        <v>06.04.2014</v>
      </c>
      <c r="E320" s="1">
        <v>0.875</v>
      </c>
      <c r="F320" t="s">
        <v>14</v>
      </c>
      <c r="G320" t="s">
        <v>16</v>
      </c>
      <c r="H320" t="s">
        <v>41</v>
      </c>
      <c r="I320" t="str">
        <f t="shared" si="21"/>
        <v>0-0</v>
      </c>
      <c r="J320" t="str">
        <f t="shared" si="22"/>
        <v>0</v>
      </c>
      <c r="K320" t="str">
        <f t="shared" si="23"/>
        <v>0</v>
      </c>
      <c r="L320" t="str">
        <f t="shared" si="24"/>
        <v>Draw</v>
      </c>
      <c r="M320" t="str">
        <f>IF(COUNTIF($A$2:A320,A320)=1,
     VLOOKUP(A320,Season_Winners!A:B,2,FALSE),
     "")</f>
        <v/>
      </c>
    </row>
    <row r="321" spans="1:14" hidden="1" x14ac:dyDescent="0.3">
      <c r="A321" t="s">
        <v>8</v>
      </c>
      <c r="B321">
        <v>32</v>
      </c>
      <c r="C321" t="s">
        <v>156</v>
      </c>
      <c r="D321" t="str">
        <f t="shared" si="20"/>
        <v>07.04.2014</v>
      </c>
      <c r="E321" s="1">
        <v>0.91666666666666663</v>
      </c>
      <c r="F321" t="s">
        <v>21</v>
      </c>
      <c r="G321" t="s">
        <v>15</v>
      </c>
      <c r="H321" s="2">
        <v>46054</v>
      </c>
      <c r="I321" s="3" t="str">
        <f t="shared" si="21"/>
        <v/>
      </c>
      <c r="J321" t="str">
        <f t="shared" si="22"/>
        <v/>
      </c>
      <c r="K321" t="str">
        <f t="shared" si="23"/>
        <v/>
      </c>
      <c r="L321" t="str">
        <f t="shared" si="24"/>
        <v/>
      </c>
      <c r="M321" t="str">
        <f>IF(COUNTIF($A$2:A321,A321)=1,
     VLOOKUP(A321,Season_Winners!A:B,2,FALSE),
     "")</f>
        <v/>
      </c>
      <c r="N321" s="2"/>
    </row>
    <row r="322" spans="1:14" x14ac:dyDescent="0.3">
      <c r="A322" t="s">
        <v>8</v>
      </c>
      <c r="B322">
        <v>33</v>
      </c>
      <c r="C322" t="s">
        <v>157</v>
      </c>
      <c r="D322" t="str">
        <f t="shared" ref="D322:D385" si="25">RIGHT(C322,10)</f>
        <v>11.04.2014</v>
      </c>
      <c r="E322" s="1">
        <v>0.875</v>
      </c>
      <c r="F322" t="s">
        <v>23</v>
      </c>
      <c r="G322" t="s">
        <v>14</v>
      </c>
      <c r="H322" t="s">
        <v>41</v>
      </c>
      <c r="I322" t="str">
        <f t="shared" ref="I322:I385" si="26">IF(ISNUMBER(SEARCH("-",H322)),H322,"")</f>
        <v>0-0</v>
      </c>
      <c r="J322" t="str">
        <f t="shared" ref="J322:J385" si="27">IF(I322="","",LEFT(I322,FIND("-",I322)-1))</f>
        <v>0</v>
      </c>
      <c r="K322" t="str">
        <f t="shared" ref="K322:K385" si="28">IF(I322="","",RIGHT(I322,LEN(I322)-FIND("-",I322)))</f>
        <v>0</v>
      </c>
      <c r="L322" t="str">
        <f t="shared" ref="L322:L385" si="29">IF(I322="","",IF(J322&gt;K322,F322,IF(K322&gt;J322,G322,"Draw")))</f>
        <v>Draw</v>
      </c>
      <c r="M322" t="str">
        <f>IF(COUNTIF($A$2:A322,A322)=1,
     VLOOKUP(A322,Season_Winners!A:B,2,FALSE),
     "")</f>
        <v/>
      </c>
    </row>
    <row r="323" spans="1:14" hidden="1" x14ac:dyDescent="0.3">
      <c r="A323" t="s">
        <v>8</v>
      </c>
      <c r="B323">
        <v>33</v>
      </c>
      <c r="C323" t="s">
        <v>158</v>
      </c>
      <c r="D323" t="str">
        <f t="shared" si="25"/>
        <v>12.04.2014</v>
      </c>
      <c r="E323" s="1">
        <v>0.66666666666666663</v>
      </c>
      <c r="F323" t="s">
        <v>35</v>
      </c>
      <c r="G323" t="s">
        <v>10</v>
      </c>
      <c r="H323" s="2">
        <v>46055</v>
      </c>
      <c r="I323" s="3" t="str">
        <f t="shared" si="26"/>
        <v/>
      </c>
      <c r="J323" t="str">
        <f t="shared" si="27"/>
        <v/>
      </c>
      <c r="K323" t="str">
        <f t="shared" si="28"/>
        <v/>
      </c>
      <c r="L323" t="str">
        <f t="shared" si="29"/>
        <v/>
      </c>
      <c r="M323" t="str">
        <f>IF(COUNTIF($A$2:A323,A323)=1,
     VLOOKUP(A323,Season_Winners!A:B,2,FALSE),
     "")</f>
        <v/>
      </c>
      <c r="N323" s="2"/>
    </row>
    <row r="324" spans="1:14" x14ac:dyDescent="0.3">
      <c r="A324" t="s">
        <v>8</v>
      </c>
      <c r="B324">
        <v>33</v>
      </c>
      <c r="C324" t="s">
        <v>158</v>
      </c>
      <c r="D324" t="str">
        <f t="shared" si="25"/>
        <v>12.04.2014</v>
      </c>
      <c r="E324" s="1">
        <v>0.75</v>
      </c>
      <c r="F324" t="s">
        <v>34</v>
      </c>
      <c r="G324" t="s">
        <v>21</v>
      </c>
      <c r="H324" t="s">
        <v>18</v>
      </c>
      <c r="I324" t="str">
        <f t="shared" si="26"/>
        <v>1-0</v>
      </c>
      <c r="J324" t="str">
        <f t="shared" si="27"/>
        <v>1</v>
      </c>
      <c r="K324" t="str">
        <f t="shared" si="28"/>
        <v>0</v>
      </c>
      <c r="L324" t="str">
        <f t="shared" si="29"/>
        <v>Villarreal CF</v>
      </c>
      <c r="M324" t="str">
        <f>IF(COUNTIF($A$2:A324,A324)=1,
     VLOOKUP(A324,Season_Winners!A:B,2,FALSE),
     "")</f>
        <v/>
      </c>
    </row>
    <row r="325" spans="1:14" x14ac:dyDescent="0.3">
      <c r="A325" t="s">
        <v>8</v>
      </c>
      <c r="B325">
        <v>33</v>
      </c>
      <c r="C325" t="s">
        <v>158</v>
      </c>
      <c r="D325" t="str">
        <f t="shared" si="25"/>
        <v>12.04.2014</v>
      </c>
      <c r="E325" s="1">
        <v>0.83333333333333337</v>
      </c>
      <c r="F325" t="s">
        <v>24</v>
      </c>
      <c r="G325" t="s">
        <v>20</v>
      </c>
      <c r="H325" t="s">
        <v>18</v>
      </c>
      <c r="I325" t="str">
        <f t="shared" si="26"/>
        <v>1-0</v>
      </c>
      <c r="J325" t="str">
        <f t="shared" si="27"/>
        <v>1</v>
      </c>
      <c r="K325" t="str">
        <f t="shared" si="28"/>
        <v>0</v>
      </c>
      <c r="L325" t="str">
        <f t="shared" si="29"/>
        <v>Granada CF</v>
      </c>
      <c r="M325" t="str">
        <f>IF(COUNTIF($A$2:A325,A325)=1,
     VLOOKUP(A325,Season_Winners!A:B,2,FALSE),
     "")</f>
        <v/>
      </c>
    </row>
    <row r="326" spans="1:14" x14ac:dyDescent="0.3">
      <c r="A326" t="s">
        <v>8</v>
      </c>
      <c r="B326">
        <v>33</v>
      </c>
      <c r="C326" t="s">
        <v>158</v>
      </c>
      <c r="D326" t="str">
        <f t="shared" si="25"/>
        <v>12.04.2014</v>
      </c>
      <c r="E326" s="1">
        <v>0.91666666666666663</v>
      </c>
      <c r="F326" t="s">
        <v>25</v>
      </c>
      <c r="G326" t="s">
        <v>33</v>
      </c>
      <c r="H326" t="s">
        <v>88</v>
      </c>
      <c r="I326" t="str">
        <f t="shared" si="26"/>
        <v>4-0</v>
      </c>
      <c r="J326" t="str">
        <f t="shared" si="27"/>
        <v>4</v>
      </c>
      <c r="K326" t="str">
        <f t="shared" si="28"/>
        <v>0</v>
      </c>
      <c r="L326" t="str">
        <f t="shared" si="29"/>
        <v>Real Madrid</v>
      </c>
      <c r="M326" t="str">
        <f>IF(COUNTIF($A$2:A326,A326)=1,
     VLOOKUP(A326,Season_Winners!A:B,2,FALSE),
     "")</f>
        <v/>
      </c>
    </row>
    <row r="327" spans="1:14" x14ac:dyDescent="0.3">
      <c r="A327" t="s">
        <v>8</v>
      </c>
      <c r="B327">
        <v>33</v>
      </c>
      <c r="C327" t="s">
        <v>159</v>
      </c>
      <c r="D327" t="str">
        <f t="shared" si="25"/>
        <v>13.04.2014</v>
      </c>
      <c r="E327" s="1">
        <v>0.5</v>
      </c>
      <c r="F327" t="s">
        <v>26</v>
      </c>
      <c r="G327" t="s">
        <v>27</v>
      </c>
      <c r="H327" t="s">
        <v>54</v>
      </c>
      <c r="I327" t="str">
        <f t="shared" si="26"/>
        <v>0-2</v>
      </c>
      <c r="J327" t="str">
        <f t="shared" si="27"/>
        <v>0</v>
      </c>
      <c r="K327" t="str">
        <f t="shared" si="28"/>
        <v>2</v>
      </c>
      <c r="L327" t="str">
        <f t="shared" si="29"/>
        <v>Sevilla FC</v>
      </c>
      <c r="M327" t="str">
        <f>IF(COUNTIF($A$2:A327,A327)=1,
     VLOOKUP(A327,Season_Winners!A:B,2,FALSE),
     "")</f>
        <v/>
      </c>
    </row>
    <row r="328" spans="1:14" hidden="1" x14ac:dyDescent="0.3">
      <c r="A328" t="s">
        <v>8</v>
      </c>
      <c r="B328">
        <v>33</v>
      </c>
      <c r="C328" t="s">
        <v>159</v>
      </c>
      <c r="D328" t="str">
        <f t="shared" si="25"/>
        <v>13.04.2014</v>
      </c>
      <c r="E328" s="1">
        <v>0.70833333333333337</v>
      </c>
      <c r="F328" t="s">
        <v>16</v>
      </c>
      <c r="G328" t="s">
        <v>31</v>
      </c>
      <c r="H328" s="2">
        <v>46024</v>
      </c>
      <c r="I328" s="3" t="str">
        <f t="shared" si="26"/>
        <v/>
      </c>
      <c r="J328" t="str">
        <f t="shared" si="27"/>
        <v/>
      </c>
      <c r="K328" t="str">
        <f t="shared" si="28"/>
        <v/>
      </c>
      <c r="L328" t="str">
        <f t="shared" si="29"/>
        <v/>
      </c>
      <c r="M328" t="str">
        <f>IF(COUNTIF($A$2:A328,A328)=1,
     VLOOKUP(A328,Season_Winners!A:B,2,FALSE),
     "")</f>
        <v/>
      </c>
      <c r="N328" s="2"/>
    </row>
    <row r="329" spans="1:14" x14ac:dyDescent="0.3">
      <c r="A329" t="s">
        <v>8</v>
      </c>
      <c r="B329">
        <v>33</v>
      </c>
      <c r="C329" t="s">
        <v>159</v>
      </c>
      <c r="D329" t="str">
        <f t="shared" si="25"/>
        <v>13.04.2014</v>
      </c>
      <c r="E329" s="1">
        <v>0.79166666666666663</v>
      </c>
      <c r="F329" t="s">
        <v>11</v>
      </c>
      <c r="G329" t="s">
        <v>1425</v>
      </c>
      <c r="H329" t="s">
        <v>54</v>
      </c>
      <c r="I329" t="str">
        <f t="shared" si="26"/>
        <v>0-2</v>
      </c>
      <c r="J329" t="str">
        <f t="shared" si="27"/>
        <v>0</v>
      </c>
      <c r="K329" t="str">
        <f t="shared" si="28"/>
        <v>2</v>
      </c>
      <c r="L329" t="str">
        <f t="shared" si="29"/>
        <v>Atlético de Madrid</v>
      </c>
      <c r="M329" t="str">
        <f>IF(COUNTIF($A$2:A329,A329)=1,
     VLOOKUP(A329,Season_Winners!A:B,2,FALSE),
     "")</f>
        <v/>
      </c>
    </row>
    <row r="330" spans="1:14" hidden="1" x14ac:dyDescent="0.3">
      <c r="A330" t="s">
        <v>8</v>
      </c>
      <c r="B330">
        <v>33</v>
      </c>
      <c r="C330" t="s">
        <v>159</v>
      </c>
      <c r="D330" t="str">
        <f t="shared" si="25"/>
        <v>13.04.2014</v>
      </c>
      <c r="E330" s="1">
        <v>0.875</v>
      </c>
      <c r="F330" t="s">
        <v>36</v>
      </c>
      <c r="G330" t="s">
        <v>30</v>
      </c>
      <c r="H330" s="2">
        <v>46055</v>
      </c>
      <c r="I330" s="3" t="str">
        <f t="shared" si="26"/>
        <v/>
      </c>
      <c r="J330" t="str">
        <f t="shared" si="27"/>
        <v/>
      </c>
      <c r="K330" t="str">
        <f t="shared" si="28"/>
        <v/>
      </c>
      <c r="L330" t="str">
        <f t="shared" si="29"/>
        <v/>
      </c>
      <c r="M330" t="str">
        <f>IF(COUNTIF($A$2:A330,A330)=1,
     VLOOKUP(A330,Season_Winners!A:B,2,FALSE),
     "")</f>
        <v/>
      </c>
      <c r="N330" s="2"/>
    </row>
    <row r="331" spans="1:14" x14ac:dyDescent="0.3">
      <c r="A331" t="s">
        <v>8</v>
      </c>
      <c r="B331">
        <v>33</v>
      </c>
      <c r="C331" t="s">
        <v>160</v>
      </c>
      <c r="D331" t="str">
        <f t="shared" si="25"/>
        <v>14.04.2014</v>
      </c>
      <c r="E331" s="1">
        <v>0.91666666666666663</v>
      </c>
      <c r="F331" t="s">
        <v>15</v>
      </c>
      <c r="G331" t="s">
        <v>17</v>
      </c>
      <c r="H331" t="s">
        <v>32</v>
      </c>
      <c r="I331" t="str">
        <f t="shared" si="26"/>
        <v>3-0</v>
      </c>
      <c r="J331" t="str">
        <f t="shared" si="27"/>
        <v>3</v>
      </c>
      <c r="K331" t="str">
        <f t="shared" si="28"/>
        <v>0</v>
      </c>
      <c r="L331" t="str">
        <f t="shared" si="29"/>
        <v>Athletic Club</v>
      </c>
      <c r="M331" t="str">
        <f>IF(COUNTIF($A$2:A331,A331)=1,
     VLOOKUP(A331,Season_Winners!A:B,2,FALSE),
     "")</f>
        <v/>
      </c>
    </row>
    <row r="332" spans="1:14" x14ac:dyDescent="0.3">
      <c r="A332" t="s">
        <v>8</v>
      </c>
      <c r="B332">
        <v>34</v>
      </c>
      <c r="C332" t="s">
        <v>161</v>
      </c>
      <c r="D332" t="str">
        <f t="shared" si="25"/>
        <v>18.04.2014</v>
      </c>
      <c r="E332" s="1">
        <v>0.85416666666666663</v>
      </c>
      <c r="F332" t="s">
        <v>1425</v>
      </c>
      <c r="G332" t="s">
        <v>31</v>
      </c>
      <c r="H332" t="s">
        <v>12</v>
      </c>
      <c r="I332" t="str">
        <f t="shared" si="26"/>
        <v>2-0</v>
      </c>
      <c r="J332" t="str">
        <f t="shared" si="27"/>
        <v>2</v>
      </c>
      <c r="K332" t="str">
        <f t="shared" si="28"/>
        <v>0</v>
      </c>
      <c r="L332" t="str">
        <f t="shared" si="29"/>
        <v>Atlético de Madrid</v>
      </c>
      <c r="M332" t="str">
        <f>IF(COUNTIF($A$2:A332,A332)=1,
     VLOOKUP(A332,Season_Winners!A:B,2,FALSE),
     "")</f>
        <v/>
      </c>
    </row>
    <row r="333" spans="1:14" hidden="1" x14ac:dyDescent="0.3">
      <c r="A333" t="s">
        <v>8</v>
      </c>
      <c r="B333">
        <v>34</v>
      </c>
      <c r="C333" t="s">
        <v>162</v>
      </c>
      <c r="D333" t="str">
        <f t="shared" si="25"/>
        <v>19.04.2014</v>
      </c>
      <c r="E333" s="1">
        <v>0.66666666666666663</v>
      </c>
      <c r="F333" t="s">
        <v>23</v>
      </c>
      <c r="G333" t="s">
        <v>16</v>
      </c>
      <c r="H333" s="2">
        <v>46023</v>
      </c>
      <c r="I333" s="3" t="str">
        <f t="shared" si="26"/>
        <v/>
      </c>
      <c r="J333" t="str">
        <f t="shared" si="27"/>
        <v/>
      </c>
      <c r="K333" t="str">
        <f t="shared" si="28"/>
        <v/>
      </c>
      <c r="L333" t="str">
        <f t="shared" si="29"/>
        <v/>
      </c>
      <c r="M333" t="str">
        <f>IF(COUNTIF($A$2:A333,A333)=1,
     VLOOKUP(A333,Season_Winners!A:B,2,FALSE),
     "")</f>
        <v/>
      </c>
      <c r="N333" s="2"/>
    </row>
    <row r="334" spans="1:14" x14ac:dyDescent="0.3">
      <c r="A334" t="s">
        <v>8</v>
      </c>
      <c r="B334">
        <v>34</v>
      </c>
      <c r="C334" t="s">
        <v>162</v>
      </c>
      <c r="D334" t="str">
        <f t="shared" si="25"/>
        <v>19.04.2014</v>
      </c>
      <c r="E334" s="1">
        <v>0.75</v>
      </c>
      <c r="F334" t="s">
        <v>21</v>
      </c>
      <c r="G334" t="s">
        <v>11</v>
      </c>
      <c r="H334" t="s">
        <v>41</v>
      </c>
      <c r="I334" t="str">
        <f t="shared" si="26"/>
        <v>0-0</v>
      </c>
      <c r="J334" t="str">
        <f t="shared" si="27"/>
        <v>0</v>
      </c>
      <c r="K334" t="str">
        <f t="shared" si="28"/>
        <v>0</v>
      </c>
      <c r="L334" t="str">
        <f t="shared" si="29"/>
        <v>Draw</v>
      </c>
      <c r="M334" t="str">
        <f>IF(COUNTIF($A$2:A334,A334)=1,
     VLOOKUP(A334,Season_Winners!A:B,2,FALSE),
     "")</f>
        <v/>
      </c>
    </row>
    <row r="335" spans="1:14" hidden="1" x14ac:dyDescent="0.3">
      <c r="A335" t="s">
        <v>8</v>
      </c>
      <c r="B335">
        <v>34</v>
      </c>
      <c r="C335" t="s">
        <v>162</v>
      </c>
      <c r="D335" t="str">
        <f t="shared" si="25"/>
        <v>19.04.2014</v>
      </c>
      <c r="E335" s="1">
        <v>0.83333333333333337</v>
      </c>
      <c r="F335" t="s">
        <v>10</v>
      </c>
      <c r="G335" t="s">
        <v>36</v>
      </c>
      <c r="H335" s="2">
        <v>46024</v>
      </c>
      <c r="I335" s="3" t="str">
        <f t="shared" si="26"/>
        <v/>
      </c>
      <c r="J335" t="str">
        <f t="shared" si="27"/>
        <v/>
      </c>
      <c r="K335" t="str">
        <f t="shared" si="28"/>
        <v/>
      </c>
      <c r="L335" t="str">
        <f t="shared" si="29"/>
        <v/>
      </c>
      <c r="M335" t="str">
        <f>IF(COUNTIF($A$2:A335,A335)=1,
     VLOOKUP(A335,Season_Winners!A:B,2,FALSE),
     "")</f>
        <v/>
      </c>
      <c r="N335" s="2"/>
    </row>
    <row r="336" spans="1:14" hidden="1" x14ac:dyDescent="0.3">
      <c r="A336" t="s">
        <v>8</v>
      </c>
      <c r="B336">
        <v>34</v>
      </c>
      <c r="C336" t="s">
        <v>163</v>
      </c>
      <c r="D336" t="str">
        <f t="shared" si="25"/>
        <v>20.04.2014</v>
      </c>
      <c r="E336" s="1">
        <v>0.5</v>
      </c>
      <c r="F336" t="s">
        <v>33</v>
      </c>
      <c r="G336" t="s">
        <v>35</v>
      </c>
      <c r="H336" s="2">
        <v>46114</v>
      </c>
      <c r="I336" s="3" t="str">
        <f t="shared" si="26"/>
        <v/>
      </c>
      <c r="J336" t="str">
        <f t="shared" si="27"/>
        <v/>
      </c>
      <c r="K336" t="str">
        <f t="shared" si="28"/>
        <v/>
      </c>
      <c r="L336" t="str">
        <f t="shared" si="29"/>
        <v/>
      </c>
      <c r="M336" t="str">
        <f>IF(COUNTIF($A$2:A336,A336)=1,
     VLOOKUP(A336,Season_Winners!A:B,2,FALSE),
     "")</f>
        <v/>
      </c>
      <c r="N336" s="2"/>
    </row>
    <row r="337" spans="1:14" hidden="1" x14ac:dyDescent="0.3">
      <c r="A337" t="s">
        <v>8</v>
      </c>
      <c r="B337">
        <v>34</v>
      </c>
      <c r="C337" t="s">
        <v>163</v>
      </c>
      <c r="D337" t="str">
        <f t="shared" si="25"/>
        <v>20.04.2014</v>
      </c>
      <c r="E337" s="1">
        <v>0.70833333333333337</v>
      </c>
      <c r="F337" t="s">
        <v>30</v>
      </c>
      <c r="G337" t="s">
        <v>26</v>
      </c>
      <c r="H337" s="2">
        <v>46025</v>
      </c>
      <c r="I337" s="3" t="str">
        <f t="shared" si="26"/>
        <v/>
      </c>
      <c r="J337" t="str">
        <f t="shared" si="27"/>
        <v/>
      </c>
      <c r="K337" t="str">
        <f t="shared" si="28"/>
        <v/>
      </c>
      <c r="L337" t="str">
        <f t="shared" si="29"/>
        <v/>
      </c>
      <c r="M337" t="str">
        <f>IF(COUNTIF($A$2:A337,A337)=1,
     VLOOKUP(A337,Season_Winners!A:B,2,FALSE),
     "")</f>
        <v/>
      </c>
      <c r="N337" s="2"/>
    </row>
    <row r="338" spans="1:14" x14ac:dyDescent="0.3">
      <c r="A338" t="s">
        <v>8</v>
      </c>
      <c r="B338">
        <v>34</v>
      </c>
      <c r="C338" t="s">
        <v>163</v>
      </c>
      <c r="D338" t="str">
        <f t="shared" si="25"/>
        <v>20.04.2014</v>
      </c>
      <c r="E338" s="1">
        <v>0.79166666666666663</v>
      </c>
      <c r="F338" t="s">
        <v>27</v>
      </c>
      <c r="G338" t="s">
        <v>24</v>
      </c>
      <c r="H338" t="s">
        <v>88</v>
      </c>
      <c r="I338" t="str">
        <f t="shared" si="26"/>
        <v>4-0</v>
      </c>
      <c r="J338" t="str">
        <f t="shared" si="27"/>
        <v>4</v>
      </c>
      <c r="K338" t="str">
        <f t="shared" si="28"/>
        <v>0</v>
      </c>
      <c r="L338" t="str">
        <f t="shared" si="29"/>
        <v>Sevilla FC</v>
      </c>
      <c r="M338" t="str">
        <f>IF(COUNTIF($A$2:A338,A338)=1,
     VLOOKUP(A338,Season_Winners!A:B,2,FALSE),
     "")</f>
        <v/>
      </c>
    </row>
    <row r="339" spans="1:14" hidden="1" x14ac:dyDescent="0.3">
      <c r="A339" t="s">
        <v>8</v>
      </c>
      <c r="B339">
        <v>34</v>
      </c>
      <c r="C339" t="s">
        <v>163</v>
      </c>
      <c r="D339" t="str">
        <f t="shared" si="25"/>
        <v>20.04.2014</v>
      </c>
      <c r="E339" s="1">
        <v>0.875</v>
      </c>
      <c r="F339" t="s">
        <v>20</v>
      </c>
      <c r="G339" t="s">
        <v>15</v>
      </c>
      <c r="H339" s="2">
        <v>46024</v>
      </c>
      <c r="I339" s="3" t="str">
        <f t="shared" si="26"/>
        <v/>
      </c>
      <c r="J339" t="str">
        <f t="shared" si="27"/>
        <v/>
      </c>
      <c r="K339" t="str">
        <f t="shared" si="28"/>
        <v/>
      </c>
      <c r="L339" t="str">
        <f t="shared" si="29"/>
        <v/>
      </c>
      <c r="M339" t="str">
        <f>IF(COUNTIF($A$2:A339,A339)=1,
     VLOOKUP(A339,Season_Winners!A:B,2,FALSE),
     "")</f>
        <v/>
      </c>
      <c r="N339" s="2"/>
    </row>
    <row r="340" spans="1:14" x14ac:dyDescent="0.3">
      <c r="A340" t="s">
        <v>8</v>
      </c>
      <c r="B340">
        <v>34</v>
      </c>
      <c r="C340" t="s">
        <v>164</v>
      </c>
      <c r="D340" t="str">
        <f t="shared" si="25"/>
        <v>21.04.2014</v>
      </c>
      <c r="E340" s="1">
        <v>0.91666666666666663</v>
      </c>
      <c r="F340" t="s">
        <v>17</v>
      </c>
      <c r="G340" t="s">
        <v>34</v>
      </c>
      <c r="H340" t="s">
        <v>12</v>
      </c>
      <c r="I340" t="str">
        <f t="shared" si="26"/>
        <v>2-0</v>
      </c>
      <c r="J340" t="str">
        <f t="shared" si="27"/>
        <v>2</v>
      </c>
      <c r="K340" t="str">
        <f t="shared" si="28"/>
        <v>0</v>
      </c>
      <c r="L340" t="str">
        <f t="shared" si="29"/>
        <v>MÃ¡laga CF</v>
      </c>
      <c r="M340" t="str">
        <f>IF(COUNTIF($A$2:A340,A340)=1,
     VLOOKUP(A340,Season_Winners!A:B,2,FALSE),
     "")</f>
        <v/>
      </c>
    </row>
    <row r="341" spans="1:14" hidden="1" x14ac:dyDescent="0.3">
      <c r="A341" t="s">
        <v>8</v>
      </c>
      <c r="B341">
        <v>34</v>
      </c>
      <c r="C341" t="s">
        <v>165</v>
      </c>
      <c r="D341" t="str">
        <f t="shared" si="25"/>
        <v>07.05.2014</v>
      </c>
      <c r="E341" s="1">
        <v>0.875</v>
      </c>
      <c r="F341" t="s">
        <v>14</v>
      </c>
      <c r="G341" t="s">
        <v>25</v>
      </c>
      <c r="H341" s="2">
        <v>46023</v>
      </c>
      <c r="I341" s="3" t="str">
        <f t="shared" si="26"/>
        <v/>
      </c>
      <c r="J341" t="str">
        <f t="shared" si="27"/>
        <v/>
      </c>
      <c r="K341" t="str">
        <f t="shared" si="28"/>
        <v/>
      </c>
      <c r="L341" t="str">
        <f t="shared" si="29"/>
        <v/>
      </c>
      <c r="M341" t="str">
        <f>IF(COUNTIF($A$2:A341,A341)=1,
     VLOOKUP(A341,Season_Winners!A:B,2,FALSE),
     "")</f>
        <v/>
      </c>
      <c r="N341" s="2"/>
    </row>
    <row r="342" spans="1:14" hidden="1" x14ac:dyDescent="0.3">
      <c r="A342" t="s">
        <v>8</v>
      </c>
      <c r="B342">
        <v>35</v>
      </c>
      <c r="C342" t="s">
        <v>166</v>
      </c>
      <c r="D342" t="str">
        <f t="shared" si="25"/>
        <v>25.04.2014</v>
      </c>
      <c r="E342" s="1">
        <v>0.875</v>
      </c>
      <c r="F342" t="s">
        <v>31</v>
      </c>
      <c r="G342" t="s">
        <v>21</v>
      </c>
      <c r="H342" s="2">
        <v>46023</v>
      </c>
      <c r="I342" s="3" t="str">
        <f t="shared" si="26"/>
        <v/>
      </c>
      <c r="J342" t="str">
        <f t="shared" si="27"/>
        <v/>
      </c>
      <c r="K342" t="str">
        <f t="shared" si="28"/>
        <v/>
      </c>
      <c r="L342" t="str">
        <f t="shared" si="29"/>
        <v/>
      </c>
      <c r="M342" t="str">
        <f>IF(COUNTIF($A$2:A342,A342)=1,
     VLOOKUP(A342,Season_Winners!A:B,2,FALSE),
     "")</f>
        <v/>
      </c>
      <c r="N342" s="2"/>
    </row>
    <row r="343" spans="1:14" x14ac:dyDescent="0.3">
      <c r="A343" t="s">
        <v>8</v>
      </c>
      <c r="B343">
        <v>35</v>
      </c>
      <c r="C343" t="s">
        <v>167</v>
      </c>
      <c r="D343" t="str">
        <f t="shared" si="25"/>
        <v>26.04.2014</v>
      </c>
      <c r="E343" s="1">
        <v>0.66666666666666663</v>
      </c>
      <c r="F343" t="s">
        <v>24</v>
      </c>
      <c r="G343" t="s">
        <v>30</v>
      </c>
      <c r="H343" t="s">
        <v>46</v>
      </c>
      <c r="I343" t="str">
        <f t="shared" si="26"/>
        <v>0-3</v>
      </c>
      <c r="J343" t="str">
        <f t="shared" si="27"/>
        <v>0</v>
      </c>
      <c r="K343" t="str">
        <f t="shared" si="28"/>
        <v>3</v>
      </c>
      <c r="L343" t="str">
        <f t="shared" si="29"/>
        <v>Rayo Vallecano</v>
      </c>
      <c r="M343" t="str">
        <f>IF(COUNTIF($A$2:A343,A343)=1,
     VLOOKUP(A343,Season_Winners!A:B,2,FALSE),
     "")</f>
        <v/>
      </c>
    </row>
    <row r="344" spans="1:14" x14ac:dyDescent="0.3">
      <c r="A344" t="s">
        <v>8</v>
      </c>
      <c r="B344">
        <v>35</v>
      </c>
      <c r="C344" t="s">
        <v>167</v>
      </c>
      <c r="D344" t="str">
        <f t="shared" si="25"/>
        <v>26.04.2014</v>
      </c>
      <c r="E344" s="1">
        <v>0.75</v>
      </c>
      <c r="F344" t="s">
        <v>11</v>
      </c>
      <c r="G344" t="s">
        <v>17</v>
      </c>
      <c r="H344" t="s">
        <v>18</v>
      </c>
      <c r="I344" t="str">
        <f t="shared" si="26"/>
        <v>1-0</v>
      </c>
      <c r="J344" t="str">
        <f t="shared" si="27"/>
        <v>1</v>
      </c>
      <c r="K344" t="str">
        <f t="shared" si="28"/>
        <v>0</v>
      </c>
      <c r="L344" t="str">
        <f t="shared" si="29"/>
        <v>Getafe CF</v>
      </c>
      <c r="M344" t="str">
        <f>IF(COUNTIF($A$2:A344,A344)=1,
     VLOOKUP(A344,Season_Winners!A:B,2,FALSE),
     "")</f>
        <v/>
      </c>
    </row>
    <row r="345" spans="1:14" x14ac:dyDescent="0.3">
      <c r="A345" t="s">
        <v>8</v>
      </c>
      <c r="B345">
        <v>35</v>
      </c>
      <c r="C345" t="s">
        <v>167</v>
      </c>
      <c r="D345" t="str">
        <f t="shared" si="25"/>
        <v>26.04.2014</v>
      </c>
      <c r="E345" s="1">
        <v>0.83333333333333337</v>
      </c>
      <c r="F345" t="s">
        <v>25</v>
      </c>
      <c r="G345" t="s">
        <v>23</v>
      </c>
      <c r="H345" t="s">
        <v>88</v>
      </c>
      <c r="I345" t="str">
        <f t="shared" si="26"/>
        <v>4-0</v>
      </c>
      <c r="J345" t="str">
        <f t="shared" si="27"/>
        <v>4</v>
      </c>
      <c r="K345" t="str">
        <f t="shared" si="28"/>
        <v>0</v>
      </c>
      <c r="L345" t="str">
        <f t="shared" si="29"/>
        <v>Real Madrid</v>
      </c>
      <c r="M345" t="str">
        <f>IF(COUNTIF($A$2:A345,A345)=1,
     VLOOKUP(A345,Season_Winners!A:B,2,FALSE),
     "")</f>
        <v/>
      </c>
    </row>
    <row r="346" spans="1:14" x14ac:dyDescent="0.3">
      <c r="A346" t="s">
        <v>8</v>
      </c>
      <c r="B346">
        <v>35</v>
      </c>
      <c r="C346" t="s">
        <v>167</v>
      </c>
      <c r="D346" t="str">
        <f t="shared" si="25"/>
        <v>26.04.2014</v>
      </c>
      <c r="E346" s="1">
        <v>0.91666666666666663</v>
      </c>
      <c r="F346" t="s">
        <v>26</v>
      </c>
      <c r="G346" t="s">
        <v>10</v>
      </c>
      <c r="H346" t="s">
        <v>42</v>
      </c>
      <c r="I346" t="str">
        <f t="shared" si="26"/>
        <v>0-1</v>
      </c>
      <c r="J346" t="str">
        <f t="shared" si="27"/>
        <v>0</v>
      </c>
      <c r="K346" t="str">
        <f t="shared" si="28"/>
        <v>1</v>
      </c>
      <c r="L346" t="str">
        <f t="shared" si="29"/>
        <v>Real Sociedad</v>
      </c>
      <c r="M346" t="str">
        <f>IF(COUNTIF($A$2:A346,A346)=1,
     VLOOKUP(A346,Season_Winners!A:B,2,FALSE),
     "")</f>
        <v/>
      </c>
    </row>
    <row r="347" spans="1:14" hidden="1" x14ac:dyDescent="0.3">
      <c r="A347" t="s">
        <v>8</v>
      </c>
      <c r="B347">
        <v>35</v>
      </c>
      <c r="C347" t="s">
        <v>168</v>
      </c>
      <c r="D347" t="str">
        <f t="shared" si="25"/>
        <v>27.04.2014</v>
      </c>
      <c r="E347" s="1">
        <v>0.5</v>
      </c>
      <c r="F347" t="s">
        <v>36</v>
      </c>
      <c r="G347" t="s">
        <v>33</v>
      </c>
      <c r="H347" s="2">
        <v>46054</v>
      </c>
      <c r="I347" s="3" t="str">
        <f t="shared" si="26"/>
        <v/>
      </c>
      <c r="J347" t="str">
        <f t="shared" si="27"/>
        <v/>
      </c>
      <c r="K347" t="str">
        <f t="shared" si="28"/>
        <v/>
      </c>
      <c r="L347" t="str">
        <f t="shared" si="29"/>
        <v/>
      </c>
      <c r="M347" t="str">
        <f>IF(COUNTIF($A$2:A347,A347)=1,
     VLOOKUP(A347,Season_Winners!A:B,2,FALSE),
     "")</f>
        <v/>
      </c>
      <c r="N347" s="2"/>
    </row>
    <row r="348" spans="1:14" x14ac:dyDescent="0.3">
      <c r="A348" t="s">
        <v>8</v>
      </c>
      <c r="B348">
        <v>35</v>
      </c>
      <c r="C348" t="s">
        <v>168</v>
      </c>
      <c r="D348" t="str">
        <f t="shared" si="25"/>
        <v>27.04.2014</v>
      </c>
      <c r="E348" s="1">
        <v>0.70833333333333337</v>
      </c>
      <c r="F348" t="s">
        <v>16</v>
      </c>
      <c r="G348" t="s">
        <v>1425</v>
      </c>
      <c r="H348" t="s">
        <v>42</v>
      </c>
      <c r="I348" t="str">
        <f t="shared" si="26"/>
        <v>0-1</v>
      </c>
      <c r="J348" t="str">
        <f t="shared" si="27"/>
        <v>0</v>
      </c>
      <c r="K348" t="str">
        <f t="shared" si="28"/>
        <v>1</v>
      </c>
      <c r="L348" t="str">
        <f t="shared" si="29"/>
        <v>Atlético de Madrid</v>
      </c>
      <c r="M348" t="str">
        <f>IF(COUNTIF($A$2:A348,A348)=1,
     VLOOKUP(A348,Season_Winners!A:B,2,FALSE),
     "")</f>
        <v/>
      </c>
    </row>
    <row r="349" spans="1:14" hidden="1" x14ac:dyDescent="0.3">
      <c r="A349" t="s">
        <v>8</v>
      </c>
      <c r="B349">
        <v>35</v>
      </c>
      <c r="C349" t="s">
        <v>168</v>
      </c>
      <c r="D349" t="str">
        <f t="shared" si="25"/>
        <v>27.04.2014</v>
      </c>
      <c r="E349" s="1">
        <v>0.79166666666666663</v>
      </c>
      <c r="F349" t="s">
        <v>15</v>
      </c>
      <c r="G349" t="s">
        <v>27</v>
      </c>
      <c r="H349" s="2">
        <v>46025</v>
      </c>
      <c r="I349" s="3" t="str">
        <f t="shared" si="26"/>
        <v/>
      </c>
      <c r="J349" t="str">
        <f t="shared" si="27"/>
        <v/>
      </c>
      <c r="K349" t="str">
        <f t="shared" si="28"/>
        <v/>
      </c>
      <c r="L349" t="str">
        <f t="shared" si="29"/>
        <v/>
      </c>
      <c r="M349" t="str">
        <f>IF(COUNTIF($A$2:A349,A349)=1,
     VLOOKUP(A349,Season_Winners!A:B,2,FALSE),
     "")</f>
        <v/>
      </c>
      <c r="N349" s="2"/>
    </row>
    <row r="350" spans="1:14" hidden="1" x14ac:dyDescent="0.3">
      <c r="A350" t="s">
        <v>8</v>
      </c>
      <c r="B350">
        <v>35</v>
      </c>
      <c r="C350" t="s">
        <v>168</v>
      </c>
      <c r="D350" t="str">
        <f t="shared" si="25"/>
        <v>27.04.2014</v>
      </c>
      <c r="E350" s="1">
        <v>0.875</v>
      </c>
      <c r="F350" t="s">
        <v>34</v>
      </c>
      <c r="G350" t="s">
        <v>20</v>
      </c>
      <c r="H350" s="2">
        <v>46083</v>
      </c>
      <c r="I350" s="3" t="str">
        <f t="shared" si="26"/>
        <v/>
      </c>
      <c r="J350" t="str">
        <f t="shared" si="27"/>
        <v/>
      </c>
      <c r="K350" t="str">
        <f t="shared" si="28"/>
        <v/>
      </c>
      <c r="L350" t="str">
        <f t="shared" si="29"/>
        <v/>
      </c>
      <c r="M350" t="str">
        <f>IF(COUNTIF($A$2:A350,A350)=1,
     VLOOKUP(A350,Season_Winners!A:B,2,FALSE),
     "")</f>
        <v/>
      </c>
      <c r="N350" s="2"/>
    </row>
    <row r="351" spans="1:14" hidden="1" x14ac:dyDescent="0.3">
      <c r="A351" t="s">
        <v>8</v>
      </c>
      <c r="B351">
        <v>35</v>
      </c>
      <c r="C351" t="s">
        <v>169</v>
      </c>
      <c r="D351" t="str">
        <f t="shared" si="25"/>
        <v>28.04.2014</v>
      </c>
      <c r="E351" s="1">
        <v>0.91666666666666663</v>
      </c>
      <c r="F351" t="s">
        <v>35</v>
      </c>
      <c r="G351" t="s">
        <v>14</v>
      </c>
      <c r="H351" s="2">
        <v>46026</v>
      </c>
      <c r="I351" s="3" t="str">
        <f t="shared" si="26"/>
        <v/>
      </c>
      <c r="J351" t="str">
        <f t="shared" si="27"/>
        <v/>
      </c>
      <c r="K351" t="str">
        <f t="shared" si="28"/>
        <v/>
      </c>
      <c r="L351" t="str">
        <f t="shared" si="29"/>
        <v/>
      </c>
      <c r="M351" t="str">
        <f>IF(COUNTIF($A$2:A351,A351)=1,
     VLOOKUP(A351,Season_Winners!A:B,2,FALSE),
     "")</f>
        <v/>
      </c>
      <c r="N351" s="2"/>
    </row>
    <row r="352" spans="1:14" x14ac:dyDescent="0.3">
      <c r="A352" t="s">
        <v>8</v>
      </c>
      <c r="B352">
        <v>36</v>
      </c>
      <c r="C352" t="s">
        <v>170</v>
      </c>
      <c r="D352" t="str">
        <f t="shared" si="25"/>
        <v>02.05.2014</v>
      </c>
      <c r="E352" s="1">
        <v>0.875</v>
      </c>
      <c r="F352" t="s">
        <v>30</v>
      </c>
      <c r="G352" t="s">
        <v>15</v>
      </c>
      <c r="H352" t="s">
        <v>46</v>
      </c>
      <c r="I352" t="str">
        <f t="shared" si="26"/>
        <v>0-3</v>
      </c>
      <c r="J352" t="str">
        <f t="shared" si="27"/>
        <v>0</v>
      </c>
      <c r="K352" t="str">
        <f t="shared" si="28"/>
        <v>3</v>
      </c>
      <c r="L352" t="str">
        <f t="shared" si="29"/>
        <v>Athletic Club</v>
      </c>
      <c r="M352" t="str">
        <f>IF(COUNTIF($A$2:A352,A352)=1,
     VLOOKUP(A352,Season_Winners!A:B,2,FALSE),
     "")</f>
        <v/>
      </c>
    </row>
    <row r="353" spans="1:14" hidden="1" x14ac:dyDescent="0.3">
      <c r="A353" t="s">
        <v>8</v>
      </c>
      <c r="B353">
        <v>36</v>
      </c>
      <c r="C353" t="s">
        <v>171</v>
      </c>
      <c r="D353" t="str">
        <f t="shared" si="25"/>
        <v>03.05.2014</v>
      </c>
      <c r="E353" s="1">
        <v>0.66666666666666663</v>
      </c>
      <c r="F353" t="s">
        <v>20</v>
      </c>
      <c r="G353" t="s">
        <v>11</v>
      </c>
      <c r="H353" s="2">
        <v>46055</v>
      </c>
      <c r="I353" s="3" t="str">
        <f t="shared" si="26"/>
        <v/>
      </c>
      <c r="J353" t="str">
        <f t="shared" si="27"/>
        <v/>
      </c>
      <c r="K353" t="str">
        <f t="shared" si="28"/>
        <v/>
      </c>
      <c r="L353" t="str">
        <f t="shared" si="29"/>
        <v/>
      </c>
      <c r="M353" t="str">
        <f>IF(COUNTIF($A$2:A353,A353)=1,
     VLOOKUP(A353,Season_Winners!A:B,2,FALSE),
     "")</f>
        <v/>
      </c>
      <c r="N353" s="2"/>
    </row>
    <row r="354" spans="1:14" x14ac:dyDescent="0.3">
      <c r="A354" t="s">
        <v>8</v>
      </c>
      <c r="B354">
        <v>36</v>
      </c>
      <c r="C354" t="s">
        <v>171</v>
      </c>
      <c r="D354" t="str">
        <f t="shared" si="25"/>
        <v>03.05.2014</v>
      </c>
      <c r="E354" s="1">
        <v>0.75</v>
      </c>
      <c r="F354" t="s">
        <v>17</v>
      </c>
      <c r="G354" t="s">
        <v>31</v>
      </c>
      <c r="H354" t="s">
        <v>42</v>
      </c>
      <c r="I354" t="str">
        <f t="shared" si="26"/>
        <v>0-1</v>
      </c>
      <c r="J354" t="str">
        <f t="shared" si="27"/>
        <v>0</v>
      </c>
      <c r="K354" t="str">
        <f t="shared" si="28"/>
        <v>1</v>
      </c>
      <c r="L354" t="str">
        <f t="shared" si="29"/>
        <v>Elche CF</v>
      </c>
      <c r="M354" t="str">
        <f>IF(COUNTIF($A$2:A354,A354)=1,
     VLOOKUP(A354,Season_Winners!A:B,2,FALSE),
     "")</f>
        <v/>
      </c>
    </row>
    <row r="355" spans="1:14" x14ac:dyDescent="0.3">
      <c r="A355" t="s">
        <v>8</v>
      </c>
      <c r="B355">
        <v>36</v>
      </c>
      <c r="C355" t="s">
        <v>171</v>
      </c>
      <c r="D355" t="str">
        <f t="shared" si="25"/>
        <v>03.05.2014</v>
      </c>
      <c r="E355" s="1">
        <v>0.83333333333333337</v>
      </c>
      <c r="F355" t="s">
        <v>23</v>
      </c>
      <c r="G355" t="s">
        <v>35</v>
      </c>
      <c r="H355" t="s">
        <v>54</v>
      </c>
      <c r="I355" t="str">
        <f t="shared" si="26"/>
        <v>0-2</v>
      </c>
      <c r="J355" t="str">
        <f t="shared" si="27"/>
        <v>0</v>
      </c>
      <c r="K355" t="str">
        <f t="shared" si="28"/>
        <v>2</v>
      </c>
      <c r="L355" t="str">
        <f t="shared" si="29"/>
        <v>RC Celta</v>
      </c>
      <c r="M355" t="str">
        <f>IF(COUNTIF($A$2:A355,A355)=1,
     VLOOKUP(A355,Season_Winners!A:B,2,FALSE),
     "")</f>
        <v/>
      </c>
    </row>
    <row r="356" spans="1:14" x14ac:dyDescent="0.3">
      <c r="A356" t="s">
        <v>8</v>
      </c>
      <c r="B356">
        <v>36</v>
      </c>
      <c r="C356" t="s">
        <v>171</v>
      </c>
      <c r="D356" t="str">
        <f t="shared" si="25"/>
        <v>03.05.2014</v>
      </c>
      <c r="E356" s="1">
        <v>0.91666666666666663</v>
      </c>
      <c r="F356" t="s">
        <v>14</v>
      </c>
      <c r="G356" t="s">
        <v>36</v>
      </c>
      <c r="H356" t="s">
        <v>18</v>
      </c>
      <c r="I356" t="str">
        <f t="shared" si="26"/>
        <v>1-0</v>
      </c>
      <c r="J356" t="str">
        <f t="shared" si="27"/>
        <v>1</v>
      </c>
      <c r="K356" t="str">
        <f t="shared" si="28"/>
        <v>0</v>
      </c>
      <c r="L356" t="str">
        <f t="shared" si="29"/>
        <v>Real Valladolid CF</v>
      </c>
      <c r="M356" t="str">
        <f>IF(COUNTIF($A$2:A356,A356)=1,
     VLOOKUP(A356,Season_Winners!A:B,2,FALSE),
     "")</f>
        <v/>
      </c>
    </row>
    <row r="357" spans="1:14" hidden="1" x14ac:dyDescent="0.3">
      <c r="A357" t="s">
        <v>8</v>
      </c>
      <c r="B357">
        <v>36</v>
      </c>
      <c r="C357" t="s">
        <v>172</v>
      </c>
      <c r="D357" t="str">
        <f t="shared" si="25"/>
        <v>04.05.2014</v>
      </c>
      <c r="E357" s="1">
        <v>0.5</v>
      </c>
      <c r="F357" t="s">
        <v>33</v>
      </c>
      <c r="G357" t="s">
        <v>26</v>
      </c>
      <c r="H357" s="2">
        <v>46056</v>
      </c>
      <c r="I357" s="3" t="str">
        <f t="shared" si="26"/>
        <v/>
      </c>
      <c r="J357" t="str">
        <f t="shared" si="27"/>
        <v/>
      </c>
      <c r="K357" t="str">
        <f t="shared" si="28"/>
        <v/>
      </c>
      <c r="L357" t="str">
        <f t="shared" si="29"/>
        <v/>
      </c>
      <c r="M357" t="str">
        <f>IF(COUNTIF($A$2:A357,A357)=1,
     VLOOKUP(A357,Season_Winners!A:B,2,FALSE),
     "")</f>
        <v/>
      </c>
      <c r="N357" s="2"/>
    </row>
    <row r="358" spans="1:14" x14ac:dyDescent="0.3">
      <c r="A358" t="s">
        <v>8</v>
      </c>
      <c r="B358">
        <v>36</v>
      </c>
      <c r="C358" t="s">
        <v>172</v>
      </c>
      <c r="D358" t="str">
        <f t="shared" si="25"/>
        <v>04.05.2014</v>
      </c>
      <c r="E358" s="1">
        <v>0.70833333333333337</v>
      </c>
      <c r="F358" t="s">
        <v>21</v>
      </c>
      <c r="G358" t="s">
        <v>1425</v>
      </c>
      <c r="H358" t="s">
        <v>12</v>
      </c>
      <c r="I358" t="str">
        <f t="shared" si="26"/>
        <v>2-0</v>
      </c>
      <c r="J358" t="str">
        <f t="shared" si="27"/>
        <v>2</v>
      </c>
      <c r="K358" t="str">
        <f t="shared" si="28"/>
        <v>0</v>
      </c>
      <c r="L358" t="str">
        <f t="shared" si="29"/>
        <v>Levante UD</v>
      </c>
      <c r="M358" t="str">
        <f>IF(COUNTIF($A$2:A358,A358)=1,
     VLOOKUP(A358,Season_Winners!A:B,2,FALSE),
     "")</f>
        <v/>
      </c>
    </row>
    <row r="359" spans="1:14" x14ac:dyDescent="0.3">
      <c r="A359" t="s">
        <v>8</v>
      </c>
      <c r="B359">
        <v>36</v>
      </c>
      <c r="C359" t="s">
        <v>172</v>
      </c>
      <c r="D359" t="str">
        <f t="shared" si="25"/>
        <v>04.05.2014</v>
      </c>
      <c r="E359" s="1">
        <v>0.79166666666666663</v>
      </c>
      <c r="F359" t="s">
        <v>27</v>
      </c>
      <c r="G359" t="s">
        <v>34</v>
      </c>
      <c r="H359" t="s">
        <v>41</v>
      </c>
      <c r="I359" t="str">
        <f t="shared" si="26"/>
        <v>0-0</v>
      </c>
      <c r="J359" t="str">
        <f t="shared" si="27"/>
        <v>0</v>
      </c>
      <c r="K359" t="str">
        <f t="shared" si="28"/>
        <v>0</v>
      </c>
      <c r="L359" t="str">
        <f t="shared" si="29"/>
        <v>Draw</v>
      </c>
      <c r="M359" t="str">
        <f>IF(COUNTIF($A$2:A359,A359)=1,
     VLOOKUP(A359,Season_Winners!A:B,2,FALSE),
     "")</f>
        <v/>
      </c>
    </row>
    <row r="360" spans="1:14" hidden="1" x14ac:dyDescent="0.3">
      <c r="A360" t="s">
        <v>8</v>
      </c>
      <c r="B360">
        <v>36</v>
      </c>
      <c r="C360" t="s">
        <v>172</v>
      </c>
      <c r="D360" t="str">
        <f t="shared" si="25"/>
        <v>04.05.2014</v>
      </c>
      <c r="E360" s="1">
        <v>0.875</v>
      </c>
      <c r="F360" t="s">
        <v>25</v>
      </c>
      <c r="G360" t="s">
        <v>16</v>
      </c>
      <c r="H360" s="2">
        <v>46055</v>
      </c>
      <c r="I360" s="3" t="str">
        <f t="shared" si="26"/>
        <v/>
      </c>
      <c r="J360" t="str">
        <f t="shared" si="27"/>
        <v/>
      </c>
      <c r="K360" t="str">
        <f t="shared" si="28"/>
        <v/>
      </c>
      <c r="L360" t="str">
        <f t="shared" si="29"/>
        <v/>
      </c>
      <c r="M360" t="str">
        <f>IF(COUNTIF($A$2:A360,A360)=1,
     VLOOKUP(A360,Season_Winners!A:B,2,FALSE),
     "")</f>
        <v/>
      </c>
      <c r="N360" s="2"/>
    </row>
    <row r="361" spans="1:14" hidden="1" x14ac:dyDescent="0.3">
      <c r="A361" t="s">
        <v>8</v>
      </c>
      <c r="B361">
        <v>36</v>
      </c>
      <c r="C361" t="s">
        <v>173</v>
      </c>
      <c r="D361" t="str">
        <f t="shared" si="25"/>
        <v>05.05.2014</v>
      </c>
      <c r="E361" s="1">
        <v>0.91666666666666663</v>
      </c>
      <c r="F361" t="s">
        <v>10</v>
      </c>
      <c r="G361" t="s">
        <v>24</v>
      </c>
      <c r="H361" s="2">
        <v>46023</v>
      </c>
      <c r="I361" s="3" t="str">
        <f t="shared" si="26"/>
        <v/>
      </c>
      <c r="J361" t="str">
        <f t="shared" si="27"/>
        <v/>
      </c>
      <c r="K361" t="str">
        <f t="shared" si="28"/>
        <v/>
      </c>
      <c r="L361" t="str">
        <f t="shared" si="29"/>
        <v/>
      </c>
      <c r="M361" t="str">
        <f>IF(COUNTIF($A$2:A361,A361)=1,
     VLOOKUP(A361,Season_Winners!A:B,2,FALSE),
     "")</f>
        <v/>
      </c>
      <c r="N361" s="2"/>
    </row>
    <row r="362" spans="1:14" x14ac:dyDescent="0.3">
      <c r="A362" t="s">
        <v>8</v>
      </c>
      <c r="B362">
        <v>37</v>
      </c>
      <c r="C362" t="s">
        <v>174</v>
      </c>
      <c r="D362" t="str">
        <f t="shared" si="25"/>
        <v>10.05.2014</v>
      </c>
      <c r="E362" s="1">
        <v>0.83333333333333337</v>
      </c>
      <c r="F362" t="s">
        <v>34</v>
      </c>
      <c r="G362" t="s">
        <v>30</v>
      </c>
      <c r="H362" t="s">
        <v>88</v>
      </c>
      <c r="I362" t="str">
        <f t="shared" si="26"/>
        <v>4-0</v>
      </c>
      <c r="J362" t="str">
        <f t="shared" si="27"/>
        <v>4</v>
      </c>
      <c r="K362" t="str">
        <f t="shared" si="28"/>
        <v>0</v>
      </c>
      <c r="L362" t="str">
        <f t="shared" si="29"/>
        <v>Villarreal CF</v>
      </c>
      <c r="M362" t="str">
        <f>IF(COUNTIF($A$2:A362,A362)=1,
     VLOOKUP(A362,Season_Winners!A:B,2,FALSE),
     "")</f>
        <v/>
      </c>
    </row>
    <row r="363" spans="1:14" x14ac:dyDescent="0.3">
      <c r="A363" t="s">
        <v>8</v>
      </c>
      <c r="B363">
        <v>37</v>
      </c>
      <c r="C363" t="s">
        <v>174</v>
      </c>
      <c r="D363" t="str">
        <f t="shared" si="25"/>
        <v>10.05.2014</v>
      </c>
      <c r="E363" s="1">
        <v>0.91666666666666663</v>
      </c>
      <c r="F363" t="s">
        <v>21</v>
      </c>
      <c r="G363" t="s">
        <v>16</v>
      </c>
      <c r="H363" t="s">
        <v>12</v>
      </c>
      <c r="I363" t="str">
        <f t="shared" si="26"/>
        <v>2-0</v>
      </c>
      <c r="J363" t="str">
        <f t="shared" si="27"/>
        <v>2</v>
      </c>
      <c r="K363" t="str">
        <f t="shared" si="28"/>
        <v>0</v>
      </c>
      <c r="L363" t="str">
        <f t="shared" si="29"/>
        <v>Levante UD</v>
      </c>
      <c r="M363" t="str">
        <f>IF(COUNTIF($A$2:A363,A363)=1,
     VLOOKUP(A363,Season_Winners!A:B,2,FALSE),
     "")</f>
        <v/>
      </c>
    </row>
    <row r="364" spans="1:14" hidden="1" x14ac:dyDescent="0.3">
      <c r="A364" t="s">
        <v>8</v>
      </c>
      <c r="B364">
        <v>37</v>
      </c>
      <c r="C364" t="s">
        <v>175</v>
      </c>
      <c r="D364" t="str">
        <f t="shared" si="25"/>
        <v>11.05.2014</v>
      </c>
      <c r="E364" s="1">
        <v>0.70833333333333337</v>
      </c>
      <c r="F364" t="s">
        <v>15</v>
      </c>
      <c r="G364" t="s">
        <v>10</v>
      </c>
      <c r="H364" s="2">
        <v>46023</v>
      </c>
      <c r="I364" s="3" t="str">
        <f t="shared" si="26"/>
        <v/>
      </c>
      <c r="J364" t="str">
        <f t="shared" si="27"/>
        <v/>
      </c>
      <c r="K364" t="str">
        <f t="shared" si="28"/>
        <v/>
      </c>
      <c r="L364" t="str">
        <f t="shared" si="29"/>
        <v/>
      </c>
      <c r="M364" t="str">
        <f>IF(COUNTIF($A$2:A364,A364)=1,
     VLOOKUP(A364,Season_Winners!A:B,2,FALSE),
     "")</f>
        <v/>
      </c>
      <c r="N364" s="2"/>
    </row>
    <row r="365" spans="1:14" hidden="1" x14ac:dyDescent="0.3">
      <c r="A365" t="s">
        <v>8</v>
      </c>
      <c r="B365">
        <v>37</v>
      </c>
      <c r="C365" t="s">
        <v>175</v>
      </c>
      <c r="D365" t="str">
        <f t="shared" si="25"/>
        <v>11.05.2014</v>
      </c>
      <c r="E365" s="1">
        <v>0.79166666666666663</v>
      </c>
      <c r="F365" t="s">
        <v>28</v>
      </c>
      <c r="G365" t="s">
        <v>17</v>
      </c>
      <c r="H365" s="2">
        <v>46023</v>
      </c>
      <c r="I365" s="3" t="str">
        <f t="shared" si="26"/>
        <v/>
      </c>
      <c r="J365" t="str">
        <f t="shared" si="27"/>
        <v/>
      </c>
      <c r="K365" t="str">
        <f t="shared" si="28"/>
        <v/>
      </c>
      <c r="L365" t="str">
        <f t="shared" si="29"/>
        <v/>
      </c>
      <c r="M365" t="str">
        <f>IF(COUNTIF($A$2:A365,A365)=1,
     VLOOKUP(A365,Season_Winners!A:B,2,FALSE),
     "")</f>
        <v/>
      </c>
      <c r="N365" s="2"/>
    </row>
    <row r="366" spans="1:14" hidden="1" x14ac:dyDescent="0.3">
      <c r="A366" t="s">
        <v>8</v>
      </c>
      <c r="B366">
        <v>37</v>
      </c>
      <c r="C366" t="s">
        <v>175</v>
      </c>
      <c r="D366" t="str">
        <f t="shared" si="25"/>
        <v>11.05.2014</v>
      </c>
      <c r="E366" s="1">
        <v>0.79166666666666663</v>
      </c>
      <c r="F366" t="s">
        <v>26</v>
      </c>
      <c r="G366" t="s">
        <v>14</v>
      </c>
      <c r="H366" s="2">
        <v>46085</v>
      </c>
      <c r="I366" s="3" t="str">
        <f t="shared" si="26"/>
        <v/>
      </c>
      <c r="J366" t="str">
        <f t="shared" si="27"/>
        <v/>
      </c>
      <c r="K366" t="str">
        <f t="shared" si="28"/>
        <v/>
      </c>
      <c r="L366" t="str">
        <f t="shared" si="29"/>
        <v/>
      </c>
      <c r="M366" t="str">
        <f>IF(COUNTIF($A$2:A366,A366)=1,
     VLOOKUP(A366,Season_Winners!A:B,2,FALSE),
     "")</f>
        <v/>
      </c>
      <c r="N366" s="2"/>
    </row>
    <row r="367" spans="1:14" x14ac:dyDescent="0.3">
      <c r="A367" t="s">
        <v>8</v>
      </c>
      <c r="B367">
        <v>37</v>
      </c>
      <c r="C367" t="s">
        <v>175</v>
      </c>
      <c r="D367" t="str">
        <f t="shared" si="25"/>
        <v>11.05.2014</v>
      </c>
      <c r="E367" s="1">
        <v>0.79166666666666663</v>
      </c>
      <c r="F367" t="s">
        <v>35</v>
      </c>
      <c r="G367" t="s">
        <v>25</v>
      </c>
      <c r="H367" t="s">
        <v>12</v>
      </c>
      <c r="I367" t="str">
        <f t="shared" si="26"/>
        <v>2-0</v>
      </c>
      <c r="J367" t="str">
        <f t="shared" si="27"/>
        <v>2</v>
      </c>
      <c r="K367" t="str">
        <f t="shared" si="28"/>
        <v>0</v>
      </c>
      <c r="L367" t="str">
        <f t="shared" si="29"/>
        <v>RC Celta</v>
      </c>
      <c r="M367" t="str">
        <f>IF(COUNTIF($A$2:A367,A367)=1,
     VLOOKUP(A367,Season_Winners!A:B,2,FALSE),
     "")</f>
        <v/>
      </c>
    </row>
    <row r="368" spans="1:14" x14ac:dyDescent="0.3">
      <c r="A368" t="s">
        <v>8</v>
      </c>
      <c r="B368">
        <v>37</v>
      </c>
      <c r="C368" t="s">
        <v>175</v>
      </c>
      <c r="D368" t="str">
        <f t="shared" si="25"/>
        <v>11.05.2014</v>
      </c>
      <c r="E368" s="1">
        <v>0.79166666666666663</v>
      </c>
      <c r="F368" t="s">
        <v>31</v>
      </c>
      <c r="G368" t="s">
        <v>20</v>
      </c>
      <c r="H368" t="s">
        <v>41</v>
      </c>
      <c r="I368" t="str">
        <f t="shared" si="26"/>
        <v>0-0</v>
      </c>
      <c r="J368" t="str">
        <f t="shared" si="27"/>
        <v>0</v>
      </c>
      <c r="K368" t="str">
        <f t="shared" si="28"/>
        <v>0</v>
      </c>
      <c r="L368" t="str">
        <f t="shared" si="29"/>
        <v>Draw</v>
      </c>
      <c r="M368" t="str">
        <f>IF(COUNTIF($A$2:A368,A368)=1,
     VLOOKUP(A368,Season_Winners!A:B,2,FALSE),
     "")</f>
        <v/>
      </c>
    </row>
    <row r="369" spans="1:14" hidden="1" x14ac:dyDescent="0.3">
      <c r="A369" t="s">
        <v>8</v>
      </c>
      <c r="B369">
        <v>37</v>
      </c>
      <c r="C369" t="s">
        <v>175</v>
      </c>
      <c r="D369" t="str">
        <f t="shared" si="25"/>
        <v>11.05.2014</v>
      </c>
      <c r="E369" s="1">
        <v>0.79166666666666663</v>
      </c>
      <c r="F369" t="s">
        <v>36</v>
      </c>
      <c r="G369" t="s">
        <v>23</v>
      </c>
      <c r="H369" s="2">
        <v>46023</v>
      </c>
      <c r="I369" s="3" t="str">
        <f t="shared" si="26"/>
        <v/>
      </c>
      <c r="J369" t="str">
        <f t="shared" si="27"/>
        <v/>
      </c>
      <c r="K369" t="str">
        <f t="shared" si="28"/>
        <v/>
      </c>
      <c r="L369" t="str">
        <f t="shared" si="29"/>
        <v/>
      </c>
      <c r="M369" t="str">
        <f>IF(COUNTIF($A$2:A369,A369)=1,
     VLOOKUP(A369,Season_Winners!A:B,2,FALSE),
     "")</f>
        <v/>
      </c>
      <c r="N369" s="2"/>
    </row>
    <row r="370" spans="1:14" x14ac:dyDescent="0.3">
      <c r="A370" t="s">
        <v>8</v>
      </c>
      <c r="B370">
        <v>37</v>
      </c>
      <c r="C370" t="s">
        <v>175</v>
      </c>
      <c r="D370" t="str">
        <f t="shared" si="25"/>
        <v>11.05.2014</v>
      </c>
      <c r="E370" s="1">
        <v>0.79166666666666663</v>
      </c>
      <c r="F370" t="s">
        <v>11</v>
      </c>
      <c r="G370" t="s">
        <v>27</v>
      </c>
      <c r="H370" t="s">
        <v>18</v>
      </c>
      <c r="I370" t="str">
        <f t="shared" si="26"/>
        <v>1-0</v>
      </c>
      <c r="J370" t="str">
        <f t="shared" si="27"/>
        <v>1</v>
      </c>
      <c r="K370" t="str">
        <f t="shared" si="28"/>
        <v>0</v>
      </c>
      <c r="L370" t="str">
        <f t="shared" si="29"/>
        <v>Getafe CF</v>
      </c>
      <c r="M370" t="str">
        <f>IF(COUNTIF($A$2:A370,A370)=1,
     VLOOKUP(A370,Season_Winners!A:B,2,FALSE),
     "")</f>
        <v/>
      </c>
    </row>
    <row r="371" spans="1:14" x14ac:dyDescent="0.3">
      <c r="A371" t="s">
        <v>8</v>
      </c>
      <c r="B371">
        <v>37</v>
      </c>
      <c r="C371" t="s">
        <v>175</v>
      </c>
      <c r="D371" t="str">
        <f t="shared" si="25"/>
        <v>11.05.2014</v>
      </c>
      <c r="E371" s="1">
        <v>0.79166666666666663</v>
      </c>
      <c r="F371" t="s">
        <v>24</v>
      </c>
      <c r="G371" t="s">
        <v>33</v>
      </c>
      <c r="H371" t="s">
        <v>54</v>
      </c>
      <c r="I371" t="str">
        <f t="shared" si="26"/>
        <v>0-2</v>
      </c>
      <c r="J371" t="str">
        <f t="shared" si="27"/>
        <v>0</v>
      </c>
      <c r="K371" t="str">
        <f t="shared" si="28"/>
        <v>2</v>
      </c>
      <c r="L371" t="str">
        <f t="shared" si="29"/>
        <v>UD AlmerÃ­a</v>
      </c>
      <c r="M371" t="str">
        <f>IF(COUNTIF($A$2:A371,A371)=1,
     VLOOKUP(A371,Season_Winners!A:B,2,FALSE),
     "")</f>
        <v/>
      </c>
    </row>
    <row r="372" spans="1:14" x14ac:dyDescent="0.3">
      <c r="A372" t="s">
        <v>8</v>
      </c>
      <c r="B372">
        <v>38</v>
      </c>
      <c r="C372" t="s">
        <v>176</v>
      </c>
      <c r="D372" t="str">
        <f t="shared" si="25"/>
        <v>16.05.2014</v>
      </c>
      <c r="E372" s="1">
        <v>0.875</v>
      </c>
      <c r="F372" t="s">
        <v>17</v>
      </c>
      <c r="G372" t="s">
        <v>21</v>
      </c>
      <c r="H372" t="s">
        <v>18</v>
      </c>
      <c r="I372" t="str">
        <f t="shared" si="26"/>
        <v>1-0</v>
      </c>
      <c r="J372" t="str">
        <f t="shared" si="27"/>
        <v>1</v>
      </c>
      <c r="K372" t="str">
        <f t="shared" si="28"/>
        <v>0</v>
      </c>
      <c r="L372" t="str">
        <f t="shared" si="29"/>
        <v>MÃ¡laga CF</v>
      </c>
      <c r="M372" t="str">
        <f>IF(COUNTIF($A$2:A372,A372)=1,
     VLOOKUP(A372,Season_Winners!A:B,2,FALSE),
     "")</f>
        <v/>
      </c>
    </row>
    <row r="373" spans="1:14" hidden="1" x14ac:dyDescent="0.3">
      <c r="A373" t="s">
        <v>8</v>
      </c>
      <c r="B373">
        <v>38</v>
      </c>
      <c r="C373" t="s">
        <v>177</v>
      </c>
      <c r="D373" t="str">
        <f t="shared" si="25"/>
        <v>17.05.2014</v>
      </c>
      <c r="E373" s="1">
        <v>0.66666666666666663</v>
      </c>
      <c r="F373" t="s">
        <v>25</v>
      </c>
      <c r="G373" t="s">
        <v>36</v>
      </c>
      <c r="H373" s="2">
        <v>46025</v>
      </c>
      <c r="I373" s="3" t="str">
        <f t="shared" si="26"/>
        <v/>
      </c>
      <c r="J373" t="str">
        <f t="shared" si="27"/>
        <v/>
      </c>
      <c r="K373" t="str">
        <f t="shared" si="28"/>
        <v/>
      </c>
      <c r="L373" t="str">
        <f t="shared" si="29"/>
        <v/>
      </c>
      <c r="M373" t="str">
        <f>IF(COUNTIF($A$2:A373,A373)=1,
     VLOOKUP(A373,Season_Winners!A:B,2,FALSE),
     "")</f>
        <v/>
      </c>
      <c r="N373" s="2"/>
    </row>
    <row r="374" spans="1:14" hidden="1" x14ac:dyDescent="0.3">
      <c r="A374" t="s">
        <v>8</v>
      </c>
      <c r="B374">
        <v>38</v>
      </c>
      <c r="C374" t="s">
        <v>177</v>
      </c>
      <c r="D374" t="str">
        <f t="shared" si="25"/>
        <v>17.05.2014</v>
      </c>
      <c r="E374" s="1">
        <v>0.75</v>
      </c>
      <c r="F374" t="s">
        <v>20</v>
      </c>
      <c r="G374" t="s">
        <v>28</v>
      </c>
      <c r="H374" s="2">
        <v>46023</v>
      </c>
      <c r="I374" s="3" t="str">
        <f t="shared" si="26"/>
        <v/>
      </c>
      <c r="J374" t="str">
        <f t="shared" si="27"/>
        <v/>
      </c>
      <c r="K374" t="str">
        <f t="shared" si="28"/>
        <v/>
      </c>
      <c r="L374" t="str">
        <f t="shared" si="29"/>
        <v/>
      </c>
      <c r="M374" t="str">
        <f>IF(COUNTIF($A$2:A374,A374)=1,
     VLOOKUP(A374,Season_Winners!A:B,2,FALSE),
     "")</f>
        <v/>
      </c>
      <c r="N374" s="2"/>
    </row>
    <row r="375" spans="1:14" hidden="1" x14ac:dyDescent="0.3">
      <c r="A375" t="s">
        <v>8</v>
      </c>
      <c r="B375">
        <v>38</v>
      </c>
      <c r="C375" t="s">
        <v>177</v>
      </c>
      <c r="D375" t="str">
        <f t="shared" si="25"/>
        <v>17.05.2014</v>
      </c>
      <c r="E375" s="1">
        <v>0.91666666666666663</v>
      </c>
      <c r="F375" t="s">
        <v>16</v>
      </c>
      <c r="G375" t="s">
        <v>35</v>
      </c>
      <c r="H375" s="2">
        <v>46024</v>
      </c>
      <c r="I375" s="3" t="str">
        <f t="shared" si="26"/>
        <v/>
      </c>
      <c r="J375" t="str">
        <f t="shared" si="27"/>
        <v/>
      </c>
      <c r="K375" t="str">
        <f t="shared" si="28"/>
        <v/>
      </c>
      <c r="L375" t="str">
        <f t="shared" si="29"/>
        <v/>
      </c>
      <c r="M375" t="str">
        <f>IF(COUNTIF($A$2:A375,A375)=1,
     VLOOKUP(A375,Season_Winners!A:B,2,FALSE),
     "")</f>
        <v/>
      </c>
      <c r="N375" s="2"/>
    </row>
    <row r="376" spans="1:14" hidden="1" x14ac:dyDescent="0.3">
      <c r="A376" t="s">
        <v>8</v>
      </c>
      <c r="B376">
        <v>38</v>
      </c>
      <c r="C376" t="s">
        <v>178</v>
      </c>
      <c r="D376" t="str">
        <f t="shared" si="25"/>
        <v>18.05.2014</v>
      </c>
      <c r="E376" s="1">
        <v>0.5</v>
      </c>
      <c r="F376" t="s">
        <v>10</v>
      </c>
      <c r="G376" t="s">
        <v>34</v>
      </c>
      <c r="H376" s="2">
        <v>46054</v>
      </c>
      <c r="I376" s="3" t="str">
        <f t="shared" si="26"/>
        <v/>
      </c>
      <c r="J376" t="str">
        <f t="shared" si="27"/>
        <v/>
      </c>
      <c r="K376" t="str">
        <f t="shared" si="28"/>
        <v/>
      </c>
      <c r="L376" t="str">
        <f t="shared" si="29"/>
        <v/>
      </c>
      <c r="M376" t="str">
        <f>IF(COUNTIF($A$2:A376,A376)=1,
     VLOOKUP(A376,Season_Winners!A:B,2,FALSE),
     "")</f>
        <v/>
      </c>
      <c r="N376" s="2"/>
    </row>
    <row r="377" spans="1:14" x14ac:dyDescent="0.3">
      <c r="A377" t="s">
        <v>8</v>
      </c>
      <c r="B377">
        <v>38</v>
      </c>
      <c r="C377" t="s">
        <v>178</v>
      </c>
      <c r="D377" t="str">
        <f t="shared" si="25"/>
        <v>18.05.2014</v>
      </c>
      <c r="E377" s="1">
        <v>0.75</v>
      </c>
      <c r="F377" t="s">
        <v>33</v>
      </c>
      <c r="G377" t="s">
        <v>15</v>
      </c>
      <c r="H377" t="s">
        <v>41</v>
      </c>
      <c r="I377" t="str">
        <f t="shared" si="26"/>
        <v>0-0</v>
      </c>
      <c r="J377" t="str">
        <f t="shared" si="27"/>
        <v>0</v>
      </c>
      <c r="K377" t="str">
        <f t="shared" si="28"/>
        <v>0</v>
      </c>
      <c r="L377" t="str">
        <f t="shared" si="29"/>
        <v>Draw</v>
      </c>
      <c r="M377" t="str">
        <f>IF(COUNTIF($A$2:A377,A377)=1,
     VLOOKUP(A377,Season_Winners!A:B,2,FALSE),
     "")</f>
        <v/>
      </c>
    </row>
    <row r="378" spans="1:14" hidden="1" x14ac:dyDescent="0.3">
      <c r="A378" t="s">
        <v>8</v>
      </c>
      <c r="B378">
        <v>38</v>
      </c>
      <c r="C378" t="s">
        <v>178</v>
      </c>
      <c r="D378" t="str">
        <f t="shared" si="25"/>
        <v>18.05.2014</v>
      </c>
      <c r="E378" s="1">
        <v>0.75</v>
      </c>
      <c r="F378" t="s">
        <v>23</v>
      </c>
      <c r="G378" t="s">
        <v>26</v>
      </c>
      <c r="H378" s="2">
        <v>46024</v>
      </c>
      <c r="I378" s="3" t="str">
        <f t="shared" si="26"/>
        <v/>
      </c>
      <c r="J378" t="str">
        <f t="shared" si="27"/>
        <v/>
      </c>
      <c r="K378" t="str">
        <f t="shared" si="28"/>
        <v/>
      </c>
      <c r="L378" t="str">
        <f t="shared" si="29"/>
        <v/>
      </c>
      <c r="M378" t="str">
        <f>IF(COUNTIF($A$2:A378,A378)=1,
     VLOOKUP(A378,Season_Winners!A:B,2,FALSE),
     "")</f>
        <v/>
      </c>
      <c r="N378" s="2"/>
    </row>
    <row r="379" spans="1:14" hidden="1" x14ac:dyDescent="0.3">
      <c r="A379" t="s">
        <v>8</v>
      </c>
      <c r="B379">
        <v>38</v>
      </c>
      <c r="C379" t="s">
        <v>178</v>
      </c>
      <c r="D379" t="str">
        <f t="shared" si="25"/>
        <v>18.05.2014</v>
      </c>
      <c r="E379" s="1">
        <v>0.75</v>
      </c>
      <c r="F379" t="s">
        <v>30</v>
      </c>
      <c r="G379" t="s">
        <v>11</v>
      </c>
      <c r="H379" s="2">
        <v>46054</v>
      </c>
      <c r="I379" s="3" t="str">
        <f t="shared" si="26"/>
        <v/>
      </c>
      <c r="J379" t="str">
        <f t="shared" si="27"/>
        <v/>
      </c>
      <c r="K379" t="str">
        <f t="shared" si="28"/>
        <v/>
      </c>
      <c r="L379" t="str">
        <f t="shared" si="29"/>
        <v/>
      </c>
      <c r="M379" t="str">
        <f>IF(COUNTIF($A$2:A379,A379)=1,
     VLOOKUP(A379,Season_Winners!A:B,2,FALSE),
     "")</f>
        <v/>
      </c>
      <c r="N379" s="2"/>
    </row>
    <row r="380" spans="1:14" x14ac:dyDescent="0.3">
      <c r="A380" t="s">
        <v>8</v>
      </c>
      <c r="B380">
        <v>38</v>
      </c>
      <c r="C380" t="s">
        <v>178</v>
      </c>
      <c r="D380" t="str">
        <f t="shared" si="25"/>
        <v>18.05.2014</v>
      </c>
      <c r="E380" s="1">
        <v>0.75</v>
      </c>
      <c r="F380" t="s">
        <v>14</v>
      </c>
      <c r="G380" t="s">
        <v>24</v>
      </c>
      <c r="H380" t="s">
        <v>42</v>
      </c>
      <c r="I380" t="str">
        <f t="shared" si="26"/>
        <v>0-1</v>
      </c>
      <c r="J380" t="str">
        <f t="shared" si="27"/>
        <v>0</v>
      </c>
      <c r="K380" t="str">
        <f t="shared" si="28"/>
        <v>1</v>
      </c>
      <c r="L380" t="str">
        <f t="shared" si="29"/>
        <v>Granada CF</v>
      </c>
      <c r="M380" t="str">
        <f>IF(COUNTIF($A$2:A380,A380)=1,
     VLOOKUP(A380,Season_Winners!A:B,2,FALSE),
     "")</f>
        <v/>
      </c>
    </row>
    <row r="381" spans="1:14" hidden="1" x14ac:dyDescent="0.3">
      <c r="A381" t="s">
        <v>8</v>
      </c>
      <c r="B381">
        <v>38</v>
      </c>
      <c r="C381" t="s">
        <v>178</v>
      </c>
      <c r="D381" t="str">
        <f t="shared" si="25"/>
        <v>18.05.2014</v>
      </c>
      <c r="E381" s="1">
        <v>0.875</v>
      </c>
      <c r="F381" t="s">
        <v>27</v>
      </c>
      <c r="G381" t="s">
        <v>31</v>
      </c>
      <c r="H381" s="2">
        <v>46025</v>
      </c>
      <c r="I381" s="3" t="str">
        <f t="shared" si="26"/>
        <v/>
      </c>
      <c r="J381" t="str">
        <f t="shared" si="27"/>
        <v/>
      </c>
      <c r="K381" t="str">
        <f t="shared" si="28"/>
        <v/>
      </c>
      <c r="L381" t="str">
        <f t="shared" si="29"/>
        <v/>
      </c>
      <c r="M381" t="str">
        <f>IF(COUNTIF($A$2:A381,A381)=1,
     VLOOKUP(A381,Season_Winners!A:B,2,FALSE),
     "")</f>
        <v/>
      </c>
      <c r="N381" s="2"/>
    </row>
    <row r="382" spans="1:14" x14ac:dyDescent="0.3">
      <c r="A382" t="s">
        <v>179</v>
      </c>
      <c r="B382">
        <v>1</v>
      </c>
      <c r="C382" t="s">
        <v>180</v>
      </c>
      <c r="D382" t="str">
        <f t="shared" si="25"/>
        <v>23.08.2014</v>
      </c>
      <c r="E382" s="1">
        <v>0.79166666666666663</v>
      </c>
      <c r="F382" t="s">
        <v>17</v>
      </c>
      <c r="G382" t="s">
        <v>15</v>
      </c>
      <c r="H382" t="s">
        <v>18</v>
      </c>
      <c r="I382" t="str">
        <f t="shared" si="26"/>
        <v>1-0</v>
      </c>
      <c r="J382" t="str">
        <f t="shared" si="27"/>
        <v>1</v>
      </c>
      <c r="K382" t="str">
        <f t="shared" si="28"/>
        <v>0</v>
      </c>
      <c r="L382" t="str">
        <f t="shared" si="29"/>
        <v>MÃ¡laga CF</v>
      </c>
      <c r="M382" t="str">
        <f>IF(COUNTIF($A$2:A382,A382)=1,
     VLOOKUP(A382,Season_Winners!A:B,2,FALSE),
     "")</f>
        <v>FC Barcelona</v>
      </c>
    </row>
    <row r="383" spans="1:14" hidden="1" x14ac:dyDescent="0.3">
      <c r="A383" t="s">
        <v>179</v>
      </c>
      <c r="B383">
        <v>1</v>
      </c>
      <c r="C383" t="s">
        <v>180</v>
      </c>
      <c r="D383" t="str">
        <f t="shared" si="25"/>
        <v>23.08.2014</v>
      </c>
      <c r="E383" s="1">
        <v>0.875</v>
      </c>
      <c r="F383" t="s">
        <v>24</v>
      </c>
      <c r="G383" t="s">
        <v>182</v>
      </c>
      <c r="H383" s="2">
        <v>46024</v>
      </c>
      <c r="I383" s="3" t="str">
        <f t="shared" si="26"/>
        <v/>
      </c>
      <c r="J383" t="str">
        <f t="shared" si="27"/>
        <v/>
      </c>
      <c r="K383" t="str">
        <f t="shared" si="28"/>
        <v/>
      </c>
      <c r="L383" t="str">
        <f t="shared" si="29"/>
        <v/>
      </c>
      <c r="M383" t="str">
        <f>IF(COUNTIF($A$2:A383,A383)=1,
     VLOOKUP(A383,Season_Winners!A:B,2,FALSE),
     "")</f>
        <v/>
      </c>
      <c r="N383" s="2"/>
    </row>
    <row r="384" spans="1:14" hidden="1" x14ac:dyDescent="0.3">
      <c r="A384" t="s">
        <v>179</v>
      </c>
      <c r="B384">
        <v>1</v>
      </c>
      <c r="C384" t="s">
        <v>180</v>
      </c>
      <c r="D384" t="str">
        <f t="shared" si="25"/>
        <v>23.08.2014</v>
      </c>
      <c r="E384" s="1">
        <v>0.875</v>
      </c>
      <c r="F384" t="s">
        <v>27</v>
      </c>
      <c r="G384" t="s">
        <v>16</v>
      </c>
      <c r="H384" s="2">
        <v>46023</v>
      </c>
      <c r="I384" s="3" t="str">
        <f t="shared" si="26"/>
        <v/>
      </c>
      <c r="J384" t="str">
        <f t="shared" si="27"/>
        <v/>
      </c>
      <c r="K384" t="str">
        <f t="shared" si="28"/>
        <v/>
      </c>
      <c r="L384" t="str">
        <f t="shared" si="29"/>
        <v/>
      </c>
      <c r="M384" t="str">
        <f>IF(COUNTIF($A$2:A384,A384)=1,
     VLOOKUP(A384,Season_Winners!A:B,2,FALSE),
     "")</f>
        <v/>
      </c>
      <c r="N384" s="2"/>
    </row>
    <row r="385" spans="1:14" hidden="1" x14ac:dyDescent="0.3">
      <c r="A385" t="s">
        <v>179</v>
      </c>
      <c r="B385">
        <v>1</v>
      </c>
      <c r="C385" t="s">
        <v>180</v>
      </c>
      <c r="D385" t="str">
        <f t="shared" si="25"/>
        <v>23.08.2014</v>
      </c>
      <c r="E385" s="1">
        <v>0.95833333333333337</v>
      </c>
      <c r="F385" t="s">
        <v>33</v>
      </c>
      <c r="G385" t="s">
        <v>36</v>
      </c>
      <c r="H385" s="2">
        <v>46023</v>
      </c>
      <c r="I385" s="3" t="str">
        <f t="shared" si="26"/>
        <v/>
      </c>
      <c r="J385" t="str">
        <f t="shared" si="27"/>
        <v/>
      </c>
      <c r="K385" t="str">
        <f t="shared" si="28"/>
        <v/>
      </c>
      <c r="L385" t="str">
        <f t="shared" si="29"/>
        <v/>
      </c>
      <c r="M385" t="str">
        <f>IF(COUNTIF($A$2:A385,A385)=1,
     VLOOKUP(A385,Season_Winners!A:B,2,FALSE),
     "")</f>
        <v/>
      </c>
      <c r="N385" s="2"/>
    </row>
    <row r="386" spans="1:14" x14ac:dyDescent="0.3">
      <c r="A386" t="s">
        <v>179</v>
      </c>
      <c r="B386">
        <v>1</v>
      </c>
      <c r="C386" t="s">
        <v>186</v>
      </c>
      <c r="D386" t="str">
        <f t="shared" ref="D386:D449" si="30">RIGHT(C386,10)</f>
        <v>24.08.2014</v>
      </c>
      <c r="E386" s="1">
        <v>0.79166666666666663</v>
      </c>
      <c r="F386" t="s">
        <v>187</v>
      </c>
      <c r="G386" t="s">
        <v>10</v>
      </c>
      <c r="H386" t="s">
        <v>18</v>
      </c>
      <c r="I386" t="str">
        <f t="shared" ref="I386:I449" si="31">IF(ISNUMBER(SEARCH("-",H386)),H386,"")</f>
        <v>1-0</v>
      </c>
      <c r="J386" t="str">
        <f t="shared" ref="J386:J449" si="32">IF(I386="","",LEFT(I386,FIND("-",I386)-1))</f>
        <v>1</v>
      </c>
      <c r="K386" t="str">
        <f t="shared" ref="K386:K449" si="33">IF(I386="","",RIGHT(I386,LEN(I386)-FIND("-",I386)))</f>
        <v>0</v>
      </c>
      <c r="L386" t="str">
        <f t="shared" ref="L386:L449" si="34">IF(I386="","",IF(J386&gt;K386,F386,IF(K386&gt;J386,G386,"Draw")))</f>
        <v>SD Eibar</v>
      </c>
      <c r="M386" t="str">
        <f>IF(COUNTIF($A$2:A386,A386)=1,
     VLOOKUP(A386,Season_Winners!A:B,2,FALSE),
     "")</f>
        <v/>
      </c>
    </row>
    <row r="387" spans="1:14" x14ac:dyDescent="0.3">
      <c r="A387" t="s">
        <v>179</v>
      </c>
      <c r="B387">
        <v>1</v>
      </c>
      <c r="C387" t="s">
        <v>186</v>
      </c>
      <c r="D387" t="str">
        <f t="shared" si="30"/>
        <v>24.08.2014</v>
      </c>
      <c r="E387" s="1">
        <v>0.875</v>
      </c>
      <c r="F387" t="s">
        <v>20</v>
      </c>
      <c r="G387" t="s">
        <v>31</v>
      </c>
      <c r="H387" t="s">
        <v>32</v>
      </c>
      <c r="I387" t="str">
        <f t="shared" si="31"/>
        <v>3-0</v>
      </c>
      <c r="J387" t="str">
        <f t="shared" si="32"/>
        <v>3</v>
      </c>
      <c r="K387" t="str">
        <f t="shared" si="33"/>
        <v>0</v>
      </c>
      <c r="L387" t="str">
        <f t="shared" si="34"/>
        <v>FC Barcelona</v>
      </c>
      <c r="M387" t="str">
        <f>IF(COUNTIF($A$2:A387,A387)=1,
     VLOOKUP(A387,Season_Winners!A:B,2,FALSE),
     "")</f>
        <v/>
      </c>
    </row>
    <row r="388" spans="1:14" hidden="1" x14ac:dyDescent="0.3">
      <c r="A388" t="s">
        <v>179</v>
      </c>
      <c r="B388">
        <v>1</v>
      </c>
      <c r="C388" t="s">
        <v>186</v>
      </c>
      <c r="D388" t="str">
        <f t="shared" si="30"/>
        <v>24.08.2014</v>
      </c>
      <c r="E388" s="1">
        <v>0.875</v>
      </c>
      <c r="F388" t="s">
        <v>35</v>
      </c>
      <c r="G388" t="s">
        <v>11</v>
      </c>
      <c r="H388" s="2">
        <v>46025</v>
      </c>
      <c r="I388" s="3" t="str">
        <f t="shared" si="31"/>
        <v/>
      </c>
      <c r="J388" t="str">
        <f t="shared" si="32"/>
        <v/>
      </c>
      <c r="K388" t="str">
        <f t="shared" si="33"/>
        <v/>
      </c>
      <c r="L388" t="str">
        <f t="shared" si="34"/>
        <v/>
      </c>
      <c r="M388" t="str">
        <f>IF(COUNTIF($A$2:A388,A388)=1,
     VLOOKUP(A388,Season_Winners!A:B,2,FALSE),
     "")</f>
        <v/>
      </c>
      <c r="N388" s="2"/>
    </row>
    <row r="389" spans="1:14" x14ac:dyDescent="0.3">
      <c r="A389" t="s">
        <v>179</v>
      </c>
      <c r="B389">
        <v>1</v>
      </c>
      <c r="C389" t="s">
        <v>186</v>
      </c>
      <c r="D389" t="str">
        <f t="shared" si="30"/>
        <v>24.08.2014</v>
      </c>
      <c r="E389" s="1">
        <v>0.95833333333333337</v>
      </c>
      <c r="F389" t="s">
        <v>21</v>
      </c>
      <c r="G389" t="s">
        <v>34</v>
      </c>
      <c r="H389" t="s">
        <v>54</v>
      </c>
      <c r="I389" t="str">
        <f t="shared" si="31"/>
        <v>0-2</v>
      </c>
      <c r="J389" t="str">
        <f t="shared" si="32"/>
        <v>0</v>
      </c>
      <c r="K389" t="str">
        <f t="shared" si="33"/>
        <v>2</v>
      </c>
      <c r="L389" t="str">
        <f t="shared" si="34"/>
        <v>Villarreal CF</v>
      </c>
      <c r="M389" t="str">
        <f>IF(COUNTIF($A$2:A389,A389)=1,
     VLOOKUP(A389,Season_Winners!A:B,2,FALSE),
     "")</f>
        <v/>
      </c>
    </row>
    <row r="390" spans="1:14" x14ac:dyDescent="0.3">
      <c r="A390" t="s">
        <v>179</v>
      </c>
      <c r="B390">
        <v>1</v>
      </c>
      <c r="C390" t="s">
        <v>192</v>
      </c>
      <c r="D390" t="str">
        <f t="shared" si="30"/>
        <v>25.08.2014</v>
      </c>
      <c r="E390" s="1">
        <v>0.83333333333333337</v>
      </c>
      <c r="F390" t="s">
        <v>25</v>
      </c>
      <c r="G390" t="s">
        <v>193</v>
      </c>
      <c r="H390" t="s">
        <v>12</v>
      </c>
      <c r="I390" t="str">
        <f t="shared" si="31"/>
        <v>2-0</v>
      </c>
      <c r="J390" t="str">
        <f t="shared" si="32"/>
        <v>2</v>
      </c>
      <c r="K390" t="str">
        <f t="shared" si="33"/>
        <v>0</v>
      </c>
      <c r="L390" t="str">
        <f t="shared" si="34"/>
        <v>Real Madrid</v>
      </c>
      <c r="M390" t="str">
        <f>IF(COUNTIF($A$2:A390,A390)=1,
     VLOOKUP(A390,Season_Winners!A:B,2,FALSE),
     "")</f>
        <v/>
      </c>
    </row>
    <row r="391" spans="1:14" x14ac:dyDescent="0.3">
      <c r="A391" t="s">
        <v>179</v>
      </c>
      <c r="B391">
        <v>1</v>
      </c>
      <c r="C391" t="s">
        <v>192</v>
      </c>
      <c r="D391" t="str">
        <f t="shared" si="30"/>
        <v>25.08.2014</v>
      </c>
      <c r="E391" s="1">
        <v>0.91666666666666663</v>
      </c>
      <c r="F391" t="s">
        <v>30</v>
      </c>
      <c r="G391" t="s">
        <v>1425</v>
      </c>
      <c r="H391" t="s">
        <v>41</v>
      </c>
      <c r="I391" t="str">
        <f t="shared" si="31"/>
        <v>0-0</v>
      </c>
      <c r="J391" t="str">
        <f t="shared" si="32"/>
        <v>0</v>
      </c>
      <c r="K391" t="str">
        <f t="shared" si="33"/>
        <v>0</v>
      </c>
      <c r="L391" t="str">
        <f t="shared" si="34"/>
        <v>Draw</v>
      </c>
      <c r="M391" t="str">
        <f>IF(COUNTIF($A$2:A391,A391)=1,
     VLOOKUP(A391,Season_Winners!A:B,2,FALSE),
     "")</f>
        <v/>
      </c>
    </row>
    <row r="392" spans="1:14" x14ac:dyDescent="0.3">
      <c r="A392" t="s">
        <v>179</v>
      </c>
      <c r="B392">
        <v>2</v>
      </c>
      <c r="C392" t="s">
        <v>196</v>
      </c>
      <c r="D392" t="str">
        <f t="shared" si="30"/>
        <v>29.08.2014</v>
      </c>
      <c r="E392" s="1">
        <v>0.83333333333333337</v>
      </c>
      <c r="F392" t="s">
        <v>11</v>
      </c>
      <c r="G392" t="s">
        <v>33</v>
      </c>
      <c r="H392" t="s">
        <v>18</v>
      </c>
      <c r="I392" t="str">
        <f t="shared" si="31"/>
        <v>1-0</v>
      </c>
      <c r="J392" t="str">
        <f t="shared" si="32"/>
        <v>1</v>
      </c>
      <c r="K392" t="str">
        <f t="shared" si="33"/>
        <v>0</v>
      </c>
      <c r="L392" t="str">
        <f t="shared" si="34"/>
        <v>Getafe CF</v>
      </c>
      <c r="M392" t="str">
        <f>IF(COUNTIF($A$2:A392,A392)=1,
     VLOOKUP(A392,Season_Winners!A:B,2,FALSE),
     "")</f>
        <v/>
      </c>
    </row>
    <row r="393" spans="1:14" x14ac:dyDescent="0.3">
      <c r="A393" t="s">
        <v>179</v>
      </c>
      <c r="B393">
        <v>2</v>
      </c>
      <c r="C393" t="s">
        <v>196</v>
      </c>
      <c r="D393" t="str">
        <f t="shared" si="30"/>
        <v>29.08.2014</v>
      </c>
      <c r="E393" s="1">
        <v>0.91666666666666663</v>
      </c>
      <c r="F393" t="s">
        <v>16</v>
      </c>
      <c r="G393" t="s">
        <v>17</v>
      </c>
      <c r="H393" t="s">
        <v>32</v>
      </c>
      <c r="I393" t="str">
        <f t="shared" si="31"/>
        <v>3-0</v>
      </c>
      <c r="J393" t="str">
        <f t="shared" si="32"/>
        <v>3</v>
      </c>
      <c r="K393" t="str">
        <f t="shared" si="33"/>
        <v>0</v>
      </c>
      <c r="L393" t="str">
        <f t="shared" si="34"/>
        <v>Valencia CF</v>
      </c>
      <c r="M393" t="str">
        <f>IF(COUNTIF($A$2:A393,A393)=1,
     VLOOKUP(A393,Season_Winners!A:B,2,FALSE),
     "")</f>
        <v/>
      </c>
    </row>
    <row r="394" spans="1:14" x14ac:dyDescent="0.3">
      <c r="A394" t="s">
        <v>179</v>
      </c>
      <c r="B394">
        <v>2</v>
      </c>
      <c r="C394" t="s">
        <v>199</v>
      </c>
      <c r="D394" t="str">
        <f t="shared" si="30"/>
        <v>30.08.2014</v>
      </c>
      <c r="E394" s="1">
        <v>0.79166666666666663</v>
      </c>
      <c r="F394" t="s">
        <v>15</v>
      </c>
      <c r="G394" t="s">
        <v>21</v>
      </c>
      <c r="H394" t="s">
        <v>32</v>
      </c>
      <c r="I394" t="str">
        <f t="shared" si="31"/>
        <v>3-0</v>
      </c>
      <c r="J394" t="str">
        <f t="shared" si="32"/>
        <v>3</v>
      </c>
      <c r="K394" t="str">
        <f t="shared" si="33"/>
        <v>0</v>
      </c>
      <c r="L394" t="str">
        <f t="shared" si="34"/>
        <v>Athletic Club</v>
      </c>
      <c r="M394" t="str">
        <f>IF(COUNTIF($A$2:A394,A394)=1,
     VLOOKUP(A394,Season_Winners!A:B,2,FALSE),
     "")</f>
        <v/>
      </c>
    </row>
    <row r="395" spans="1:14" hidden="1" x14ac:dyDescent="0.3">
      <c r="A395" t="s">
        <v>179</v>
      </c>
      <c r="B395">
        <v>2</v>
      </c>
      <c r="C395" t="s">
        <v>199</v>
      </c>
      <c r="D395" t="str">
        <f t="shared" si="30"/>
        <v>30.08.2014</v>
      </c>
      <c r="E395" s="1">
        <v>0.79166666666666663</v>
      </c>
      <c r="F395" t="s">
        <v>193</v>
      </c>
      <c r="G395" t="s">
        <v>35</v>
      </c>
      <c r="H395" s="2">
        <v>46023</v>
      </c>
      <c r="I395" s="3" t="str">
        <f t="shared" si="31"/>
        <v/>
      </c>
      <c r="J395" t="str">
        <f t="shared" si="32"/>
        <v/>
      </c>
      <c r="K395" t="str">
        <f t="shared" si="33"/>
        <v/>
      </c>
      <c r="L395" t="str">
        <f t="shared" si="34"/>
        <v/>
      </c>
      <c r="M395" t="str">
        <f>IF(COUNTIF($A$2:A395,A395)=1,
     VLOOKUP(A395,Season_Winners!A:B,2,FALSE),
     "")</f>
        <v/>
      </c>
      <c r="N395" s="2"/>
    </row>
    <row r="396" spans="1:14" hidden="1" x14ac:dyDescent="0.3">
      <c r="A396" t="s">
        <v>179</v>
      </c>
      <c r="B396">
        <v>2</v>
      </c>
      <c r="C396" t="s">
        <v>199</v>
      </c>
      <c r="D396" t="str">
        <f t="shared" si="30"/>
        <v>30.08.2014</v>
      </c>
      <c r="E396" s="1">
        <v>0.875</v>
      </c>
      <c r="F396" t="s">
        <v>28</v>
      </c>
      <c r="G396" t="s">
        <v>187</v>
      </c>
      <c r="H396" s="2">
        <v>46024</v>
      </c>
      <c r="I396" s="3" t="str">
        <f t="shared" si="31"/>
        <v/>
      </c>
      <c r="J396" t="str">
        <f t="shared" si="32"/>
        <v/>
      </c>
      <c r="K396" t="str">
        <f t="shared" si="33"/>
        <v/>
      </c>
      <c r="L396" t="str">
        <f t="shared" si="34"/>
        <v/>
      </c>
      <c r="M396" t="str">
        <f>IF(COUNTIF($A$2:A396,A396)=1,
     VLOOKUP(A396,Season_Winners!A:B,2,FALSE),
     "")</f>
        <v/>
      </c>
      <c r="N396" s="2"/>
    </row>
    <row r="397" spans="1:14" hidden="1" x14ac:dyDescent="0.3">
      <c r="A397" t="s">
        <v>179</v>
      </c>
      <c r="B397">
        <v>2</v>
      </c>
      <c r="C397" t="s">
        <v>199</v>
      </c>
      <c r="D397" t="str">
        <f t="shared" si="30"/>
        <v>30.08.2014</v>
      </c>
      <c r="E397" s="1">
        <v>0.95833333333333337</v>
      </c>
      <c r="F397" t="s">
        <v>36</v>
      </c>
      <c r="G397" t="s">
        <v>27</v>
      </c>
      <c r="H397" s="2">
        <v>46054</v>
      </c>
      <c r="I397" s="3" t="str">
        <f t="shared" si="31"/>
        <v/>
      </c>
      <c r="J397" t="str">
        <f t="shared" si="32"/>
        <v/>
      </c>
      <c r="K397" t="str">
        <f t="shared" si="33"/>
        <v/>
      </c>
      <c r="L397" t="str">
        <f t="shared" si="34"/>
        <v/>
      </c>
      <c r="M397" t="str">
        <f>IF(COUNTIF($A$2:A397,A397)=1,
     VLOOKUP(A397,Season_Winners!A:B,2,FALSE),
     "")</f>
        <v/>
      </c>
      <c r="N397" s="2"/>
    </row>
    <row r="398" spans="1:14" x14ac:dyDescent="0.3">
      <c r="A398" t="s">
        <v>179</v>
      </c>
      <c r="B398">
        <v>2</v>
      </c>
      <c r="C398" t="s">
        <v>203</v>
      </c>
      <c r="D398" t="str">
        <f t="shared" si="30"/>
        <v>31.08.2014</v>
      </c>
      <c r="E398" s="1">
        <v>0.79166666666666663</v>
      </c>
      <c r="F398" t="s">
        <v>34</v>
      </c>
      <c r="G398" t="s">
        <v>20</v>
      </c>
      <c r="H398" t="s">
        <v>42</v>
      </c>
      <c r="I398" t="str">
        <f t="shared" si="31"/>
        <v>0-1</v>
      </c>
      <c r="J398" t="str">
        <f t="shared" si="32"/>
        <v>0</v>
      </c>
      <c r="K398" t="str">
        <f t="shared" si="33"/>
        <v>1</v>
      </c>
      <c r="L398" t="str">
        <f t="shared" si="34"/>
        <v>FC Barcelona</v>
      </c>
      <c r="M398" t="str">
        <f>IF(COUNTIF($A$2:A398,A398)=1,
     VLOOKUP(A398,Season_Winners!A:B,2,FALSE),
     "")</f>
        <v/>
      </c>
    </row>
    <row r="399" spans="1:14" hidden="1" x14ac:dyDescent="0.3">
      <c r="A399" t="s">
        <v>179</v>
      </c>
      <c r="B399">
        <v>2</v>
      </c>
      <c r="C399" t="s">
        <v>203</v>
      </c>
      <c r="D399" t="str">
        <f t="shared" si="30"/>
        <v>31.08.2014</v>
      </c>
      <c r="E399" s="1">
        <v>0.875</v>
      </c>
      <c r="F399" t="s">
        <v>10</v>
      </c>
      <c r="G399" t="s">
        <v>25</v>
      </c>
      <c r="H399" s="2">
        <v>46057</v>
      </c>
      <c r="I399" s="3" t="str">
        <f t="shared" si="31"/>
        <v/>
      </c>
      <c r="J399" t="str">
        <f t="shared" si="32"/>
        <v/>
      </c>
      <c r="K399" t="str">
        <f t="shared" si="33"/>
        <v/>
      </c>
      <c r="L399" t="str">
        <f t="shared" si="34"/>
        <v/>
      </c>
      <c r="M399" t="str">
        <f>IF(COUNTIF($A$2:A399,A399)=1,
     VLOOKUP(A399,Season_Winners!A:B,2,FALSE),
     "")</f>
        <v/>
      </c>
      <c r="N399" s="2"/>
    </row>
    <row r="400" spans="1:14" hidden="1" x14ac:dyDescent="0.3">
      <c r="A400" t="s">
        <v>179</v>
      </c>
      <c r="B400">
        <v>2</v>
      </c>
      <c r="C400" t="s">
        <v>203</v>
      </c>
      <c r="D400" t="str">
        <f t="shared" si="30"/>
        <v>31.08.2014</v>
      </c>
      <c r="E400" s="1">
        <v>0.875</v>
      </c>
      <c r="F400" t="s">
        <v>182</v>
      </c>
      <c r="G400" t="s">
        <v>30</v>
      </c>
      <c r="H400" s="2">
        <v>46055</v>
      </c>
      <c r="I400" s="3" t="str">
        <f t="shared" si="31"/>
        <v/>
      </c>
      <c r="J400" t="str">
        <f t="shared" si="32"/>
        <v/>
      </c>
      <c r="K400" t="str">
        <f t="shared" si="33"/>
        <v/>
      </c>
      <c r="L400" t="str">
        <f t="shared" si="34"/>
        <v/>
      </c>
      <c r="M400" t="str">
        <f>IF(COUNTIF($A$2:A400,A400)=1,
     VLOOKUP(A400,Season_Winners!A:B,2,FALSE),
     "")</f>
        <v/>
      </c>
      <c r="N400" s="2"/>
    </row>
    <row r="401" spans="1:14" hidden="1" x14ac:dyDescent="0.3">
      <c r="A401" t="s">
        <v>179</v>
      </c>
      <c r="B401">
        <v>2</v>
      </c>
      <c r="C401" t="s">
        <v>203</v>
      </c>
      <c r="D401" t="str">
        <f t="shared" si="30"/>
        <v>31.08.2014</v>
      </c>
      <c r="E401" s="1">
        <v>0.95833333333333337</v>
      </c>
      <c r="F401" t="s">
        <v>31</v>
      </c>
      <c r="G401" t="s">
        <v>24</v>
      </c>
      <c r="H401" s="2">
        <v>46023</v>
      </c>
      <c r="I401" s="3" t="str">
        <f t="shared" si="31"/>
        <v/>
      </c>
      <c r="J401" t="str">
        <f t="shared" si="32"/>
        <v/>
      </c>
      <c r="K401" t="str">
        <f t="shared" si="33"/>
        <v/>
      </c>
      <c r="L401" t="str">
        <f t="shared" si="34"/>
        <v/>
      </c>
      <c r="M401" t="str">
        <f>IF(COUNTIF($A$2:A401,A401)=1,
     VLOOKUP(A401,Season_Winners!A:B,2,FALSE),
     "")</f>
        <v/>
      </c>
      <c r="N401" s="2"/>
    </row>
    <row r="402" spans="1:14" hidden="1" x14ac:dyDescent="0.3">
      <c r="A402" t="s">
        <v>179</v>
      </c>
      <c r="B402">
        <v>3</v>
      </c>
      <c r="C402" t="s">
        <v>208</v>
      </c>
      <c r="D402" t="str">
        <f t="shared" si="30"/>
        <v>12.09.2014</v>
      </c>
      <c r="E402" s="1">
        <v>0.875</v>
      </c>
      <c r="F402" t="s">
        <v>33</v>
      </c>
      <c r="G402" t="s">
        <v>193</v>
      </c>
      <c r="H402" s="2">
        <v>46023</v>
      </c>
      <c r="I402" s="3" t="str">
        <f t="shared" si="31"/>
        <v/>
      </c>
      <c r="J402" t="str">
        <f t="shared" si="32"/>
        <v/>
      </c>
      <c r="K402" t="str">
        <f t="shared" si="33"/>
        <v/>
      </c>
      <c r="L402" t="str">
        <f t="shared" si="34"/>
        <v/>
      </c>
      <c r="M402" t="str">
        <f>IF(COUNTIF($A$2:A402,A402)=1,
     VLOOKUP(A402,Season_Winners!A:B,2,FALSE),
     "")</f>
        <v/>
      </c>
      <c r="N402" s="2"/>
    </row>
    <row r="403" spans="1:14" x14ac:dyDescent="0.3">
      <c r="A403" t="s">
        <v>179</v>
      </c>
      <c r="B403">
        <v>3</v>
      </c>
      <c r="C403" t="s">
        <v>209</v>
      </c>
      <c r="D403" t="str">
        <f t="shared" si="30"/>
        <v>13.09.2014</v>
      </c>
      <c r="E403" s="1">
        <v>0.66666666666666663</v>
      </c>
      <c r="F403" t="s">
        <v>20</v>
      </c>
      <c r="G403" t="s">
        <v>15</v>
      </c>
      <c r="H403" t="s">
        <v>12</v>
      </c>
      <c r="I403" t="str">
        <f t="shared" si="31"/>
        <v>2-0</v>
      </c>
      <c r="J403" t="str">
        <f t="shared" si="32"/>
        <v>2</v>
      </c>
      <c r="K403" t="str">
        <f t="shared" si="33"/>
        <v>0</v>
      </c>
      <c r="L403" t="str">
        <f t="shared" si="34"/>
        <v>FC Barcelona</v>
      </c>
      <c r="M403" t="str">
        <f>IF(COUNTIF($A$2:A403,A403)=1,
     VLOOKUP(A403,Season_Winners!A:B,2,FALSE),
     "")</f>
        <v/>
      </c>
    </row>
    <row r="404" spans="1:14" x14ac:dyDescent="0.3">
      <c r="A404" t="s">
        <v>179</v>
      </c>
      <c r="B404">
        <v>3</v>
      </c>
      <c r="C404" t="s">
        <v>209</v>
      </c>
      <c r="D404" t="str">
        <f t="shared" si="30"/>
        <v>13.09.2014</v>
      </c>
      <c r="E404" s="1">
        <v>0.75</v>
      </c>
      <c r="F404" t="s">
        <v>17</v>
      </c>
      <c r="G404" t="s">
        <v>21</v>
      </c>
      <c r="H404" t="s">
        <v>41</v>
      </c>
      <c r="I404" t="str">
        <f t="shared" si="31"/>
        <v>0-0</v>
      </c>
      <c r="J404" t="str">
        <f t="shared" si="32"/>
        <v>0</v>
      </c>
      <c r="K404" t="str">
        <f t="shared" si="33"/>
        <v>0</v>
      </c>
      <c r="L404" t="str">
        <f t="shared" si="34"/>
        <v>Draw</v>
      </c>
      <c r="M404" t="str">
        <f>IF(COUNTIF($A$2:A404,A404)=1,
     VLOOKUP(A404,Season_Winners!A:B,2,FALSE),
     "")</f>
        <v/>
      </c>
    </row>
    <row r="405" spans="1:14" hidden="1" x14ac:dyDescent="0.3">
      <c r="A405" t="s">
        <v>179</v>
      </c>
      <c r="B405">
        <v>3</v>
      </c>
      <c r="C405" t="s">
        <v>209</v>
      </c>
      <c r="D405" t="str">
        <f t="shared" si="30"/>
        <v>13.09.2014</v>
      </c>
      <c r="E405" s="1">
        <v>0.83333333333333337</v>
      </c>
      <c r="F405" t="s">
        <v>25</v>
      </c>
      <c r="G405" t="s">
        <v>28</v>
      </c>
      <c r="H405" s="2">
        <v>46054</v>
      </c>
      <c r="I405" s="3" t="str">
        <f t="shared" si="31"/>
        <v/>
      </c>
      <c r="J405" t="str">
        <f t="shared" si="32"/>
        <v/>
      </c>
      <c r="K405" t="str">
        <f t="shared" si="33"/>
        <v/>
      </c>
      <c r="L405" t="str">
        <f t="shared" si="34"/>
        <v/>
      </c>
      <c r="M405" t="str">
        <f>IF(COUNTIF($A$2:A405,A405)=1,
     VLOOKUP(A405,Season_Winners!A:B,2,FALSE),
     "")</f>
        <v/>
      </c>
      <c r="N405" s="2"/>
    </row>
    <row r="406" spans="1:14" hidden="1" x14ac:dyDescent="0.3">
      <c r="A406" t="s">
        <v>179</v>
      </c>
      <c r="B406">
        <v>3</v>
      </c>
      <c r="C406" t="s">
        <v>209</v>
      </c>
      <c r="D406" t="str">
        <f t="shared" si="30"/>
        <v>13.09.2014</v>
      </c>
      <c r="E406" s="1">
        <v>0.91666666666666663</v>
      </c>
      <c r="F406" t="s">
        <v>35</v>
      </c>
      <c r="G406" t="s">
        <v>10</v>
      </c>
      <c r="H406" s="2">
        <v>46055</v>
      </c>
      <c r="I406" s="3" t="str">
        <f t="shared" si="31"/>
        <v/>
      </c>
      <c r="J406" t="str">
        <f t="shared" si="32"/>
        <v/>
      </c>
      <c r="K406" t="str">
        <f t="shared" si="33"/>
        <v/>
      </c>
      <c r="L406" t="str">
        <f t="shared" si="34"/>
        <v/>
      </c>
      <c r="M406" t="str">
        <f>IF(COUNTIF($A$2:A406,A406)=1,
     VLOOKUP(A406,Season_Winners!A:B,2,FALSE),
     "")</f>
        <v/>
      </c>
      <c r="N406" s="2"/>
    </row>
    <row r="407" spans="1:14" hidden="1" x14ac:dyDescent="0.3">
      <c r="A407" t="s">
        <v>179</v>
      </c>
      <c r="B407">
        <v>3</v>
      </c>
      <c r="C407" t="s">
        <v>210</v>
      </c>
      <c r="D407" t="str">
        <f t="shared" si="30"/>
        <v>14.09.2014</v>
      </c>
      <c r="E407" s="1">
        <v>0.5</v>
      </c>
      <c r="F407" t="s">
        <v>30</v>
      </c>
      <c r="G407" t="s">
        <v>31</v>
      </c>
      <c r="H407" s="2">
        <v>46083</v>
      </c>
      <c r="I407" s="3" t="str">
        <f t="shared" si="31"/>
        <v/>
      </c>
      <c r="J407" t="str">
        <f t="shared" si="32"/>
        <v/>
      </c>
      <c r="K407" t="str">
        <f t="shared" si="33"/>
        <v/>
      </c>
      <c r="L407" t="str">
        <f t="shared" si="34"/>
        <v/>
      </c>
      <c r="M407" t="str">
        <f>IF(COUNTIF($A$2:A407,A407)=1,
     VLOOKUP(A407,Season_Winners!A:B,2,FALSE),
     "")</f>
        <v/>
      </c>
      <c r="N407" s="2"/>
    </row>
    <row r="408" spans="1:14" hidden="1" x14ac:dyDescent="0.3">
      <c r="A408" t="s">
        <v>179</v>
      </c>
      <c r="B408">
        <v>3</v>
      </c>
      <c r="C408" t="s">
        <v>210</v>
      </c>
      <c r="D408" t="str">
        <f t="shared" si="30"/>
        <v>14.09.2014</v>
      </c>
      <c r="E408" s="1">
        <v>0.70833333333333337</v>
      </c>
      <c r="F408" t="s">
        <v>16</v>
      </c>
      <c r="G408" t="s">
        <v>36</v>
      </c>
      <c r="H408" s="2">
        <v>46025</v>
      </c>
      <c r="I408" s="3" t="str">
        <f t="shared" si="31"/>
        <v/>
      </c>
      <c r="J408" t="str">
        <f t="shared" si="32"/>
        <v/>
      </c>
      <c r="K408" t="str">
        <f t="shared" si="33"/>
        <v/>
      </c>
      <c r="L408" t="str">
        <f t="shared" si="34"/>
        <v/>
      </c>
      <c r="M408" t="str">
        <f>IF(COUNTIF($A$2:A408,A408)=1,
     VLOOKUP(A408,Season_Winners!A:B,2,FALSE),
     "")</f>
        <v/>
      </c>
      <c r="N408" s="2"/>
    </row>
    <row r="409" spans="1:14" x14ac:dyDescent="0.3">
      <c r="A409" t="s">
        <v>179</v>
      </c>
      <c r="B409">
        <v>3</v>
      </c>
      <c r="C409" t="s">
        <v>210</v>
      </c>
      <c r="D409" t="str">
        <f t="shared" si="30"/>
        <v>14.09.2014</v>
      </c>
      <c r="E409" s="1">
        <v>0.79166666666666663</v>
      </c>
      <c r="F409" t="s">
        <v>27</v>
      </c>
      <c r="G409" t="s">
        <v>11</v>
      </c>
      <c r="H409" t="s">
        <v>12</v>
      </c>
      <c r="I409" t="str">
        <f t="shared" si="31"/>
        <v>2-0</v>
      </c>
      <c r="J409" t="str">
        <f t="shared" si="32"/>
        <v>2</v>
      </c>
      <c r="K409" t="str">
        <f t="shared" si="33"/>
        <v>0</v>
      </c>
      <c r="L409" t="str">
        <f t="shared" si="34"/>
        <v>Sevilla FC</v>
      </c>
      <c r="M409" t="str">
        <f>IF(COUNTIF($A$2:A409,A409)=1,
     VLOOKUP(A409,Season_Winners!A:B,2,FALSE),
     "")</f>
        <v/>
      </c>
    </row>
    <row r="410" spans="1:14" x14ac:dyDescent="0.3">
      <c r="A410" t="s">
        <v>179</v>
      </c>
      <c r="B410">
        <v>3</v>
      </c>
      <c r="C410" t="s">
        <v>210</v>
      </c>
      <c r="D410" t="str">
        <f t="shared" si="30"/>
        <v>14.09.2014</v>
      </c>
      <c r="E410" s="1">
        <v>0.875</v>
      </c>
      <c r="F410" t="s">
        <v>24</v>
      </c>
      <c r="G410" t="s">
        <v>34</v>
      </c>
      <c r="H410" t="s">
        <v>41</v>
      </c>
      <c r="I410" t="str">
        <f t="shared" si="31"/>
        <v>0-0</v>
      </c>
      <c r="J410" t="str">
        <f t="shared" si="32"/>
        <v>0</v>
      </c>
      <c r="K410" t="str">
        <f t="shared" si="33"/>
        <v>0</v>
      </c>
      <c r="L410" t="str">
        <f t="shared" si="34"/>
        <v>Draw</v>
      </c>
      <c r="M410" t="str">
        <f>IF(COUNTIF($A$2:A410,A410)=1,
     VLOOKUP(A410,Season_Winners!A:B,2,FALSE),
     "")</f>
        <v/>
      </c>
    </row>
    <row r="411" spans="1:14" x14ac:dyDescent="0.3">
      <c r="A411" t="s">
        <v>179</v>
      </c>
      <c r="B411">
        <v>3</v>
      </c>
      <c r="C411" t="s">
        <v>211</v>
      </c>
      <c r="D411" t="str">
        <f t="shared" si="30"/>
        <v>15.09.2014</v>
      </c>
      <c r="E411" s="1">
        <v>0.86458333333333337</v>
      </c>
      <c r="F411" t="s">
        <v>187</v>
      </c>
      <c r="G411" t="s">
        <v>182</v>
      </c>
      <c r="H411" t="s">
        <v>42</v>
      </c>
      <c r="I411" t="str">
        <f t="shared" si="31"/>
        <v>0-1</v>
      </c>
      <c r="J411" t="str">
        <f t="shared" si="32"/>
        <v>0</v>
      </c>
      <c r="K411" t="str">
        <f t="shared" si="33"/>
        <v>1</v>
      </c>
      <c r="L411" t="str">
        <f t="shared" si="34"/>
        <v>RC Deportivo</v>
      </c>
      <c r="M411" t="str">
        <f>IF(COUNTIF($A$2:A411,A411)=1,
     VLOOKUP(A411,Season_Winners!A:B,2,FALSE),
     "")</f>
        <v/>
      </c>
    </row>
    <row r="412" spans="1:14" x14ac:dyDescent="0.3">
      <c r="A412" t="s">
        <v>179</v>
      </c>
      <c r="B412">
        <v>4</v>
      </c>
      <c r="C412" t="s">
        <v>212</v>
      </c>
      <c r="D412" t="str">
        <f t="shared" si="30"/>
        <v>19.09.2014</v>
      </c>
      <c r="E412" s="1">
        <v>0.875</v>
      </c>
      <c r="F412" t="s">
        <v>31</v>
      </c>
      <c r="G412" t="s">
        <v>187</v>
      </c>
      <c r="H412" t="s">
        <v>54</v>
      </c>
      <c r="I412" t="str">
        <f t="shared" si="31"/>
        <v>0-2</v>
      </c>
      <c r="J412" t="str">
        <f t="shared" si="32"/>
        <v>0</v>
      </c>
      <c r="K412" t="str">
        <f t="shared" si="33"/>
        <v>2</v>
      </c>
      <c r="L412" t="str">
        <f t="shared" si="34"/>
        <v>SD Eibar</v>
      </c>
      <c r="M412" t="str">
        <f>IF(COUNTIF($A$2:A412,A412)=1,
     VLOOKUP(A412,Season_Winners!A:B,2,FALSE),
     "")</f>
        <v/>
      </c>
    </row>
    <row r="413" spans="1:14" hidden="1" x14ac:dyDescent="0.3">
      <c r="A413" t="s">
        <v>179</v>
      </c>
      <c r="B413">
        <v>4</v>
      </c>
      <c r="C413" t="s">
        <v>213</v>
      </c>
      <c r="D413" t="str">
        <f t="shared" si="30"/>
        <v>20.09.2014</v>
      </c>
      <c r="E413" s="1">
        <v>0.66666666666666663</v>
      </c>
      <c r="F413" t="s">
        <v>182</v>
      </c>
      <c r="G413" t="s">
        <v>25</v>
      </c>
      <c r="H413" s="2">
        <v>46236</v>
      </c>
      <c r="I413" s="3" t="str">
        <f t="shared" si="31"/>
        <v/>
      </c>
      <c r="J413" t="str">
        <f t="shared" si="32"/>
        <v/>
      </c>
      <c r="K413" t="str">
        <f t="shared" si="33"/>
        <v/>
      </c>
      <c r="L413" t="str">
        <f t="shared" si="34"/>
        <v/>
      </c>
      <c r="M413" t="str">
        <f>IF(COUNTIF($A$2:A413,A413)=1,
     VLOOKUP(A413,Season_Winners!A:B,2,FALSE),
     "")</f>
        <v/>
      </c>
      <c r="N413" s="2"/>
    </row>
    <row r="414" spans="1:14" x14ac:dyDescent="0.3">
      <c r="A414" t="s">
        <v>179</v>
      </c>
      <c r="B414">
        <v>4</v>
      </c>
      <c r="C414" t="s">
        <v>213</v>
      </c>
      <c r="D414" t="str">
        <f t="shared" si="30"/>
        <v>20.09.2014</v>
      </c>
      <c r="E414" s="1">
        <v>0.75</v>
      </c>
      <c r="F414" t="s">
        <v>15</v>
      </c>
      <c r="G414" t="s">
        <v>24</v>
      </c>
      <c r="H414" t="s">
        <v>42</v>
      </c>
      <c r="I414" t="str">
        <f t="shared" si="31"/>
        <v>0-1</v>
      </c>
      <c r="J414" t="str">
        <f t="shared" si="32"/>
        <v>0</v>
      </c>
      <c r="K414" t="str">
        <f t="shared" si="33"/>
        <v>1</v>
      </c>
      <c r="L414" t="str">
        <f t="shared" si="34"/>
        <v>Granada CF</v>
      </c>
      <c r="M414" t="str">
        <f>IF(COUNTIF($A$2:A414,A414)=1,
     VLOOKUP(A414,Season_Winners!A:B,2,FALSE),
     "")</f>
        <v/>
      </c>
    </row>
    <row r="415" spans="1:14" hidden="1" x14ac:dyDescent="0.3">
      <c r="A415" t="s">
        <v>179</v>
      </c>
      <c r="B415">
        <v>4</v>
      </c>
      <c r="C415" t="s">
        <v>213</v>
      </c>
      <c r="D415" t="str">
        <f t="shared" si="30"/>
        <v>20.09.2014</v>
      </c>
      <c r="E415" s="1">
        <v>0.83333333333333337</v>
      </c>
      <c r="F415" t="s">
        <v>28</v>
      </c>
      <c r="G415" t="s">
        <v>35</v>
      </c>
      <c r="H415" s="2">
        <v>46055</v>
      </c>
      <c r="I415" s="3" t="str">
        <f t="shared" si="31"/>
        <v/>
      </c>
      <c r="J415" t="str">
        <f t="shared" si="32"/>
        <v/>
      </c>
      <c r="K415" t="str">
        <f t="shared" si="33"/>
        <v/>
      </c>
      <c r="L415" t="str">
        <f t="shared" si="34"/>
        <v/>
      </c>
      <c r="M415" t="str">
        <f>IF(COUNTIF($A$2:A415,A415)=1,
     VLOOKUP(A415,Season_Winners!A:B,2,FALSE),
     "")</f>
        <v/>
      </c>
      <c r="N415" s="2"/>
    </row>
    <row r="416" spans="1:14" hidden="1" x14ac:dyDescent="0.3">
      <c r="A416" t="s">
        <v>179</v>
      </c>
      <c r="B416">
        <v>4</v>
      </c>
      <c r="C416" t="s">
        <v>213</v>
      </c>
      <c r="D416" t="str">
        <f t="shared" si="30"/>
        <v>20.09.2014</v>
      </c>
      <c r="E416" s="1">
        <v>0.91666666666666663</v>
      </c>
      <c r="F416" t="s">
        <v>36</v>
      </c>
      <c r="G416" t="s">
        <v>17</v>
      </c>
      <c r="H416" s="2">
        <v>46055</v>
      </c>
      <c r="I416" s="3" t="str">
        <f t="shared" si="31"/>
        <v/>
      </c>
      <c r="J416" t="str">
        <f t="shared" si="32"/>
        <v/>
      </c>
      <c r="K416" t="str">
        <f t="shared" si="33"/>
        <v/>
      </c>
      <c r="L416" t="str">
        <f t="shared" si="34"/>
        <v/>
      </c>
      <c r="M416" t="str">
        <f>IF(COUNTIF($A$2:A416,A416)=1,
     VLOOKUP(A416,Season_Winners!A:B,2,FALSE),
     "")</f>
        <v/>
      </c>
      <c r="N416" s="2"/>
    </row>
    <row r="417" spans="1:14" hidden="1" x14ac:dyDescent="0.3">
      <c r="A417" t="s">
        <v>179</v>
      </c>
      <c r="B417">
        <v>4</v>
      </c>
      <c r="C417" t="s">
        <v>214</v>
      </c>
      <c r="D417" t="str">
        <f t="shared" si="30"/>
        <v>21.09.2014</v>
      </c>
      <c r="E417" s="1">
        <v>0.5</v>
      </c>
      <c r="F417" t="s">
        <v>10</v>
      </c>
      <c r="G417" t="s">
        <v>33</v>
      </c>
      <c r="H417" s="2">
        <v>46054</v>
      </c>
      <c r="I417" s="3" t="str">
        <f t="shared" si="31"/>
        <v/>
      </c>
      <c r="J417" t="str">
        <f t="shared" si="32"/>
        <v/>
      </c>
      <c r="K417" t="str">
        <f t="shared" si="33"/>
        <v/>
      </c>
      <c r="L417" t="str">
        <f t="shared" si="34"/>
        <v/>
      </c>
      <c r="M417" t="str">
        <f>IF(COUNTIF($A$2:A417,A417)=1,
     VLOOKUP(A417,Season_Winners!A:B,2,FALSE),
     "")</f>
        <v/>
      </c>
      <c r="N417" s="2"/>
    </row>
    <row r="418" spans="1:14" hidden="1" x14ac:dyDescent="0.3">
      <c r="A418" t="s">
        <v>179</v>
      </c>
      <c r="B418">
        <v>4</v>
      </c>
      <c r="C418" t="s">
        <v>214</v>
      </c>
      <c r="D418" t="str">
        <f t="shared" si="30"/>
        <v>21.09.2014</v>
      </c>
      <c r="E418" s="1">
        <v>0.70833333333333337</v>
      </c>
      <c r="F418" t="s">
        <v>34</v>
      </c>
      <c r="G418" t="s">
        <v>30</v>
      </c>
      <c r="H418" s="2">
        <v>46057</v>
      </c>
      <c r="I418" s="3" t="str">
        <f t="shared" si="31"/>
        <v/>
      </c>
      <c r="J418" t="str">
        <f t="shared" si="32"/>
        <v/>
      </c>
      <c r="K418" t="str">
        <f t="shared" si="33"/>
        <v/>
      </c>
      <c r="L418" t="str">
        <f t="shared" si="34"/>
        <v/>
      </c>
      <c r="M418" t="str">
        <f>IF(COUNTIF($A$2:A418,A418)=1,
     VLOOKUP(A418,Season_Winners!A:B,2,FALSE),
     "")</f>
        <v/>
      </c>
      <c r="N418" s="2"/>
    </row>
    <row r="419" spans="1:14" hidden="1" x14ac:dyDescent="0.3">
      <c r="A419" t="s">
        <v>179</v>
      </c>
      <c r="B419">
        <v>4</v>
      </c>
      <c r="C419" t="s">
        <v>214</v>
      </c>
      <c r="D419" t="str">
        <f t="shared" si="30"/>
        <v>21.09.2014</v>
      </c>
      <c r="E419" s="1">
        <v>0.79166666666666663</v>
      </c>
      <c r="F419" t="s">
        <v>193</v>
      </c>
      <c r="G419" t="s">
        <v>27</v>
      </c>
      <c r="H419" s="2">
        <v>46082</v>
      </c>
      <c r="I419" s="3" t="str">
        <f t="shared" si="31"/>
        <v/>
      </c>
      <c r="J419" t="str">
        <f t="shared" si="32"/>
        <v/>
      </c>
      <c r="K419" t="str">
        <f t="shared" si="33"/>
        <v/>
      </c>
      <c r="L419" t="str">
        <f t="shared" si="34"/>
        <v/>
      </c>
      <c r="M419" t="str">
        <f>IF(COUNTIF($A$2:A419,A419)=1,
     VLOOKUP(A419,Season_Winners!A:B,2,FALSE),
     "")</f>
        <v/>
      </c>
      <c r="N419" s="2"/>
    </row>
    <row r="420" spans="1:14" x14ac:dyDescent="0.3">
      <c r="A420" t="s">
        <v>179</v>
      </c>
      <c r="B420">
        <v>4</v>
      </c>
      <c r="C420" t="s">
        <v>214</v>
      </c>
      <c r="D420" t="str">
        <f t="shared" si="30"/>
        <v>21.09.2014</v>
      </c>
      <c r="E420" s="1">
        <v>0.875</v>
      </c>
      <c r="F420" t="s">
        <v>21</v>
      </c>
      <c r="G420" t="s">
        <v>20</v>
      </c>
      <c r="H420" t="s">
        <v>72</v>
      </c>
      <c r="I420" t="str">
        <f t="shared" si="31"/>
        <v>0-5</v>
      </c>
      <c r="J420" t="str">
        <f t="shared" si="32"/>
        <v>0</v>
      </c>
      <c r="K420" t="str">
        <f t="shared" si="33"/>
        <v>5</v>
      </c>
      <c r="L420" t="str">
        <f t="shared" si="34"/>
        <v>FC Barcelona</v>
      </c>
      <c r="M420" t="str">
        <f>IF(COUNTIF($A$2:A420,A420)=1,
     VLOOKUP(A420,Season_Winners!A:B,2,FALSE),
     "")</f>
        <v/>
      </c>
    </row>
    <row r="421" spans="1:14" x14ac:dyDescent="0.3">
      <c r="A421" t="s">
        <v>179</v>
      </c>
      <c r="B421">
        <v>4</v>
      </c>
      <c r="C421" t="s">
        <v>215</v>
      </c>
      <c r="D421" t="str">
        <f t="shared" si="30"/>
        <v>22.09.2014</v>
      </c>
      <c r="E421" s="1">
        <v>0.86458333333333337</v>
      </c>
      <c r="F421" t="s">
        <v>11</v>
      </c>
      <c r="G421" t="s">
        <v>16</v>
      </c>
      <c r="H421" t="s">
        <v>46</v>
      </c>
      <c r="I421" t="str">
        <f t="shared" si="31"/>
        <v>0-3</v>
      </c>
      <c r="J421" t="str">
        <f t="shared" si="32"/>
        <v>0</v>
      </c>
      <c r="K421" t="str">
        <f t="shared" si="33"/>
        <v>3</v>
      </c>
      <c r="L421" t="str">
        <f t="shared" si="34"/>
        <v>Valencia CF</v>
      </c>
      <c r="M421" t="str">
        <f>IF(COUNTIF($A$2:A421,A421)=1,
     VLOOKUP(A421,Season_Winners!A:B,2,FALSE),
     "")</f>
        <v/>
      </c>
    </row>
    <row r="422" spans="1:14" hidden="1" x14ac:dyDescent="0.3">
      <c r="A422" t="s">
        <v>179</v>
      </c>
      <c r="B422">
        <v>5</v>
      </c>
      <c r="C422" t="s">
        <v>216</v>
      </c>
      <c r="D422" t="str">
        <f t="shared" si="30"/>
        <v>23.09.2014</v>
      </c>
      <c r="E422" s="1">
        <v>0.83333333333333337</v>
      </c>
      <c r="F422" t="s">
        <v>25</v>
      </c>
      <c r="G422" t="s">
        <v>31</v>
      </c>
      <c r="H422" s="2">
        <v>46027</v>
      </c>
      <c r="I422" s="3" t="str">
        <f t="shared" si="31"/>
        <v/>
      </c>
      <c r="J422" t="str">
        <f t="shared" si="32"/>
        <v/>
      </c>
      <c r="K422" t="str">
        <f t="shared" si="33"/>
        <v/>
      </c>
      <c r="L422" t="str">
        <f t="shared" si="34"/>
        <v/>
      </c>
      <c r="M422" t="str">
        <f>IF(COUNTIF($A$2:A422,A422)=1,
     VLOOKUP(A422,Season_Winners!A:B,2,FALSE),
     "")</f>
        <v/>
      </c>
      <c r="N422" s="2"/>
    </row>
    <row r="423" spans="1:14" hidden="1" x14ac:dyDescent="0.3">
      <c r="A423" t="s">
        <v>179</v>
      </c>
      <c r="B423">
        <v>5</v>
      </c>
      <c r="C423" t="s">
        <v>216</v>
      </c>
      <c r="D423" t="str">
        <f t="shared" si="30"/>
        <v>23.09.2014</v>
      </c>
      <c r="E423" s="1">
        <v>0.91666666666666663</v>
      </c>
      <c r="F423" t="s">
        <v>35</v>
      </c>
      <c r="G423" t="s">
        <v>182</v>
      </c>
      <c r="H423" s="2">
        <v>46024</v>
      </c>
      <c r="I423" s="3" t="str">
        <f t="shared" si="31"/>
        <v/>
      </c>
      <c r="J423" t="str">
        <f t="shared" si="32"/>
        <v/>
      </c>
      <c r="K423" t="str">
        <f t="shared" si="33"/>
        <v/>
      </c>
      <c r="L423" t="str">
        <f t="shared" si="34"/>
        <v/>
      </c>
      <c r="M423" t="str">
        <f>IF(COUNTIF($A$2:A423,A423)=1,
     VLOOKUP(A423,Season_Winners!A:B,2,FALSE),
     "")</f>
        <v/>
      </c>
      <c r="N423" s="2"/>
    </row>
    <row r="424" spans="1:14" x14ac:dyDescent="0.3">
      <c r="A424" t="s">
        <v>179</v>
      </c>
      <c r="B424">
        <v>5</v>
      </c>
      <c r="C424" t="s">
        <v>217</v>
      </c>
      <c r="D424" t="str">
        <f t="shared" si="30"/>
        <v>24.09.2014</v>
      </c>
      <c r="E424" s="1">
        <v>0.83333333333333337</v>
      </c>
      <c r="F424" t="s">
        <v>33</v>
      </c>
      <c r="G424" t="s">
        <v>1425</v>
      </c>
      <c r="H424" t="s">
        <v>42</v>
      </c>
      <c r="I424" t="str">
        <f t="shared" si="31"/>
        <v>0-1</v>
      </c>
      <c r="J424" t="str">
        <f t="shared" si="32"/>
        <v>0</v>
      </c>
      <c r="K424" t="str">
        <f t="shared" si="33"/>
        <v>1</v>
      </c>
      <c r="L424" t="str">
        <f t="shared" si="34"/>
        <v>Atlético de Madrid</v>
      </c>
      <c r="M424" t="str">
        <f>IF(COUNTIF($A$2:A424,A424)=1,
     VLOOKUP(A424,Season_Winners!A:B,2,FALSE),
     "")</f>
        <v/>
      </c>
    </row>
    <row r="425" spans="1:14" hidden="1" x14ac:dyDescent="0.3">
      <c r="A425" t="s">
        <v>179</v>
      </c>
      <c r="B425">
        <v>5</v>
      </c>
      <c r="C425" t="s">
        <v>217</v>
      </c>
      <c r="D425" t="str">
        <f t="shared" si="30"/>
        <v>24.09.2014</v>
      </c>
      <c r="E425" s="1">
        <v>0.83333333333333337</v>
      </c>
      <c r="F425" t="s">
        <v>30</v>
      </c>
      <c r="G425" t="s">
        <v>15</v>
      </c>
      <c r="H425" s="2">
        <v>46024</v>
      </c>
      <c r="I425" s="3" t="str">
        <f t="shared" si="31"/>
        <v/>
      </c>
      <c r="J425" t="str">
        <f t="shared" si="32"/>
        <v/>
      </c>
      <c r="K425" t="str">
        <f t="shared" si="33"/>
        <v/>
      </c>
      <c r="L425" t="str">
        <f t="shared" si="34"/>
        <v/>
      </c>
      <c r="M425" t="str">
        <f>IF(COUNTIF($A$2:A425,A425)=1,
     VLOOKUP(A425,Season_Winners!A:B,2,FALSE),
     "")</f>
        <v/>
      </c>
      <c r="N425" s="2"/>
    </row>
    <row r="426" spans="1:14" hidden="1" x14ac:dyDescent="0.3">
      <c r="A426" t="s">
        <v>179</v>
      </c>
      <c r="B426">
        <v>5</v>
      </c>
      <c r="C426" t="s">
        <v>217</v>
      </c>
      <c r="D426" t="str">
        <f t="shared" si="30"/>
        <v>24.09.2014</v>
      </c>
      <c r="E426" s="1">
        <v>0.83333333333333337</v>
      </c>
      <c r="F426" t="s">
        <v>187</v>
      </c>
      <c r="G426" t="s">
        <v>34</v>
      </c>
      <c r="H426" s="2">
        <v>46023</v>
      </c>
      <c r="I426" s="3" t="str">
        <f t="shared" si="31"/>
        <v/>
      </c>
      <c r="J426" t="str">
        <f t="shared" si="32"/>
        <v/>
      </c>
      <c r="K426" t="str">
        <f t="shared" si="33"/>
        <v/>
      </c>
      <c r="L426" t="str">
        <f t="shared" si="34"/>
        <v/>
      </c>
      <c r="M426" t="str">
        <f>IF(COUNTIF($A$2:A426,A426)=1,
     VLOOKUP(A426,Season_Winners!A:B,2,FALSE),
     "")</f>
        <v/>
      </c>
      <c r="N426" s="2"/>
    </row>
    <row r="427" spans="1:14" x14ac:dyDescent="0.3">
      <c r="A427" t="s">
        <v>179</v>
      </c>
      <c r="B427">
        <v>5</v>
      </c>
      <c r="C427" t="s">
        <v>217</v>
      </c>
      <c r="D427" t="str">
        <f t="shared" si="30"/>
        <v>24.09.2014</v>
      </c>
      <c r="E427" s="1">
        <v>0.91666666666666663</v>
      </c>
      <c r="F427" t="s">
        <v>24</v>
      </c>
      <c r="G427" t="s">
        <v>21</v>
      </c>
      <c r="H427" t="s">
        <v>42</v>
      </c>
      <c r="I427" t="str">
        <f t="shared" si="31"/>
        <v>0-1</v>
      </c>
      <c r="J427" t="str">
        <f t="shared" si="32"/>
        <v>0</v>
      </c>
      <c r="K427" t="str">
        <f t="shared" si="33"/>
        <v>1</v>
      </c>
      <c r="L427" t="str">
        <f t="shared" si="34"/>
        <v>Levante UD</v>
      </c>
      <c r="M427" t="str">
        <f>IF(COUNTIF($A$2:A427,A427)=1,
     VLOOKUP(A427,Season_Winners!A:B,2,FALSE),
     "")</f>
        <v/>
      </c>
    </row>
    <row r="428" spans="1:14" x14ac:dyDescent="0.3">
      <c r="A428" t="s">
        <v>179</v>
      </c>
      <c r="B428">
        <v>5</v>
      </c>
      <c r="C428" t="s">
        <v>217</v>
      </c>
      <c r="D428" t="str">
        <f t="shared" si="30"/>
        <v>24.09.2014</v>
      </c>
      <c r="E428" s="1">
        <v>0.91666666666666663</v>
      </c>
      <c r="F428" t="s">
        <v>17</v>
      </c>
      <c r="G428" t="s">
        <v>20</v>
      </c>
      <c r="H428" t="s">
        <v>41</v>
      </c>
      <c r="I428" t="str">
        <f t="shared" si="31"/>
        <v>0-0</v>
      </c>
      <c r="J428" t="str">
        <f t="shared" si="32"/>
        <v>0</v>
      </c>
      <c r="K428" t="str">
        <f t="shared" si="33"/>
        <v>0</v>
      </c>
      <c r="L428" t="str">
        <f t="shared" si="34"/>
        <v>Draw</v>
      </c>
      <c r="M428" t="str">
        <f>IF(COUNTIF($A$2:A428,A428)=1,
     VLOOKUP(A428,Season_Winners!A:B,2,FALSE),
     "")</f>
        <v/>
      </c>
    </row>
    <row r="429" spans="1:14" x14ac:dyDescent="0.3">
      <c r="A429" t="s">
        <v>179</v>
      </c>
      <c r="B429">
        <v>5</v>
      </c>
      <c r="C429" t="s">
        <v>217</v>
      </c>
      <c r="D429" t="str">
        <f t="shared" si="30"/>
        <v>24.09.2014</v>
      </c>
      <c r="E429" s="1">
        <v>0.91666666666666663</v>
      </c>
      <c r="F429" t="s">
        <v>27</v>
      </c>
      <c r="G429" t="s">
        <v>10</v>
      </c>
      <c r="H429" t="s">
        <v>18</v>
      </c>
      <c r="I429" t="str">
        <f t="shared" si="31"/>
        <v>1-0</v>
      </c>
      <c r="J429" t="str">
        <f t="shared" si="32"/>
        <v>1</v>
      </c>
      <c r="K429" t="str">
        <f t="shared" si="33"/>
        <v>0</v>
      </c>
      <c r="L429" t="str">
        <f t="shared" si="34"/>
        <v>Sevilla FC</v>
      </c>
      <c r="M429" t="str">
        <f>IF(COUNTIF($A$2:A429,A429)=1,
     VLOOKUP(A429,Season_Winners!A:B,2,FALSE),
     "")</f>
        <v/>
      </c>
    </row>
    <row r="430" spans="1:14" x14ac:dyDescent="0.3">
      <c r="A430" t="s">
        <v>179</v>
      </c>
      <c r="B430">
        <v>5</v>
      </c>
      <c r="C430" t="s">
        <v>218</v>
      </c>
      <c r="D430" t="str">
        <f t="shared" si="30"/>
        <v>25.09.2014</v>
      </c>
      <c r="E430" s="1">
        <v>0.83333333333333337</v>
      </c>
      <c r="F430" t="s">
        <v>36</v>
      </c>
      <c r="G430" t="s">
        <v>11</v>
      </c>
      <c r="H430" t="s">
        <v>12</v>
      </c>
      <c r="I430" t="str">
        <f t="shared" si="31"/>
        <v>2-0</v>
      </c>
      <c r="J430" t="str">
        <f t="shared" si="32"/>
        <v>2</v>
      </c>
      <c r="K430" t="str">
        <f t="shared" si="33"/>
        <v>0</v>
      </c>
      <c r="L430" t="str">
        <f t="shared" si="34"/>
        <v>RCD Espanyol de Barcelona</v>
      </c>
      <c r="M430" t="str">
        <f>IF(COUNTIF($A$2:A430,A430)=1,
     VLOOKUP(A430,Season_Winners!A:B,2,FALSE),
     "")</f>
        <v/>
      </c>
    </row>
    <row r="431" spans="1:14" x14ac:dyDescent="0.3">
      <c r="A431" t="s">
        <v>179</v>
      </c>
      <c r="B431">
        <v>5</v>
      </c>
      <c r="C431" t="s">
        <v>218</v>
      </c>
      <c r="D431" t="str">
        <f t="shared" si="30"/>
        <v>25.09.2014</v>
      </c>
      <c r="E431" s="1">
        <v>0.91666666666666663</v>
      </c>
      <c r="F431" t="s">
        <v>16</v>
      </c>
      <c r="G431" t="s">
        <v>193</v>
      </c>
      <c r="H431" t="s">
        <v>32</v>
      </c>
      <c r="I431" t="str">
        <f t="shared" si="31"/>
        <v>3-0</v>
      </c>
      <c r="J431" t="str">
        <f t="shared" si="32"/>
        <v>3</v>
      </c>
      <c r="K431" t="str">
        <f t="shared" si="33"/>
        <v>0</v>
      </c>
      <c r="L431" t="str">
        <f t="shared" si="34"/>
        <v>Valencia CF</v>
      </c>
      <c r="M431" t="str">
        <f>IF(COUNTIF($A$2:A431,A431)=1,
     VLOOKUP(A431,Season_Winners!A:B,2,FALSE),
     "")</f>
        <v/>
      </c>
    </row>
    <row r="432" spans="1:14" x14ac:dyDescent="0.3">
      <c r="A432" t="s">
        <v>179</v>
      </c>
      <c r="B432">
        <v>6</v>
      </c>
      <c r="C432" t="s">
        <v>219</v>
      </c>
      <c r="D432" t="str">
        <f t="shared" si="30"/>
        <v>26.09.2014</v>
      </c>
      <c r="E432" s="1">
        <v>0.875</v>
      </c>
      <c r="F432" t="s">
        <v>31</v>
      </c>
      <c r="G432" t="s">
        <v>35</v>
      </c>
      <c r="H432" t="s">
        <v>42</v>
      </c>
      <c r="I432" t="str">
        <f t="shared" si="31"/>
        <v>0-1</v>
      </c>
      <c r="J432" t="str">
        <f t="shared" si="32"/>
        <v>0</v>
      </c>
      <c r="K432" t="str">
        <f t="shared" si="33"/>
        <v>1</v>
      </c>
      <c r="L432" t="str">
        <f t="shared" si="34"/>
        <v>RC Celta</v>
      </c>
      <c r="M432" t="str">
        <f>IF(COUNTIF($A$2:A432,A432)=1,
     VLOOKUP(A432,Season_Winners!A:B,2,FALSE),
     "")</f>
        <v/>
      </c>
    </row>
    <row r="433" spans="1:14" x14ac:dyDescent="0.3">
      <c r="A433" t="s">
        <v>179</v>
      </c>
      <c r="B433">
        <v>6</v>
      </c>
      <c r="C433" t="s">
        <v>220</v>
      </c>
      <c r="D433" t="str">
        <f t="shared" si="30"/>
        <v>27.09.2014</v>
      </c>
      <c r="E433" s="1">
        <v>0.66666666666666663</v>
      </c>
      <c r="F433" t="s">
        <v>34</v>
      </c>
      <c r="G433" t="s">
        <v>25</v>
      </c>
      <c r="H433" t="s">
        <v>54</v>
      </c>
      <c r="I433" t="str">
        <f t="shared" si="31"/>
        <v>0-2</v>
      </c>
      <c r="J433" t="str">
        <f t="shared" si="32"/>
        <v>0</v>
      </c>
      <c r="K433" t="str">
        <f t="shared" si="33"/>
        <v>2</v>
      </c>
      <c r="L433" t="str">
        <f t="shared" si="34"/>
        <v>Real Madrid</v>
      </c>
      <c r="M433" t="str">
        <f>IF(COUNTIF($A$2:A433,A433)=1,
     VLOOKUP(A433,Season_Winners!A:B,2,FALSE),
     "")</f>
        <v/>
      </c>
    </row>
    <row r="434" spans="1:14" x14ac:dyDescent="0.3">
      <c r="A434" t="s">
        <v>179</v>
      </c>
      <c r="B434">
        <v>6</v>
      </c>
      <c r="C434" t="s">
        <v>220</v>
      </c>
      <c r="D434" t="str">
        <f t="shared" si="30"/>
        <v>27.09.2014</v>
      </c>
      <c r="E434" s="1">
        <v>0.75</v>
      </c>
      <c r="F434" t="s">
        <v>20</v>
      </c>
      <c r="G434" t="s">
        <v>24</v>
      </c>
      <c r="H434" t="s">
        <v>126</v>
      </c>
      <c r="I434" t="str">
        <f t="shared" si="31"/>
        <v>6-0</v>
      </c>
      <c r="J434" t="str">
        <f t="shared" si="32"/>
        <v>6</v>
      </c>
      <c r="K434" t="str">
        <f t="shared" si="33"/>
        <v>0</v>
      </c>
      <c r="L434" t="str">
        <f t="shared" si="34"/>
        <v>FC Barcelona</v>
      </c>
      <c r="M434" t="str">
        <f>IF(COUNTIF($A$2:A434,A434)=1,
     VLOOKUP(A434,Season_Winners!A:B,2,FALSE),
     "")</f>
        <v/>
      </c>
    </row>
    <row r="435" spans="1:14" x14ac:dyDescent="0.3">
      <c r="A435" t="s">
        <v>179</v>
      </c>
      <c r="B435">
        <v>6</v>
      </c>
      <c r="C435" t="s">
        <v>220</v>
      </c>
      <c r="D435" t="str">
        <f t="shared" si="30"/>
        <v>27.09.2014</v>
      </c>
      <c r="E435" s="1">
        <v>0.83333333333333337</v>
      </c>
      <c r="F435" t="s">
        <v>1425</v>
      </c>
      <c r="G435" t="s">
        <v>27</v>
      </c>
      <c r="H435" t="s">
        <v>88</v>
      </c>
      <c r="I435" t="str">
        <f t="shared" si="31"/>
        <v>4-0</v>
      </c>
      <c r="J435" t="str">
        <f t="shared" si="32"/>
        <v>4</v>
      </c>
      <c r="K435" t="str">
        <f t="shared" si="33"/>
        <v>0</v>
      </c>
      <c r="L435" t="str">
        <f t="shared" si="34"/>
        <v>Atlético de Madrid</v>
      </c>
      <c r="M435" t="str">
        <f>IF(COUNTIF($A$2:A435,A435)=1,
     VLOOKUP(A435,Season_Winners!A:B,2,FALSE),
     "")</f>
        <v/>
      </c>
    </row>
    <row r="436" spans="1:14" x14ac:dyDescent="0.3">
      <c r="A436" t="s">
        <v>179</v>
      </c>
      <c r="B436">
        <v>6</v>
      </c>
      <c r="C436" t="s">
        <v>220</v>
      </c>
      <c r="D436" t="str">
        <f t="shared" si="30"/>
        <v>27.09.2014</v>
      </c>
      <c r="E436" s="1">
        <v>0.91666666666666663</v>
      </c>
      <c r="F436" t="s">
        <v>15</v>
      </c>
      <c r="G436" t="s">
        <v>187</v>
      </c>
      <c r="H436" t="s">
        <v>41</v>
      </c>
      <c r="I436" t="str">
        <f t="shared" si="31"/>
        <v>0-0</v>
      </c>
      <c r="J436" t="str">
        <f t="shared" si="32"/>
        <v>0</v>
      </c>
      <c r="K436" t="str">
        <f t="shared" si="33"/>
        <v>0</v>
      </c>
      <c r="L436" t="str">
        <f t="shared" si="34"/>
        <v>Draw</v>
      </c>
      <c r="M436" t="str">
        <f>IF(COUNTIF($A$2:A436,A436)=1,
     VLOOKUP(A436,Season_Winners!A:B,2,FALSE),
     "")</f>
        <v/>
      </c>
    </row>
    <row r="437" spans="1:14" x14ac:dyDescent="0.3">
      <c r="A437" t="s">
        <v>179</v>
      </c>
      <c r="B437">
        <v>6</v>
      </c>
      <c r="C437" t="s">
        <v>220</v>
      </c>
      <c r="D437" t="str">
        <f t="shared" si="30"/>
        <v>27.09.2014</v>
      </c>
      <c r="E437" s="1">
        <v>0.91666666666666663</v>
      </c>
      <c r="F437" t="s">
        <v>21</v>
      </c>
      <c r="G437" t="s">
        <v>30</v>
      </c>
      <c r="H437" t="s">
        <v>54</v>
      </c>
      <c r="I437" t="str">
        <f t="shared" si="31"/>
        <v>0-2</v>
      </c>
      <c r="J437" t="str">
        <f t="shared" si="32"/>
        <v>0</v>
      </c>
      <c r="K437" t="str">
        <f t="shared" si="33"/>
        <v>2</v>
      </c>
      <c r="L437" t="str">
        <f t="shared" si="34"/>
        <v>Rayo Vallecano</v>
      </c>
      <c r="M437" t="str">
        <f>IF(COUNTIF($A$2:A437,A437)=1,
     VLOOKUP(A437,Season_Winners!A:B,2,FALSE),
     "")</f>
        <v/>
      </c>
    </row>
    <row r="438" spans="1:14" x14ac:dyDescent="0.3">
      <c r="A438" t="s">
        <v>179</v>
      </c>
      <c r="B438">
        <v>6</v>
      </c>
      <c r="C438" t="s">
        <v>221</v>
      </c>
      <c r="D438" t="str">
        <f t="shared" si="30"/>
        <v>28.09.2014</v>
      </c>
      <c r="E438" s="1">
        <v>0.5</v>
      </c>
      <c r="F438" t="s">
        <v>11</v>
      </c>
      <c r="G438" t="s">
        <v>17</v>
      </c>
      <c r="H438" t="s">
        <v>18</v>
      </c>
      <c r="I438" t="str">
        <f t="shared" si="31"/>
        <v>1-0</v>
      </c>
      <c r="J438" t="str">
        <f t="shared" si="32"/>
        <v>1</v>
      </c>
      <c r="K438" t="str">
        <f t="shared" si="33"/>
        <v>0</v>
      </c>
      <c r="L438" t="str">
        <f t="shared" si="34"/>
        <v>Getafe CF</v>
      </c>
      <c r="M438" t="str">
        <f>IF(COUNTIF($A$2:A438,A438)=1,
     VLOOKUP(A438,Season_Winners!A:B,2,FALSE),
     "")</f>
        <v/>
      </c>
    </row>
    <row r="439" spans="1:14" x14ac:dyDescent="0.3">
      <c r="A439" t="s">
        <v>179</v>
      </c>
      <c r="B439">
        <v>6</v>
      </c>
      <c r="C439" t="s">
        <v>221</v>
      </c>
      <c r="D439" t="str">
        <f t="shared" si="30"/>
        <v>28.09.2014</v>
      </c>
      <c r="E439" s="1">
        <v>0.70833333333333337</v>
      </c>
      <c r="F439" t="s">
        <v>182</v>
      </c>
      <c r="G439" t="s">
        <v>33</v>
      </c>
      <c r="H439" t="s">
        <v>42</v>
      </c>
      <c r="I439" t="str">
        <f t="shared" si="31"/>
        <v>0-1</v>
      </c>
      <c r="J439" t="str">
        <f t="shared" si="32"/>
        <v>0</v>
      </c>
      <c r="K439" t="str">
        <f t="shared" si="33"/>
        <v>1</v>
      </c>
      <c r="L439" t="str">
        <f t="shared" si="34"/>
        <v>UD AlmerÃ­a</v>
      </c>
      <c r="M439" t="str">
        <f>IF(COUNTIF($A$2:A439,A439)=1,
     VLOOKUP(A439,Season_Winners!A:B,2,FALSE),
     "")</f>
        <v/>
      </c>
    </row>
    <row r="440" spans="1:14" hidden="1" x14ac:dyDescent="0.3">
      <c r="A440" t="s">
        <v>179</v>
      </c>
      <c r="B440">
        <v>6</v>
      </c>
      <c r="C440" t="s">
        <v>221</v>
      </c>
      <c r="D440" t="str">
        <f t="shared" si="30"/>
        <v>28.09.2014</v>
      </c>
      <c r="E440" s="1">
        <v>0.79166666666666663</v>
      </c>
      <c r="F440" t="s">
        <v>10</v>
      </c>
      <c r="G440" t="s">
        <v>16</v>
      </c>
      <c r="H440" s="2">
        <v>46023</v>
      </c>
      <c r="I440" s="3" t="str">
        <f t="shared" si="31"/>
        <v/>
      </c>
      <c r="J440" t="str">
        <f t="shared" si="32"/>
        <v/>
      </c>
      <c r="K440" t="str">
        <f t="shared" si="33"/>
        <v/>
      </c>
      <c r="L440" t="str">
        <f t="shared" si="34"/>
        <v/>
      </c>
      <c r="M440" t="str">
        <f>IF(COUNTIF($A$2:A440,A440)=1,
     VLOOKUP(A440,Season_Winners!A:B,2,FALSE),
     "")</f>
        <v/>
      </c>
      <c r="N440" s="2"/>
    </row>
    <row r="441" spans="1:14" x14ac:dyDescent="0.3">
      <c r="A441" t="s">
        <v>179</v>
      </c>
      <c r="B441">
        <v>6</v>
      </c>
      <c r="C441" t="s">
        <v>221</v>
      </c>
      <c r="D441" t="str">
        <f t="shared" si="30"/>
        <v>28.09.2014</v>
      </c>
      <c r="E441" s="1">
        <v>0.875</v>
      </c>
      <c r="F441" t="s">
        <v>193</v>
      </c>
      <c r="G441" t="s">
        <v>36</v>
      </c>
      <c r="H441" t="s">
        <v>41</v>
      </c>
      <c r="I441" t="str">
        <f t="shared" si="31"/>
        <v>0-0</v>
      </c>
      <c r="J441" t="str">
        <f t="shared" si="32"/>
        <v>0</v>
      </c>
      <c r="K441" t="str">
        <f t="shared" si="33"/>
        <v>0</v>
      </c>
      <c r="L441" t="str">
        <f t="shared" si="34"/>
        <v>Draw</v>
      </c>
      <c r="M441" t="str">
        <f>IF(COUNTIF($A$2:A441,A441)=1,
     VLOOKUP(A441,Season_Winners!A:B,2,FALSE),
     "")</f>
        <v/>
      </c>
    </row>
    <row r="442" spans="1:14" hidden="1" x14ac:dyDescent="0.3">
      <c r="A442" t="s">
        <v>179</v>
      </c>
      <c r="B442">
        <v>7</v>
      </c>
      <c r="C442" t="s">
        <v>222</v>
      </c>
      <c r="D442" t="str">
        <f t="shared" si="30"/>
        <v>03.10.2014</v>
      </c>
      <c r="E442" s="1">
        <v>0.875</v>
      </c>
      <c r="F442" t="s">
        <v>11</v>
      </c>
      <c r="G442" t="s">
        <v>193</v>
      </c>
      <c r="H442" s="2">
        <v>46023</v>
      </c>
      <c r="I442" s="3" t="str">
        <f t="shared" si="31"/>
        <v/>
      </c>
      <c r="J442" t="str">
        <f t="shared" si="32"/>
        <v/>
      </c>
      <c r="K442" t="str">
        <f t="shared" si="33"/>
        <v/>
      </c>
      <c r="L442" t="str">
        <f t="shared" si="34"/>
        <v/>
      </c>
      <c r="M442" t="str">
        <f>IF(COUNTIF($A$2:A442,A442)=1,
     VLOOKUP(A442,Season_Winners!A:B,2,FALSE),
     "")</f>
        <v/>
      </c>
      <c r="N442" s="2"/>
    </row>
    <row r="443" spans="1:14" hidden="1" x14ac:dyDescent="0.3">
      <c r="A443" t="s">
        <v>179</v>
      </c>
      <c r="B443">
        <v>7</v>
      </c>
      <c r="C443" t="s">
        <v>223</v>
      </c>
      <c r="D443" t="str">
        <f t="shared" si="30"/>
        <v>04.10.2014</v>
      </c>
      <c r="E443" s="1">
        <v>0.66666666666666663</v>
      </c>
      <c r="F443" t="s">
        <v>16</v>
      </c>
      <c r="G443" t="s">
        <v>28</v>
      </c>
      <c r="H443" s="2">
        <v>46025</v>
      </c>
      <c r="I443" s="3" t="str">
        <f t="shared" si="31"/>
        <v/>
      </c>
      <c r="J443" t="str">
        <f t="shared" si="32"/>
        <v/>
      </c>
      <c r="K443" t="str">
        <f t="shared" si="33"/>
        <v/>
      </c>
      <c r="L443" t="str">
        <f t="shared" si="34"/>
        <v/>
      </c>
      <c r="M443" t="str">
        <f>IF(COUNTIF($A$2:A443,A443)=1,
     VLOOKUP(A443,Season_Winners!A:B,2,FALSE),
     "")</f>
        <v/>
      </c>
      <c r="N443" s="2"/>
    </row>
    <row r="444" spans="1:14" x14ac:dyDescent="0.3">
      <c r="A444" t="s">
        <v>179</v>
      </c>
      <c r="B444">
        <v>7</v>
      </c>
      <c r="C444" t="s">
        <v>223</v>
      </c>
      <c r="D444" t="str">
        <f t="shared" si="30"/>
        <v>04.10.2014</v>
      </c>
      <c r="E444" s="1">
        <v>0.75</v>
      </c>
      <c r="F444" t="s">
        <v>30</v>
      </c>
      <c r="G444" t="s">
        <v>20</v>
      </c>
      <c r="H444" t="s">
        <v>54</v>
      </c>
      <c r="I444" t="str">
        <f t="shared" si="31"/>
        <v>0-2</v>
      </c>
      <c r="J444" t="str">
        <f t="shared" si="32"/>
        <v>0</v>
      </c>
      <c r="K444" t="str">
        <f t="shared" si="33"/>
        <v>2</v>
      </c>
      <c r="L444" t="str">
        <f t="shared" si="34"/>
        <v>FC Barcelona</v>
      </c>
      <c r="M444" t="str">
        <f>IF(COUNTIF($A$2:A444,A444)=1,
     VLOOKUP(A444,Season_Winners!A:B,2,FALSE),
     "")</f>
        <v/>
      </c>
    </row>
    <row r="445" spans="1:14" hidden="1" x14ac:dyDescent="0.3">
      <c r="A445" t="s">
        <v>179</v>
      </c>
      <c r="B445">
        <v>7</v>
      </c>
      <c r="C445" t="s">
        <v>223</v>
      </c>
      <c r="D445" t="str">
        <f t="shared" si="30"/>
        <v>04.10.2014</v>
      </c>
      <c r="E445" s="1">
        <v>0.83333333333333337</v>
      </c>
      <c r="F445" t="s">
        <v>187</v>
      </c>
      <c r="G445" t="s">
        <v>21</v>
      </c>
      <c r="H445" s="2">
        <v>46084</v>
      </c>
      <c r="I445" s="3" t="str">
        <f t="shared" si="31"/>
        <v/>
      </c>
      <c r="J445" t="str">
        <f t="shared" si="32"/>
        <v/>
      </c>
      <c r="K445" t="str">
        <f t="shared" si="33"/>
        <v/>
      </c>
      <c r="L445" t="str">
        <f t="shared" si="34"/>
        <v/>
      </c>
      <c r="M445" t="str">
        <f>IF(COUNTIF($A$2:A445,A445)=1,
     VLOOKUP(A445,Season_Winners!A:B,2,FALSE),
     "")</f>
        <v/>
      </c>
      <c r="N445" s="2"/>
    </row>
    <row r="446" spans="1:14" hidden="1" x14ac:dyDescent="0.3">
      <c r="A446" t="s">
        <v>179</v>
      </c>
      <c r="B446">
        <v>7</v>
      </c>
      <c r="C446" t="s">
        <v>223</v>
      </c>
      <c r="D446" t="str">
        <f t="shared" si="30"/>
        <v>04.10.2014</v>
      </c>
      <c r="E446" s="1">
        <v>0.91666666666666663</v>
      </c>
      <c r="F446" t="s">
        <v>33</v>
      </c>
      <c r="G446" t="s">
        <v>31</v>
      </c>
      <c r="H446" s="2">
        <v>46055</v>
      </c>
      <c r="I446" s="3" t="str">
        <f t="shared" si="31"/>
        <v/>
      </c>
      <c r="J446" t="str">
        <f t="shared" si="32"/>
        <v/>
      </c>
      <c r="K446" t="str">
        <f t="shared" si="33"/>
        <v/>
      </c>
      <c r="L446" t="str">
        <f t="shared" si="34"/>
        <v/>
      </c>
      <c r="M446" t="str">
        <f>IF(COUNTIF($A$2:A446,A446)=1,
     VLOOKUP(A446,Season_Winners!A:B,2,FALSE),
     "")</f>
        <v/>
      </c>
      <c r="N446" s="2"/>
    </row>
    <row r="447" spans="1:14" hidden="1" x14ac:dyDescent="0.3">
      <c r="A447" t="s">
        <v>179</v>
      </c>
      <c r="B447">
        <v>7</v>
      </c>
      <c r="C447" t="s">
        <v>223</v>
      </c>
      <c r="D447" t="str">
        <f t="shared" si="30"/>
        <v>04.10.2014</v>
      </c>
      <c r="E447" s="1">
        <v>0.91666666666666663</v>
      </c>
      <c r="F447" t="s">
        <v>17</v>
      </c>
      <c r="G447" t="s">
        <v>24</v>
      </c>
      <c r="H447" s="2">
        <v>46024</v>
      </c>
      <c r="I447" s="3" t="str">
        <f t="shared" si="31"/>
        <v/>
      </c>
      <c r="J447" t="str">
        <f t="shared" si="32"/>
        <v/>
      </c>
      <c r="K447" t="str">
        <f t="shared" si="33"/>
        <v/>
      </c>
      <c r="L447" t="str">
        <f t="shared" si="34"/>
        <v/>
      </c>
      <c r="M447" t="str">
        <f>IF(COUNTIF($A$2:A447,A447)=1,
     VLOOKUP(A447,Season_Winners!A:B,2,FALSE),
     "")</f>
        <v/>
      </c>
      <c r="N447" s="2"/>
    </row>
    <row r="448" spans="1:14" hidden="1" x14ac:dyDescent="0.3">
      <c r="A448" t="s">
        <v>179</v>
      </c>
      <c r="B448">
        <v>7</v>
      </c>
      <c r="C448" t="s">
        <v>224</v>
      </c>
      <c r="D448" t="str">
        <f t="shared" si="30"/>
        <v>05.10.2014</v>
      </c>
      <c r="E448" s="1">
        <v>0.5</v>
      </c>
      <c r="F448" t="s">
        <v>27</v>
      </c>
      <c r="G448" t="s">
        <v>182</v>
      </c>
      <c r="H448" s="2">
        <v>46026</v>
      </c>
      <c r="I448" s="3" t="str">
        <f t="shared" si="31"/>
        <v/>
      </c>
      <c r="J448" t="str">
        <f t="shared" si="32"/>
        <v/>
      </c>
      <c r="K448" t="str">
        <f t="shared" si="33"/>
        <v/>
      </c>
      <c r="L448" t="str">
        <f t="shared" si="34"/>
        <v/>
      </c>
      <c r="M448" t="str">
        <f>IF(COUNTIF($A$2:A448,A448)=1,
     VLOOKUP(A448,Season_Winners!A:B,2,FALSE),
     "")</f>
        <v/>
      </c>
      <c r="N448" s="2"/>
    </row>
    <row r="449" spans="1:14" hidden="1" x14ac:dyDescent="0.3">
      <c r="A449" t="s">
        <v>179</v>
      </c>
      <c r="B449">
        <v>7</v>
      </c>
      <c r="C449" t="s">
        <v>224</v>
      </c>
      <c r="D449" t="str">
        <f t="shared" si="30"/>
        <v>05.10.2014</v>
      </c>
      <c r="E449" s="1">
        <v>0.70833333333333337</v>
      </c>
      <c r="F449" t="s">
        <v>35</v>
      </c>
      <c r="G449" t="s">
        <v>34</v>
      </c>
      <c r="H449" s="2">
        <v>46082</v>
      </c>
      <c r="I449" s="3" t="str">
        <f t="shared" si="31"/>
        <v/>
      </c>
      <c r="J449" t="str">
        <f t="shared" si="32"/>
        <v/>
      </c>
      <c r="K449" t="str">
        <f t="shared" si="33"/>
        <v/>
      </c>
      <c r="L449" t="str">
        <f t="shared" si="34"/>
        <v/>
      </c>
      <c r="M449" t="str">
        <f>IF(COUNTIF($A$2:A449,A449)=1,
     VLOOKUP(A449,Season_Winners!A:B,2,FALSE),
     "")</f>
        <v/>
      </c>
      <c r="N449" s="2"/>
    </row>
    <row r="450" spans="1:14" x14ac:dyDescent="0.3">
      <c r="A450" t="s">
        <v>179</v>
      </c>
      <c r="B450">
        <v>7</v>
      </c>
      <c r="C450" t="s">
        <v>224</v>
      </c>
      <c r="D450" t="str">
        <f t="shared" ref="D450:D513" si="35">RIGHT(C450,10)</f>
        <v>05.10.2014</v>
      </c>
      <c r="E450" s="1">
        <v>0.79166666666666663</v>
      </c>
      <c r="F450" t="s">
        <v>36</v>
      </c>
      <c r="G450" t="s">
        <v>10</v>
      </c>
      <c r="H450" t="s">
        <v>12</v>
      </c>
      <c r="I450" t="str">
        <f t="shared" ref="I450:I513" si="36">IF(ISNUMBER(SEARCH("-",H450)),H450,"")</f>
        <v>2-0</v>
      </c>
      <c r="J450" t="str">
        <f t="shared" ref="J450:J513" si="37">IF(I450="","",LEFT(I450,FIND("-",I450)-1))</f>
        <v>2</v>
      </c>
      <c r="K450" t="str">
        <f t="shared" ref="K450:K513" si="38">IF(I450="","",RIGHT(I450,LEN(I450)-FIND("-",I450)))</f>
        <v>0</v>
      </c>
      <c r="L450" t="str">
        <f t="shared" ref="L450:L513" si="39">IF(I450="","",IF(J450&gt;K450,F450,IF(K450&gt;J450,G450,"Draw")))</f>
        <v>RCD Espanyol de Barcelona</v>
      </c>
      <c r="M450" t="str">
        <f>IF(COUNTIF($A$2:A450,A450)=1,
     VLOOKUP(A450,Season_Winners!A:B,2,FALSE),
     "")</f>
        <v/>
      </c>
    </row>
    <row r="451" spans="1:14" x14ac:dyDescent="0.3">
      <c r="A451" t="s">
        <v>179</v>
      </c>
      <c r="B451">
        <v>7</v>
      </c>
      <c r="C451" t="s">
        <v>224</v>
      </c>
      <c r="D451" t="str">
        <f t="shared" si="35"/>
        <v>05.10.2014</v>
      </c>
      <c r="E451" s="1">
        <v>0.875</v>
      </c>
      <c r="F451" t="s">
        <v>25</v>
      </c>
      <c r="G451" t="s">
        <v>15</v>
      </c>
      <c r="H451" t="s">
        <v>40</v>
      </c>
      <c r="I451" t="str">
        <f t="shared" si="36"/>
        <v>5-0</v>
      </c>
      <c r="J451" t="str">
        <f t="shared" si="37"/>
        <v>5</v>
      </c>
      <c r="K451" t="str">
        <f t="shared" si="38"/>
        <v>0</v>
      </c>
      <c r="L451" t="str">
        <f t="shared" si="39"/>
        <v>Real Madrid</v>
      </c>
      <c r="M451" t="str">
        <f>IF(COUNTIF($A$2:A451,A451)=1,
     VLOOKUP(A451,Season_Winners!A:B,2,FALSE),
     "")</f>
        <v/>
      </c>
    </row>
    <row r="452" spans="1:14" x14ac:dyDescent="0.3">
      <c r="A452" t="s">
        <v>179</v>
      </c>
      <c r="B452">
        <v>8</v>
      </c>
      <c r="C452" t="s">
        <v>225</v>
      </c>
      <c r="D452" t="str">
        <f t="shared" si="35"/>
        <v>17.10.2014</v>
      </c>
      <c r="E452" s="1">
        <v>0.875</v>
      </c>
      <c r="F452" t="s">
        <v>24</v>
      </c>
      <c r="G452" t="s">
        <v>30</v>
      </c>
      <c r="H452" t="s">
        <v>42</v>
      </c>
      <c r="I452" t="str">
        <f t="shared" si="36"/>
        <v>0-1</v>
      </c>
      <c r="J452" t="str">
        <f t="shared" si="37"/>
        <v>0</v>
      </c>
      <c r="K452" t="str">
        <f t="shared" si="38"/>
        <v>1</v>
      </c>
      <c r="L452" t="str">
        <f t="shared" si="39"/>
        <v>Rayo Vallecano</v>
      </c>
      <c r="M452" t="str">
        <f>IF(COUNTIF($A$2:A452,A452)=1,
     VLOOKUP(A452,Season_Winners!A:B,2,FALSE),
     "")</f>
        <v/>
      </c>
    </row>
    <row r="453" spans="1:14" x14ac:dyDescent="0.3">
      <c r="A453" t="s">
        <v>179</v>
      </c>
      <c r="B453">
        <v>8</v>
      </c>
      <c r="C453" t="s">
        <v>226</v>
      </c>
      <c r="D453" t="str">
        <f t="shared" si="35"/>
        <v>18.10.2014</v>
      </c>
      <c r="E453" s="1">
        <v>0.66666666666666663</v>
      </c>
      <c r="F453" t="s">
        <v>21</v>
      </c>
      <c r="G453" t="s">
        <v>25</v>
      </c>
      <c r="H453" t="s">
        <v>72</v>
      </c>
      <c r="I453" t="str">
        <f t="shared" si="36"/>
        <v>0-5</v>
      </c>
      <c r="J453" t="str">
        <f t="shared" si="37"/>
        <v>0</v>
      </c>
      <c r="K453" t="str">
        <f t="shared" si="38"/>
        <v>5</v>
      </c>
      <c r="L453" t="str">
        <f t="shared" si="39"/>
        <v>Real Madrid</v>
      </c>
      <c r="M453" t="str">
        <f>IF(COUNTIF($A$2:A453,A453)=1,
     VLOOKUP(A453,Season_Winners!A:B,2,FALSE),
     "")</f>
        <v/>
      </c>
    </row>
    <row r="454" spans="1:14" hidden="1" x14ac:dyDescent="0.3">
      <c r="A454" t="s">
        <v>179</v>
      </c>
      <c r="B454">
        <v>8</v>
      </c>
      <c r="C454" t="s">
        <v>226</v>
      </c>
      <c r="D454" t="str">
        <f t="shared" si="35"/>
        <v>18.10.2014</v>
      </c>
      <c r="E454" s="1">
        <v>0.75</v>
      </c>
      <c r="F454" t="s">
        <v>15</v>
      </c>
      <c r="G454" t="s">
        <v>35</v>
      </c>
      <c r="H454" s="2">
        <v>46023</v>
      </c>
      <c r="I454" s="3" t="str">
        <f t="shared" si="36"/>
        <v/>
      </c>
      <c r="J454" t="str">
        <f t="shared" si="37"/>
        <v/>
      </c>
      <c r="K454" t="str">
        <f t="shared" si="38"/>
        <v/>
      </c>
      <c r="L454" t="str">
        <f t="shared" si="39"/>
        <v/>
      </c>
      <c r="M454" t="str">
        <f>IF(COUNTIF($A$2:A454,A454)=1,
     VLOOKUP(A454,Season_Winners!A:B,2,FALSE),
     "")</f>
        <v/>
      </c>
      <c r="N454" s="2"/>
    </row>
    <row r="455" spans="1:14" x14ac:dyDescent="0.3">
      <c r="A455" t="s">
        <v>179</v>
      </c>
      <c r="B455">
        <v>8</v>
      </c>
      <c r="C455" t="s">
        <v>226</v>
      </c>
      <c r="D455" t="str">
        <f t="shared" si="35"/>
        <v>18.10.2014</v>
      </c>
      <c r="E455" s="1">
        <v>0.83333333333333337</v>
      </c>
      <c r="F455" t="s">
        <v>20</v>
      </c>
      <c r="G455" t="s">
        <v>187</v>
      </c>
      <c r="H455" t="s">
        <v>32</v>
      </c>
      <c r="I455" t="str">
        <f t="shared" si="36"/>
        <v>3-0</v>
      </c>
      <c r="J455" t="str">
        <f t="shared" si="37"/>
        <v>3</v>
      </c>
      <c r="K455" t="str">
        <f t="shared" si="38"/>
        <v>0</v>
      </c>
      <c r="L455" t="str">
        <f t="shared" si="39"/>
        <v>FC Barcelona</v>
      </c>
      <c r="M455" t="str">
        <f>IF(COUNTIF($A$2:A455,A455)=1,
     VLOOKUP(A455,Season_Winners!A:B,2,FALSE),
     "")</f>
        <v/>
      </c>
    </row>
    <row r="456" spans="1:14" hidden="1" x14ac:dyDescent="0.3">
      <c r="A456" t="s">
        <v>179</v>
      </c>
      <c r="B456">
        <v>8</v>
      </c>
      <c r="C456" t="s">
        <v>226</v>
      </c>
      <c r="D456" t="str">
        <f t="shared" si="35"/>
        <v>18.10.2014</v>
      </c>
      <c r="E456" s="1">
        <v>0.91666666666666663</v>
      </c>
      <c r="F456" t="s">
        <v>193</v>
      </c>
      <c r="G456" t="s">
        <v>17</v>
      </c>
      <c r="H456" s="2">
        <v>46054</v>
      </c>
      <c r="I456" s="3" t="str">
        <f t="shared" si="36"/>
        <v/>
      </c>
      <c r="J456" t="str">
        <f t="shared" si="37"/>
        <v/>
      </c>
      <c r="K456" t="str">
        <f t="shared" si="38"/>
        <v/>
      </c>
      <c r="L456" t="str">
        <f t="shared" si="39"/>
        <v/>
      </c>
      <c r="M456" t="str">
        <f>IF(COUNTIF($A$2:A456,A456)=1,
     VLOOKUP(A456,Season_Winners!A:B,2,FALSE),
     "")</f>
        <v/>
      </c>
      <c r="N456" s="2"/>
    </row>
    <row r="457" spans="1:14" x14ac:dyDescent="0.3">
      <c r="A457" t="s">
        <v>179</v>
      </c>
      <c r="B457">
        <v>8</v>
      </c>
      <c r="C457" t="s">
        <v>227</v>
      </c>
      <c r="D457" t="str">
        <f t="shared" si="35"/>
        <v>19.10.2014</v>
      </c>
      <c r="E457" s="1">
        <v>0.5</v>
      </c>
      <c r="F457" t="s">
        <v>1425</v>
      </c>
      <c r="G457" t="s">
        <v>36</v>
      </c>
      <c r="H457" t="s">
        <v>12</v>
      </c>
      <c r="I457" t="str">
        <f t="shared" si="36"/>
        <v>2-0</v>
      </c>
      <c r="J457" t="str">
        <f t="shared" si="37"/>
        <v>2</v>
      </c>
      <c r="K457" t="str">
        <f t="shared" si="38"/>
        <v>0</v>
      </c>
      <c r="L457" t="str">
        <f t="shared" si="39"/>
        <v>Atlético de Madrid</v>
      </c>
      <c r="M457" t="str">
        <f>IF(COUNTIF($A$2:A457,A457)=1,
     VLOOKUP(A457,Season_Winners!A:B,2,FALSE),
     "")</f>
        <v/>
      </c>
    </row>
    <row r="458" spans="1:14" x14ac:dyDescent="0.3">
      <c r="A458" t="s">
        <v>179</v>
      </c>
      <c r="B458">
        <v>8</v>
      </c>
      <c r="C458" t="s">
        <v>227</v>
      </c>
      <c r="D458" t="str">
        <f t="shared" si="35"/>
        <v>19.10.2014</v>
      </c>
      <c r="E458" s="1">
        <v>0.70833333333333337</v>
      </c>
      <c r="F458" t="s">
        <v>182</v>
      </c>
      <c r="G458" t="s">
        <v>16</v>
      </c>
      <c r="H458" t="s">
        <v>32</v>
      </c>
      <c r="I458" t="str">
        <f t="shared" si="36"/>
        <v>3-0</v>
      </c>
      <c r="J458" t="str">
        <f t="shared" si="37"/>
        <v>3</v>
      </c>
      <c r="K458" t="str">
        <f t="shared" si="38"/>
        <v>0</v>
      </c>
      <c r="L458" t="str">
        <f t="shared" si="39"/>
        <v>RC Deportivo</v>
      </c>
      <c r="M458" t="str">
        <f>IF(COUNTIF($A$2:A458,A458)=1,
     VLOOKUP(A458,Season_Winners!A:B,2,FALSE),
     "")</f>
        <v/>
      </c>
    </row>
    <row r="459" spans="1:14" x14ac:dyDescent="0.3">
      <c r="A459" t="s">
        <v>179</v>
      </c>
      <c r="B459">
        <v>8</v>
      </c>
      <c r="C459" t="s">
        <v>227</v>
      </c>
      <c r="D459" t="str">
        <f t="shared" si="35"/>
        <v>19.10.2014</v>
      </c>
      <c r="E459" s="1">
        <v>0.79166666666666663</v>
      </c>
      <c r="F459" t="s">
        <v>31</v>
      </c>
      <c r="G459" t="s">
        <v>27</v>
      </c>
      <c r="H459" t="s">
        <v>54</v>
      </c>
      <c r="I459" t="str">
        <f t="shared" si="36"/>
        <v>0-2</v>
      </c>
      <c r="J459" t="str">
        <f t="shared" si="37"/>
        <v>0</v>
      </c>
      <c r="K459" t="str">
        <f t="shared" si="38"/>
        <v>2</v>
      </c>
      <c r="L459" t="str">
        <f t="shared" si="39"/>
        <v>Sevilla FC</v>
      </c>
      <c r="M459" t="str">
        <f>IF(COUNTIF($A$2:A459,A459)=1,
     VLOOKUP(A459,Season_Winners!A:B,2,FALSE),
     "")</f>
        <v/>
      </c>
    </row>
    <row r="460" spans="1:14" x14ac:dyDescent="0.3">
      <c r="A460" t="s">
        <v>179</v>
      </c>
      <c r="B460">
        <v>8</v>
      </c>
      <c r="C460" t="s">
        <v>227</v>
      </c>
      <c r="D460" t="str">
        <f t="shared" si="35"/>
        <v>19.10.2014</v>
      </c>
      <c r="E460" s="1">
        <v>0.875</v>
      </c>
      <c r="F460" t="s">
        <v>34</v>
      </c>
      <c r="G460" t="s">
        <v>33</v>
      </c>
      <c r="H460" t="s">
        <v>12</v>
      </c>
      <c r="I460" t="str">
        <f t="shared" si="36"/>
        <v>2-0</v>
      </c>
      <c r="J460" t="str">
        <f t="shared" si="37"/>
        <v>2</v>
      </c>
      <c r="K460" t="str">
        <f t="shared" si="38"/>
        <v>0</v>
      </c>
      <c r="L460" t="str">
        <f t="shared" si="39"/>
        <v>Villarreal CF</v>
      </c>
      <c r="M460" t="str">
        <f>IF(COUNTIF($A$2:A460,A460)=1,
     VLOOKUP(A460,Season_Winners!A:B,2,FALSE),
     "")</f>
        <v/>
      </c>
    </row>
    <row r="461" spans="1:14" hidden="1" x14ac:dyDescent="0.3">
      <c r="A461" t="s">
        <v>179</v>
      </c>
      <c r="B461">
        <v>8</v>
      </c>
      <c r="C461" t="s">
        <v>228</v>
      </c>
      <c r="D461" t="str">
        <f t="shared" si="35"/>
        <v>20.10.2014</v>
      </c>
      <c r="E461" s="1">
        <v>0.86458333333333337</v>
      </c>
      <c r="F461" t="s">
        <v>10</v>
      </c>
      <c r="G461" t="s">
        <v>11</v>
      </c>
      <c r="H461" s="2">
        <v>46054</v>
      </c>
      <c r="I461" s="3" t="str">
        <f t="shared" si="36"/>
        <v/>
      </c>
      <c r="J461" t="str">
        <f t="shared" si="37"/>
        <v/>
      </c>
      <c r="K461" t="str">
        <f t="shared" si="38"/>
        <v/>
      </c>
      <c r="L461" t="str">
        <f t="shared" si="39"/>
        <v/>
      </c>
      <c r="M461" t="str">
        <f>IF(COUNTIF($A$2:A461,A461)=1,
     VLOOKUP(A461,Season_Winners!A:B,2,FALSE),
     "")</f>
        <v/>
      </c>
      <c r="N461" s="2"/>
    </row>
    <row r="462" spans="1:14" x14ac:dyDescent="0.3">
      <c r="A462" t="s">
        <v>179</v>
      </c>
      <c r="B462">
        <v>9</v>
      </c>
      <c r="C462" t="s">
        <v>229</v>
      </c>
      <c r="D462" t="str">
        <f t="shared" si="35"/>
        <v>24.10.2014</v>
      </c>
      <c r="E462" s="1">
        <v>0.875</v>
      </c>
      <c r="F462" t="s">
        <v>35</v>
      </c>
      <c r="G462" t="s">
        <v>21</v>
      </c>
      <c r="H462" t="s">
        <v>32</v>
      </c>
      <c r="I462" t="str">
        <f t="shared" si="36"/>
        <v>3-0</v>
      </c>
      <c r="J462" t="str">
        <f t="shared" si="37"/>
        <v>3</v>
      </c>
      <c r="K462" t="str">
        <f t="shared" si="38"/>
        <v>0</v>
      </c>
      <c r="L462" t="str">
        <f t="shared" si="39"/>
        <v>RC Celta</v>
      </c>
      <c r="M462" t="str">
        <f>IF(COUNTIF($A$2:A462,A462)=1,
     VLOOKUP(A462,Season_Winners!A:B,2,FALSE),
     "")</f>
        <v/>
      </c>
    </row>
    <row r="463" spans="1:14" x14ac:dyDescent="0.3">
      <c r="A463" t="s">
        <v>179</v>
      </c>
      <c r="B463">
        <v>9</v>
      </c>
      <c r="C463" t="s">
        <v>230</v>
      </c>
      <c r="D463" t="str">
        <f t="shared" si="35"/>
        <v>25.10.2014</v>
      </c>
      <c r="E463" s="1">
        <v>0.66666666666666663</v>
      </c>
      <c r="F463" t="s">
        <v>33</v>
      </c>
      <c r="G463" t="s">
        <v>15</v>
      </c>
      <c r="H463" t="s">
        <v>42</v>
      </c>
      <c r="I463" t="str">
        <f t="shared" si="36"/>
        <v>0-1</v>
      </c>
      <c r="J463" t="str">
        <f t="shared" si="37"/>
        <v>0</v>
      </c>
      <c r="K463" t="str">
        <f t="shared" si="38"/>
        <v>1</v>
      </c>
      <c r="L463" t="str">
        <f t="shared" si="39"/>
        <v>Athletic Club</v>
      </c>
      <c r="M463" t="str">
        <f>IF(COUNTIF($A$2:A463,A463)=1,
     VLOOKUP(A463,Season_Winners!A:B,2,FALSE),
     "")</f>
        <v/>
      </c>
    </row>
    <row r="464" spans="1:14" hidden="1" x14ac:dyDescent="0.3">
      <c r="A464" t="s">
        <v>179</v>
      </c>
      <c r="B464">
        <v>9</v>
      </c>
      <c r="C464" t="s">
        <v>230</v>
      </c>
      <c r="D464" t="str">
        <f t="shared" si="35"/>
        <v>25.10.2014</v>
      </c>
      <c r="E464" s="1">
        <v>0.75</v>
      </c>
      <c r="F464" t="s">
        <v>25</v>
      </c>
      <c r="G464" t="s">
        <v>20</v>
      </c>
      <c r="H464" s="2">
        <v>46025</v>
      </c>
      <c r="I464" s="3" t="str">
        <f t="shared" si="36"/>
        <v/>
      </c>
      <c r="J464" t="str">
        <f t="shared" si="37"/>
        <v/>
      </c>
      <c r="K464" t="str">
        <f t="shared" si="38"/>
        <v/>
      </c>
      <c r="L464" t="str">
        <f t="shared" si="39"/>
        <v/>
      </c>
      <c r="M464" t="str">
        <f>IF(COUNTIF($A$2:A464,A464)=1,
     VLOOKUP(A464,Season_Winners!A:B,2,FALSE),
     "")</f>
        <v/>
      </c>
      <c r="N464" s="2"/>
    </row>
    <row r="465" spans="1:14" hidden="1" x14ac:dyDescent="0.3">
      <c r="A465" t="s">
        <v>179</v>
      </c>
      <c r="B465">
        <v>9</v>
      </c>
      <c r="C465" t="s">
        <v>230</v>
      </c>
      <c r="D465" t="str">
        <f t="shared" si="35"/>
        <v>25.10.2014</v>
      </c>
      <c r="E465" s="1">
        <v>0.83333333333333337</v>
      </c>
      <c r="F465" t="s">
        <v>16</v>
      </c>
      <c r="G465" t="s">
        <v>31</v>
      </c>
      <c r="H465" s="2">
        <v>46025</v>
      </c>
      <c r="I465" s="3" t="str">
        <f t="shared" si="36"/>
        <v/>
      </c>
      <c r="J465" t="str">
        <f t="shared" si="37"/>
        <v/>
      </c>
      <c r="K465" t="str">
        <f t="shared" si="38"/>
        <v/>
      </c>
      <c r="L465" t="str">
        <f t="shared" si="39"/>
        <v/>
      </c>
      <c r="M465" t="str">
        <f>IF(COUNTIF($A$2:A465,A465)=1,
     VLOOKUP(A465,Season_Winners!A:B,2,FALSE),
     "")</f>
        <v/>
      </c>
      <c r="N465" s="2"/>
    </row>
    <row r="466" spans="1:14" hidden="1" x14ac:dyDescent="0.3">
      <c r="A466" t="s">
        <v>179</v>
      </c>
      <c r="B466">
        <v>9</v>
      </c>
      <c r="C466" t="s">
        <v>230</v>
      </c>
      <c r="D466" t="str">
        <f t="shared" si="35"/>
        <v>25.10.2014</v>
      </c>
      <c r="E466" s="1">
        <v>0.91666666666666663</v>
      </c>
      <c r="F466" t="s">
        <v>193</v>
      </c>
      <c r="G466" t="s">
        <v>10</v>
      </c>
      <c r="H466" s="2">
        <v>46023</v>
      </c>
      <c r="I466" s="3" t="str">
        <f t="shared" si="36"/>
        <v/>
      </c>
      <c r="J466" t="str">
        <f t="shared" si="37"/>
        <v/>
      </c>
      <c r="K466" t="str">
        <f t="shared" si="38"/>
        <v/>
      </c>
      <c r="L466" t="str">
        <f t="shared" si="39"/>
        <v/>
      </c>
      <c r="M466" t="str">
        <f>IF(COUNTIF($A$2:A466,A466)=1,
     VLOOKUP(A466,Season_Winners!A:B,2,FALSE),
     "")</f>
        <v/>
      </c>
      <c r="N466" s="2"/>
    </row>
    <row r="467" spans="1:14" hidden="1" x14ac:dyDescent="0.3">
      <c r="A467" t="s">
        <v>179</v>
      </c>
      <c r="B467">
        <v>9</v>
      </c>
      <c r="C467" t="s">
        <v>230</v>
      </c>
      <c r="D467" t="str">
        <f t="shared" si="35"/>
        <v>25.10.2014</v>
      </c>
      <c r="E467" s="1">
        <v>0.91666666666666663</v>
      </c>
      <c r="F467" t="s">
        <v>187</v>
      </c>
      <c r="G467" t="s">
        <v>24</v>
      </c>
      <c r="H467" s="2">
        <v>46023</v>
      </c>
      <c r="I467" s="3" t="str">
        <f t="shared" si="36"/>
        <v/>
      </c>
      <c r="J467" t="str">
        <f t="shared" si="37"/>
        <v/>
      </c>
      <c r="K467" t="str">
        <f t="shared" si="38"/>
        <v/>
      </c>
      <c r="L467" t="str">
        <f t="shared" si="39"/>
        <v/>
      </c>
      <c r="M467" t="str">
        <f>IF(COUNTIF($A$2:A467,A467)=1,
     VLOOKUP(A467,Season_Winners!A:B,2,FALSE),
     "")</f>
        <v/>
      </c>
      <c r="N467" s="2"/>
    </row>
    <row r="468" spans="1:14" x14ac:dyDescent="0.3">
      <c r="A468" t="s">
        <v>179</v>
      </c>
      <c r="B468">
        <v>9</v>
      </c>
      <c r="C468" t="s">
        <v>231</v>
      </c>
      <c r="D468" t="str">
        <f t="shared" si="35"/>
        <v>26.10.2014</v>
      </c>
      <c r="E468" s="1">
        <v>0.5</v>
      </c>
      <c r="F468" t="s">
        <v>17</v>
      </c>
      <c r="G468" t="s">
        <v>30</v>
      </c>
      <c r="H468" t="s">
        <v>88</v>
      </c>
      <c r="I468" t="str">
        <f t="shared" si="36"/>
        <v>4-0</v>
      </c>
      <c r="J468" t="str">
        <f t="shared" si="37"/>
        <v>4</v>
      </c>
      <c r="K468" t="str">
        <f t="shared" si="38"/>
        <v>0</v>
      </c>
      <c r="L468" t="str">
        <f t="shared" si="39"/>
        <v>MÃ¡laga CF</v>
      </c>
      <c r="M468" t="str">
        <f>IF(COUNTIF($A$2:A468,A468)=1,
     VLOOKUP(A468,Season_Winners!A:B,2,FALSE),
     "")</f>
        <v/>
      </c>
    </row>
    <row r="469" spans="1:14" x14ac:dyDescent="0.3">
      <c r="A469" t="s">
        <v>179</v>
      </c>
      <c r="B469">
        <v>9</v>
      </c>
      <c r="C469" t="s">
        <v>231</v>
      </c>
      <c r="D469" t="str">
        <f t="shared" si="35"/>
        <v>26.10.2014</v>
      </c>
      <c r="E469" s="1">
        <v>0.70833333333333337</v>
      </c>
      <c r="F469" t="s">
        <v>36</v>
      </c>
      <c r="G469" t="s">
        <v>182</v>
      </c>
      <c r="H469" t="s">
        <v>41</v>
      </c>
      <c r="I469" t="str">
        <f t="shared" si="36"/>
        <v>0-0</v>
      </c>
      <c r="J469" t="str">
        <f t="shared" si="37"/>
        <v>0</v>
      </c>
      <c r="K469" t="str">
        <f t="shared" si="38"/>
        <v>0</v>
      </c>
      <c r="L469" t="str">
        <f t="shared" si="39"/>
        <v>Draw</v>
      </c>
      <c r="M469" t="str">
        <f>IF(COUNTIF($A$2:A469,A469)=1,
     VLOOKUP(A469,Season_Winners!A:B,2,FALSE),
     "")</f>
        <v/>
      </c>
    </row>
    <row r="470" spans="1:14" hidden="1" x14ac:dyDescent="0.3">
      <c r="A470" t="s">
        <v>179</v>
      </c>
      <c r="B470">
        <v>9</v>
      </c>
      <c r="C470" t="s">
        <v>231</v>
      </c>
      <c r="D470" t="str">
        <f t="shared" si="35"/>
        <v>26.10.2014</v>
      </c>
      <c r="E470" s="1">
        <v>0.79166666666666663</v>
      </c>
      <c r="F470" t="s">
        <v>27</v>
      </c>
      <c r="G470" t="s">
        <v>34</v>
      </c>
      <c r="H470" s="2">
        <v>46024</v>
      </c>
      <c r="I470" s="3" t="str">
        <f t="shared" si="36"/>
        <v/>
      </c>
      <c r="J470" t="str">
        <f t="shared" si="37"/>
        <v/>
      </c>
      <c r="K470" t="str">
        <f t="shared" si="38"/>
        <v/>
      </c>
      <c r="L470" t="str">
        <f t="shared" si="39"/>
        <v/>
      </c>
      <c r="M470" t="str">
        <f>IF(COUNTIF($A$2:A470,A470)=1,
     VLOOKUP(A470,Season_Winners!A:B,2,FALSE),
     "")</f>
        <v/>
      </c>
      <c r="N470" s="2"/>
    </row>
    <row r="471" spans="1:14" x14ac:dyDescent="0.3">
      <c r="A471" t="s">
        <v>179</v>
      </c>
      <c r="B471">
        <v>9</v>
      </c>
      <c r="C471" t="s">
        <v>231</v>
      </c>
      <c r="D471" t="str">
        <f t="shared" si="35"/>
        <v>26.10.2014</v>
      </c>
      <c r="E471" s="1">
        <v>0.875</v>
      </c>
      <c r="F471" t="s">
        <v>11</v>
      </c>
      <c r="G471" t="s">
        <v>1425</v>
      </c>
      <c r="H471" t="s">
        <v>42</v>
      </c>
      <c r="I471" t="str">
        <f t="shared" si="36"/>
        <v>0-1</v>
      </c>
      <c r="J471" t="str">
        <f t="shared" si="37"/>
        <v>0</v>
      </c>
      <c r="K471" t="str">
        <f t="shared" si="38"/>
        <v>1</v>
      </c>
      <c r="L471" t="str">
        <f t="shared" si="39"/>
        <v>Atlético de Madrid</v>
      </c>
      <c r="M471" t="str">
        <f>IF(COUNTIF($A$2:A471,A471)=1,
     VLOOKUP(A471,Season_Winners!A:B,2,FALSE),
     "")</f>
        <v/>
      </c>
    </row>
    <row r="472" spans="1:14" hidden="1" x14ac:dyDescent="0.3">
      <c r="A472" t="s">
        <v>179</v>
      </c>
      <c r="B472">
        <v>10</v>
      </c>
      <c r="C472" t="s">
        <v>232</v>
      </c>
      <c r="D472" t="str">
        <f t="shared" si="35"/>
        <v>31.10.2014</v>
      </c>
      <c r="E472" s="1">
        <v>0.86458333333333337</v>
      </c>
      <c r="F472" t="s">
        <v>182</v>
      </c>
      <c r="G472" t="s">
        <v>11</v>
      </c>
      <c r="H472" s="2">
        <v>46054</v>
      </c>
      <c r="I472" s="3" t="str">
        <f t="shared" si="36"/>
        <v/>
      </c>
      <c r="J472" t="str">
        <f t="shared" si="37"/>
        <v/>
      </c>
      <c r="K472" t="str">
        <f t="shared" si="38"/>
        <v/>
      </c>
      <c r="L472" t="str">
        <f t="shared" si="39"/>
        <v/>
      </c>
      <c r="M472" t="str">
        <f>IF(COUNTIF($A$2:A472,A472)=1,
     VLOOKUP(A472,Season_Winners!A:B,2,FALSE),
     "")</f>
        <v/>
      </c>
      <c r="N472" s="2"/>
    </row>
    <row r="473" spans="1:14" x14ac:dyDescent="0.3">
      <c r="A473" t="s">
        <v>179</v>
      </c>
      <c r="B473">
        <v>10</v>
      </c>
      <c r="C473" t="s">
        <v>233</v>
      </c>
      <c r="D473" t="str">
        <f t="shared" si="35"/>
        <v>01.11.2014</v>
      </c>
      <c r="E473" s="1">
        <v>0.66666666666666663</v>
      </c>
      <c r="F473" t="s">
        <v>24</v>
      </c>
      <c r="G473" t="s">
        <v>25</v>
      </c>
      <c r="H473" t="s">
        <v>53</v>
      </c>
      <c r="I473" t="str">
        <f t="shared" si="36"/>
        <v>0-4</v>
      </c>
      <c r="J473" t="str">
        <f t="shared" si="37"/>
        <v>0</v>
      </c>
      <c r="K473" t="str">
        <f t="shared" si="38"/>
        <v>4</v>
      </c>
      <c r="L473" t="str">
        <f t="shared" si="39"/>
        <v>Real Madrid</v>
      </c>
      <c r="M473" t="str">
        <f>IF(COUNTIF($A$2:A473,A473)=1,
     VLOOKUP(A473,Season_Winners!A:B,2,FALSE),
     "")</f>
        <v/>
      </c>
    </row>
    <row r="474" spans="1:14" hidden="1" x14ac:dyDescent="0.3">
      <c r="A474" t="s">
        <v>179</v>
      </c>
      <c r="B474">
        <v>10</v>
      </c>
      <c r="C474" t="s">
        <v>233</v>
      </c>
      <c r="D474" t="str">
        <f t="shared" si="35"/>
        <v>01.11.2014</v>
      </c>
      <c r="E474" s="1">
        <v>0.75</v>
      </c>
      <c r="F474" t="s">
        <v>28</v>
      </c>
      <c r="G474" t="s">
        <v>193</v>
      </c>
      <c r="H474" s="2">
        <v>46057</v>
      </c>
      <c r="I474" s="3" t="str">
        <f t="shared" si="36"/>
        <v/>
      </c>
      <c r="J474" t="str">
        <f t="shared" si="37"/>
        <v/>
      </c>
      <c r="K474" t="str">
        <f t="shared" si="38"/>
        <v/>
      </c>
      <c r="L474" t="str">
        <f t="shared" si="39"/>
        <v/>
      </c>
      <c r="M474" t="str">
        <f>IF(COUNTIF($A$2:A474,A474)=1,
     VLOOKUP(A474,Season_Winners!A:B,2,FALSE),
     "")</f>
        <v/>
      </c>
      <c r="N474" s="2"/>
    </row>
    <row r="475" spans="1:14" x14ac:dyDescent="0.3">
      <c r="A475" t="s">
        <v>179</v>
      </c>
      <c r="B475">
        <v>10</v>
      </c>
      <c r="C475" t="s">
        <v>233</v>
      </c>
      <c r="D475" t="str">
        <f t="shared" si="35"/>
        <v>01.11.2014</v>
      </c>
      <c r="E475" s="1">
        <v>0.83333333333333337</v>
      </c>
      <c r="F475" t="s">
        <v>20</v>
      </c>
      <c r="G475" t="s">
        <v>35</v>
      </c>
      <c r="H475" t="s">
        <v>42</v>
      </c>
      <c r="I475" t="str">
        <f t="shared" si="36"/>
        <v>0-1</v>
      </c>
      <c r="J475" t="str">
        <f t="shared" si="37"/>
        <v>0</v>
      </c>
      <c r="K475" t="str">
        <f t="shared" si="38"/>
        <v>1</v>
      </c>
      <c r="L475" t="str">
        <f t="shared" si="39"/>
        <v>RC Celta</v>
      </c>
      <c r="M475" t="str">
        <f>IF(COUNTIF($A$2:A475,A475)=1,
     VLOOKUP(A475,Season_Winners!A:B,2,FALSE),
     "")</f>
        <v/>
      </c>
    </row>
    <row r="476" spans="1:14" x14ac:dyDescent="0.3">
      <c r="A476" t="s">
        <v>179</v>
      </c>
      <c r="B476">
        <v>10</v>
      </c>
      <c r="C476" t="s">
        <v>233</v>
      </c>
      <c r="D476" t="str">
        <f t="shared" si="35"/>
        <v>01.11.2014</v>
      </c>
      <c r="E476" s="1">
        <v>0.91666666666666663</v>
      </c>
      <c r="F476" t="s">
        <v>10</v>
      </c>
      <c r="G476" t="s">
        <v>17</v>
      </c>
      <c r="H476" t="s">
        <v>42</v>
      </c>
      <c r="I476" t="str">
        <f t="shared" si="36"/>
        <v>0-1</v>
      </c>
      <c r="J476" t="str">
        <f t="shared" si="37"/>
        <v>0</v>
      </c>
      <c r="K476" t="str">
        <f t="shared" si="38"/>
        <v>1</v>
      </c>
      <c r="L476" t="str">
        <f t="shared" si="39"/>
        <v>MÃ¡laga CF</v>
      </c>
      <c r="M476" t="str">
        <f>IF(COUNTIF($A$2:A476,A476)=1,
     VLOOKUP(A476,Season_Winners!A:B,2,FALSE),
     "")</f>
        <v/>
      </c>
    </row>
    <row r="477" spans="1:14" x14ac:dyDescent="0.3">
      <c r="A477" t="s">
        <v>179</v>
      </c>
      <c r="B477">
        <v>10</v>
      </c>
      <c r="C477" t="s">
        <v>234</v>
      </c>
      <c r="D477" t="str">
        <f t="shared" si="35"/>
        <v>02.11.2014</v>
      </c>
      <c r="E477" s="1">
        <v>0.5</v>
      </c>
      <c r="F477" t="s">
        <v>15</v>
      </c>
      <c r="G477" t="s">
        <v>27</v>
      </c>
      <c r="H477" t="s">
        <v>18</v>
      </c>
      <c r="I477" t="str">
        <f t="shared" si="36"/>
        <v>1-0</v>
      </c>
      <c r="J477" t="str">
        <f t="shared" si="37"/>
        <v>1</v>
      </c>
      <c r="K477" t="str">
        <f t="shared" si="38"/>
        <v>0</v>
      </c>
      <c r="L477" t="str">
        <f t="shared" si="39"/>
        <v>Athletic Club</v>
      </c>
      <c r="M477" t="str">
        <f>IF(COUNTIF($A$2:A477,A477)=1,
     VLOOKUP(A477,Season_Winners!A:B,2,FALSE),
     "")</f>
        <v/>
      </c>
    </row>
    <row r="478" spans="1:14" hidden="1" x14ac:dyDescent="0.3">
      <c r="A478" t="s">
        <v>179</v>
      </c>
      <c r="B478">
        <v>10</v>
      </c>
      <c r="C478" t="s">
        <v>234</v>
      </c>
      <c r="D478" t="str">
        <f t="shared" si="35"/>
        <v>02.11.2014</v>
      </c>
      <c r="E478" s="1">
        <v>0.70833333333333337</v>
      </c>
      <c r="F478" t="s">
        <v>34</v>
      </c>
      <c r="G478" t="s">
        <v>16</v>
      </c>
      <c r="H478" s="2">
        <v>46082</v>
      </c>
      <c r="I478" s="3" t="str">
        <f t="shared" si="36"/>
        <v/>
      </c>
      <c r="J478" t="str">
        <f t="shared" si="37"/>
        <v/>
      </c>
      <c r="K478" t="str">
        <f t="shared" si="38"/>
        <v/>
      </c>
      <c r="L478" t="str">
        <f t="shared" si="39"/>
        <v/>
      </c>
      <c r="M478" t="str">
        <f>IF(COUNTIF($A$2:A478,A478)=1,
     VLOOKUP(A478,Season_Winners!A:B,2,FALSE),
     "")</f>
        <v/>
      </c>
      <c r="N478" s="2"/>
    </row>
    <row r="479" spans="1:14" hidden="1" x14ac:dyDescent="0.3">
      <c r="A479" t="s">
        <v>179</v>
      </c>
      <c r="B479">
        <v>10</v>
      </c>
      <c r="C479" t="s">
        <v>234</v>
      </c>
      <c r="D479" t="str">
        <f t="shared" si="35"/>
        <v>02.11.2014</v>
      </c>
      <c r="E479" s="1">
        <v>0.79166666666666663</v>
      </c>
      <c r="F479" t="s">
        <v>21</v>
      </c>
      <c r="G479" t="s">
        <v>33</v>
      </c>
      <c r="H479" s="2">
        <v>46024</v>
      </c>
      <c r="I479" s="3" t="str">
        <f t="shared" si="36"/>
        <v/>
      </c>
      <c r="J479" t="str">
        <f t="shared" si="37"/>
        <v/>
      </c>
      <c r="K479" t="str">
        <f t="shared" si="38"/>
        <v/>
      </c>
      <c r="L479" t="str">
        <f t="shared" si="39"/>
        <v/>
      </c>
      <c r="M479" t="str">
        <f>IF(COUNTIF($A$2:A479,A479)=1,
     VLOOKUP(A479,Season_Winners!A:B,2,FALSE),
     "")</f>
        <v/>
      </c>
      <c r="N479" s="2"/>
    </row>
    <row r="480" spans="1:14" hidden="1" x14ac:dyDescent="0.3">
      <c r="A480" t="s">
        <v>179</v>
      </c>
      <c r="B480">
        <v>10</v>
      </c>
      <c r="C480" t="s">
        <v>234</v>
      </c>
      <c r="D480" t="str">
        <f t="shared" si="35"/>
        <v>02.11.2014</v>
      </c>
      <c r="E480" s="1">
        <v>0.875</v>
      </c>
      <c r="F480" t="s">
        <v>31</v>
      </c>
      <c r="G480" t="s">
        <v>36</v>
      </c>
      <c r="H480" s="2">
        <v>46024</v>
      </c>
      <c r="I480" s="3" t="str">
        <f t="shared" si="36"/>
        <v/>
      </c>
      <c r="J480" t="str">
        <f t="shared" si="37"/>
        <v/>
      </c>
      <c r="K480" t="str">
        <f t="shared" si="38"/>
        <v/>
      </c>
      <c r="L480" t="str">
        <f t="shared" si="39"/>
        <v/>
      </c>
      <c r="M480" t="str">
        <f>IF(COUNTIF($A$2:A480,A480)=1,
     VLOOKUP(A480,Season_Winners!A:B,2,FALSE),
     "")</f>
        <v/>
      </c>
      <c r="N480" s="2"/>
    </row>
    <row r="481" spans="1:14" hidden="1" x14ac:dyDescent="0.3">
      <c r="A481" t="s">
        <v>179</v>
      </c>
      <c r="B481">
        <v>10</v>
      </c>
      <c r="C481" t="s">
        <v>235</v>
      </c>
      <c r="D481" t="str">
        <f t="shared" si="35"/>
        <v>03.11.2014</v>
      </c>
      <c r="E481" s="1">
        <v>0.86458333333333337</v>
      </c>
      <c r="F481" t="s">
        <v>30</v>
      </c>
      <c r="G481" t="s">
        <v>187</v>
      </c>
      <c r="H481" s="2">
        <v>46083</v>
      </c>
      <c r="I481" s="3" t="str">
        <f t="shared" si="36"/>
        <v/>
      </c>
      <c r="J481" t="str">
        <f t="shared" si="37"/>
        <v/>
      </c>
      <c r="K481" t="str">
        <f t="shared" si="38"/>
        <v/>
      </c>
      <c r="L481" t="str">
        <f t="shared" si="39"/>
        <v/>
      </c>
      <c r="M481" t="str">
        <f>IF(COUNTIF($A$2:A481,A481)=1,
     VLOOKUP(A481,Season_Winners!A:B,2,FALSE),
     "")</f>
        <v/>
      </c>
      <c r="N481" s="2"/>
    </row>
    <row r="482" spans="1:14" x14ac:dyDescent="0.3">
      <c r="A482" t="s">
        <v>179</v>
      </c>
      <c r="B482">
        <v>11</v>
      </c>
      <c r="C482" t="s">
        <v>236</v>
      </c>
      <c r="D482" t="str">
        <f t="shared" si="35"/>
        <v>07.11.2014</v>
      </c>
      <c r="E482" s="1">
        <v>0.86458333333333337</v>
      </c>
      <c r="F482" t="s">
        <v>193</v>
      </c>
      <c r="G482" t="s">
        <v>182</v>
      </c>
      <c r="H482" t="s">
        <v>41</v>
      </c>
      <c r="I482" t="str">
        <f t="shared" si="36"/>
        <v>0-0</v>
      </c>
      <c r="J482" t="str">
        <f t="shared" si="37"/>
        <v>0</v>
      </c>
      <c r="K482" t="str">
        <f t="shared" si="38"/>
        <v>0</v>
      </c>
      <c r="L482" t="str">
        <f t="shared" si="39"/>
        <v>Draw</v>
      </c>
      <c r="M482" t="str">
        <f>IF(COUNTIF($A$2:A482,A482)=1,
     VLOOKUP(A482,Season_Winners!A:B,2,FALSE),
     "")</f>
        <v/>
      </c>
    </row>
    <row r="483" spans="1:14" hidden="1" x14ac:dyDescent="0.3">
      <c r="A483" t="s">
        <v>179</v>
      </c>
      <c r="B483">
        <v>11</v>
      </c>
      <c r="C483" t="s">
        <v>237</v>
      </c>
      <c r="D483" t="str">
        <f t="shared" si="35"/>
        <v>08.11.2014</v>
      </c>
      <c r="E483" s="1">
        <v>0.66666666666666663</v>
      </c>
      <c r="F483" t="s">
        <v>33</v>
      </c>
      <c r="G483" t="s">
        <v>20</v>
      </c>
      <c r="H483" s="2">
        <v>46054</v>
      </c>
      <c r="I483" s="3" t="str">
        <f t="shared" si="36"/>
        <v/>
      </c>
      <c r="J483" t="str">
        <f t="shared" si="37"/>
        <v/>
      </c>
      <c r="K483" t="str">
        <f t="shared" si="38"/>
        <v/>
      </c>
      <c r="L483" t="str">
        <f t="shared" si="39"/>
        <v/>
      </c>
      <c r="M483" t="str">
        <f>IF(COUNTIF($A$2:A483,A483)=1,
     VLOOKUP(A483,Season_Winners!A:B,2,FALSE),
     "")</f>
        <v/>
      </c>
      <c r="N483" s="2"/>
    </row>
    <row r="484" spans="1:14" x14ac:dyDescent="0.3">
      <c r="A484" t="s">
        <v>179</v>
      </c>
      <c r="B484">
        <v>11</v>
      </c>
      <c r="C484" t="s">
        <v>237</v>
      </c>
      <c r="D484" t="str">
        <f t="shared" si="35"/>
        <v>08.11.2014</v>
      </c>
      <c r="E484" s="1">
        <v>0.75</v>
      </c>
      <c r="F484" t="s">
        <v>11</v>
      </c>
      <c r="G484" t="s">
        <v>31</v>
      </c>
      <c r="H484" t="s">
        <v>41</v>
      </c>
      <c r="I484" t="str">
        <f t="shared" si="36"/>
        <v>0-0</v>
      </c>
      <c r="J484" t="str">
        <f t="shared" si="37"/>
        <v>0</v>
      </c>
      <c r="K484" t="str">
        <f t="shared" si="38"/>
        <v>0</v>
      </c>
      <c r="L484" t="str">
        <f t="shared" si="39"/>
        <v>Draw</v>
      </c>
      <c r="M484" t="str">
        <f>IF(COUNTIF($A$2:A484,A484)=1,
     VLOOKUP(A484,Season_Winners!A:B,2,FALSE),
     "")</f>
        <v/>
      </c>
    </row>
    <row r="485" spans="1:14" hidden="1" x14ac:dyDescent="0.3">
      <c r="A485" t="s">
        <v>179</v>
      </c>
      <c r="B485">
        <v>11</v>
      </c>
      <c r="C485" t="s">
        <v>237</v>
      </c>
      <c r="D485" t="str">
        <f t="shared" si="35"/>
        <v>08.11.2014</v>
      </c>
      <c r="E485" s="1">
        <v>0.83333333333333337</v>
      </c>
      <c r="F485" t="s">
        <v>25</v>
      </c>
      <c r="G485" t="s">
        <v>30</v>
      </c>
      <c r="H485" s="2">
        <v>46027</v>
      </c>
      <c r="I485" s="3" t="str">
        <f t="shared" si="36"/>
        <v/>
      </c>
      <c r="J485" t="str">
        <f t="shared" si="37"/>
        <v/>
      </c>
      <c r="K485" t="str">
        <f t="shared" si="38"/>
        <v/>
      </c>
      <c r="L485" t="str">
        <f t="shared" si="39"/>
        <v/>
      </c>
      <c r="M485" t="str">
        <f>IF(COUNTIF($A$2:A485,A485)=1,
     VLOOKUP(A485,Season_Winners!A:B,2,FALSE),
     "")</f>
        <v/>
      </c>
      <c r="N485" s="2"/>
    </row>
    <row r="486" spans="1:14" x14ac:dyDescent="0.3">
      <c r="A486" t="s">
        <v>179</v>
      </c>
      <c r="B486">
        <v>11</v>
      </c>
      <c r="C486" t="s">
        <v>237</v>
      </c>
      <c r="D486" t="str">
        <f t="shared" si="35"/>
        <v>08.11.2014</v>
      </c>
      <c r="E486" s="1">
        <v>0.91666666666666663</v>
      </c>
      <c r="F486" t="s">
        <v>35</v>
      </c>
      <c r="G486" t="s">
        <v>24</v>
      </c>
      <c r="H486" t="s">
        <v>41</v>
      </c>
      <c r="I486" t="str">
        <f t="shared" si="36"/>
        <v>0-0</v>
      </c>
      <c r="J486" t="str">
        <f t="shared" si="37"/>
        <v>0</v>
      </c>
      <c r="K486" t="str">
        <f t="shared" si="38"/>
        <v>0</v>
      </c>
      <c r="L486" t="str">
        <f t="shared" si="39"/>
        <v>Draw</v>
      </c>
      <c r="M486" t="str">
        <f>IF(COUNTIF($A$2:A486,A486)=1,
     VLOOKUP(A486,Season_Winners!A:B,2,FALSE),
     "")</f>
        <v/>
      </c>
    </row>
    <row r="487" spans="1:14" hidden="1" x14ac:dyDescent="0.3">
      <c r="A487" t="s">
        <v>179</v>
      </c>
      <c r="B487">
        <v>11</v>
      </c>
      <c r="C487" t="s">
        <v>237</v>
      </c>
      <c r="D487" t="str">
        <f t="shared" si="35"/>
        <v>08.11.2014</v>
      </c>
      <c r="E487" s="1">
        <v>0.91666666666666663</v>
      </c>
      <c r="F487" t="s">
        <v>17</v>
      </c>
      <c r="G487" t="s">
        <v>187</v>
      </c>
      <c r="H487" s="2">
        <v>46024</v>
      </c>
      <c r="I487" s="3" t="str">
        <f t="shared" si="36"/>
        <v/>
      </c>
      <c r="J487" t="str">
        <f t="shared" si="37"/>
        <v/>
      </c>
      <c r="K487" t="str">
        <f t="shared" si="38"/>
        <v/>
      </c>
      <c r="L487" t="str">
        <f t="shared" si="39"/>
        <v/>
      </c>
      <c r="M487" t="str">
        <f>IF(COUNTIF($A$2:A487,A487)=1,
     VLOOKUP(A487,Season_Winners!A:B,2,FALSE),
     "")</f>
        <v/>
      </c>
      <c r="N487" s="2"/>
    </row>
    <row r="488" spans="1:14" hidden="1" x14ac:dyDescent="0.3">
      <c r="A488" t="s">
        <v>179</v>
      </c>
      <c r="B488">
        <v>11</v>
      </c>
      <c r="C488" t="s">
        <v>238</v>
      </c>
      <c r="D488" t="str">
        <f t="shared" si="35"/>
        <v>09.11.2014</v>
      </c>
      <c r="E488" s="1">
        <v>0.5</v>
      </c>
      <c r="F488" t="s">
        <v>27</v>
      </c>
      <c r="G488" t="s">
        <v>21</v>
      </c>
      <c r="H488" s="2">
        <v>46023</v>
      </c>
      <c r="I488" s="3" t="str">
        <f t="shared" si="36"/>
        <v/>
      </c>
      <c r="J488" t="str">
        <f t="shared" si="37"/>
        <v/>
      </c>
      <c r="K488" t="str">
        <f t="shared" si="38"/>
        <v/>
      </c>
      <c r="L488" t="str">
        <f t="shared" si="39"/>
        <v/>
      </c>
      <c r="M488" t="str">
        <f>IF(COUNTIF($A$2:A488,A488)=1,
     VLOOKUP(A488,Season_Winners!A:B,2,FALSE),
     "")</f>
        <v/>
      </c>
      <c r="N488" s="2"/>
    </row>
    <row r="489" spans="1:14" hidden="1" x14ac:dyDescent="0.3">
      <c r="A489" t="s">
        <v>179</v>
      </c>
      <c r="B489">
        <v>11</v>
      </c>
      <c r="C489" t="s">
        <v>238</v>
      </c>
      <c r="D489" t="str">
        <f t="shared" si="35"/>
        <v>09.11.2014</v>
      </c>
      <c r="E489" s="1">
        <v>0.70833333333333337</v>
      </c>
      <c r="F489" t="s">
        <v>36</v>
      </c>
      <c r="G489" t="s">
        <v>34</v>
      </c>
      <c r="H489" s="2">
        <v>46023</v>
      </c>
      <c r="I489" s="3" t="str">
        <f t="shared" si="36"/>
        <v/>
      </c>
      <c r="J489" t="str">
        <f t="shared" si="37"/>
        <v/>
      </c>
      <c r="K489" t="str">
        <f t="shared" si="38"/>
        <v/>
      </c>
      <c r="L489" t="str">
        <f t="shared" si="39"/>
        <v/>
      </c>
      <c r="M489" t="str">
        <f>IF(COUNTIF($A$2:A489,A489)=1,
     VLOOKUP(A489,Season_Winners!A:B,2,FALSE),
     "")</f>
        <v/>
      </c>
      <c r="N489" s="2"/>
    </row>
    <row r="490" spans="1:14" x14ac:dyDescent="0.3">
      <c r="A490" t="s">
        <v>179</v>
      </c>
      <c r="B490">
        <v>11</v>
      </c>
      <c r="C490" t="s">
        <v>238</v>
      </c>
      <c r="D490" t="str">
        <f t="shared" si="35"/>
        <v>09.11.2014</v>
      </c>
      <c r="E490" s="1">
        <v>0.79166666666666663</v>
      </c>
      <c r="F490" t="s">
        <v>16</v>
      </c>
      <c r="G490" t="s">
        <v>15</v>
      </c>
      <c r="H490" t="s">
        <v>41</v>
      </c>
      <c r="I490" t="str">
        <f t="shared" si="36"/>
        <v>0-0</v>
      </c>
      <c r="J490" t="str">
        <f t="shared" si="37"/>
        <v>0</v>
      </c>
      <c r="K490" t="str">
        <f t="shared" si="38"/>
        <v>0</v>
      </c>
      <c r="L490" t="str">
        <f t="shared" si="39"/>
        <v>Draw</v>
      </c>
      <c r="M490" t="str">
        <f>IF(COUNTIF($A$2:A490,A490)=1,
     VLOOKUP(A490,Season_Winners!A:B,2,FALSE),
     "")</f>
        <v/>
      </c>
    </row>
    <row r="491" spans="1:14" hidden="1" x14ac:dyDescent="0.3">
      <c r="A491" t="s">
        <v>179</v>
      </c>
      <c r="B491">
        <v>11</v>
      </c>
      <c r="C491" t="s">
        <v>238</v>
      </c>
      <c r="D491" t="str">
        <f t="shared" si="35"/>
        <v>09.11.2014</v>
      </c>
      <c r="E491" s="1">
        <v>0.875</v>
      </c>
      <c r="F491" t="s">
        <v>10</v>
      </c>
      <c r="G491" t="s">
        <v>28</v>
      </c>
      <c r="H491" s="2">
        <v>46024</v>
      </c>
      <c r="I491" s="3" t="str">
        <f t="shared" si="36"/>
        <v/>
      </c>
      <c r="J491" t="str">
        <f t="shared" si="37"/>
        <v/>
      </c>
      <c r="K491" t="str">
        <f t="shared" si="38"/>
        <v/>
      </c>
      <c r="L491" t="str">
        <f t="shared" si="39"/>
        <v/>
      </c>
      <c r="M491" t="str">
        <f>IF(COUNTIF($A$2:A491,A491)=1,
     VLOOKUP(A491,Season_Winners!A:B,2,FALSE),
     "")</f>
        <v/>
      </c>
      <c r="N491" s="2"/>
    </row>
    <row r="492" spans="1:14" hidden="1" x14ac:dyDescent="0.3">
      <c r="A492" t="s">
        <v>179</v>
      </c>
      <c r="B492">
        <v>12</v>
      </c>
      <c r="C492" t="s">
        <v>239</v>
      </c>
      <c r="D492" t="str">
        <f t="shared" si="35"/>
        <v>21.11.2014</v>
      </c>
      <c r="E492" s="1">
        <v>0.86458333333333337</v>
      </c>
      <c r="F492" t="s">
        <v>15</v>
      </c>
      <c r="G492" t="s">
        <v>36</v>
      </c>
      <c r="H492" s="2">
        <v>46025</v>
      </c>
      <c r="I492" s="3" t="str">
        <f t="shared" si="36"/>
        <v/>
      </c>
      <c r="J492" t="str">
        <f t="shared" si="37"/>
        <v/>
      </c>
      <c r="K492" t="str">
        <f t="shared" si="38"/>
        <v/>
      </c>
      <c r="L492" t="str">
        <f t="shared" si="39"/>
        <v/>
      </c>
      <c r="M492" t="str">
        <f>IF(COUNTIF($A$2:A492,A492)=1,
     VLOOKUP(A492,Season_Winners!A:B,2,FALSE),
     "")</f>
        <v/>
      </c>
      <c r="N492" s="2"/>
    </row>
    <row r="493" spans="1:14" hidden="1" x14ac:dyDescent="0.3">
      <c r="A493" t="s">
        <v>179</v>
      </c>
      <c r="B493">
        <v>12</v>
      </c>
      <c r="C493" t="s">
        <v>240</v>
      </c>
      <c r="D493" t="str">
        <f t="shared" si="35"/>
        <v>22.11.2014</v>
      </c>
      <c r="E493" s="1">
        <v>0.66666666666666663</v>
      </c>
      <c r="F493" t="s">
        <v>28</v>
      </c>
      <c r="G493" t="s">
        <v>17</v>
      </c>
      <c r="H493" s="2">
        <v>46025</v>
      </c>
      <c r="I493" s="3" t="str">
        <f t="shared" si="36"/>
        <v/>
      </c>
      <c r="J493" t="str">
        <f t="shared" si="37"/>
        <v/>
      </c>
      <c r="K493" t="str">
        <f t="shared" si="38"/>
        <v/>
      </c>
      <c r="L493" t="str">
        <f t="shared" si="39"/>
        <v/>
      </c>
      <c r="M493" t="str">
        <f>IF(COUNTIF($A$2:A493,A493)=1,
     VLOOKUP(A493,Season_Winners!A:B,2,FALSE),
     "")</f>
        <v/>
      </c>
      <c r="N493" s="2"/>
    </row>
    <row r="494" spans="1:14" x14ac:dyDescent="0.3">
      <c r="A494" t="s">
        <v>179</v>
      </c>
      <c r="B494">
        <v>12</v>
      </c>
      <c r="C494" t="s">
        <v>240</v>
      </c>
      <c r="D494" t="str">
        <f t="shared" si="35"/>
        <v>22.11.2014</v>
      </c>
      <c r="E494" s="1">
        <v>0.75</v>
      </c>
      <c r="F494" t="s">
        <v>187</v>
      </c>
      <c r="G494" t="s">
        <v>25</v>
      </c>
      <c r="H494" t="s">
        <v>53</v>
      </c>
      <c r="I494" t="str">
        <f t="shared" si="36"/>
        <v>0-4</v>
      </c>
      <c r="J494" t="str">
        <f t="shared" si="37"/>
        <v>0</v>
      </c>
      <c r="K494" t="str">
        <f t="shared" si="38"/>
        <v>4</v>
      </c>
      <c r="L494" t="str">
        <f t="shared" si="39"/>
        <v>Real Madrid</v>
      </c>
      <c r="M494" t="str">
        <f>IF(COUNTIF($A$2:A494,A494)=1,
     VLOOKUP(A494,Season_Winners!A:B,2,FALSE),
     "")</f>
        <v/>
      </c>
    </row>
    <row r="495" spans="1:14" hidden="1" x14ac:dyDescent="0.3">
      <c r="A495" t="s">
        <v>179</v>
      </c>
      <c r="B495">
        <v>12</v>
      </c>
      <c r="C495" t="s">
        <v>240</v>
      </c>
      <c r="D495" t="str">
        <f t="shared" si="35"/>
        <v>22.11.2014</v>
      </c>
      <c r="E495" s="1">
        <v>0.83333333333333337</v>
      </c>
      <c r="F495" t="s">
        <v>20</v>
      </c>
      <c r="G495" t="s">
        <v>27</v>
      </c>
      <c r="H495" s="2">
        <v>46027</v>
      </c>
      <c r="I495" s="3" t="str">
        <f t="shared" si="36"/>
        <v/>
      </c>
      <c r="J495" t="str">
        <f t="shared" si="37"/>
        <v/>
      </c>
      <c r="K495" t="str">
        <f t="shared" si="38"/>
        <v/>
      </c>
      <c r="L495" t="str">
        <f t="shared" si="39"/>
        <v/>
      </c>
      <c r="M495" t="str">
        <f>IF(COUNTIF($A$2:A495,A495)=1,
     VLOOKUP(A495,Season_Winners!A:B,2,FALSE),
     "")</f>
        <v/>
      </c>
      <c r="N495" s="2"/>
    </row>
    <row r="496" spans="1:14" x14ac:dyDescent="0.3">
      <c r="A496" t="s">
        <v>179</v>
      </c>
      <c r="B496">
        <v>12</v>
      </c>
      <c r="C496" t="s">
        <v>240</v>
      </c>
      <c r="D496" t="str">
        <f t="shared" si="35"/>
        <v>22.11.2014</v>
      </c>
      <c r="E496" s="1">
        <v>0.91666666666666663</v>
      </c>
      <c r="F496" t="s">
        <v>182</v>
      </c>
      <c r="G496" t="s">
        <v>10</v>
      </c>
      <c r="H496" t="s">
        <v>41</v>
      </c>
      <c r="I496" t="str">
        <f t="shared" si="36"/>
        <v>0-0</v>
      </c>
      <c r="J496" t="str">
        <f t="shared" si="37"/>
        <v>0</v>
      </c>
      <c r="K496" t="str">
        <f t="shared" si="38"/>
        <v>0</v>
      </c>
      <c r="L496" t="str">
        <f t="shared" si="39"/>
        <v>Draw</v>
      </c>
      <c r="M496" t="str">
        <f>IF(COUNTIF($A$2:A496,A496)=1,
     VLOOKUP(A496,Season_Winners!A:B,2,FALSE),
     "")</f>
        <v/>
      </c>
    </row>
    <row r="497" spans="1:14" x14ac:dyDescent="0.3">
      <c r="A497" t="s">
        <v>179</v>
      </c>
      <c r="B497">
        <v>12</v>
      </c>
      <c r="C497" t="s">
        <v>241</v>
      </c>
      <c r="D497" t="str">
        <f t="shared" si="35"/>
        <v>23.11.2014</v>
      </c>
      <c r="E497" s="1">
        <v>0.5</v>
      </c>
      <c r="F497" t="s">
        <v>30</v>
      </c>
      <c r="G497" t="s">
        <v>35</v>
      </c>
      <c r="H497" t="s">
        <v>18</v>
      </c>
      <c r="I497" t="str">
        <f t="shared" si="36"/>
        <v>1-0</v>
      </c>
      <c r="J497" t="str">
        <f t="shared" si="37"/>
        <v>1</v>
      </c>
      <c r="K497" t="str">
        <f t="shared" si="38"/>
        <v>0</v>
      </c>
      <c r="L497" t="str">
        <f t="shared" si="39"/>
        <v>Rayo Vallecano</v>
      </c>
      <c r="M497" t="str">
        <f>IF(COUNTIF($A$2:A497,A497)=1,
     VLOOKUP(A497,Season_Winners!A:B,2,FALSE),
     "")</f>
        <v/>
      </c>
    </row>
    <row r="498" spans="1:14" hidden="1" x14ac:dyDescent="0.3">
      <c r="A498" t="s">
        <v>179</v>
      </c>
      <c r="B498">
        <v>12</v>
      </c>
      <c r="C498" t="s">
        <v>241</v>
      </c>
      <c r="D498" t="str">
        <f t="shared" si="35"/>
        <v>23.11.2014</v>
      </c>
      <c r="E498" s="1">
        <v>0.70833333333333337</v>
      </c>
      <c r="F498" t="s">
        <v>21</v>
      </c>
      <c r="G498" t="s">
        <v>16</v>
      </c>
      <c r="H498" s="2">
        <v>46024</v>
      </c>
      <c r="I498" s="3" t="str">
        <f t="shared" si="36"/>
        <v/>
      </c>
      <c r="J498" t="str">
        <f t="shared" si="37"/>
        <v/>
      </c>
      <c r="K498" t="str">
        <f t="shared" si="38"/>
        <v/>
      </c>
      <c r="L498" t="str">
        <f t="shared" si="39"/>
        <v/>
      </c>
      <c r="M498" t="str">
        <f>IF(COUNTIF($A$2:A498,A498)=1,
     VLOOKUP(A498,Season_Winners!A:B,2,FALSE),
     "")</f>
        <v/>
      </c>
      <c r="N498" s="2"/>
    </row>
    <row r="499" spans="1:14" hidden="1" x14ac:dyDescent="0.3">
      <c r="A499" t="s">
        <v>179</v>
      </c>
      <c r="B499">
        <v>12</v>
      </c>
      <c r="C499" t="s">
        <v>241</v>
      </c>
      <c r="D499" t="str">
        <f t="shared" si="35"/>
        <v>23.11.2014</v>
      </c>
      <c r="E499" s="1">
        <v>0.79166666666666663</v>
      </c>
      <c r="F499" t="s">
        <v>31</v>
      </c>
      <c r="G499" t="s">
        <v>193</v>
      </c>
      <c r="H499" s="2">
        <v>46055</v>
      </c>
      <c r="I499" s="3" t="str">
        <f t="shared" si="36"/>
        <v/>
      </c>
      <c r="J499" t="str">
        <f t="shared" si="37"/>
        <v/>
      </c>
      <c r="K499" t="str">
        <f t="shared" si="38"/>
        <v/>
      </c>
      <c r="L499" t="str">
        <f t="shared" si="39"/>
        <v/>
      </c>
      <c r="M499" t="str">
        <f>IF(COUNTIF($A$2:A499,A499)=1,
     VLOOKUP(A499,Season_Winners!A:B,2,FALSE),
     "")</f>
        <v/>
      </c>
      <c r="N499" s="2"/>
    </row>
    <row r="500" spans="1:14" hidden="1" x14ac:dyDescent="0.3">
      <c r="A500" t="s">
        <v>179</v>
      </c>
      <c r="B500">
        <v>12</v>
      </c>
      <c r="C500" t="s">
        <v>241</v>
      </c>
      <c r="D500" t="str">
        <f t="shared" si="35"/>
        <v>23.11.2014</v>
      </c>
      <c r="E500" s="1">
        <v>0.875</v>
      </c>
      <c r="F500" t="s">
        <v>34</v>
      </c>
      <c r="G500" t="s">
        <v>11</v>
      </c>
      <c r="H500" s="2">
        <v>46024</v>
      </c>
      <c r="I500" s="3" t="str">
        <f t="shared" si="36"/>
        <v/>
      </c>
      <c r="J500" t="str">
        <f t="shared" si="37"/>
        <v/>
      </c>
      <c r="K500" t="str">
        <f t="shared" si="38"/>
        <v/>
      </c>
      <c r="L500" t="str">
        <f t="shared" si="39"/>
        <v/>
      </c>
      <c r="M500" t="str">
        <f>IF(COUNTIF($A$2:A500,A500)=1,
     VLOOKUP(A500,Season_Winners!A:B,2,FALSE),
     "")</f>
        <v/>
      </c>
      <c r="N500" s="2"/>
    </row>
    <row r="501" spans="1:14" x14ac:dyDescent="0.3">
      <c r="A501" t="s">
        <v>179</v>
      </c>
      <c r="B501">
        <v>12</v>
      </c>
      <c r="C501" t="s">
        <v>242</v>
      </c>
      <c r="D501" t="str">
        <f t="shared" si="35"/>
        <v>24.11.2014</v>
      </c>
      <c r="E501" s="1">
        <v>0.86458333333333337</v>
      </c>
      <c r="F501" t="s">
        <v>24</v>
      </c>
      <c r="G501" t="s">
        <v>33</v>
      </c>
      <c r="H501" t="s">
        <v>41</v>
      </c>
      <c r="I501" t="str">
        <f t="shared" si="36"/>
        <v>0-0</v>
      </c>
      <c r="J501" t="str">
        <f t="shared" si="37"/>
        <v>0</v>
      </c>
      <c r="K501" t="str">
        <f t="shared" si="38"/>
        <v>0</v>
      </c>
      <c r="L501" t="str">
        <f t="shared" si="39"/>
        <v>Draw</v>
      </c>
      <c r="M501" t="str">
        <f>IF(COUNTIF($A$2:A501,A501)=1,
     VLOOKUP(A501,Season_Winners!A:B,2,FALSE),
     "")</f>
        <v/>
      </c>
    </row>
    <row r="502" spans="1:14" x14ac:dyDescent="0.3">
      <c r="A502" t="s">
        <v>179</v>
      </c>
      <c r="B502">
        <v>13</v>
      </c>
      <c r="C502" t="s">
        <v>243</v>
      </c>
      <c r="D502" t="str">
        <f t="shared" si="35"/>
        <v>28.11.2014</v>
      </c>
      <c r="E502" s="1">
        <v>0.86458333333333337</v>
      </c>
      <c r="F502" t="s">
        <v>10</v>
      </c>
      <c r="G502" t="s">
        <v>31</v>
      </c>
      <c r="H502" t="s">
        <v>32</v>
      </c>
      <c r="I502" t="str">
        <f t="shared" si="36"/>
        <v>3-0</v>
      </c>
      <c r="J502" t="str">
        <f t="shared" si="37"/>
        <v>3</v>
      </c>
      <c r="K502" t="str">
        <f t="shared" si="38"/>
        <v>0</v>
      </c>
      <c r="L502" t="str">
        <f t="shared" si="39"/>
        <v>Real Sociedad</v>
      </c>
      <c r="M502" t="str">
        <f>IF(COUNTIF($A$2:A502,A502)=1,
     VLOOKUP(A502,Season_Winners!A:B,2,FALSE),
     "")</f>
        <v/>
      </c>
    </row>
    <row r="503" spans="1:14" hidden="1" x14ac:dyDescent="0.3">
      <c r="A503" t="s">
        <v>179</v>
      </c>
      <c r="B503">
        <v>13</v>
      </c>
      <c r="C503" t="s">
        <v>244</v>
      </c>
      <c r="D503" t="str">
        <f t="shared" si="35"/>
        <v>29.11.2014</v>
      </c>
      <c r="E503" s="1">
        <v>0.66666666666666663</v>
      </c>
      <c r="F503" t="s">
        <v>11</v>
      </c>
      <c r="G503" t="s">
        <v>15</v>
      </c>
      <c r="H503" s="2">
        <v>46054</v>
      </c>
      <c r="I503" s="3" t="str">
        <f t="shared" si="36"/>
        <v/>
      </c>
      <c r="J503" t="str">
        <f t="shared" si="37"/>
        <v/>
      </c>
      <c r="K503" t="str">
        <f t="shared" si="38"/>
        <v/>
      </c>
      <c r="L503" t="str">
        <f t="shared" si="39"/>
        <v/>
      </c>
      <c r="M503" t="str">
        <f>IF(COUNTIF($A$2:A503,A503)=1,
     VLOOKUP(A503,Season_Winners!A:B,2,FALSE),
     "")</f>
        <v/>
      </c>
      <c r="N503" s="2"/>
    </row>
    <row r="504" spans="1:14" hidden="1" x14ac:dyDescent="0.3">
      <c r="A504" t="s">
        <v>179</v>
      </c>
      <c r="B504">
        <v>13</v>
      </c>
      <c r="C504" t="s">
        <v>244</v>
      </c>
      <c r="D504" t="str">
        <f t="shared" si="35"/>
        <v>29.11.2014</v>
      </c>
      <c r="E504" s="1">
        <v>0.75</v>
      </c>
      <c r="F504" t="s">
        <v>36</v>
      </c>
      <c r="G504" t="s">
        <v>21</v>
      </c>
      <c r="H504" s="2">
        <v>46024</v>
      </c>
      <c r="I504" s="3" t="str">
        <f t="shared" si="36"/>
        <v/>
      </c>
      <c r="J504" t="str">
        <f t="shared" si="37"/>
        <v/>
      </c>
      <c r="K504" t="str">
        <f t="shared" si="38"/>
        <v/>
      </c>
      <c r="L504" t="str">
        <f t="shared" si="39"/>
        <v/>
      </c>
      <c r="M504" t="str">
        <f>IF(COUNTIF($A$2:A504,A504)=1,
     VLOOKUP(A504,Season_Winners!A:B,2,FALSE),
     "")</f>
        <v/>
      </c>
      <c r="N504" s="2"/>
    </row>
    <row r="505" spans="1:14" hidden="1" x14ac:dyDescent="0.3">
      <c r="A505" t="s">
        <v>179</v>
      </c>
      <c r="B505">
        <v>13</v>
      </c>
      <c r="C505" t="s">
        <v>244</v>
      </c>
      <c r="D505" t="str">
        <f t="shared" si="35"/>
        <v>29.11.2014</v>
      </c>
      <c r="E505" s="1">
        <v>0.83333333333333337</v>
      </c>
      <c r="F505" t="s">
        <v>17</v>
      </c>
      <c r="G505" t="s">
        <v>25</v>
      </c>
      <c r="H505" s="2">
        <v>46054</v>
      </c>
      <c r="I505" s="3" t="str">
        <f t="shared" si="36"/>
        <v/>
      </c>
      <c r="J505" t="str">
        <f t="shared" si="37"/>
        <v/>
      </c>
      <c r="K505" t="str">
        <f t="shared" si="38"/>
        <v/>
      </c>
      <c r="L505" t="str">
        <f t="shared" si="39"/>
        <v/>
      </c>
      <c r="M505" t="str">
        <f>IF(COUNTIF($A$2:A505,A505)=1,
     VLOOKUP(A505,Season_Winners!A:B,2,FALSE),
     "")</f>
        <v/>
      </c>
      <c r="N505" s="2"/>
    </row>
    <row r="506" spans="1:14" x14ac:dyDescent="0.3">
      <c r="A506" t="s">
        <v>179</v>
      </c>
      <c r="B506">
        <v>13</v>
      </c>
      <c r="C506" t="s">
        <v>244</v>
      </c>
      <c r="D506" t="str">
        <f t="shared" si="35"/>
        <v>29.11.2014</v>
      </c>
      <c r="E506" s="1">
        <v>0.91666666666666663</v>
      </c>
      <c r="F506" t="s">
        <v>35</v>
      </c>
      <c r="G506" t="s">
        <v>187</v>
      </c>
      <c r="H506" t="s">
        <v>42</v>
      </c>
      <c r="I506" t="str">
        <f t="shared" si="36"/>
        <v>0-1</v>
      </c>
      <c r="J506" t="str">
        <f t="shared" si="37"/>
        <v>0</v>
      </c>
      <c r="K506" t="str">
        <f t="shared" si="38"/>
        <v>1</v>
      </c>
      <c r="L506" t="str">
        <f t="shared" si="39"/>
        <v>SD Eibar</v>
      </c>
      <c r="M506" t="str">
        <f>IF(COUNTIF($A$2:A506,A506)=1,
     VLOOKUP(A506,Season_Winners!A:B,2,FALSE),
     "")</f>
        <v/>
      </c>
    </row>
    <row r="507" spans="1:14" x14ac:dyDescent="0.3">
      <c r="A507" t="s">
        <v>179</v>
      </c>
      <c r="B507">
        <v>13</v>
      </c>
      <c r="C507" t="s">
        <v>245</v>
      </c>
      <c r="D507" t="str">
        <f t="shared" si="35"/>
        <v>30.11.2014</v>
      </c>
      <c r="E507" s="1">
        <v>0.5</v>
      </c>
      <c r="F507" t="s">
        <v>1425</v>
      </c>
      <c r="G507" t="s">
        <v>182</v>
      </c>
      <c r="H507" t="s">
        <v>12</v>
      </c>
      <c r="I507" t="str">
        <f t="shared" si="36"/>
        <v>2-0</v>
      </c>
      <c r="J507" t="str">
        <f t="shared" si="37"/>
        <v>2</v>
      </c>
      <c r="K507" t="str">
        <f t="shared" si="38"/>
        <v>0</v>
      </c>
      <c r="L507" t="str">
        <f t="shared" si="39"/>
        <v>Atlético de Madrid</v>
      </c>
      <c r="M507" t="str">
        <f>IF(COUNTIF($A$2:A507,A507)=1,
     VLOOKUP(A507,Season_Winners!A:B,2,FALSE),
     "")</f>
        <v/>
      </c>
    </row>
    <row r="508" spans="1:14" hidden="1" x14ac:dyDescent="0.3">
      <c r="A508" t="s">
        <v>179</v>
      </c>
      <c r="B508">
        <v>13</v>
      </c>
      <c r="C508" t="s">
        <v>245</v>
      </c>
      <c r="D508" t="str">
        <f t="shared" si="35"/>
        <v>30.11.2014</v>
      </c>
      <c r="E508" s="1">
        <v>0.70833333333333337</v>
      </c>
      <c r="F508" t="s">
        <v>27</v>
      </c>
      <c r="G508" t="s">
        <v>24</v>
      </c>
      <c r="H508" s="2">
        <v>46027</v>
      </c>
      <c r="I508" s="3" t="str">
        <f t="shared" si="36"/>
        <v/>
      </c>
      <c r="J508" t="str">
        <f t="shared" si="37"/>
        <v/>
      </c>
      <c r="K508" t="str">
        <f t="shared" si="38"/>
        <v/>
      </c>
      <c r="L508" t="str">
        <f t="shared" si="39"/>
        <v/>
      </c>
      <c r="M508" t="str">
        <f>IF(COUNTIF($A$2:A508,A508)=1,
     VLOOKUP(A508,Season_Winners!A:B,2,FALSE),
     "")</f>
        <v/>
      </c>
      <c r="N508" s="2"/>
    </row>
    <row r="509" spans="1:14" x14ac:dyDescent="0.3">
      <c r="A509" t="s">
        <v>179</v>
      </c>
      <c r="B509">
        <v>13</v>
      </c>
      <c r="C509" t="s">
        <v>245</v>
      </c>
      <c r="D509" t="str">
        <f t="shared" si="35"/>
        <v>30.11.2014</v>
      </c>
      <c r="E509" s="1">
        <v>0.79166666666666663</v>
      </c>
      <c r="F509" t="s">
        <v>193</v>
      </c>
      <c r="G509" t="s">
        <v>34</v>
      </c>
      <c r="H509" t="s">
        <v>54</v>
      </c>
      <c r="I509" t="str">
        <f t="shared" si="36"/>
        <v>0-2</v>
      </c>
      <c r="J509" t="str">
        <f t="shared" si="37"/>
        <v>0</v>
      </c>
      <c r="K509" t="str">
        <f t="shared" si="38"/>
        <v>2</v>
      </c>
      <c r="L509" t="str">
        <f t="shared" si="39"/>
        <v>Villarreal CF</v>
      </c>
      <c r="M509" t="str">
        <f>IF(COUNTIF($A$2:A509,A509)=1,
     VLOOKUP(A509,Season_Winners!A:B,2,FALSE),
     "")</f>
        <v/>
      </c>
    </row>
    <row r="510" spans="1:14" x14ac:dyDescent="0.3">
      <c r="A510" t="s">
        <v>179</v>
      </c>
      <c r="B510">
        <v>13</v>
      </c>
      <c r="C510" t="s">
        <v>245</v>
      </c>
      <c r="D510" t="str">
        <f t="shared" si="35"/>
        <v>30.11.2014</v>
      </c>
      <c r="E510" s="1">
        <v>0.875</v>
      </c>
      <c r="F510" t="s">
        <v>16</v>
      </c>
      <c r="G510" t="s">
        <v>20</v>
      </c>
      <c r="H510" t="s">
        <v>42</v>
      </c>
      <c r="I510" t="str">
        <f t="shared" si="36"/>
        <v>0-1</v>
      </c>
      <c r="J510" t="str">
        <f t="shared" si="37"/>
        <v>0</v>
      </c>
      <c r="K510" t="str">
        <f t="shared" si="38"/>
        <v>1</v>
      </c>
      <c r="L510" t="str">
        <f t="shared" si="39"/>
        <v>FC Barcelona</v>
      </c>
      <c r="M510" t="str">
        <f>IF(COUNTIF($A$2:A510,A510)=1,
     VLOOKUP(A510,Season_Winners!A:B,2,FALSE),
     "")</f>
        <v/>
      </c>
    </row>
    <row r="511" spans="1:14" x14ac:dyDescent="0.3">
      <c r="A511" t="s">
        <v>179</v>
      </c>
      <c r="B511">
        <v>13</v>
      </c>
      <c r="C511" t="s">
        <v>246</v>
      </c>
      <c r="D511" t="str">
        <f t="shared" si="35"/>
        <v>01.12.2014</v>
      </c>
      <c r="E511" s="1">
        <v>0.86458333333333337</v>
      </c>
      <c r="F511" t="s">
        <v>33</v>
      </c>
      <c r="G511" t="s">
        <v>30</v>
      </c>
      <c r="H511" t="s">
        <v>42</v>
      </c>
      <c r="I511" t="str">
        <f t="shared" si="36"/>
        <v>0-1</v>
      </c>
      <c r="J511" t="str">
        <f t="shared" si="37"/>
        <v>0</v>
      </c>
      <c r="K511" t="str">
        <f t="shared" si="38"/>
        <v>1</v>
      </c>
      <c r="L511" t="str">
        <f t="shared" si="39"/>
        <v>Rayo Vallecano</v>
      </c>
      <c r="M511" t="str">
        <f>IF(COUNTIF($A$2:A511,A511)=1,
     VLOOKUP(A511,Season_Winners!A:B,2,FALSE),
     "")</f>
        <v/>
      </c>
    </row>
    <row r="512" spans="1:14" x14ac:dyDescent="0.3">
      <c r="A512" t="s">
        <v>179</v>
      </c>
      <c r="B512">
        <v>14</v>
      </c>
      <c r="C512" t="s">
        <v>247</v>
      </c>
      <c r="D512" t="str">
        <f t="shared" si="35"/>
        <v>06.12.2014</v>
      </c>
      <c r="E512" s="1">
        <v>0.66666666666666663</v>
      </c>
      <c r="F512" t="s">
        <v>31</v>
      </c>
      <c r="G512" t="s">
        <v>1425</v>
      </c>
      <c r="H512" t="s">
        <v>54</v>
      </c>
      <c r="I512" t="str">
        <f t="shared" si="36"/>
        <v>0-2</v>
      </c>
      <c r="J512" t="str">
        <f t="shared" si="37"/>
        <v>0</v>
      </c>
      <c r="K512" t="str">
        <f t="shared" si="38"/>
        <v>2</v>
      </c>
      <c r="L512" t="str">
        <f t="shared" si="39"/>
        <v>Atlético de Madrid</v>
      </c>
      <c r="M512" t="str">
        <f>IF(COUNTIF($A$2:A512,A512)=1,
     VLOOKUP(A512,Season_Winners!A:B,2,FALSE),
     "")</f>
        <v/>
      </c>
    </row>
    <row r="513" spans="1:14" x14ac:dyDescent="0.3">
      <c r="A513" t="s">
        <v>179</v>
      </c>
      <c r="B513">
        <v>14</v>
      </c>
      <c r="C513" t="s">
        <v>247</v>
      </c>
      <c r="D513" t="str">
        <f t="shared" si="35"/>
        <v>06.12.2014</v>
      </c>
      <c r="E513" s="1">
        <v>0.75</v>
      </c>
      <c r="F513" t="s">
        <v>15</v>
      </c>
      <c r="G513" t="s">
        <v>193</v>
      </c>
      <c r="H513" t="s">
        <v>42</v>
      </c>
      <c r="I513" t="str">
        <f t="shared" si="36"/>
        <v>0-1</v>
      </c>
      <c r="J513" t="str">
        <f t="shared" si="37"/>
        <v>0</v>
      </c>
      <c r="K513" t="str">
        <f t="shared" si="38"/>
        <v>1</v>
      </c>
      <c r="L513" t="str">
        <f t="shared" si="39"/>
        <v>CÃ³rdoba CF</v>
      </c>
      <c r="M513" t="str">
        <f>IF(COUNTIF($A$2:A513,A513)=1,
     VLOOKUP(A513,Season_Winners!A:B,2,FALSE),
     "")</f>
        <v/>
      </c>
    </row>
    <row r="514" spans="1:14" x14ac:dyDescent="0.3">
      <c r="A514" t="s">
        <v>179</v>
      </c>
      <c r="B514">
        <v>14</v>
      </c>
      <c r="C514" t="s">
        <v>247</v>
      </c>
      <c r="D514" t="str">
        <f t="shared" ref="D514:D577" si="40">RIGHT(C514,10)</f>
        <v>06.12.2014</v>
      </c>
      <c r="E514" s="1">
        <v>0.83333333333333337</v>
      </c>
      <c r="F514" t="s">
        <v>25</v>
      </c>
      <c r="G514" t="s">
        <v>35</v>
      </c>
      <c r="H514" t="s">
        <v>32</v>
      </c>
      <c r="I514" t="str">
        <f t="shared" ref="I514:I577" si="41">IF(ISNUMBER(SEARCH("-",H514)),H514,"")</f>
        <v>3-0</v>
      </c>
      <c r="J514" t="str">
        <f t="shared" ref="J514:J577" si="42">IF(I514="","",LEFT(I514,FIND("-",I514)-1))</f>
        <v>3</v>
      </c>
      <c r="K514" t="str">
        <f t="shared" ref="K514:K577" si="43">IF(I514="","",RIGHT(I514,LEN(I514)-FIND("-",I514)))</f>
        <v>0</v>
      </c>
      <c r="L514" t="str">
        <f t="shared" ref="L514:L577" si="44">IF(I514="","",IF(J514&gt;K514,F514,IF(K514&gt;J514,G514,"Draw")))</f>
        <v>Real Madrid</v>
      </c>
      <c r="M514" t="str">
        <f>IF(COUNTIF($A$2:A514,A514)=1,
     VLOOKUP(A514,Season_Winners!A:B,2,FALSE),
     "")</f>
        <v/>
      </c>
    </row>
    <row r="515" spans="1:14" x14ac:dyDescent="0.3">
      <c r="A515" t="s">
        <v>179</v>
      </c>
      <c r="B515">
        <v>14</v>
      </c>
      <c r="C515" t="s">
        <v>247</v>
      </c>
      <c r="D515" t="str">
        <f t="shared" si="40"/>
        <v>06.12.2014</v>
      </c>
      <c r="E515" s="1">
        <v>0.91666666666666663</v>
      </c>
      <c r="F515" t="s">
        <v>182</v>
      </c>
      <c r="G515" t="s">
        <v>17</v>
      </c>
      <c r="H515" t="s">
        <v>42</v>
      </c>
      <c r="I515" t="str">
        <f t="shared" si="41"/>
        <v>0-1</v>
      </c>
      <c r="J515" t="str">
        <f t="shared" si="42"/>
        <v>0</v>
      </c>
      <c r="K515" t="str">
        <f t="shared" si="43"/>
        <v>1</v>
      </c>
      <c r="L515" t="str">
        <f t="shared" si="44"/>
        <v>MÃ¡laga CF</v>
      </c>
      <c r="M515" t="str">
        <f>IF(COUNTIF($A$2:A515,A515)=1,
     VLOOKUP(A515,Season_Winners!A:B,2,FALSE),
     "")</f>
        <v/>
      </c>
    </row>
    <row r="516" spans="1:14" x14ac:dyDescent="0.3">
      <c r="A516" t="s">
        <v>179</v>
      </c>
      <c r="B516">
        <v>14</v>
      </c>
      <c r="C516" t="s">
        <v>248</v>
      </c>
      <c r="D516" t="str">
        <f t="shared" si="40"/>
        <v>07.12.2014</v>
      </c>
      <c r="E516" s="1">
        <v>0.5</v>
      </c>
      <c r="F516" t="s">
        <v>30</v>
      </c>
      <c r="G516" t="s">
        <v>27</v>
      </c>
      <c r="H516" t="s">
        <v>42</v>
      </c>
      <c r="I516" t="str">
        <f t="shared" si="41"/>
        <v>0-1</v>
      </c>
      <c r="J516" t="str">
        <f t="shared" si="42"/>
        <v>0</v>
      </c>
      <c r="K516" t="str">
        <f t="shared" si="43"/>
        <v>1</v>
      </c>
      <c r="L516" t="str">
        <f t="shared" si="44"/>
        <v>Sevilla FC</v>
      </c>
      <c r="M516" t="str">
        <f>IF(COUNTIF($A$2:A516,A516)=1,
     VLOOKUP(A516,Season_Winners!A:B,2,FALSE),
     "")</f>
        <v/>
      </c>
    </row>
    <row r="517" spans="1:14" hidden="1" x14ac:dyDescent="0.3">
      <c r="A517" t="s">
        <v>179</v>
      </c>
      <c r="B517">
        <v>14</v>
      </c>
      <c r="C517" t="s">
        <v>248</v>
      </c>
      <c r="D517" t="str">
        <f t="shared" si="40"/>
        <v>07.12.2014</v>
      </c>
      <c r="E517" s="1">
        <v>0.70833333333333337</v>
      </c>
      <c r="F517" t="s">
        <v>20</v>
      </c>
      <c r="G517" t="s">
        <v>36</v>
      </c>
      <c r="H517" s="2">
        <v>46027</v>
      </c>
      <c r="I517" s="3" t="str">
        <f t="shared" si="41"/>
        <v/>
      </c>
      <c r="J517" t="str">
        <f t="shared" si="42"/>
        <v/>
      </c>
      <c r="K517" t="str">
        <f t="shared" si="43"/>
        <v/>
      </c>
      <c r="L517" t="str">
        <f t="shared" si="44"/>
        <v/>
      </c>
      <c r="M517" t="str">
        <f>IF(COUNTIF($A$2:A517,A517)=1,
     VLOOKUP(A517,Season_Winners!A:B,2,FALSE),
     "")</f>
        <v/>
      </c>
      <c r="N517" s="2"/>
    </row>
    <row r="518" spans="1:14" x14ac:dyDescent="0.3">
      <c r="A518" t="s">
        <v>179</v>
      </c>
      <c r="B518">
        <v>14</v>
      </c>
      <c r="C518" t="s">
        <v>248</v>
      </c>
      <c r="D518" t="str">
        <f t="shared" si="40"/>
        <v>07.12.2014</v>
      </c>
      <c r="E518" s="1">
        <v>0.79166666666666663</v>
      </c>
      <c r="F518" t="s">
        <v>34</v>
      </c>
      <c r="G518" t="s">
        <v>10</v>
      </c>
      <c r="H518" t="s">
        <v>88</v>
      </c>
      <c r="I518" t="str">
        <f t="shared" si="41"/>
        <v>4-0</v>
      </c>
      <c r="J518" t="str">
        <f t="shared" si="42"/>
        <v>4</v>
      </c>
      <c r="K518" t="str">
        <f t="shared" si="43"/>
        <v>0</v>
      </c>
      <c r="L518" t="str">
        <f t="shared" si="44"/>
        <v>Villarreal CF</v>
      </c>
      <c r="M518" t="str">
        <f>IF(COUNTIF($A$2:A518,A518)=1,
     VLOOKUP(A518,Season_Winners!A:B,2,FALSE),
     "")</f>
        <v/>
      </c>
    </row>
    <row r="519" spans="1:14" hidden="1" x14ac:dyDescent="0.3">
      <c r="A519" t="s">
        <v>179</v>
      </c>
      <c r="B519">
        <v>14</v>
      </c>
      <c r="C519" t="s">
        <v>248</v>
      </c>
      <c r="D519" t="str">
        <f t="shared" si="40"/>
        <v>07.12.2014</v>
      </c>
      <c r="E519" s="1">
        <v>0.875</v>
      </c>
      <c r="F519" t="s">
        <v>24</v>
      </c>
      <c r="G519" t="s">
        <v>16</v>
      </c>
      <c r="H519" s="2">
        <v>46023</v>
      </c>
      <c r="I519" s="3" t="str">
        <f t="shared" si="41"/>
        <v/>
      </c>
      <c r="J519" t="str">
        <f t="shared" si="42"/>
        <v/>
      </c>
      <c r="K519" t="str">
        <f t="shared" si="43"/>
        <v/>
      </c>
      <c r="L519" t="str">
        <f t="shared" si="44"/>
        <v/>
      </c>
      <c r="M519" t="str">
        <f>IF(COUNTIF($A$2:A519,A519)=1,
     VLOOKUP(A519,Season_Winners!A:B,2,FALSE),
     "")</f>
        <v/>
      </c>
      <c r="N519" s="2"/>
    </row>
    <row r="520" spans="1:14" hidden="1" x14ac:dyDescent="0.3">
      <c r="A520" t="s">
        <v>179</v>
      </c>
      <c r="B520">
        <v>14</v>
      </c>
      <c r="C520" t="s">
        <v>249</v>
      </c>
      <c r="D520" t="str">
        <f t="shared" si="40"/>
        <v>08.12.2014</v>
      </c>
      <c r="E520" s="1">
        <v>0.70833333333333337</v>
      </c>
      <c r="F520" t="s">
        <v>187</v>
      </c>
      <c r="G520" t="s">
        <v>33</v>
      </c>
      <c r="H520" s="2">
        <v>46058</v>
      </c>
      <c r="I520" s="3" t="str">
        <f t="shared" si="41"/>
        <v/>
      </c>
      <c r="J520" t="str">
        <f t="shared" si="42"/>
        <v/>
      </c>
      <c r="K520" t="str">
        <f t="shared" si="43"/>
        <v/>
      </c>
      <c r="L520" t="str">
        <f t="shared" si="44"/>
        <v/>
      </c>
      <c r="M520" t="str">
        <f>IF(COUNTIF($A$2:A520,A520)=1,
     VLOOKUP(A520,Season_Winners!A:B,2,FALSE),
     "")</f>
        <v/>
      </c>
      <c r="N520" s="2"/>
    </row>
    <row r="521" spans="1:14" hidden="1" x14ac:dyDescent="0.3">
      <c r="A521" t="s">
        <v>179</v>
      </c>
      <c r="B521">
        <v>14</v>
      </c>
      <c r="C521" t="s">
        <v>249</v>
      </c>
      <c r="D521" t="str">
        <f t="shared" si="40"/>
        <v>08.12.2014</v>
      </c>
      <c r="E521" s="1">
        <v>0.79166666666666663</v>
      </c>
      <c r="F521" t="s">
        <v>21</v>
      </c>
      <c r="G521" t="s">
        <v>11</v>
      </c>
      <c r="H521" s="2">
        <v>46023</v>
      </c>
      <c r="I521" s="3" t="str">
        <f t="shared" si="41"/>
        <v/>
      </c>
      <c r="J521" t="str">
        <f t="shared" si="42"/>
        <v/>
      </c>
      <c r="K521" t="str">
        <f t="shared" si="43"/>
        <v/>
      </c>
      <c r="L521" t="str">
        <f t="shared" si="44"/>
        <v/>
      </c>
      <c r="M521" t="str">
        <f>IF(COUNTIF($A$2:A521,A521)=1,
     VLOOKUP(A521,Season_Winners!A:B,2,FALSE),
     "")</f>
        <v/>
      </c>
      <c r="N521" s="2"/>
    </row>
    <row r="522" spans="1:14" hidden="1" x14ac:dyDescent="0.3">
      <c r="A522" t="s">
        <v>179</v>
      </c>
      <c r="B522">
        <v>15</v>
      </c>
      <c r="C522" t="s">
        <v>250</v>
      </c>
      <c r="D522" t="str">
        <f t="shared" si="40"/>
        <v>12.12.2014</v>
      </c>
      <c r="E522" s="1">
        <v>0.86458333333333337</v>
      </c>
      <c r="F522" t="s">
        <v>33</v>
      </c>
      <c r="G522" t="s">
        <v>25</v>
      </c>
      <c r="H522" s="2">
        <v>46113</v>
      </c>
      <c r="I522" s="3" t="str">
        <f t="shared" si="41"/>
        <v/>
      </c>
      <c r="J522" t="str">
        <f t="shared" si="42"/>
        <v/>
      </c>
      <c r="K522" t="str">
        <f t="shared" si="43"/>
        <v/>
      </c>
      <c r="L522" t="str">
        <f t="shared" si="44"/>
        <v/>
      </c>
      <c r="M522" t="str">
        <f>IF(COUNTIF($A$2:A522,A522)=1,
     VLOOKUP(A522,Season_Winners!A:B,2,FALSE),
     "")</f>
        <v/>
      </c>
      <c r="N522" s="2"/>
    </row>
    <row r="523" spans="1:14" x14ac:dyDescent="0.3">
      <c r="A523" t="s">
        <v>179</v>
      </c>
      <c r="B523">
        <v>15</v>
      </c>
      <c r="C523" t="s">
        <v>251</v>
      </c>
      <c r="D523" t="str">
        <f t="shared" si="40"/>
        <v>13.12.2014</v>
      </c>
      <c r="E523" s="1">
        <v>0.66666666666666663</v>
      </c>
      <c r="F523" t="s">
        <v>11</v>
      </c>
      <c r="G523" t="s">
        <v>20</v>
      </c>
      <c r="H523" t="s">
        <v>41</v>
      </c>
      <c r="I523" t="str">
        <f t="shared" si="41"/>
        <v>0-0</v>
      </c>
      <c r="J523" t="str">
        <f t="shared" si="42"/>
        <v>0</v>
      </c>
      <c r="K523" t="str">
        <f t="shared" si="43"/>
        <v>0</v>
      </c>
      <c r="L523" t="str">
        <f t="shared" si="44"/>
        <v>Draw</v>
      </c>
      <c r="M523" t="str">
        <f>IF(COUNTIF($A$2:A523,A523)=1,
     VLOOKUP(A523,Season_Winners!A:B,2,FALSE),
     "")</f>
        <v/>
      </c>
    </row>
    <row r="524" spans="1:14" x14ac:dyDescent="0.3">
      <c r="A524" t="s">
        <v>179</v>
      </c>
      <c r="B524">
        <v>15</v>
      </c>
      <c r="C524" t="s">
        <v>251</v>
      </c>
      <c r="D524" t="str">
        <f t="shared" si="40"/>
        <v>13.12.2014</v>
      </c>
      <c r="E524" s="1">
        <v>0.75</v>
      </c>
      <c r="F524" t="s">
        <v>16</v>
      </c>
      <c r="G524" t="s">
        <v>30</v>
      </c>
      <c r="H524" t="s">
        <v>32</v>
      </c>
      <c r="I524" t="str">
        <f t="shared" si="41"/>
        <v>3-0</v>
      </c>
      <c r="J524" t="str">
        <f t="shared" si="42"/>
        <v>3</v>
      </c>
      <c r="K524" t="str">
        <f t="shared" si="43"/>
        <v>0</v>
      </c>
      <c r="L524" t="str">
        <f t="shared" si="44"/>
        <v>Valencia CF</v>
      </c>
      <c r="M524" t="str">
        <f>IF(COUNTIF($A$2:A524,A524)=1,
     VLOOKUP(A524,Season_Winners!A:B,2,FALSE),
     "")</f>
        <v/>
      </c>
    </row>
    <row r="525" spans="1:14" x14ac:dyDescent="0.3">
      <c r="A525" t="s">
        <v>179</v>
      </c>
      <c r="B525">
        <v>15</v>
      </c>
      <c r="C525" t="s">
        <v>251</v>
      </c>
      <c r="D525" t="str">
        <f t="shared" si="40"/>
        <v>13.12.2014</v>
      </c>
      <c r="E525" s="1">
        <v>0.83333333333333337</v>
      </c>
      <c r="F525" t="s">
        <v>193</v>
      </c>
      <c r="G525" t="s">
        <v>21</v>
      </c>
      <c r="H525" t="s">
        <v>41</v>
      </c>
      <c r="I525" t="str">
        <f t="shared" si="41"/>
        <v>0-0</v>
      </c>
      <c r="J525" t="str">
        <f t="shared" si="42"/>
        <v>0</v>
      </c>
      <c r="K525" t="str">
        <f t="shared" si="43"/>
        <v>0</v>
      </c>
      <c r="L525" t="str">
        <f t="shared" si="44"/>
        <v>Draw</v>
      </c>
      <c r="M525" t="str">
        <f>IF(COUNTIF($A$2:A525,A525)=1,
     VLOOKUP(A525,Season_Winners!A:B,2,FALSE),
     "")</f>
        <v/>
      </c>
    </row>
    <row r="526" spans="1:14" x14ac:dyDescent="0.3">
      <c r="A526" t="s">
        <v>179</v>
      </c>
      <c r="B526">
        <v>15</v>
      </c>
      <c r="C526" t="s">
        <v>251</v>
      </c>
      <c r="D526" t="str">
        <f t="shared" si="40"/>
        <v>13.12.2014</v>
      </c>
      <c r="E526" s="1">
        <v>0.91666666666666663</v>
      </c>
      <c r="F526" t="s">
        <v>17</v>
      </c>
      <c r="G526" t="s">
        <v>35</v>
      </c>
      <c r="H526" t="s">
        <v>18</v>
      </c>
      <c r="I526" t="str">
        <f t="shared" si="41"/>
        <v>1-0</v>
      </c>
      <c r="J526" t="str">
        <f t="shared" si="42"/>
        <v>1</v>
      </c>
      <c r="K526" t="str">
        <f t="shared" si="43"/>
        <v>0</v>
      </c>
      <c r="L526" t="str">
        <f t="shared" si="44"/>
        <v>MÃ¡laga CF</v>
      </c>
      <c r="M526" t="str">
        <f>IF(COUNTIF($A$2:A526,A526)=1,
     VLOOKUP(A526,Season_Winners!A:B,2,FALSE),
     "")</f>
        <v/>
      </c>
    </row>
    <row r="527" spans="1:14" hidden="1" x14ac:dyDescent="0.3">
      <c r="A527" t="s">
        <v>179</v>
      </c>
      <c r="B527">
        <v>15</v>
      </c>
      <c r="C527" t="s">
        <v>252</v>
      </c>
      <c r="D527" t="str">
        <f t="shared" si="40"/>
        <v>14.12.2014</v>
      </c>
      <c r="E527" s="1">
        <v>0.5</v>
      </c>
      <c r="F527" t="s">
        <v>36</v>
      </c>
      <c r="G527" t="s">
        <v>24</v>
      </c>
      <c r="H527" s="2">
        <v>46024</v>
      </c>
      <c r="I527" s="3" t="str">
        <f t="shared" si="41"/>
        <v/>
      </c>
      <c r="J527" t="str">
        <f t="shared" si="42"/>
        <v/>
      </c>
      <c r="K527" t="str">
        <f t="shared" si="43"/>
        <v/>
      </c>
      <c r="L527" t="str">
        <f t="shared" si="44"/>
        <v/>
      </c>
      <c r="M527" t="str">
        <f>IF(COUNTIF($A$2:A527,A527)=1,
     VLOOKUP(A527,Season_Winners!A:B,2,FALSE),
     "")</f>
        <v/>
      </c>
      <c r="N527" s="2"/>
    </row>
    <row r="528" spans="1:14" x14ac:dyDescent="0.3">
      <c r="A528" t="s">
        <v>179</v>
      </c>
      <c r="B528">
        <v>15</v>
      </c>
      <c r="C528" t="s">
        <v>252</v>
      </c>
      <c r="D528" t="str">
        <f t="shared" si="40"/>
        <v>14.12.2014</v>
      </c>
      <c r="E528" s="1">
        <v>0.70833333333333337</v>
      </c>
      <c r="F528" t="s">
        <v>27</v>
      </c>
      <c r="G528" t="s">
        <v>187</v>
      </c>
      <c r="H528" t="s">
        <v>41</v>
      </c>
      <c r="I528" t="str">
        <f t="shared" si="41"/>
        <v>0-0</v>
      </c>
      <c r="J528" t="str">
        <f t="shared" si="42"/>
        <v>0</v>
      </c>
      <c r="K528" t="str">
        <f t="shared" si="43"/>
        <v>0</v>
      </c>
      <c r="L528" t="str">
        <f t="shared" si="44"/>
        <v>Draw</v>
      </c>
      <c r="M528" t="str">
        <f>IF(COUNTIF($A$2:A528,A528)=1,
     VLOOKUP(A528,Season_Winners!A:B,2,FALSE),
     "")</f>
        <v/>
      </c>
    </row>
    <row r="529" spans="1:14" x14ac:dyDescent="0.3">
      <c r="A529" t="s">
        <v>179</v>
      </c>
      <c r="B529">
        <v>15</v>
      </c>
      <c r="C529" t="s">
        <v>252</v>
      </c>
      <c r="D529" t="str">
        <f t="shared" si="40"/>
        <v>14.12.2014</v>
      </c>
      <c r="E529" s="1">
        <v>0.79166666666666663</v>
      </c>
      <c r="F529" t="s">
        <v>1425</v>
      </c>
      <c r="G529" t="s">
        <v>34</v>
      </c>
      <c r="H529" t="s">
        <v>42</v>
      </c>
      <c r="I529" t="str">
        <f t="shared" si="41"/>
        <v>0-1</v>
      </c>
      <c r="J529" t="str">
        <f t="shared" si="42"/>
        <v>0</v>
      </c>
      <c r="K529" t="str">
        <f t="shared" si="43"/>
        <v>1</v>
      </c>
      <c r="L529" t="str">
        <f t="shared" si="44"/>
        <v>Villarreal CF</v>
      </c>
      <c r="M529" t="str">
        <f>IF(COUNTIF($A$2:A529,A529)=1,
     VLOOKUP(A529,Season_Winners!A:B,2,FALSE),
     "")</f>
        <v/>
      </c>
    </row>
    <row r="530" spans="1:14" hidden="1" x14ac:dyDescent="0.3">
      <c r="A530" t="s">
        <v>179</v>
      </c>
      <c r="B530">
        <v>15</v>
      </c>
      <c r="C530" t="s">
        <v>252</v>
      </c>
      <c r="D530" t="str">
        <f t="shared" si="40"/>
        <v>14.12.2014</v>
      </c>
      <c r="E530" s="1">
        <v>0.875</v>
      </c>
      <c r="F530" t="s">
        <v>10</v>
      </c>
      <c r="G530" t="s">
        <v>15</v>
      </c>
      <c r="H530" s="2">
        <v>46023</v>
      </c>
      <c r="I530" s="3" t="str">
        <f t="shared" si="41"/>
        <v/>
      </c>
      <c r="J530" t="str">
        <f t="shared" si="42"/>
        <v/>
      </c>
      <c r="K530" t="str">
        <f t="shared" si="43"/>
        <v/>
      </c>
      <c r="L530" t="str">
        <f t="shared" si="44"/>
        <v/>
      </c>
      <c r="M530" t="str">
        <f>IF(COUNTIF($A$2:A530,A530)=1,
     VLOOKUP(A530,Season_Winners!A:B,2,FALSE),
     "")</f>
        <v/>
      </c>
      <c r="N530" s="2"/>
    </row>
    <row r="531" spans="1:14" x14ac:dyDescent="0.3">
      <c r="A531" t="s">
        <v>179</v>
      </c>
      <c r="B531">
        <v>15</v>
      </c>
      <c r="C531" t="s">
        <v>253</v>
      </c>
      <c r="D531" t="str">
        <f t="shared" si="40"/>
        <v>15.12.2014</v>
      </c>
      <c r="E531" s="1">
        <v>0.86458333333333337</v>
      </c>
      <c r="F531" t="s">
        <v>182</v>
      </c>
      <c r="G531" t="s">
        <v>31</v>
      </c>
      <c r="H531" t="s">
        <v>18</v>
      </c>
      <c r="I531" t="str">
        <f t="shared" si="41"/>
        <v>1-0</v>
      </c>
      <c r="J531" t="str">
        <f t="shared" si="42"/>
        <v>1</v>
      </c>
      <c r="K531" t="str">
        <f t="shared" si="43"/>
        <v>0</v>
      </c>
      <c r="L531" t="str">
        <f t="shared" si="44"/>
        <v>RC Deportivo</v>
      </c>
      <c r="M531" t="str">
        <f>IF(COUNTIF($A$2:A531,A531)=1,
     VLOOKUP(A531,Season_Winners!A:B,2,FALSE),
     "")</f>
        <v/>
      </c>
    </row>
    <row r="532" spans="1:14" x14ac:dyDescent="0.3">
      <c r="A532" t="s">
        <v>179</v>
      </c>
      <c r="B532">
        <v>16</v>
      </c>
      <c r="C532" t="s">
        <v>254</v>
      </c>
      <c r="D532" t="str">
        <f t="shared" si="40"/>
        <v>19.12.2014</v>
      </c>
      <c r="E532" s="1">
        <v>0.86458333333333337</v>
      </c>
      <c r="F532" t="s">
        <v>35</v>
      </c>
      <c r="G532" t="s">
        <v>33</v>
      </c>
      <c r="H532" t="s">
        <v>42</v>
      </c>
      <c r="I532" t="str">
        <f t="shared" si="41"/>
        <v>0-1</v>
      </c>
      <c r="J532" t="str">
        <f t="shared" si="42"/>
        <v>0</v>
      </c>
      <c r="K532" t="str">
        <f t="shared" si="43"/>
        <v>1</v>
      </c>
      <c r="L532" t="str">
        <f t="shared" si="44"/>
        <v>UD AlmerÃ­a</v>
      </c>
      <c r="M532" t="str">
        <f>IF(COUNTIF($A$2:A532,A532)=1,
     VLOOKUP(A532,Season_Winners!A:B,2,FALSE),
     "")</f>
        <v/>
      </c>
    </row>
    <row r="533" spans="1:14" x14ac:dyDescent="0.3">
      <c r="A533" t="s">
        <v>179</v>
      </c>
      <c r="B533">
        <v>16</v>
      </c>
      <c r="C533" t="s">
        <v>255</v>
      </c>
      <c r="D533" t="str">
        <f t="shared" si="40"/>
        <v>20.12.2014</v>
      </c>
      <c r="E533" s="1">
        <v>0.66666666666666663</v>
      </c>
      <c r="F533" t="s">
        <v>20</v>
      </c>
      <c r="G533" t="s">
        <v>193</v>
      </c>
      <c r="H533" t="s">
        <v>40</v>
      </c>
      <c r="I533" t="str">
        <f t="shared" si="41"/>
        <v>5-0</v>
      </c>
      <c r="J533" t="str">
        <f t="shared" si="42"/>
        <v>5</v>
      </c>
      <c r="K533" t="str">
        <f t="shared" si="43"/>
        <v>0</v>
      </c>
      <c r="L533" t="str">
        <f t="shared" si="44"/>
        <v>FC Barcelona</v>
      </c>
      <c r="M533" t="str">
        <f>IF(COUNTIF($A$2:A533,A533)=1,
     VLOOKUP(A533,Season_Winners!A:B,2,FALSE),
     "")</f>
        <v/>
      </c>
    </row>
    <row r="534" spans="1:14" hidden="1" x14ac:dyDescent="0.3">
      <c r="A534" t="s">
        <v>179</v>
      </c>
      <c r="B534">
        <v>16</v>
      </c>
      <c r="C534" t="s">
        <v>255</v>
      </c>
      <c r="D534" t="str">
        <f t="shared" si="40"/>
        <v>20.12.2014</v>
      </c>
      <c r="E534" s="1">
        <v>0.75</v>
      </c>
      <c r="F534" t="s">
        <v>21</v>
      </c>
      <c r="G534" t="s">
        <v>10</v>
      </c>
      <c r="H534" s="2">
        <v>46023</v>
      </c>
      <c r="I534" s="3" t="str">
        <f t="shared" si="41"/>
        <v/>
      </c>
      <c r="J534" t="str">
        <f t="shared" si="42"/>
        <v/>
      </c>
      <c r="K534" t="str">
        <f t="shared" si="43"/>
        <v/>
      </c>
      <c r="L534" t="str">
        <f t="shared" si="44"/>
        <v/>
      </c>
      <c r="M534" t="str">
        <f>IF(COUNTIF($A$2:A534,A534)=1,
     VLOOKUP(A534,Season_Winners!A:B,2,FALSE),
     "")</f>
        <v/>
      </c>
      <c r="N534" s="2"/>
    </row>
    <row r="535" spans="1:14" x14ac:dyDescent="0.3">
      <c r="A535" t="s">
        <v>179</v>
      </c>
      <c r="B535">
        <v>16</v>
      </c>
      <c r="C535" t="s">
        <v>255</v>
      </c>
      <c r="D535" t="str">
        <f t="shared" si="40"/>
        <v>20.12.2014</v>
      </c>
      <c r="E535" s="1">
        <v>0.83333333333333337</v>
      </c>
      <c r="F535" t="s">
        <v>187</v>
      </c>
      <c r="G535" t="s">
        <v>16</v>
      </c>
      <c r="H535" t="s">
        <v>42</v>
      </c>
      <c r="I535" t="str">
        <f t="shared" si="41"/>
        <v>0-1</v>
      </c>
      <c r="J535" t="str">
        <f t="shared" si="42"/>
        <v>0</v>
      </c>
      <c r="K535" t="str">
        <f t="shared" si="43"/>
        <v>1</v>
      </c>
      <c r="L535" t="str">
        <f t="shared" si="44"/>
        <v>Valencia CF</v>
      </c>
      <c r="M535" t="str">
        <f>IF(COUNTIF($A$2:A535,A535)=1,
     VLOOKUP(A535,Season_Winners!A:B,2,FALSE),
     "")</f>
        <v/>
      </c>
    </row>
    <row r="536" spans="1:14" hidden="1" x14ac:dyDescent="0.3">
      <c r="A536" t="s">
        <v>179</v>
      </c>
      <c r="B536">
        <v>16</v>
      </c>
      <c r="C536" t="s">
        <v>255</v>
      </c>
      <c r="D536" t="str">
        <f t="shared" si="40"/>
        <v>20.12.2014</v>
      </c>
      <c r="E536" s="1">
        <v>0.91666666666666663</v>
      </c>
      <c r="F536" t="s">
        <v>30</v>
      </c>
      <c r="G536" t="s">
        <v>36</v>
      </c>
      <c r="H536" s="2">
        <v>46082</v>
      </c>
      <c r="I536" s="3" t="str">
        <f t="shared" si="41"/>
        <v/>
      </c>
      <c r="J536" t="str">
        <f t="shared" si="42"/>
        <v/>
      </c>
      <c r="K536" t="str">
        <f t="shared" si="43"/>
        <v/>
      </c>
      <c r="L536" t="str">
        <f t="shared" si="44"/>
        <v/>
      </c>
      <c r="M536" t="str">
        <f>IF(COUNTIF($A$2:A536,A536)=1,
     VLOOKUP(A536,Season_Winners!A:B,2,FALSE),
     "")</f>
        <v/>
      </c>
      <c r="N536" s="2"/>
    </row>
    <row r="537" spans="1:14" x14ac:dyDescent="0.3">
      <c r="A537" t="s">
        <v>179</v>
      </c>
      <c r="B537">
        <v>16</v>
      </c>
      <c r="C537" t="s">
        <v>256</v>
      </c>
      <c r="D537" t="str">
        <f t="shared" si="40"/>
        <v>21.12.2014</v>
      </c>
      <c r="E537" s="1">
        <v>0.5</v>
      </c>
      <c r="F537" t="s">
        <v>34</v>
      </c>
      <c r="G537" t="s">
        <v>182</v>
      </c>
      <c r="H537" t="s">
        <v>32</v>
      </c>
      <c r="I537" t="str">
        <f t="shared" si="41"/>
        <v>3-0</v>
      </c>
      <c r="J537" t="str">
        <f t="shared" si="42"/>
        <v>3</v>
      </c>
      <c r="K537" t="str">
        <f t="shared" si="43"/>
        <v>0</v>
      </c>
      <c r="L537" t="str">
        <f t="shared" si="44"/>
        <v>Villarreal CF</v>
      </c>
      <c r="M537" t="str">
        <f>IF(COUNTIF($A$2:A537,A537)=1,
     VLOOKUP(A537,Season_Winners!A:B,2,FALSE),
     "")</f>
        <v/>
      </c>
    </row>
    <row r="538" spans="1:14" hidden="1" x14ac:dyDescent="0.3">
      <c r="A538" t="s">
        <v>179</v>
      </c>
      <c r="B538">
        <v>16</v>
      </c>
      <c r="C538" t="s">
        <v>256</v>
      </c>
      <c r="D538" t="str">
        <f t="shared" si="40"/>
        <v>21.12.2014</v>
      </c>
      <c r="E538" s="1">
        <v>0.70833333333333337</v>
      </c>
      <c r="F538" t="s">
        <v>24</v>
      </c>
      <c r="G538" t="s">
        <v>11</v>
      </c>
      <c r="H538" s="2">
        <v>46023</v>
      </c>
      <c r="I538" s="3" t="str">
        <f t="shared" si="41"/>
        <v/>
      </c>
      <c r="J538" t="str">
        <f t="shared" si="42"/>
        <v/>
      </c>
      <c r="K538" t="str">
        <f t="shared" si="43"/>
        <v/>
      </c>
      <c r="L538" t="str">
        <f t="shared" si="44"/>
        <v/>
      </c>
      <c r="M538" t="str">
        <f>IF(COUNTIF($A$2:A538,A538)=1,
     VLOOKUP(A538,Season_Winners!A:B,2,FALSE),
     "")</f>
        <v/>
      </c>
      <c r="N538" s="2"/>
    </row>
    <row r="539" spans="1:14" hidden="1" x14ac:dyDescent="0.3">
      <c r="A539" t="s">
        <v>179</v>
      </c>
      <c r="B539">
        <v>16</v>
      </c>
      <c r="C539" t="s">
        <v>256</v>
      </c>
      <c r="D539" t="str">
        <f t="shared" si="40"/>
        <v>21.12.2014</v>
      </c>
      <c r="E539" s="1">
        <v>0.79166666666666663</v>
      </c>
      <c r="F539" t="s">
        <v>31</v>
      </c>
      <c r="G539" t="s">
        <v>17</v>
      </c>
      <c r="H539" s="2">
        <v>46054</v>
      </c>
      <c r="I539" s="3" t="str">
        <f t="shared" si="41"/>
        <v/>
      </c>
      <c r="J539" t="str">
        <f t="shared" si="42"/>
        <v/>
      </c>
      <c r="K539" t="str">
        <f t="shared" si="43"/>
        <v/>
      </c>
      <c r="L539" t="str">
        <f t="shared" si="44"/>
        <v/>
      </c>
      <c r="M539" t="str">
        <f>IF(COUNTIF($A$2:A539,A539)=1,
     VLOOKUP(A539,Season_Winners!A:B,2,FALSE),
     "")</f>
        <v/>
      </c>
      <c r="N539" s="2"/>
    </row>
    <row r="540" spans="1:14" hidden="1" x14ac:dyDescent="0.3">
      <c r="A540" t="s">
        <v>179</v>
      </c>
      <c r="B540">
        <v>16</v>
      </c>
      <c r="C540" t="s">
        <v>256</v>
      </c>
      <c r="D540" t="str">
        <f t="shared" si="40"/>
        <v>21.12.2014</v>
      </c>
      <c r="E540" s="1">
        <v>0.875</v>
      </c>
      <c r="F540" t="s">
        <v>15</v>
      </c>
      <c r="G540" t="s">
        <v>28</v>
      </c>
      <c r="H540" s="2">
        <v>46113</v>
      </c>
      <c r="I540" s="3" t="str">
        <f t="shared" si="41"/>
        <v/>
      </c>
      <c r="J540" t="str">
        <f t="shared" si="42"/>
        <v/>
      </c>
      <c r="K540" t="str">
        <f t="shared" si="43"/>
        <v/>
      </c>
      <c r="L540" t="str">
        <f t="shared" si="44"/>
        <v/>
      </c>
      <c r="M540" t="str">
        <f>IF(COUNTIF($A$2:A540,A540)=1,
     VLOOKUP(A540,Season_Winners!A:B,2,FALSE),
     "")</f>
        <v/>
      </c>
      <c r="N540" s="2"/>
    </row>
    <row r="541" spans="1:14" hidden="1" x14ac:dyDescent="0.3">
      <c r="A541" t="s">
        <v>179</v>
      </c>
      <c r="B541">
        <v>16</v>
      </c>
      <c r="C541" t="s">
        <v>257</v>
      </c>
      <c r="D541" t="str">
        <f t="shared" si="40"/>
        <v>04.02.2015</v>
      </c>
      <c r="E541" s="1">
        <v>0.86458333333333337</v>
      </c>
      <c r="F541" t="s">
        <v>25</v>
      </c>
      <c r="G541" t="s">
        <v>27</v>
      </c>
      <c r="H541" s="2">
        <v>46024</v>
      </c>
      <c r="I541" s="3" t="str">
        <f t="shared" si="41"/>
        <v/>
      </c>
      <c r="J541" t="str">
        <f t="shared" si="42"/>
        <v/>
      </c>
      <c r="K541" t="str">
        <f t="shared" si="43"/>
        <v/>
      </c>
      <c r="L541" t="str">
        <f t="shared" si="44"/>
        <v/>
      </c>
      <c r="M541" t="str">
        <f>IF(COUNTIF($A$2:A541,A541)=1,
     VLOOKUP(A541,Season_Winners!A:B,2,FALSE),
     "")</f>
        <v/>
      </c>
      <c r="N541" s="2"/>
    </row>
    <row r="542" spans="1:14" hidden="1" x14ac:dyDescent="0.3">
      <c r="A542" t="s">
        <v>179</v>
      </c>
      <c r="B542">
        <v>17</v>
      </c>
      <c r="C542" t="s">
        <v>258</v>
      </c>
      <c r="D542" t="str">
        <f t="shared" si="40"/>
        <v>03.01.2015</v>
      </c>
      <c r="E542" s="1">
        <v>0.66666666666666663</v>
      </c>
      <c r="F542" t="s">
        <v>28</v>
      </c>
      <c r="G542" t="s">
        <v>21</v>
      </c>
      <c r="H542" s="2">
        <v>46025</v>
      </c>
      <c r="I542" s="3" t="str">
        <f t="shared" si="41"/>
        <v/>
      </c>
      <c r="J542" t="str">
        <f t="shared" si="42"/>
        <v/>
      </c>
      <c r="K542" t="str">
        <f t="shared" si="43"/>
        <v/>
      </c>
      <c r="L542" t="str">
        <f t="shared" si="44"/>
        <v/>
      </c>
      <c r="M542" t="str">
        <f>IF(COUNTIF($A$2:A542,A542)=1,
     VLOOKUP(A542,Season_Winners!A:B,2,FALSE),
     "")</f>
        <v/>
      </c>
      <c r="N542" s="2"/>
    </row>
    <row r="543" spans="1:14" x14ac:dyDescent="0.3">
      <c r="A543" t="s">
        <v>179</v>
      </c>
      <c r="B543">
        <v>17</v>
      </c>
      <c r="C543" t="s">
        <v>258</v>
      </c>
      <c r="D543" t="str">
        <f t="shared" si="40"/>
        <v>03.01.2015</v>
      </c>
      <c r="E543" s="1">
        <v>0.75</v>
      </c>
      <c r="F543" t="s">
        <v>27</v>
      </c>
      <c r="G543" t="s">
        <v>35</v>
      </c>
      <c r="H543" t="s">
        <v>18</v>
      </c>
      <c r="I543" t="str">
        <f t="shared" si="41"/>
        <v>1-0</v>
      </c>
      <c r="J543" t="str">
        <f t="shared" si="42"/>
        <v>1</v>
      </c>
      <c r="K543" t="str">
        <f t="shared" si="43"/>
        <v>0</v>
      </c>
      <c r="L543" t="str">
        <f t="shared" si="44"/>
        <v>Sevilla FC</v>
      </c>
      <c r="M543" t="str">
        <f>IF(COUNTIF($A$2:A543,A543)=1,
     VLOOKUP(A543,Season_Winners!A:B,2,FALSE),
     "")</f>
        <v/>
      </c>
    </row>
    <row r="544" spans="1:14" hidden="1" x14ac:dyDescent="0.3">
      <c r="A544" t="s">
        <v>179</v>
      </c>
      <c r="B544">
        <v>17</v>
      </c>
      <c r="C544" t="s">
        <v>258</v>
      </c>
      <c r="D544" t="str">
        <f t="shared" si="40"/>
        <v>03.01.2015</v>
      </c>
      <c r="E544" s="1">
        <v>0.83333333333333337</v>
      </c>
      <c r="F544" t="s">
        <v>31</v>
      </c>
      <c r="G544" t="s">
        <v>34</v>
      </c>
      <c r="H544" s="2">
        <v>46055</v>
      </c>
      <c r="I544" s="3" t="str">
        <f t="shared" si="41"/>
        <v/>
      </c>
      <c r="J544" t="str">
        <f t="shared" si="42"/>
        <v/>
      </c>
      <c r="K544" t="str">
        <f t="shared" si="43"/>
        <v/>
      </c>
      <c r="L544" t="str">
        <f t="shared" si="44"/>
        <v/>
      </c>
      <c r="M544" t="str">
        <f>IF(COUNTIF($A$2:A544,A544)=1,
     VLOOKUP(A544,Season_Winners!A:B,2,FALSE),
     "")</f>
        <v/>
      </c>
      <c r="N544" s="2"/>
    </row>
    <row r="545" spans="1:14" hidden="1" x14ac:dyDescent="0.3">
      <c r="A545" t="s">
        <v>179</v>
      </c>
      <c r="B545">
        <v>17</v>
      </c>
      <c r="C545" t="s">
        <v>258</v>
      </c>
      <c r="D545" t="str">
        <f t="shared" si="40"/>
        <v>03.01.2015</v>
      </c>
      <c r="E545" s="1">
        <v>0.91666666666666663</v>
      </c>
      <c r="F545" t="s">
        <v>17</v>
      </c>
      <c r="G545" t="s">
        <v>33</v>
      </c>
      <c r="H545" s="2">
        <v>46054</v>
      </c>
      <c r="I545" s="3" t="str">
        <f t="shared" si="41"/>
        <v/>
      </c>
      <c r="J545" t="str">
        <f t="shared" si="42"/>
        <v/>
      </c>
      <c r="K545" t="str">
        <f t="shared" si="43"/>
        <v/>
      </c>
      <c r="L545" t="str">
        <f t="shared" si="44"/>
        <v/>
      </c>
      <c r="M545" t="str">
        <f>IF(COUNTIF($A$2:A545,A545)=1,
     VLOOKUP(A545,Season_Winners!A:B,2,FALSE),
     "")</f>
        <v/>
      </c>
      <c r="N545" s="2"/>
    </row>
    <row r="546" spans="1:14" x14ac:dyDescent="0.3">
      <c r="A546" t="s">
        <v>179</v>
      </c>
      <c r="B546">
        <v>17</v>
      </c>
      <c r="C546" t="s">
        <v>258</v>
      </c>
      <c r="D546" t="str">
        <f t="shared" si="40"/>
        <v>03.01.2015</v>
      </c>
      <c r="E546" s="1">
        <v>0.91666666666666663</v>
      </c>
      <c r="F546" t="s">
        <v>182</v>
      </c>
      <c r="G546" t="s">
        <v>15</v>
      </c>
      <c r="H546" t="s">
        <v>18</v>
      </c>
      <c r="I546" t="str">
        <f t="shared" si="41"/>
        <v>1-0</v>
      </c>
      <c r="J546" t="str">
        <f t="shared" si="42"/>
        <v>1</v>
      </c>
      <c r="K546" t="str">
        <f t="shared" si="43"/>
        <v>0</v>
      </c>
      <c r="L546" t="str">
        <f t="shared" si="44"/>
        <v>RC Deportivo</v>
      </c>
      <c r="M546" t="str">
        <f>IF(COUNTIF($A$2:A546,A546)=1,
     VLOOKUP(A546,Season_Winners!A:B,2,FALSE),
     "")</f>
        <v/>
      </c>
    </row>
    <row r="547" spans="1:14" hidden="1" x14ac:dyDescent="0.3">
      <c r="A547" t="s">
        <v>179</v>
      </c>
      <c r="B547">
        <v>17</v>
      </c>
      <c r="C547" t="s">
        <v>259</v>
      </c>
      <c r="D547" t="str">
        <f t="shared" si="40"/>
        <v>04.01.2015</v>
      </c>
      <c r="E547" s="1">
        <v>0.5</v>
      </c>
      <c r="F547" t="s">
        <v>11</v>
      </c>
      <c r="G547" t="s">
        <v>30</v>
      </c>
      <c r="H547" s="2">
        <v>46054</v>
      </c>
      <c r="I547" s="3" t="str">
        <f t="shared" si="41"/>
        <v/>
      </c>
      <c r="J547" t="str">
        <f t="shared" si="42"/>
        <v/>
      </c>
      <c r="K547" t="str">
        <f t="shared" si="43"/>
        <v/>
      </c>
      <c r="L547" t="str">
        <f t="shared" si="44"/>
        <v/>
      </c>
      <c r="M547" t="str">
        <f>IF(COUNTIF($A$2:A547,A547)=1,
     VLOOKUP(A547,Season_Winners!A:B,2,FALSE),
     "")</f>
        <v/>
      </c>
      <c r="N547" s="2"/>
    </row>
    <row r="548" spans="1:14" hidden="1" x14ac:dyDescent="0.3">
      <c r="A548" t="s">
        <v>179</v>
      </c>
      <c r="B548">
        <v>17</v>
      </c>
      <c r="C548" t="s">
        <v>259</v>
      </c>
      <c r="D548" t="str">
        <f t="shared" si="40"/>
        <v>04.01.2015</v>
      </c>
      <c r="E548" s="1">
        <v>0.70833333333333337</v>
      </c>
      <c r="F548" t="s">
        <v>16</v>
      </c>
      <c r="G548" t="s">
        <v>25</v>
      </c>
      <c r="H548" s="2">
        <v>46024</v>
      </c>
      <c r="I548" s="3" t="str">
        <f t="shared" si="41"/>
        <v/>
      </c>
      <c r="J548" t="str">
        <f t="shared" si="42"/>
        <v/>
      </c>
      <c r="K548" t="str">
        <f t="shared" si="43"/>
        <v/>
      </c>
      <c r="L548" t="str">
        <f t="shared" si="44"/>
        <v/>
      </c>
      <c r="M548" t="str">
        <f>IF(COUNTIF($A$2:A548,A548)=1,
     VLOOKUP(A548,Season_Winners!A:B,2,FALSE),
     "")</f>
        <v/>
      </c>
      <c r="N548" s="2"/>
    </row>
    <row r="549" spans="1:14" hidden="1" x14ac:dyDescent="0.3">
      <c r="A549" t="s">
        <v>179</v>
      </c>
      <c r="B549">
        <v>17</v>
      </c>
      <c r="C549" t="s">
        <v>259</v>
      </c>
      <c r="D549" t="str">
        <f t="shared" si="40"/>
        <v>04.01.2015</v>
      </c>
      <c r="E549" s="1">
        <v>0.79166666666666663</v>
      </c>
      <c r="F549" t="s">
        <v>36</v>
      </c>
      <c r="G549" t="s">
        <v>187</v>
      </c>
      <c r="H549" s="2">
        <v>46054</v>
      </c>
      <c r="I549" s="3" t="str">
        <f t="shared" si="41"/>
        <v/>
      </c>
      <c r="J549" t="str">
        <f t="shared" si="42"/>
        <v/>
      </c>
      <c r="K549" t="str">
        <f t="shared" si="43"/>
        <v/>
      </c>
      <c r="L549" t="str">
        <f t="shared" si="44"/>
        <v/>
      </c>
      <c r="M549" t="str">
        <f>IF(COUNTIF($A$2:A549,A549)=1,
     VLOOKUP(A549,Season_Winners!A:B,2,FALSE),
     "")</f>
        <v/>
      </c>
      <c r="N549" s="2"/>
    </row>
    <row r="550" spans="1:14" x14ac:dyDescent="0.3">
      <c r="A550" t="s">
        <v>179</v>
      </c>
      <c r="B550">
        <v>17</v>
      </c>
      <c r="C550" t="s">
        <v>259</v>
      </c>
      <c r="D550" t="str">
        <f t="shared" si="40"/>
        <v>04.01.2015</v>
      </c>
      <c r="E550" s="1">
        <v>0.875</v>
      </c>
      <c r="F550" t="s">
        <v>10</v>
      </c>
      <c r="G550" t="s">
        <v>20</v>
      </c>
      <c r="H550" t="s">
        <v>18</v>
      </c>
      <c r="I550" t="str">
        <f t="shared" si="41"/>
        <v>1-0</v>
      </c>
      <c r="J550" t="str">
        <f t="shared" si="42"/>
        <v>1</v>
      </c>
      <c r="K550" t="str">
        <f t="shared" si="43"/>
        <v>0</v>
      </c>
      <c r="L550" t="str">
        <f t="shared" si="44"/>
        <v>Real Sociedad</v>
      </c>
      <c r="M550" t="str">
        <f>IF(COUNTIF($A$2:A550,A550)=1,
     VLOOKUP(A550,Season_Winners!A:B,2,FALSE),
     "")</f>
        <v/>
      </c>
    </row>
    <row r="551" spans="1:14" x14ac:dyDescent="0.3">
      <c r="A551" t="s">
        <v>179</v>
      </c>
      <c r="B551">
        <v>17</v>
      </c>
      <c r="C551" t="s">
        <v>260</v>
      </c>
      <c r="D551" t="str">
        <f t="shared" si="40"/>
        <v>05.01.2015</v>
      </c>
      <c r="E551" s="1">
        <v>0.86458333333333337</v>
      </c>
      <c r="F551" t="s">
        <v>193</v>
      </c>
      <c r="G551" t="s">
        <v>24</v>
      </c>
      <c r="H551" t="s">
        <v>12</v>
      </c>
      <c r="I551" t="str">
        <f t="shared" si="41"/>
        <v>2-0</v>
      </c>
      <c r="J551" t="str">
        <f t="shared" si="42"/>
        <v>2</v>
      </c>
      <c r="K551" t="str">
        <f t="shared" si="43"/>
        <v>0</v>
      </c>
      <c r="L551" t="str">
        <f t="shared" si="44"/>
        <v>CÃ³rdoba CF</v>
      </c>
      <c r="M551" t="str">
        <f>IF(COUNTIF($A$2:A551,A551)=1,
     VLOOKUP(A551,Season_Winners!A:B,2,FALSE),
     "")</f>
        <v/>
      </c>
    </row>
    <row r="552" spans="1:14" x14ac:dyDescent="0.3">
      <c r="A552" t="s">
        <v>179</v>
      </c>
      <c r="B552">
        <v>18</v>
      </c>
      <c r="C552" t="s">
        <v>261</v>
      </c>
      <c r="D552" t="str">
        <f t="shared" si="40"/>
        <v>09.01.2015</v>
      </c>
      <c r="E552" s="1">
        <v>0.86458333333333337</v>
      </c>
      <c r="F552" t="s">
        <v>21</v>
      </c>
      <c r="G552" t="s">
        <v>182</v>
      </c>
      <c r="H552" t="s">
        <v>41</v>
      </c>
      <c r="I552" t="str">
        <f t="shared" si="41"/>
        <v>0-0</v>
      </c>
      <c r="J552" t="str">
        <f t="shared" si="42"/>
        <v>0</v>
      </c>
      <c r="K552" t="str">
        <f t="shared" si="43"/>
        <v>0</v>
      </c>
      <c r="L552" t="str">
        <f t="shared" si="44"/>
        <v>Draw</v>
      </c>
      <c r="M552" t="str">
        <f>IF(COUNTIF($A$2:A552,A552)=1,
     VLOOKUP(A552,Season_Winners!A:B,2,FALSE),
     "")</f>
        <v/>
      </c>
    </row>
    <row r="553" spans="1:14" x14ac:dyDescent="0.3">
      <c r="A553" t="s">
        <v>179</v>
      </c>
      <c r="B553">
        <v>18</v>
      </c>
      <c r="C553" t="s">
        <v>262</v>
      </c>
      <c r="D553" t="str">
        <f t="shared" si="40"/>
        <v>10.01.2015</v>
      </c>
      <c r="E553" s="1">
        <v>0.66666666666666663</v>
      </c>
      <c r="F553" t="s">
        <v>25</v>
      </c>
      <c r="G553" t="s">
        <v>36</v>
      </c>
      <c r="H553" t="s">
        <v>32</v>
      </c>
      <c r="I553" t="str">
        <f t="shared" si="41"/>
        <v>3-0</v>
      </c>
      <c r="J553" t="str">
        <f t="shared" si="42"/>
        <v>3</v>
      </c>
      <c r="K553" t="str">
        <f t="shared" si="43"/>
        <v>0</v>
      </c>
      <c r="L553" t="str">
        <f t="shared" si="44"/>
        <v>Real Madrid</v>
      </c>
      <c r="M553" t="str">
        <f>IF(COUNTIF($A$2:A553,A553)=1,
     VLOOKUP(A553,Season_Winners!A:B,2,FALSE),
     "")</f>
        <v/>
      </c>
    </row>
    <row r="554" spans="1:14" hidden="1" x14ac:dyDescent="0.3">
      <c r="A554" t="s">
        <v>179</v>
      </c>
      <c r="B554">
        <v>18</v>
      </c>
      <c r="C554" t="s">
        <v>262</v>
      </c>
      <c r="D554" t="str">
        <f t="shared" si="40"/>
        <v>10.01.2015</v>
      </c>
      <c r="E554" s="1">
        <v>0.75</v>
      </c>
      <c r="F554" t="s">
        <v>17</v>
      </c>
      <c r="G554" t="s">
        <v>34</v>
      </c>
      <c r="H554" s="2">
        <v>46023</v>
      </c>
      <c r="I554" s="3" t="str">
        <f t="shared" si="41"/>
        <v/>
      </c>
      <c r="J554" t="str">
        <f t="shared" si="42"/>
        <v/>
      </c>
      <c r="K554" t="str">
        <f t="shared" si="43"/>
        <v/>
      </c>
      <c r="L554" t="str">
        <f t="shared" si="44"/>
        <v/>
      </c>
      <c r="M554" t="str">
        <f>IF(COUNTIF($A$2:A554,A554)=1,
     VLOOKUP(A554,Season_Winners!A:B,2,FALSE),
     "")</f>
        <v/>
      </c>
      <c r="N554" s="2"/>
    </row>
    <row r="555" spans="1:14" hidden="1" x14ac:dyDescent="0.3">
      <c r="A555" t="s">
        <v>179</v>
      </c>
      <c r="B555">
        <v>18</v>
      </c>
      <c r="C555" t="s">
        <v>262</v>
      </c>
      <c r="D555" t="str">
        <f t="shared" si="40"/>
        <v>10.01.2015</v>
      </c>
      <c r="E555" s="1">
        <v>0.83333333333333337</v>
      </c>
      <c r="F555" t="s">
        <v>35</v>
      </c>
      <c r="G555" t="s">
        <v>16</v>
      </c>
      <c r="H555" s="2">
        <v>46023</v>
      </c>
      <c r="I555" s="3" t="str">
        <f t="shared" si="41"/>
        <v/>
      </c>
      <c r="J555" t="str">
        <f t="shared" si="42"/>
        <v/>
      </c>
      <c r="K555" t="str">
        <f t="shared" si="43"/>
        <v/>
      </c>
      <c r="L555" t="str">
        <f t="shared" si="44"/>
        <v/>
      </c>
      <c r="M555" t="str">
        <f>IF(COUNTIF($A$2:A555,A555)=1,
     VLOOKUP(A555,Season_Winners!A:B,2,FALSE),
     "")</f>
        <v/>
      </c>
      <c r="N555" s="2"/>
    </row>
    <row r="556" spans="1:14" hidden="1" x14ac:dyDescent="0.3">
      <c r="A556" t="s">
        <v>179</v>
      </c>
      <c r="B556">
        <v>18</v>
      </c>
      <c r="C556" t="s">
        <v>262</v>
      </c>
      <c r="D556" t="str">
        <f t="shared" si="40"/>
        <v>10.01.2015</v>
      </c>
      <c r="E556" s="1">
        <v>0.91666666666666663</v>
      </c>
      <c r="F556" t="s">
        <v>187</v>
      </c>
      <c r="G556" t="s">
        <v>11</v>
      </c>
      <c r="H556" s="2">
        <v>46024</v>
      </c>
      <c r="I556" s="3" t="str">
        <f t="shared" si="41"/>
        <v/>
      </c>
      <c r="J556" t="str">
        <f t="shared" si="42"/>
        <v/>
      </c>
      <c r="K556" t="str">
        <f t="shared" si="43"/>
        <v/>
      </c>
      <c r="L556" t="str">
        <f t="shared" si="44"/>
        <v/>
      </c>
      <c r="M556" t="str">
        <f>IF(COUNTIF($A$2:A556,A556)=1,
     VLOOKUP(A556,Season_Winners!A:B,2,FALSE),
     "")</f>
        <v/>
      </c>
      <c r="N556" s="2"/>
    </row>
    <row r="557" spans="1:14" x14ac:dyDescent="0.3">
      <c r="A557" t="s">
        <v>179</v>
      </c>
      <c r="B557">
        <v>18</v>
      </c>
      <c r="C557" t="s">
        <v>263</v>
      </c>
      <c r="D557" t="str">
        <f t="shared" si="40"/>
        <v>11.01.2015</v>
      </c>
      <c r="E557" s="1">
        <v>0.5</v>
      </c>
      <c r="F557" t="s">
        <v>33</v>
      </c>
      <c r="G557" t="s">
        <v>27</v>
      </c>
      <c r="H557" t="s">
        <v>54</v>
      </c>
      <c r="I557" t="str">
        <f t="shared" si="41"/>
        <v>0-2</v>
      </c>
      <c r="J557" t="str">
        <f t="shared" si="42"/>
        <v>0</v>
      </c>
      <c r="K557" t="str">
        <f t="shared" si="43"/>
        <v>2</v>
      </c>
      <c r="L557" t="str">
        <f t="shared" si="44"/>
        <v>Sevilla FC</v>
      </c>
      <c r="M557" t="str">
        <f>IF(COUNTIF($A$2:A557,A557)=1,
     VLOOKUP(A557,Season_Winners!A:B,2,FALSE),
     "")</f>
        <v/>
      </c>
    </row>
    <row r="558" spans="1:14" hidden="1" x14ac:dyDescent="0.3">
      <c r="A558" t="s">
        <v>179</v>
      </c>
      <c r="B558">
        <v>18</v>
      </c>
      <c r="C558" t="s">
        <v>263</v>
      </c>
      <c r="D558" t="str">
        <f t="shared" si="40"/>
        <v>11.01.2015</v>
      </c>
      <c r="E558" s="1">
        <v>0.70833333333333337</v>
      </c>
      <c r="F558" t="s">
        <v>15</v>
      </c>
      <c r="G558" t="s">
        <v>31</v>
      </c>
      <c r="H558" s="2">
        <v>46054</v>
      </c>
      <c r="I558" s="3" t="str">
        <f t="shared" si="41"/>
        <v/>
      </c>
      <c r="J558" t="str">
        <f t="shared" si="42"/>
        <v/>
      </c>
      <c r="K558" t="str">
        <f t="shared" si="43"/>
        <v/>
      </c>
      <c r="L558" t="str">
        <f t="shared" si="44"/>
        <v/>
      </c>
      <c r="M558" t="str">
        <f>IF(COUNTIF($A$2:A558,A558)=1,
     VLOOKUP(A558,Season_Winners!A:B,2,FALSE),
     "")</f>
        <v/>
      </c>
      <c r="N558" s="2"/>
    </row>
    <row r="559" spans="1:14" hidden="1" x14ac:dyDescent="0.3">
      <c r="A559" t="s">
        <v>179</v>
      </c>
      <c r="B559">
        <v>18</v>
      </c>
      <c r="C559" t="s">
        <v>263</v>
      </c>
      <c r="D559" t="str">
        <f t="shared" si="40"/>
        <v>11.01.2015</v>
      </c>
      <c r="E559" s="1">
        <v>0.79166666666666663</v>
      </c>
      <c r="F559" t="s">
        <v>24</v>
      </c>
      <c r="G559" t="s">
        <v>10</v>
      </c>
      <c r="H559" s="2">
        <v>46023</v>
      </c>
      <c r="I559" s="3" t="str">
        <f t="shared" si="41"/>
        <v/>
      </c>
      <c r="J559" t="str">
        <f t="shared" si="42"/>
        <v/>
      </c>
      <c r="K559" t="str">
        <f t="shared" si="43"/>
        <v/>
      </c>
      <c r="L559" t="str">
        <f t="shared" si="44"/>
        <v/>
      </c>
      <c r="M559" t="str">
        <f>IF(COUNTIF($A$2:A559,A559)=1,
     VLOOKUP(A559,Season_Winners!A:B,2,FALSE),
     "")</f>
        <v/>
      </c>
      <c r="N559" s="2"/>
    </row>
    <row r="560" spans="1:14" hidden="1" x14ac:dyDescent="0.3">
      <c r="A560" t="s">
        <v>179</v>
      </c>
      <c r="B560">
        <v>18</v>
      </c>
      <c r="C560" t="s">
        <v>263</v>
      </c>
      <c r="D560" t="str">
        <f t="shared" si="40"/>
        <v>11.01.2015</v>
      </c>
      <c r="E560" s="1">
        <v>0.875</v>
      </c>
      <c r="F560" t="s">
        <v>20</v>
      </c>
      <c r="G560" t="s">
        <v>28</v>
      </c>
      <c r="H560" s="2">
        <v>46025</v>
      </c>
      <c r="I560" s="3" t="str">
        <f t="shared" si="41"/>
        <v/>
      </c>
      <c r="J560" t="str">
        <f t="shared" si="42"/>
        <v/>
      </c>
      <c r="K560" t="str">
        <f t="shared" si="43"/>
        <v/>
      </c>
      <c r="L560" t="str">
        <f t="shared" si="44"/>
        <v/>
      </c>
      <c r="M560" t="str">
        <f>IF(COUNTIF($A$2:A560,A560)=1,
     VLOOKUP(A560,Season_Winners!A:B,2,FALSE),
     "")</f>
        <v/>
      </c>
      <c r="N560" s="2"/>
    </row>
    <row r="561" spans="1:14" x14ac:dyDescent="0.3">
      <c r="A561" t="s">
        <v>179</v>
      </c>
      <c r="B561">
        <v>18</v>
      </c>
      <c r="C561" t="s">
        <v>264</v>
      </c>
      <c r="D561" t="str">
        <f t="shared" si="40"/>
        <v>12.01.2015</v>
      </c>
      <c r="E561" s="1">
        <v>0.86458333333333337</v>
      </c>
      <c r="F561" t="s">
        <v>30</v>
      </c>
      <c r="G561" t="s">
        <v>193</v>
      </c>
      <c r="H561" t="s">
        <v>42</v>
      </c>
      <c r="I561" t="str">
        <f t="shared" si="41"/>
        <v>0-1</v>
      </c>
      <c r="J561" t="str">
        <f t="shared" si="42"/>
        <v>0</v>
      </c>
      <c r="K561" t="str">
        <f t="shared" si="43"/>
        <v>1</v>
      </c>
      <c r="L561" t="str">
        <f t="shared" si="44"/>
        <v>CÃ³rdoba CF</v>
      </c>
      <c r="M561" t="str">
        <f>IF(COUNTIF($A$2:A561,A561)=1,
     VLOOKUP(A561,Season_Winners!A:B,2,FALSE),
     "")</f>
        <v/>
      </c>
    </row>
    <row r="562" spans="1:14" hidden="1" x14ac:dyDescent="0.3">
      <c r="A562" t="s">
        <v>179</v>
      </c>
      <c r="B562">
        <v>19</v>
      </c>
      <c r="C562" t="s">
        <v>265</v>
      </c>
      <c r="D562" t="str">
        <f t="shared" si="40"/>
        <v>16.01.2015</v>
      </c>
      <c r="E562" s="1">
        <v>0.86458333333333337</v>
      </c>
      <c r="F562" t="s">
        <v>193</v>
      </c>
      <c r="G562" t="s">
        <v>187</v>
      </c>
      <c r="H562" s="2">
        <v>46023</v>
      </c>
      <c r="I562" s="3" t="str">
        <f t="shared" si="41"/>
        <v/>
      </c>
      <c r="J562" t="str">
        <f t="shared" si="42"/>
        <v/>
      </c>
      <c r="K562" t="str">
        <f t="shared" si="43"/>
        <v/>
      </c>
      <c r="L562" t="str">
        <f t="shared" si="44"/>
        <v/>
      </c>
      <c r="M562" t="str">
        <f>IF(COUNTIF($A$2:A562,A562)=1,
     VLOOKUP(A562,Season_Winners!A:B,2,FALSE),
     "")</f>
        <v/>
      </c>
      <c r="N562" s="2"/>
    </row>
    <row r="563" spans="1:14" x14ac:dyDescent="0.3">
      <c r="A563" t="s">
        <v>179</v>
      </c>
      <c r="B563">
        <v>19</v>
      </c>
      <c r="C563" t="s">
        <v>266</v>
      </c>
      <c r="D563" t="str">
        <f t="shared" si="40"/>
        <v>17.01.2015</v>
      </c>
      <c r="E563" s="1">
        <v>0.66666666666666663</v>
      </c>
      <c r="F563" t="s">
        <v>10</v>
      </c>
      <c r="G563" t="s">
        <v>30</v>
      </c>
      <c r="H563" t="s">
        <v>42</v>
      </c>
      <c r="I563" t="str">
        <f t="shared" si="41"/>
        <v>0-1</v>
      </c>
      <c r="J563" t="str">
        <f t="shared" si="42"/>
        <v>0</v>
      </c>
      <c r="K563" t="str">
        <f t="shared" si="43"/>
        <v>1</v>
      </c>
      <c r="L563" t="str">
        <f t="shared" si="44"/>
        <v>Rayo Vallecano</v>
      </c>
      <c r="M563" t="str">
        <f>IF(COUNTIF($A$2:A563,A563)=1,
     VLOOKUP(A563,Season_Winners!A:B,2,FALSE),
     "")</f>
        <v/>
      </c>
    </row>
    <row r="564" spans="1:14" hidden="1" x14ac:dyDescent="0.3">
      <c r="A564" t="s">
        <v>179</v>
      </c>
      <c r="B564">
        <v>19</v>
      </c>
      <c r="C564" t="s">
        <v>266</v>
      </c>
      <c r="D564" t="str">
        <f t="shared" si="40"/>
        <v>17.01.2015</v>
      </c>
      <c r="E564" s="1">
        <v>0.75</v>
      </c>
      <c r="F564" t="s">
        <v>16</v>
      </c>
      <c r="G564" t="s">
        <v>33</v>
      </c>
      <c r="H564" s="2">
        <v>46056</v>
      </c>
      <c r="I564" s="3" t="str">
        <f t="shared" si="41"/>
        <v/>
      </c>
      <c r="J564" t="str">
        <f t="shared" si="42"/>
        <v/>
      </c>
      <c r="K564" t="str">
        <f t="shared" si="43"/>
        <v/>
      </c>
      <c r="L564" t="str">
        <f t="shared" si="44"/>
        <v/>
      </c>
      <c r="M564" t="str">
        <f>IF(COUNTIF($A$2:A564,A564)=1,
     VLOOKUP(A564,Season_Winners!A:B,2,FALSE),
     "")</f>
        <v/>
      </c>
      <c r="N564" s="2"/>
    </row>
    <row r="565" spans="1:14" x14ac:dyDescent="0.3">
      <c r="A565" t="s">
        <v>179</v>
      </c>
      <c r="B565">
        <v>19</v>
      </c>
      <c r="C565" t="s">
        <v>266</v>
      </c>
      <c r="D565" t="str">
        <f t="shared" si="40"/>
        <v>17.01.2015</v>
      </c>
      <c r="E565" s="1">
        <v>0.83333333333333337</v>
      </c>
      <c r="F565" t="s">
        <v>34</v>
      </c>
      <c r="G565" t="s">
        <v>15</v>
      </c>
      <c r="H565" t="s">
        <v>12</v>
      </c>
      <c r="I565" t="str">
        <f t="shared" si="41"/>
        <v>2-0</v>
      </c>
      <c r="J565" t="str">
        <f t="shared" si="42"/>
        <v>2</v>
      </c>
      <c r="K565" t="str">
        <f t="shared" si="43"/>
        <v>0</v>
      </c>
      <c r="L565" t="str">
        <f t="shared" si="44"/>
        <v>Villarreal CF</v>
      </c>
      <c r="M565" t="str">
        <f>IF(COUNTIF($A$2:A565,A565)=1,
     VLOOKUP(A565,Season_Winners!A:B,2,FALSE),
     "")</f>
        <v/>
      </c>
    </row>
    <row r="566" spans="1:14" x14ac:dyDescent="0.3">
      <c r="A566" t="s">
        <v>179</v>
      </c>
      <c r="B566">
        <v>19</v>
      </c>
      <c r="C566" t="s">
        <v>266</v>
      </c>
      <c r="D566" t="str">
        <f t="shared" si="40"/>
        <v>17.01.2015</v>
      </c>
      <c r="E566" s="1">
        <v>0.91666666666666663</v>
      </c>
      <c r="F566" t="s">
        <v>36</v>
      </c>
      <c r="G566" t="s">
        <v>35</v>
      </c>
      <c r="H566" t="s">
        <v>18</v>
      </c>
      <c r="I566" t="str">
        <f t="shared" si="41"/>
        <v>1-0</v>
      </c>
      <c r="J566" t="str">
        <f t="shared" si="42"/>
        <v>1</v>
      </c>
      <c r="K566" t="str">
        <f t="shared" si="43"/>
        <v>0</v>
      </c>
      <c r="L566" t="str">
        <f t="shared" si="44"/>
        <v>RCD Espanyol de Barcelona</v>
      </c>
      <c r="M566" t="str">
        <f>IF(COUNTIF($A$2:A566,A566)=1,
     VLOOKUP(A566,Season_Winners!A:B,2,FALSE),
     "")</f>
        <v/>
      </c>
    </row>
    <row r="567" spans="1:14" x14ac:dyDescent="0.3">
      <c r="A567" t="s">
        <v>179</v>
      </c>
      <c r="B567">
        <v>19</v>
      </c>
      <c r="C567" t="s">
        <v>267</v>
      </c>
      <c r="D567" t="str">
        <f t="shared" si="40"/>
        <v>18.01.2015</v>
      </c>
      <c r="E567" s="1">
        <v>0.5</v>
      </c>
      <c r="F567" t="s">
        <v>11</v>
      </c>
      <c r="G567" t="s">
        <v>25</v>
      </c>
      <c r="H567" t="s">
        <v>46</v>
      </c>
      <c r="I567" t="str">
        <f t="shared" si="41"/>
        <v>0-3</v>
      </c>
      <c r="J567" t="str">
        <f t="shared" si="42"/>
        <v>0</v>
      </c>
      <c r="K567" t="str">
        <f t="shared" si="43"/>
        <v>3</v>
      </c>
      <c r="L567" t="str">
        <f t="shared" si="44"/>
        <v>Real Madrid</v>
      </c>
      <c r="M567" t="str">
        <f>IF(COUNTIF($A$2:A567,A567)=1,
     VLOOKUP(A567,Season_Winners!A:B,2,FALSE),
     "")</f>
        <v/>
      </c>
    </row>
    <row r="568" spans="1:14" x14ac:dyDescent="0.3">
      <c r="A568" t="s">
        <v>179</v>
      </c>
      <c r="B568">
        <v>19</v>
      </c>
      <c r="C568" t="s">
        <v>267</v>
      </c>
      <c r="D568" t="str">
        <f t="shared" si="40"/>
        <v>18.01.2015</v>
      </c>
      <c r="E568" s="1">
        <v>0.70833333333333337</v>
      </c>
      <c r="F568" t="s">
        <v>1425</v>
      </c>
      <c r="G568" t="s">
        <v>24</v>
      </c>
      <c r="H568" t="s">
        <v>12</v>
      </c>
      <c r="I568" t="str">
        <f t="shared" si="41"/>
        <v>2-0</v>
      </c>
      <c r="J568" t="str">
        <f t="shared" si="42"/>
        <v>2</v>
      </c>
      <c r="K568" t="str">
        <f t="shared" si="43"/>
        <v>0</v>
      </c>
      <c r="L568" t="str">
        <f t="shared" si="44"/>
        <v>Atlético de Madrid</v>
      </c>
      <c r="M568" t="str">
        <f>IF(COUNTIF($A$2:A568,A568)=1,
     VLOOKUP(A568,Season_Winners!A:B,2,FALSE),
     "")</f>
        <v/>
      </c>
    </row>
    <row r="569" spans="1:14" x14ac:dyDescent="0.3">
      <c r="A569" t="s">
        <v>179</v>
      </c>
      <c r="B569">
        <v>19</v>
      </c>
      <c r="C569" t="s">
        <v>267</v>
      </c>
      <c r="D569" t="str">
        <f t="shared" si="40"/>
        <v>18.01.2015</v>
      </c>
      <c r="E569" s="1">
        <v>0.79166666666666663</v>
      </c>
      <c r="F569" t="s">
        <v>182</v>
      </c>
      <c r="G569" t="s">
        <v>20</v>
      </c>
      <c r="H569" t="s">
        <v>53</v>
      </c>
      <c r="I569" t="str">
        <f t="shared" si="41"/>
        <v>0-4</v>
      </c>
      <c r="J569" t="str">
        <f t="shared" si="42"/>
        <v>0</v>
      </c>
      <c r="K569" t="str">
        <f t="shared" si="43"/>
        <v>4</v>
      </c>
      <c r="L569" t="str">
        <f t="shared" si="44"/>
        <v>FC Barcelona</v>
      </c>
      <c r="M569" t="str">
        <f>IF(COUNTIF($A$2:A569,A569)=1,
     VLOOKUP(A569,Season_Winners!A:B,2,FALSE),
     "")</f>
        <v/>
      </c>
    </row>
    <row r="570" spans="1:14" x14ac:dyDescent="0.3">
      <c r="A570" t="s">
        <v>179</v>
      </c>
      <c r="B570">
        <v>19</v>
      </c>
      <c r="C570" t="s">
        <v>267</v>
      </c>
      <c r="D570" t="str">
        <f t="shared" si="40"/>
        <v>18.01.2015</v>
      </c>
      <c r="E570" s="1">
        <v>0.875</v>
      </c>
      <c r="F570" t="s">
        <v>31</v>
      </c>
      <c r="G570" t="s">
        <v>21</v>
      </c>
      <c r="H570" t="s">
        <v>18</v>
      </c>
      <c r="I570" t="str">
        <f t="shared" si="41"/>
        <v>1-0</v>
      </c>
      <c r="J570" t="str">
        <f t="shared" si="42"/>
        <v>1</v>
      </c>
      <c r="K570" t="str">
        <f t="shared" si="43"/>
        <v>0</v>
      </c>
      <c r="L570" t="str">
        <f t="shared" si="44"/>
        <v>Elche CF</v>
      </c>
      <c r="M570" t="str">
        <f>IF(COUNTIF($A$2:A570,A570)=1,
     VLOOKUP(A570,Season_Winners!A:B,2,FALSE),
     "")</f>
        <v/>
      </c>
    </row>
    <row r="571" spans="1:14" x14ac:dyDescent="0.3">
      <c r="A571" t="s">
        <v>179</v>
      </c>
      <c r="B571">
        <v>19</v>
      </c>
      <c r="C571" t="s">
        <v>267</v>
      </c>
      <c r="D571" t="str">
        <f t="shared" si="40"/>
        <v>18.01.2015</v>
      </c>
      <c r="E571" s="1">
        <v>0.875</v>
      </c>
      <c r="F571" t="s">
        <v>27</v>
      </c>
      <c r="G571" t="s">
        <v>17</v>
      </c>
      <c r="H571" t="s">
        <v>12</v>
      </c>
      <c r="I571" t="str">
        <f t="shared" si="41"/>
        <v>2-0</v>
      </c>
      <c r="J571" t="str">
        <f t="shared" si="42"/>
        <v>2</v>
      </c>
      <c r="K571" t="str">
        <f t="shared" si="43"/>
        <v>0</v>
      </c>
      <c r="L571" t="str">
        <f t="shared" si="44"/>
        <v>Sevilla FC</v>
      </c>
      <c r="M571" t="str">
        <f>IF(COUNTIF($A$2:A571,A571)=1,
     VLOOKUP(A571,Season_Winners!A:B,2,FALSE),
     "")</f>
        <v/>
      </c>
    </row>
    <row r="572" spans="1:14" hidden="1" x14ac:dyDescent="0.3">
      <c r="A572" t="s">
        <v>179</v>
      </c>
      <c r="B572">
        <v>20</v>
      </c>
      <c r="C572" t="s">
        <v>268</v>
      </c>
      <c r="D572" t="str">
        <f t="shared" si="40"/>
        <v>24.01.2015</v>
      </c>
      <c r="E572" s="1">
        <v>0.66666666666666663</v>
      </c>
      <c r="F572" t="s">
        <v>193</v>
      </c>
      <c r="G572" t="s">
        <v>25</v>
      </c>
      <c r="H572" s="2">
        <v>46054</v>
      </c>
      <c r="I572" s="3" t="str">
        <f t="shared" si="41"/>
        <v/>
      </c>
      <c r="J572" t="str">
        <f t="shared" si="42"/>
        <v/>
      </c>
      <c r="K572" t="str">
        <f t="shared" si="43"/>
        <v/>
      </c>
      <c r="L572" t="str">
        <f t="shared" si="44"/>
        <v/>
      </c>
      <c r="M572" t="str">
        <f>IF(COUNTIF($A$2:A572,A572)=1,
     VLOOKUP(A572,Season_Winners!A:B,2,FALSE),
     "")</f>
        <v/>
      </c>
      <c r="N572" s="2"/>
    </row>
    <row r="573" spans="1:14" x14ac:dyDescent="0.3">
      <c r="A573" t="s">
        <v>179</v>
      </c>
      <c r="B573">
        <v>20</v>
      </c>
      <c r="C573" t="s">
        <v>268</v>
      </c>
      <c r="D573" t="str">
        <f t="shared" si="40"/>
        <v>24.01.2015</v>
      </c>
      <c r="E573" s="1">
        <v>0.75</v>
      </c>
      <c r="F573" t="s">
        <v>31</v>
      </c>
      <c r="G573" t="s">
        <v>20</v>
      </c>
      <c r="H573" t="s">
        <v>269</v>
      </c>
      <c r="I573" t="str">
        <f t="shared" si="41"/>
        <v>0-6</v>
      </c>
      <c r="J573" t="str">
        <f t="shared" si="42"/>
        <v>0</v>
      </c>
      <c r="K573" t="str">
        <f t="shared" si="43"/>
        <v>6</v>
      </c>
      <c r="L573" t="str">
        <f t="shared" si="44"/>
        <v>FC Barcelona</v>
      </c>
      <c r="M573" t="str">
        <f>IF(COUNTIF($A$2:A573,A573)=1,
     VLOOKUP(A573,Season_Winners!A:B,2,FALSE),
     "")</f>
        <v/>
      </c>
    </row>
    <row r="574" spans="1:14" hidden="1" x14ac:dyDescent="0.3">
      <c r="A574" t="s">
        <v>179</v>
      </c>
      <c r="B574">
        <v>20</v>
      </c>
      <c r="C574" t="s">
        <v>268</v>
      </c>
      <c r="D574" t="str">
        <f t="shared" si="40"/>
        <v>24.01.2015</v>
      </c>
      <c r="E574" s="1">
        <v>0.83333333333333337</v>
      </c>
      <c r="F574" t="s">
        <v>28</v>
      </c>
      <c r="G574" t="s">
        <v>30</v>
      </c>
      <c r="H574" s="2">
        <v>46025</v>
      </c>
      <c r="I574" s="3" t="str">
        <f t="shared" si="41"/>
        <v/>
      </c>
      <c r="J574" t="str">
        <f t="shared" si="42"/>
        <v/>
      </c>
      <c r="K574" t="str">
        <f t="shared" si="43"/>
        <v/>
      </c>
      <c r="L574" t="str">
        <f t="shared" si="44"/>
        <v/>
      </c>
      <c r="M574" t="str">
        <f>IF(COUNTIF($A$2:A574,A574)=1,
     VLOOKUP(A574,Season_Winners!A:B,2,FALSE),
     "")</f>
        <v/>
      </c>
      <c r="N574" s="2"/>
    </row>
    <row r="575" spans="1:14" x14ac:dyDescent="0.3">
      <c r="A575" t="s">
        <v>179</v>
      </c>
      <c r="B575">
        <v>20</v>
      </c>
      <c r="C575" t="s">
        <v>268</v>
      </c>
      <c r="D575" t="str">
        <f t="shared" si="40"/>
        <v>24.01.2015</v>
      </c>
      <c r="E575" s="1">
        <v>0.91666666666666663</v>
      </c>
      <c r="F575" t="s">
        <v>10</v>
      </c>
      <c r="G575" t="s">
        <v>187</v>
      </c>
      <c r="H575" t="s">
        <v>18</v>
      </c>
      <c r="I575" t="str">
        <f t="shared" si="41"/>
        <v>1-0</v>
      </c>
      <c r="J575" t="str">
        <f t="shared" si="42"/>
        <v>1</v>
      </c>
      <c r="K575" t="str">
        <f t="shared" si="43"/>
        <v>0</v>
      </c>
      <c r="L575" t="str">
        <f t="shared" si="44"/>
        <v>Real Sociedad</v>
      </c>
      <c r="M575" t="str">
        <f>IF(COUNTIF($A$2:A575,A575)=1,
     VLOOKUP(A575,Season_Winners!A:B,2,FALSE),
     "")</f>
        <v/>
      </c>
    </row>
    <row r="576" spans="1:14" x14ac:dyDescent="0.3">
      <c r="A576" t="s">
        <v>179</v>
      </c>
      <c r="B576">
        <v>20</v>
      </c>
      <c r="C576" t="s">
        <v>268</v>
      </c>
      <c r="D576" t="str">
        <f t="shared" si="40"/>
        <v>24.01.2015</v>
      </c>
      <c r="E576" s="1">
        <v>0.91666666666666663</v>
      </c>
      <c r="F576" t="s">
        <v>34</v>
      </c>
      <c r="G576" t="s">
        <v>21</v>
      </c>
      <c r="H576" t="s">
        <v>18</v>
      </c>
      <c r="I576" t="str">
        <f t="shared" si="41"/>
        <v>1-0</v>
      </c>
      <c r="J576" t="str">
        <f t="shared" si="42"/>
        <v>1</v>
      </c>
      <c r="K576" t="str">
        <f t="shared" si="43"/>
        <v>0</v>
      </c>
      <c r="L576" t="str">
        <f t="shared" si="44"/>
        <v>Villarreal CF</v>
      </c>
      <c r="M576" t="str">
        <f>IF(COUNTIF($A$2:A576,A576)=1,
     VLOOKUP(A576,Season_Winners!A:B,2,FALSE),
     "")</f>
        <v/>
      </c>
    </row>
    <row r="577" spans="1:14" hidden="1" x14ac:dyDescent="0.3">
      <c r="A577" t="s">
        <v>179</v>
      </c>
      <c r="B577">
        <v>20</v>
      </c>
      <c r="C577" t="s">
        <v>270</v>
      </c>
      <c r="D577" t="str">
        <f t="shared" si="40"/>
        <v>25.01.2015</v>
      </c>
      <c r="E577" s="1">
        <v>0.5</v>
      </c>
      <c r="F577" t="s">
        <v>182</v>
      </c>
      <c r="G577" t="s">
        <v>24</v>
      </c>
      <c r="H577" s="2">
        <v>46055</v>
      </c>
      <c r="I577" s="3" t="str">
        <f t="shared" si="41"/>
        <v/>
      </c>
      <c r="J577" t="str">
        <f t="shared" si="42"/>
        <v/>
      </c>
      <c r="K577" t="str">
        <f t="shared" si="43"/>
        <v/>
      </c>
      <c r="L577" t="str">
        <f t="shared" si="44"/>
        <v/>
      </c>
      <c r="M577" t="str">
        <f>IF(COUNTIF($A$2:A577,A577)=1,
     VLOOKUP(A577,Season_Winners!A:B,2,FALSE),
     "")</f>
        <v/>
      </c>
      <c r="N577" s="2"/>
    </row>
    <row r="578" spans="1:14" hidden="1" x14ac:dyDescent="0.3">
      <c r="A578" t="s">
        <v>179</v>
      </c>
      <c r="B578">
        <v>20</v>
      </c>
      <c r="C578" t="s">
        <v>270</v>
      </c>
      <c r="D578" t="str">
        <f t="shared" ref="D578:D641" si="45">RIGHT(C578,10)</f>
        <v>25.01.2015</v>
      </c>
      <c r="E578" s="1">
        <v>0.70833333333333337</v>
      </c>
      <c r="F578" t="s">
        <v>15</v>
      </c>
      <c r="G578" t="s">
        <v>17</v>
      </c>
      <c r="H578" s="2">
        <v>46023</v>
      </c>
      <c r="I578" s="3" t="str">
        <f t="shared" ref="I578:I641" si="46">IF(ISNUMBER(SEARCH("-",H578)),H578,"")</f>
        <v/>
      </c>
      <c r="J578" t="str">
        <f t="shared" ref="J578:J641" si="47">IF(I578="","",LEFT(I578,FIND("-",I578)-1))</f>
        <v/>
      </c>
      <c r="K578" t="str">
        <f t="shared" ref="K578:K641" si="48">IF(I578="","",RIGHT(I578,LEN(I578)-FIND("-",I578)))</f>
        <v/>
      </c>
      <c r="L578" t="str">
        <f t="shared" ref="L578:L641" si="49">IF(I578="","",IF(J578&gt;K578,F578,IF(K578&gt;J578,G578,"Draw")))</f>
        <v/>
      </c>
      <c r="M578" t="str">
        <f>IF(COUNTIF($A$2:A578,A578)=1,
     VLOOKUP(A578,Season_Winners!A:B,2,FALSE),
     "")</f>
        <v/>
      </c>
      <c r="N578" s="2"/>
    </row>
    <row r="579" spans="1:14" x14ac:dyDescent="0.3">
      <c r="A579" t="s">
        <v>179</v>
      </c>
      <c r="B579">
        <v>20</v>
      </c>
      <c r="C579" t="s">
        <v>270</v>
      </c>
      <c r="D579" t="str">
        <f t="shared" si="45"/>
        <v>25.01.2015</v>
      </c>
      <c r="E579" s="1">
        <v>0.79166666666666663</v>
      </c>
      <c r="F579" t="s">
        <v>36</v>
      </c>
      <c r="G579" t="s">
        <v>33</v>
      </c>
      <c r="H579" t="s">
        <v>32</v>
      </c>
      <c r="I579" t="str">
        <f t="shared" si="46"/>
        <v>3-0</v>
      </c>
      <c r="J579" t="str">
        <f t="shared" si="47"/>
        <v>3</v>
      </c>
      <c r="K579" t="str">
        <f t="shared" si="48"/>
        <v>0</v>
      </c>
      <c r="L579" t="str">
        <f t="shared" si="49"/>
        <v>RCD Espanyol de Barcelona</v>
      </c>
      <c r="M579" t="str">
        <f>IF(COUNTIF($A$2:A579,A579)=1,
     VLOOKUP(A579,Season_Winners!A:B,2,FALSE),
     "")</f>
        <v/>
      </c>
    </row>
    <row r="580" spans="1:14" hidden="1" x14ac:dyDescent="0.3">
      <c r="A580" t="s">
        <v>179</v>
      </c>
      <c r="B580">
        <v>20</v>
      </c>
      <c r="C580" t="s">
        <v>270</v>
      </c>
      <c r="D580" t="str">
        <f t="shared" si="45"/>
        <v>25.01.2015</v>
      </c>
      <c r="E580" s="1">
        <v>0.875</v>
      </c>
      <c r="F580" t="s">
        <v>16</v>
      </c>
      <c r="G580" t="s">
        <v>27</v>
      </c>
      <c r="H580" s="2">
        <v>46025</v>
      </c>
      <c r="I580" s="3" t="str">
        <f t="shared" si="46"/>
        <v/>
      </c>
      <c r="J580" t="str">
        <f t="shared" si="47"/>
        <v/>
      </c>
      <c r="K580" t="str">
        <f t="shared" si="48"/>
        <v/>
      </c>
      <c r="L580" t="str">
        <f t="shared" si="49"/>
        <v/>
      </c>
      <c r="M580" t="str">
        <f>IF(COUNTIF($A$2:A580,A580)=1,
     VLOOKUP(A580,Season_Winners!A:B,2,FALSE),
     "")</f>
        <v/>
      </c>
      <c r="N580" s="2"/>
    </row>
    <row r="581" spans="1:14" hidden="1" x14ac:dyDescent="0.3">
      <c r="A581" t="s">
        <v>179</v>
      </c>
      <c r="B581">
        <v>20</v>
      </c>
      <c r="C581" t="s">
        <v>271</v>
      </c>
      <c r="D581" t="str">
        <f t="shared" si="45"/>
        <v>26.01.2015</v>
      </c>
      <c r="E581" s="1">
        <v>0.86458333333333337</v>
      </c>
      <c r="F581" t="s">
        <v>11</v>
      </c>
      <c r="G581" t="s">
        <v>35</v>
      </c>
      <c r="H581" s="2">
        <v>46024</v>
      </c>
      <c r="I581" s="3" t="str">
        <f t="shared" si="46"/>
        <v/>
      </c>
      <c r="J581" t="str">
        <f t="shared" si="47"/>
        <v/>
      </c>
      <c r="K581" t="str">
        <f t="shared" si="48"/>
        <v/>
      </c>
      <c r="L581" t="str">
        <f t="shared" si="49"/>
        <v/>
      </c>
      <c r="M581" t="str">
        <f>IF(COUNTIF($A$2:A581,A581)=1,
     VLOOKUP(A581,Season_Winners!A:B,2,FALSE),
     "")</f>
        <v/>
      </c>
      <c r="N581" s="2"/>
    </row>
    <row r="582" spans="1:14" hidden="1" x14ac:dyDescent="0.3">
      <c r="A582" t="s">
        <v>179</v>
      </c>
      <c r="B582">
        <v>21</v>
      </c>
      <c r="C582" t="s">
        <v>272</v>
      </c>
      <c r="D582" t="str">
        <f t="shared" si="45"/>
        <v>30.01.2015</v>
      </c>
      <c r="E582" s="1">
        <v>0.86458333333333337</v>
      </c>
      <c r="F582" t="s">
        <v>30</v>
      </c>
      <c r="G582" t="s">
        <v>182</v>
      </c>
      <c r="H582" s="2">
        <v>46054</v>
      </c>
      <c r="I582" s="3" t="str">
        <f t="shared" si="46"/>
        <v/>
      </c>
      <c r="J582" t="str">
        <f t="shared" si="47"/>
        <v/>
      </c>
      <c r="K582" t="str">
        <f t="shared" si="48"/>
        <v/>
      </c>
      <c r="L582" t="str">
        <f t="shared" si="49"/>
        <v/>
      </c>
      <c r="M582" t="str">
        <f>IF(COUNTIF($A$2:A582,A582)=1,
     VLOOKUP(A582,Season_Winners!A:B,2,FALSE),
     "")</f>
        <v/>
      </c>
      <c r="N582" s="2"/>
    </row>
    <row r="583" spans="1:14" hidden="1" x14ac:dyDescent="0.3">
      <c r="A583" t="s">
        <v>179</v>
      </c>
      <c r="B583">
        <v>21</v>
      </c>
      <c r="C583" t="s">
        <v>273</v>
      </c>
      <c r="D583" t="str">
        <f t="shared" si="45"/>
        <v>31.01.2015</v>
      </c>
      <c r="E583" s="1">
        <v>0.66666666666666663</v>
      </c>
      <c r="F583" t="s">
        <v>25</v>
      </c>
      <c r="G583" t="s">
        <v>10</v>
      </c>
      <c r="H583" s="2">
        <v>46026</v>
      </c>
      <c r="I583" s="3" t="str">
        <f t="shared" si="46"/>
        <v/>
      </c>
      <c r="J583" t="str">
        <f t="shared" si="47"/>
        <v/>
      </c>
      <c r="K583" t="str">
        <f t="shared" si="48"/>
        <v/>
      </c>
      <c r="L583" t="str">
        <f t="shared" si="49"/>
        <v/>
      </c>
      <c r="M583" t="str">
        <f>IF(COUNTIF($A$2:A583,A583)=1,
     VLOOKUP(A583,Season_Winners!A:B,2,FALSE),
     "")</f>
        <v/>
      </c>
      <c r="N583" s="2"/>
    </row>
    <row r="584" spans="1:14" hidden="1" x14ac:dyDescent="0.3">
      <c r="A584" t="s">
        <v>179</v>
      </c>
      <c r="B584">
        <v>21</v>
      </c>
      <c r="C584" t="s">
        <v>273</v>
      </c>
      <c r="D584" t="str">
        <f t="shared" si="45"/>
        <v>31.01.2015</v>
      </c>
      <c r="E584" s="1">
        <v>0.75</v>
      </c>
      <c r="F584" t="s">
        <v>187</v>
      </c>
      <c r="G584" t="s">
        <v>28</v>
      </c>
      <c r="H584" s="2">
        <v>46082</v>
      </c>
      <c r="I584" s="3" t="str">
        <f t="shared" si="46"/>
        <v/>
      </c>
      <c r="J584" t="str">
        <f t="shared" si="47"/>
        <v/>
      </c>
      <c r="K584" t="str">
        <f t="shared" si="48"/>
        <v/>
      </c>
      <c r="L584" t="str">
        <f t="shared" si="49"/>
        <v/>
      </c>
      <c r="M584" t="str">
        <f>IF(COUNTIF($A$2:A584,A584)=1,
     VLOOKUP(A584,Season_Winners!A:B,2,FALSE),
     "")</f>
        <v/>
      </c>
      <c r="N584" s="2"/>
    </row>
    <row r="585" spans="1:14" x14ac:dyDescent="0.3">
      <c r="A585" t="s">
        <v>179</v>
      </c>
      <c r="B585">
        <v>21</v>
      </c>
      <c r="C585" t="s">
        <v>273</v>
      </c>
      <c r="D585" t="str">
        <f t="shared" si="45"/>
        <v>31.01.2015</v>
      </c>
      <c r="E585" s="1">
        <v>0.83333333333333337</v>
      </c>
      <c r="F585" t="s">
        <v>24</v>
      </c>
      <c r="G585" t="s">
        <v>31</v>
      </c>
      <c r="H585" t="s">
        <v>18</v>
      </c>
      <c r="I585" t="str">
        <f t="shared" si="46"/>
        <v>1-0</v>
      </c>
      <c r="J585" t="str">
        <f t="shared" si="47"/>
        <v>1</v>
      </c>
      <c r="K585" t="str">
        <f t="shared" si="48"/>
        <v>0</v>
      </c>
      <c r="L585" t="str">
        <f t="shared" si="49"/>
        <v>Granada CF</v>
      </c>
      <c r="M585" t="str">
        <f>IF(COUNTIF($A$2:A585,A585)=1,
     VLOOKUP(A585,Season_Winners!A:B,2,FALSE),
     "")</f>
        <v/>
      </c>
    </row>
    <row r="586" spans="1:14" x14ac:dyDescent="0.3">
      <c r="A586" t="s">
        <v>179</v>
      </c>
      <c r="B586">
        <v>21</v>
      </c>
      <c r="C586" t="s">
        <v>273</v>
      </c>
      <c r="D586" t="str">
        <f t="shared" si="45"/>
        <v>31.01.2015</v>
      </c>
      <c r="E586" s="1">
        <v>0.91666666666666663</v>
      </c>
      <c r="F586" t="s">
        <v>35</v>
      </c>
      <c r="G586" t="s">
        <v>193</v>
      </c>
      <c r="H586" t="s">
        <v>18</v>
      </c>
      <c r="I586" t="str">
        <f t="shared" si="46"/>
        <v>1-0</v>
      </c>
      <c r="J586" t="str">
        <f t="shared" si="47"/>
        <v>1</v>
      </c>
      <c r="K586" t="str">
        <f t="shared" si="48"/>
        <v>0</v>
      </c>
      <c r="L586" t="str">
        <f t="shared" si="49"/>
        <v>RC Celta</v>
      </c>
      <c r="M586" t="str">
        <f>IF(COUNTIF($A$2:A586,A586)=1,
     VLOOKUP(A586,Season_Winners!A:B,2,FALSE),
     "")</f>
        <v/>
      </c>
    </row>
    <row r="587" spans="1:14" x14ac:dyDescent="0.3">
      <c r="A587" t="s">
        <v>179</v>
      </c>
      <c r="B587">
        <v>21</v>
      </c>
      <c r="C587" t="s">
        <v>274</v>
      </c>
      <c r="D587" t="str">
        <f t="shared" si="45"/>
        <v>01.02.2015</v>
      </c>
      <c r="E587" s="1">
        <v>0.5</v>
      </c>
      <c r="F587" t="s">
        <v>21</v>
      </c>
      <c r="G587" t="s">
        <v>15</v>
      </c>
      <c r="H587" t="s">
        <v>54</v>
      </c>
      <c r="I587" t="str">
        <f t="shared" si="46"/>
        <v>0-2</v>
      </c>
      <c r="J587" t="str">
        <f t="shared" si="47"/>
        <v>0</v>
      </c>
      <c r="K587" t="str">
        <f t="shared" si="48"/>
        <v>2</v>
      </c>
      <c r="L587" t="str">
        <f t="shared" si="49"/>
        <v>Athletic Club</v>
      </c>
      <c r="M587" t="str">
        <f>IF(COUNTIF($A$2:A587,A587)=1,
     VLOOKUP(A587,Season_Winners!A:B,2,FALSE),
     "")</f>
        <v/>
      </c>
    </row>
    <row r="588" spans="1:14" x14ac:dyDescent="0.3">
      <c r="A588" t="s">
        <v>179</v>
      </c>
      <c r="B588">
        <v>21</v>
      </c>
      <c r="C588" t="s">
        <v>274</v>
      </c>
      <c r="D588" t="str">
        <f t="shared" si="45"/>
        <v>01.02.2015</v>
      </c>
      <c r="E588" s="1">
        <v>0.70833333333333337</v>
      </c>
      <c r="F588" t="s">
        <v>33</v>
      </c>
      <c r="G588" t="s">
        <v>11</v>
      </c>
      <c r="H588" t="s">
        <v>18</v>
      </c>
      <c r="I588" t="str">
        <f t="shared" si="46"/>
        <v>1-0</v>
      </c>
      <c r="J588" t="str">
        <f t="shared" si="47"/>
        <v>1</v>
      </c>
      <c r="K588" t="str">
        <f t="shared" si="48"/>
        <v>0</v>
      </c>
      <c r="L588" t="str">
        <f t="shared" si="49"/>
        <v>UD AlmerÃ­a</v>
      </c>
      <c r="M588" t="str">
        <f>IF(COUNTIF($A$2:A588,A588)=1,
     VLOOKUP(A588,Season_Winners!A:B,2,FALSE),
     "")</f>
        <v/>
      </c>
    </row>
    <row r="589" spans="1:14" hidden="1" x14ac:dyDescent="0.3">
      <c r="A589" t="s">
        <v>179</v>
      </c>
      <c r="B589">
        <v>21</v>
      </c>
      <c r="C589" t="s">
        <v>274</v>
      </c>
      <c r="D589" t="str">
        <f t="shared" si="45"/>
        <v>01.02.2015</v>
      </c>
      <c r="E589" s="1">
        <v>0.79166666666666663</v>
      </c>
      <c r="F589" t="s">
        <v>27</v>
      </c>
      <c r="G589" t="s">
        <v>36</v>
      </c>
      <c r="H589" s="2">
        <v>46056</v>
      </c>
      <c r="I589" s="3" t="str">
        <f t="shared" si="46"/>
        <v/>
      </c>
      <c r="J589" t="str">
        <f t="shared" si="47"/>
        <v/>
      </c>
      <c r="K589" t="str">
        <f t="shared" si="48"/>
        <v/>
      </c>
      <c r="L589" t="str">
        <f t="shared" si="49"/>
        <v/>
      </c>
      <c r="M589" t="str">
        <f>IF(COUNTIF($A$2:A589,A589)=1,
     VLOOKUP(A589,Season_Winners!A:B,2,FALSE),
     "")</f>
        <v/>
      </c>
      <c r="N589" s="2"/>
    </row>
    <row r="590" spans="1:14" hidden="1" x14ac:dyDescent="0.3">
      <c r="A590" t="s">
        <v>179</v>
      </c>
      <c r="B590">
        <v>21</v>
      </c>
      <c r="C590" t="s">
        <v>274</v>
      </c>
      <c r="D590" t="str">
        <f t="shared" si="45"/>
        <v>01.02.2015</v>
      </c>
      <c r="E590" s="1">
        <v>0.875</v>
      </c>
      <c r="F590" t="s">
        <v>20</v>
      </c>
      <c r="G590" t="s">
        <v>34</v>
      </c>
      <c r="H590" s="2">
        <v>46056</v>
      </c>
      <c r="I590" s="3" t="str">
        <f t="shared" si="46"/>
        <v/>
      </c>
      <c r="J590" t="str">
        <f t="shared" si="47"/>
        <v/>
      </c>
      <c r="K590" t="str">
        <f t="shared" si="48"/>
        <v/>
      </c>
      <c r="L590" t="str">
        <f t="shared" si="49"/>
        <v/>
      </c>
      <c r="M590" t="str">
        <f>IF(COUNTIF($A$2:A590,A590)=1,
     VLOOKUP(A590,Season_Winners!A:B,2,FALSE),
     "")</f>
        <v/>
      </c>
      <c r="N590" s="2"/>
    </row>
    <row r="591" spans="1:14" x14ac:dyDescent="0.3">
      <c r="A591" t="s">
        <v>179</v>
      </c>
      <c r="B591">
        <v>21</v>
      </c>
      <c r="C591" t="s">
        <v>275</v>
      </c>
      <c r="D591" t="str">
        <f t="shared" si="45"/>
        <v>02.02.2015</v>
      </c>
      <c r="E591" s="1">
        <v>0.86458333333333337</v>
      </c>
      <c r="F591" t="s">
        <v>17</v>
      </c>
      <c r="G591" t="s">
        <v>16</v>
      </c>
      <c r="H591" t="s">
        <v>18</v>
      </c>
      <c r="I591" t="str">
        <f t="shared" si="46"/>
        <v>1-0</v>
      </c>
      <c r="J591" t="str">
        <f t="shared" si="47"/>
        <v>1</v>
      </c>
      <c r="K591" t="str">
        <f t="shared" si="48"/>
        <v>0</v>
      </c>
      <c r="L591" t="str">
        <f t="shared" si="49"/>
        <v>MÃ¡laga CF</v>
      </c>
      <c r="M591" t="str">
        <f>IF(COUNTIF($A$2:A591,A591)=1,
     VLOOKUP(A591,Season_Winners!A:B,2,FALSE),
     "")</f>
        <v/>
      </c>
    </row>
    <row r="592" spans="1:14" x14ac:dyDescent="0.3">
      <c r="A592" t="s">
        <v>179</v>
      </c>
      <c r="B592">
        <v>22</v>
      </c>
      <c r="C592" t="s">
        <v>276</v>
      </c>
      <c r="D592" t="str">
        <f t="shared" si="45"/>
        <v>06.02.2015</v>
      </c>
      <c r="E592" s="1">
        <v>0.86458333333333337</v>
      </c>
      <c r="F592" t="s">
        <v>182</v>
      </c>
      <c r="G592" t="s">
        <v>187</v>
      </c>
      <c r="H592" t="s">
        <v>12</v>
      </c>
      <c r="I592" t="str">
        <f t="shared" si="46"/>
        <v>2-0</v>
      </c>
      <c r="J592" t="str">
        <f t="shared" si="47"/>
        <v>2</v>
      </c>
      <c r="K592" t="str">
        <f t="shared" si="48"/>
        <v>0</v>
      </c>
      <c r="L592" t="str">
        <f t="shared" si="49"/>
        <v>RC Deportivo</v>
      </c>
      <c r="M592" t="str">
        <f>IF(COUNTIF($A$2:A592,A592)=1,
     VLOOKUP(A592,Season_Winners!A:B,2,FALSE),
     "")</f>
        <v/>
      </c>
    </row>
    <row r="593" spans="1:14" x14ac:dyDescent="0.3">
      <c r="A593" t="s">
        <v>179</v>
      </c>
      <c r="B593">
        <v>22</v>
      </c>
      <c r="C593" t="s">
        <v>277</v>
      </c>
      <c r="D593" t="str">
        <f t="shared" si="45"/>
        <v>07.02.2015</v>
      </c>
      <c r="E593" s="1">
        <v>0.66666666666666663</v>
      </c>
      <c r="F593" t="s">
        <v>1425</v>
      </c>
      <c r="G593" t="s">
        <v>25</v>
      </c>
      <c r="H593" t="s">
        <v>88</v>
      </c>
      <c r="I593" t="str">
        <f t="shared" si="46"/>
        <v>4-0</v>
      </c>
      <c r="J593" t="str">
        <f t="shared" si="47"/>
        <v>4</v>
      </c>
      <c r="K593" t="str">
        <f t="shared" si="48"/>
        <v>0</v>
      </c>
      <c r="L593" t="str">
        <f t="shared" si="49"/>
        <v>Atlético de Madrid</v>
      </c>
      <c r="M593" t="str">
        <f>IF(COUNTIF($A$2:A593,A593)=1,
     VLOOKUP(A593,Season_Winners!A:B,2,FALSE),
     "")</f>
        <v/>
      </c>
    </row>
    <row r="594" spans="1:14" x14ac:dyDescent="0.3">
      <c r="A594" t="s">
        <v>179</v>
      </c>
      <c r="B594">
        <v>22</v>
      </c>
      <c r="C594" t="s">
        <v>277</v>
      </c>
      <c r="D594" t="str">
        <f t="shared" si="45"/>
        <v>07.02.2015</v>
      </c>
      <c r="E594" s="1">
        <v>0.75</v>
      </c>
      <c r="F594" t="s">
        <v>34</v>
      </c>
      <c r="G594" t="s">
        <v>24</v>
      </c>
      <c r="H594" t="s">
        <v>12</v>
      </c>
      <c r="I594" t="str">
        <f t="shared" si="46"/>
        <v>2-0</v>
      </c>
      <c r="J594" t="str">
        <f t="shared" si="47"/>
        <v>2</v>
      </c>
      <c r="K594" t="str">
        <f t="shared" si="48"/>
        <v>0</v>
      </c>
      <c r="L594" t="str">
        <f t="shared" si="49"/>
        <v>Villarreal CF</v>
      </c>
      <c r="M594" t="str">
        <f>IF(COUNTIF($A$2:A594,A594)=1,
     VLOOKUP(A594,Season_Winners!A:B,2,FALSE),
     "")</f>
        <v/>
      </c>
    </row>
    <row r="595" spans="1:14" hidden="1" x14ac:dyDescent="0.3">
      <c r="A595" t="s">
        <v>179</v>
      </c>
      <c r="B595">
        <v>22</v>
      </c>
      <c r="C595" t="s">
        <v>277</v>
      </c>
      <c r="D595" t="str">
        <f t="shared" si="45"/>
        <v>07.02.2015</v>
      </c>
      <c r="E595" s="1">
        <v>0.83333333333333337</v>
      </c>
      <c r="F595" t="s">
        <v>21</v>
      </c>
      <c r="G595" t="s">
        <v>17</v>
      </c>
      <c r="H595" s="2">
        <v>46026</v>
      </c>
      <c r="I595" s="3" t="str">
        <f t="shared" si="46"/>
        <v/>
      </c>
      <c r="J595" t="str">
        <f t="shared" si="47"/>
        <v/>
      </c>
      <c r="K595" t="str">
        <f t="shared" si="48"/>
        <v/>
      </c>
      <c r="L595" t="str">
        <f t="shared" si="49"/>
        <v/>
      </c>
      <c r="M595" t="str">
        <f>IF(COUNTIF($A$2:A595,A595)=1,
     VLOOKUP(A595,Season_Winners!A:B,2,FALSE),
     "")</f>
        <v/>
      </c>
      <c r="N595" s="2"/>
    </row>
    <row r="596" spans="1:14" hidden="1" x14ac:dyDescent="0.3">
      <c r="A596" t="s">
        <v>179</v>
      </c>
      <c r="B596">
        <v>22</v>
      </c>
      <c r="C596" t="s">
        <v>277</v>
      </c>
      <c r="D596" t="str">
        <f t="shared" si="45"/>
        <v>07.02.2015</v>
      </c>
      <c r="E596" s="1">
        <v>0.91666666666666663</v>
      </c>
      <c r="F596" t="s">
        <v>10</v>
      </c>
      <c r="G596" t="s">
        <v>35</v>
      </c>
      <c r="H596" s="2">
        <v>46023</v>
      </c>
      <c r="I596" s="3" t="str">
        <f t="shared" si="46"/>
        <v/>
      </c>
      <c r="J596" t="str">
        <f t="shared" si="47"/>
        <v/>
      </c>
      <c r="K596" t="str">
        <f t="shared" si="48"/>
        <v/>
      </c>
      <c r="L596" t="str">
        <f t="shared" si="49"/>
        <v/>
      </c>
      <c r="M596" t="str">
        <f>IF(COUNTIF($A$2:A596,A596)=1,
     VLOOKUP(A596,Season_Winners!A:B,2,FALSE),
     "")</f>
        <v/>
      </c>
      <c r="N596" s="2"/>
    </row>
    <row r="597" spans="1:14" hidden="1" x14ac:dyDescent="0.3">
      <c r="A597" t="s">
        <v>179</v>
      </c>
      <c r="B597">
        <v>22</v>
      </c>
      <c r="C597" t="s">
        <v>278</v>
      </c>
      <c r="D597" t="str">
        <f t="shared" si="45"/>
        <v>08.02.2015</v>
      </c>
      <c r="E597" s="1">
        <v>0.5</v>
      </c>
      <c r="F597" t="s">
        <v>193</v>
      </c>
      <c r="G597" t="s">
        <v>33</v>
      </c>
      <c r="H597" s="2">
        <v>46054</v>
      </c>
      <c r="I597" s="3" t="str">
        <f t="shared" si="46"/>
        <v/>
      </c>
      <c r="J597" t="str">
        <f t="shared" si="47"/>
        <v/>
      </c>
      <c r="K597" t="str">
        <f t="shared" si="48"/>
        <v/>
      </c>
      <c r="L597" t="str">
        <f t="shared" si="49"/>
        <v/>
      </c>
      <c r="M597" t="str">
        <f>IF(COUNTIF($A$2:A597,A597)=1,
     VLOOKUP(A597,Season_Winners!A:B,2,FALSE),
     "")</f>
        <v/>
      </c>
      <c r="N597" s="2"/>
    </row>
    <row r="598" spans="1:14" hidden="1" x14ac:dyDescent="0.3">
      <c r="A598" t="s">
        <v>179</v>
      </c>
      <c r="B598">
        <v>22</v>
      </c>
      <c r="C598" t="s">
        <v>278</v>
      </c>
      <c r="D598" t="str">
        <f t="shared" si="45"/>
        <v>08.02.2015</v>
      </c>
      <c r="E598" s="1">
        <v>0.70833333333333337</v>
      </c>
      <c r="F598" t="s">
        <v>11</v>
      </c>
      <c r="G598" t="s">
        <v>27</v>
      </c>
      <c r="H598" s="2">
        <v>46024</v>
      </c>
      <c r="I598" s="3" t="str">
        <f t="shared" si="46"/>
        <v/>
      </c>
      <c r="J598" t="str">
        <f t="shared" si="47"/>
        <v/>
      </c>
      <c r="K598" t="str">
        <f t="shared" si="48"/>
        <v/>
      </c>
      <c r="L598" t="str">
        <f t="shared" si="49"/>
        <v/>
      </c>
      <c r="M598" t="str">
        <f>IF(COUNTIF($A$2:A598,A598)=1,
     VLOOKUP(A598,Season_Winners!A:B,2,FALSE),
     "")</f>
        <v/>
      </c>
      <c r="N598" s="2"/>
    </row>
    <row r="599" spans="1:14" hidden="1" x14ac:dyDescent="0.3">
      <c r="A599" t="s">
        <v>179</v>
      </c>
      <c r="B599">
        <v>22</v>
      </c>
      <c r="C599" t="s">
        <v>278</v>
      </c>
      <c r="D599" t="str">
        <f t="shared" si="45"/>
        <v>08.02.2015</v>
      </c>
      <c r="E599" s="1">
        <v>0.79166666666666663</v>
      </c>
      <c r="F599" t="s">
        <v>36</v>
      </c>
      <c r="G599" t="s">
        <v>16</v>
      </c>
      <c r="H599" s="2">
        <v>46054</v>
      </c>
      <c r="I599" s="3" t="str">
        <f t="shared" si="46"/>
        <v/>
      </c>
      <c r="J599" t="str">
        <f t="shared" si="47"/>
        <v/>
      </c>
      <c r="K599" t="str">
        <f t="shared" si="48"/>
        <v/>
      </c>
      <c r="L599" t="str">
        <f t="shared" si="49"/>
        <v/>
      </c>
      <c r="M599" t="str">
        <f>IF(COUNTIF($A$2:A599,A599)=1,
     VLOOKUP(A599,Season_Winners!A:B,2,FALSE),
     "")</f>
        <v/>
      </c>
      <c r="N599" s="2"/>
    </row>
    <row r="600" spans="1:14" hidden="1" x14ac:dyDescent="0.3">
      <c r="A600" t="s">
        <v>179</v>
      </c>
      <c r="B600">
        <v>22</v>
      </c>
      <c r="C600" t="s">
        <v>278</v>
      </c>
      <c r="D600" t="str">
        <f t="shared" si="45"/>
        <v>08.02.2015</v>
      </c>
      <c r="E600" s="1">
        <v>0.875</v>
      </c>
      <c r="F600" t="s">
        <v>15</v>
      </c>
      <c r="G600" t="s">
        <v>20</v>
      </c>
      <c r="H600" s="2">
        <v>46144</v>
      </c>
      <c r="I600" s="3" t="str">
        <f t="shared" si="46"/>
        <v/>
      </c>
      <c r="J600" t="str">
        <f t="shared" si="47"/>
        <v/>
      </c>
      <c r="K600" t="str">
        <f t="shared" si="48"/>
        <v/>
      </c>
      <c r="L600" t="str">
        <f t="shared" si="49"/>
        <v/>
      </c>
      <c r="M600" t="str">
        <f>IF(COUNTIF($A$2:A600,A600)=1,
     VLOOKUP(A600,Season_Winners!A:B,2,FALSE),
     "")</f>
        <v/>
      </c>
      <c r="N600" s="2"/>
    </row>
    <row r="601" spans="1:14" x14ac:dyDescent="0.3">
      <c r="A601" t="s">
        <v>179</v>
      </c>
      <c r="B601">
        <v>22</v>
      </c>
      <c r="C601" t="s">
        <v>279</v>
      </c>
      <c r="D601" t="str">
        <f t="shared" si="45"/>
        <v>09.02.2015</v>
      </c>
      <c r="E601" s="1">
        <v>0.86458333333333337</v>
      </c>
      <c r="F601" t="s">
        <v>31</v>
      </c>
      <c r="G601" t="s">
        <v>30</v>
      </c>
      <c r="H601" t="s">
        <v>12</v>
      </c>
      <c r="I601" t="str">
        <f t="shared" si="46"/>
        <v>2-0</v>
      </c>
      <c r="J601" t="str">
        <f t="shared" si="47"/>
        <v>2</v>
      </c>
      <c r="K601" t="str">
        <f t="shared" si="48"/>
        <v>0</v>
      </c>
      <c r="L601" t="str">
        <f t="shared" si="49"/>
        <v>Elche CF</v>
      </c>
      <c r="M601" t="str">
        <f>IF(COUNTIF($A$2:A601,A601)=1,
     VLOOKUP(A601,Season_Winners!A:B,2,FALSE),
     "")</f>
        <v/>
      </c>
    </row>
    <row r="602" spans="1:14" hidden="1" x14ac:dyDescent="0.3">
      <c r="A602" t="s">
        <v>179</v>
      </c>
      <c r="B602">
        <v>23</v>
      </c>
      <c r="C602" t="s">
        <v>280</v>
      </c>
      <c r="D602" t="str">
        <f t="shared" si="45"/>
        <v>13.02.2015</v>
      </c>
      <c r="E602" s="1">
        <v>0.86458333333333337</v>
      </c>
      <c r="F602" t="s">
        <v>33</v>
      </c>
      <c r="G602" t="s">
        <v>10</v>
      </c>
      <c r="H602" s="2">
        <v>46055</v>
      </c>
      <c r="I602" s="3" t="str">
        <f t="shared" si="46"/>
        <v/>
      </c>
      <c r="J602" t="str">
        <f t="shared" si="47"/>
        <v/>
      </c>
      <c r="K602" t="str">
        <f t="shared" si="48"/>
        <v/>
      </c>
      <c r="L602" t="str">
        <f t="shared" si="49"/>
        <v/>
      </c>
      <c r="M602" t="str">
        <f>IF(COUNTIF($A$2:A602,A602)=1,
     VLOOKUP(A602,Season_Winners!A:B,2,FALSE),
     "")</f>
        <v/>
      </c>
      <c r="N602" s="2"/>
    </row>
    <row r="603" spans="1:14" x14ac:dyDescent="0.3">
      <c r="A603" t="s">
        <v>179</v>
      </c>
      <c r="B603">
        <v>23</v>
      </c>
      <c r="C603" t="s">
        <v>281</v>
      </c>
      <c r="D603" t="str">
        <f t="shared" si="45"/>
        <v>14.02.2015</v>
      </c>
      <c r="E603" s="1">
        <v>0.66666666666666663</v>
      </c>
      <c r="F603" t="s">
        <v>27</v>
      </c>
      <c r="G603" t="s">
        <v>193</v>
      </c>
      <c r="H603" t="s">
        <v>32</v>
      </c>
      <c r="I603" t="str">
        <f t="shared" si="46"/>
        <v>3-0</v>
      </c>
      <c r="J603" t="str">
        <f t="shared" si="47"/>
        <v>3</v>
      </c>
      <c r="K603" t="str">
        <f t="shared" si="48"/>
        <v>0</v>
      </c>
      <c r="L603" t="str">
        <f t="shared" si="49"/>
        <v>Sevilla FC</v>
      </c>
      <c r="M603" t="str">
        <f>IF(COUNTIF($A$2:A603,A603)=1,
     VLOOKUP(A603,Season_Winners!A:B,2,FALSE),
     "")</f>
        <v/>
      </c>
    </row>
    <row r="604" spans="1:14" x14ac:dyDescent="0.3">
      <c r="A604" t="s">
        <v>179</v>
      </c>
      <c r="B604">
        <v>23</v>
      </c>
      <c r="C604" t="s">
        <v>281</v>
      </c>
      <c r="D604" t="str">
        <f t="shared" si="45"/>
        <v>14.02.2015</v>
      </c>
      <c r="E604" s="1">
        <v>0.75</v>
      </c>
      <c r="F604" t="s">
        <v>25</v>
      </c>
      <c r="G604" t="s">
        <v>182</v>
      </c>
      <c r="H604" t="s">
        <v>12</v>
      </c>
      <c r="I604" t="str">
        <f t="shared" si="46"/>
        <v>2-0</v>
      </c>
      <c r="J604" t="str">
        <f t="shared" si="47"/>
        <v>2</v>
      </c>
      <c r="K604" t="str">
        <f t="shared" si="48"/>
        <v>0</v>
      </c>
      <c r="L604" t="str">
        <f t="shared" si="49"/>
        <v>Real Madrid</v>
      </c>
      <c r="M604" t="str">
        <f>IF(COUNTIF($A$2:A604,A604)=1,
     VLOOKUP(A604,Season_Winners!A:B,2,FALSE),
     "")</f>
        <v/>
      </c>
    </row>
    <row r="605" spans="1:14" x14ac:dyDescent="0.3">
      <c r="A605" t="s">
        <v>179</v>
      </c>
      <c r="B605">
        <v>23</v>
      </c>
      <c r="C605" t="s">
        <v>281</v>
      </c>
      <c r="D605" t="str">
        <f t="shared" si="45"/>
        <v>14.02.2015</v>
      </c>
      <c r="E605" s="1">
        <v>0.83333333333333337</v>
      </c>
      <c r="F605" t="s">
        <v>24</v>
      </c>
      <c r="G605" t="s">
        <v>15</v>
      </c>
      <c r="H605" t="s">
        <v>41</v>
      </c>
      <c r="I605" t="str">
        <f t="shared" si="46"/>
        <v>0-0</v>
      </c>
      <c r="J605" t="str">
        <f t="shared" si="47"/>
        <v>0</v>
      </c>
      <c r="K605" t="str">
        <f t="shared" si="48"/>
        <v>0</v>
      </c>
      <c r="L605" t="str">
        <f t="shared" si="49"/>
        <v>Draw</v>
      </c>
      <c r="M605" t="str">
        <f>IF(COUNTIF($A$2:A605,A605)=1,
     VLOOKUP(A605,Season_Winners!A:B,2,FALSE),
     "")</f>
        <v/>
      </c>
    </row>
    <row r="606" spans="1:14" x14ac:dyDescent="0.3">
      <c r="A606" t="s">
        <v>179</v>
      </c>
      <c r="B606">
        <v>23</v>
      </c>
      <c r="C606" t="s">
        <v>281</v>
      </c>
      <c r="D606" t="str">
        <f t="shared" si="45"/>
        <v>14.02.2015</v>
      </c>
      <c r="E606" s="1">
        <v>0.91666666666666663</v>
      </c>
      <c r="F606" t="s">
        <v>17</v>
      </c>
      <c r="G606" t="s">
        <v>36</v>
      </c>
      <c r="H606" t="s">
        <v>54</v>
      </c>
      <c r="I606" t="str">
        <f t="shared" si="46"/>
        <v>0-2</v>
      </c>
      <c r="J606" t="str">
        <f t="shared" si="47"/>
        <v>0</v>
      </c>
      <c r="K606" t="str">
        <f t="shared" si="48"/>
        <v>2</v>
      </c>
      <c r="L606" t="str">
        <f t="shared" si="49"/>
        <v>RCD Espanyol de Barcelona</v>
      </c>
      <c r="M606" t="str">
        <f>IF(COUNTIF($A$2:A606,A606)=1,
     VLOOKUP(A606,Season_Winners!A:B,2,FALSE),
     "")</f>
        <v/>
      </c>
    </row>
    <row r="607" spans="1:14" x14ac:dyDescent="0.3">
      <c r="A607" t="s">
        <v>179</v>
      </c>
      <c r="B607">
        <v>23</v>
      </c>
      <c r="C607" t="s">
        <v>282</v>
      </c>
      <c r="D607" t="str">
        <f t="shared" si="45"/>
        <v>15.02.2015</v>
      </c>
      <c r="E607" s="1">
        <v>0.5</v>
      </c>
      <c r="F607" t="s">
        <v>16</v>
      </c>
      <c r="G607" t="s">
        <v>11</v>
      </c>
      <c r="H607" t="s">
        <v>18</v>
      </c>
      <c r="I607" t="str">
        <f t="shared" si="46"/>
        <v>1-0</v>
      </c>
      <c r="J607" t="str">
        <f t="shared" si="47"/>
        <v>1</v>
      </c>
      <c r="K607" t="str">
        <f t="shared" si="48"/>
        <v>0</v>
      </c>
      <c r="L607" t="str">
        <f t="shared" si="49"/>
        <v>Valencia CF</v>
      </c>
      <c r="M607" t="str">
        <f>IF(COUNTIF($A$2:A607,A607)=1,
     VLOOKUP(A607,Season_Winners!A:B,2,FALSE),
     "")</f>
        <v/>
      </c>
    </row>
    <row r="608" spans="1:14" x14ac:dyDescent="0.3">
      <c r="A608" t="s">
        <v>179</v>
      </c>
      <c r="B608">
        <v>23</v>
      </c>
      <c r="C608" t="s">
        <v>282</v>
      </c>
      <c r="D608" t="str">
        <f t="shared" si="45"/>
        <v>15.02.2015</v>
      </c>
      <c r="E608" s="1">
        <v>0.70833333333333337</v>
      </c>
      <c r="F608" t="s">
        <v>20</v>
      </c>
      <c r="G608" t="s">
        <v>21</v>
      </c>
      <c r="H608" t="s">
        <v>40</v>
      </c>
      <c r="I608" t="str">
        <f t="shared" si="46"/>
        <v>5-0</v>
      </c>
      <c r="J608" t="str">
        <f t="shared" si="47"/>
        <v>5</v>
      </c>
      <c r="K608" t="str">
        <f t="shared" si="48"/>
        <v>0</v>
      </c>
      <c r="L608" t="str">
        <f t="shared" si="49"/>
        <v>FC Barcelona</v>
      </c>
      <c r="M608" t="str">
        <f>IF(COUNTIF($A$2:A608,A608)=1,
     VLOOKUP(A608,Season_Winners!A:B,2,FALSE),
     "")</f>
        <v/>
      </c>
    </row>
    <row r="609" spans="1:14" x14ac:dyDescent="0.3">
      <c r="A609" t="s">
        <v>179</v>
      </c>
      <c r="B609">
        <v>23</v>
      </c>
      <c r="C609" t="s">
        <v>282</v>
      </c>
      <c r="D609" t="str">
        <f t="shared" si="45"/>
        <v>15.02.2015</v>
      </c>
      <c r="E609" s="1">
        <v>0.79166666666666663</v>
      </c>
      <c r="F609" t="s">
        <v>30</v>
      </c>
      <c r="G609" t="s">
        <v>34</v>
      </c>
      <c r="H609" t="s">
        <v>12</v>
      </c>
      <c r="I609" t="str">
        <f t="shared" si="46"/>
        <v>2-0</v>
      </c>
      <c r="J609" t="str">
        <f t="shared" si="47"/>
        <v>2</v>
      </c>
      <c r="K609" t="str">
        <f t="shared" si="48"/>
        <v>0</v>
      </c>
      <c r="L609" t="str">
        <f t="shared" si="49"/>
        <v>Rayo Vallecano</v>
      </c>
      <c r="M609" t="str">
        <f>IF(COUNTIF($A$2:A609,A609)=1,
     VLOOKUP(A609,Season_Winners!A:B,2,FALSE),
     "")</f>
        <v/>
      </c>
    </row>
    <row r="610" spans="1:14" x14ac:dyDescent="0.3">
      <c r="A610" t="s">
        <v>179</v>
      </c>
      <c r="B610">
        <v>23</v>
      </c>
      <c r="C610" t="s">
        <v>282</v>
      </c>
      <c r="D610" t="str">
        <f t="shared" si="45"/>
        <v>15.02.2015</v>
      </c>
      <c r="E610" s="1">
        <v>0.875</v>
      </c>
      <c r="F610" t="s">
        <v>35</v>
      </c>
      <c r="G610" t="s">
        <v>1425</v>
      </c>
      <c r="H610" t="s">
        <v>12</v>
      </c>
      <c r="I610" t="str">
        <f t="shared" si="46"/>
        <v>2-0</v>
      </c>
      <c r="J610" t="str">
        <f t="shared" si="47"/>
        <v>2</v>
      </c>
      <c r="K610" t="str">
        <f t="shared" si="48"/>
        <v>0</v>
      </c>
      <c r="L610" t="str">
        <f t="shared" si="49"/>
        <v>RC Celta</v>
      </c>
      <c r="M610" t="str">
        <f>IF(COUNTIF($A$2:A610,A610)=1,
     VLOOKUP(A610,Season_Winners!A:B,2,FALSE),
     "")</f>
        <v/>
      </c>
    </row>
    <row r="611" spans="1:14" x14ac:dyDescent="0.3">
      <c r="A611" t="s">
        <v>179</v>
      </c>
      <c r="B611">
        <v>23</v>
      </c>
      <c r="C611" t="s">
        <v>283</v>
      </c>
      <c r="D611" t="str">
        <f t="shared" si="45"/>
        <v>16.02.2015</v>
      </c>
      <c r="E611" s="1">
        <v>0.86458333333333337</v>
      </c>
      <c r="F611" t="s">
        <v>187</v>
      </c>
      <c r="G611" t="s">
        <v>31</v>
      </c>
      <c r="H611" t="s">
        <v>42</v>
      </c>
      <c r="I611" t="str">
        <f t="shared" si="46"/>
        <v>0-1</v>
      </c>
      <c r="J611" t="str">
        <f t="shared" si="47"/>
        <v>0</v>
      </c>
      <c r="K611" t="str">
        <f t="shared" si="48"/>
        <v>1</v>
      </c>
      <c r="L611" t="str">
        <f t="shared" si="49"/>
        <v>Elche CF</v>
      </c>
      <c r="M611" t="str">
        <f>IF(COUNTIF($A$2:A611,A611)=1,
     VLOOKUP(A611,Season_Winners!A:B,2,FALSE),
     "")</f>
        <v/>
      </c>
    </row>
    <row r="612" spans="1:14" hidden="1" x14ac:dyDescent="0.3">
      <c r="A612" t="s">
        <v>179</v>
      </c>
      <c r="B612">
        <v>24</v>
      </c>
      <c r="C612" t="s">
        <v>284</v>
      </c>
      <c r="D612" t="str">
        <f t="shared" si="45"/>
        <v>20.02.2015</v>
      </c>
      <c r="E612" s="1">
        <v>0.86458333333333337</v>
      </c>
      <c r="F612" t="s">
        <v>11</v>
      </c>
      <c r="G612" t="s">
        <v>36</v>
      </c>
      <c r="H612" s="2">
        <v>46024</v>
      </c>
      <c r="I612" s="3" t="str">
        <f t="shared" si="46"/>
        <v/>
      </c>
      <c r="J612" t="str">
        <f t="shared" si="47"/>
        <v/>
      </c>
      <c r="K612" t="str">
        <f t="shared" si="48"/>
        <v/>
      </c>
      <c r="L612" t="str">
        <f t="shared" si="49"/>
        <v/>
      </c>
      <c r="M612" t="str">
        <f>IF(COUNTIF($A$2:A612,A612)=1,
     VLOOKUP(A612,Season_Winners!A:B,2,FALSE),
     "")</f>
        <v/>
      </c>
      <c r="N612" s="2"/>
    </row>
    <row r="613" spans="1:14" x14ac:dyDescent="0.3">
      <c r="A613" t="s">
        <v>179</v>
      </c>
      <c r="B613">
        <v>24</v>
      </c>
      <c r="C613" t="s">
        <v>285</v>
      </c>
      <c r="D613" t="str">
        <f t="shared" si="45"/>
        <v>21.02.2015</v>
      </c>
      <c r="E613" s="1">
        <v>0.66666666666666663</v>
      </c>
      <c r="F613" t="s">
        <v>20</v>
      </c>
      <c r="G613" t="s">
        <v>17</v>
      </c>
      <c r="H613" t="s">
        <v>42</v>
      </c>
      <c r="I613" t="str">
        <f t="shared" si="46"/>
        <v>0-1</v>
      </c>
      <c r="J613" t="str">
        <f t="shared" si="47"/>
        <v>0</v>
      </c>
      <c r="K613" t="str">
        <f t="shared" si="48"/>
        <v>1</v>
      </c>
      <c r="L613" t="str">
        <f t="shared" si="49"/>
        <v>MÃ¡laga CF</v>
      </c>
      <c r="M613" t="str">
        <f>IF(COUNTIF($A$2:A613,A613)=1,
     VLOOKUP(A613,Season_Winners!A:B,2,FALSE),
     "")</f>
        <v/>
      </c>
    </row>
    <row r="614" spans="1:14" hidden="1" x14ac:dyDescent="0.3">
      <c r="A614" t="s">
        <v>179</v>
      </c>
      <c r="B614">
        <v>24</v>
      </c>
      <c r="C614" t="s">
        <v>285</v>
      </c>
      <c r="D614" t="str">
        <f t="shared" si="45"/>
        <v>21.02.2015</v>
      </c>
      <c r="E614" s="1">
        <v>0.75</v>
      </c>
      <c r="F614" t="s">
        <v>193</v>
      </c>
      <c r="G614" t="s">
        <v>16</v>
      </c>
      <c r="H614" s="2">
        <v>46054</v>
      </c>
      <c r="I614" s="3" t="str">
        <f t="shared" si="46"/>
        <v/>
      </c>
      <c r="J614" t="str">
        <f t="shared" si="47"/>
        <v/>
      </c>
      <c r="K614" t="str">
        <f t="shared" si="48"/>
        <v/>
      </c>
      <c r="L614" t="str">
        <f t="shared" si="49"/>
        <v/>
      </c>
      <c r="M614" t="str">
        <f>IF(COUNTIF($A$2:A614,A614)=1,
     VLOOKUP(A614,Season_Winners!A:B,2,FALSE),
     "")</f>
        <v/>
      </c>
      <c r="N614" s="2"/>
    </row>
    <row r="615" spans="1:14" x14ac:dyDescent="0.3">
      <c r="A615" t="s">
        <v>179</v>
      </c>
      <c r="B615">
        <v>24</v>
      </c>
      <c r="C615" t="s">
        <v>285</v>
      </c>
      <c r="D615" t="str">
        <f t="shared" si="45"/>
        <v>21.02.2015</v>
      </c>
      <c r="E615" s="1">
        <v>0.83333333333333337</v>
      </c>
      <c r="F615" t="s">
        <v>1425</v>
      </c>
      <c r="G615" t="s">
        <v>33</v>
      </c>
      <c r="H615" t="s">
        <v>32</v>
      </c>
      <c r="I615" t="str">
        <f t="shared" si="46"/>
        <v>3-0</v>
      </c>
      <c r="J615" t="str">
        <f t="shared" si="47"/>
        <v>3</v>
      </c>
      <c r="K615" t="str">
        <f t="shared" si="48"/>
        <v>0</v>
      </c>
      <c r="L615" t="str">
        <f t="shared" si="49"/>
        <v>Atlético de Madrid</v>
      </c>
      <c r="M615" t="str">
        <f>IF(COUNTIF($A$2:A615,A615)=1,
     VLOOKUP(A615,Season_Winners!A:B,2,FALSE),
     "")</f>
        <v/>
      </c>
    </row>
    <row r="616" spans="1:14" x14ac:dyDescent="0.3">
      <c r="A616" t="s">
        <v>179</v>
      </c>
      <c r="B616">
        <v>24</v>
      </c>
      <c r="C616" t="s">
        <v>285</v>
      </c>
      <c r="D616" t="str">
        <f t="shared" si="45"/>
        <v>21.02.2015</v>
      </c>
      <c r="E616" s="1">
        <v>0.91666666666666663</v>
      </c>
      <c r="F616" t="s">
        <v>182</v>
      </c>
      <c r="G616" t="s">
        <v>35</v>
      </c>
      <c r="H616" t="s">
        <v>54</v>
      </c>
      <c r="I616" t="str">
        <f t="shared" si="46"/>
        <v>0-2</v>
      </c>
      <c r="J616" t="str">
        <f t="shared" si="47"/>
        <v>0</v>
      </c>
      <c r="K616" t="str">
        <f t="shared" si="48"/>
        <v>2</v>
      </c>
      <c r="L616" t="str">
        <f t="shared" si="49"/>
        <v>RC Celta</v>
      </c>
      <c r="M616" t="str">
        <f>IF(COUNTIF($A$2:A616,A616)=1,
     VLOOKUP(A616,Season_Winners!A:B,2,FALSE),
     "")</f>
        <v/>
      </c>
    </row>
    <row r="617" spans="1:14" hidden="1" x14ac:dyDescent="0.3">
      <c r="A617" t="s">
        <v>179</v>
      </c>
      <c r="B617">
        <v>24</v>
      </c>
      <c r="C617" t="s">
        <v>286</v>
      </c>
      <c r="D617" t="str">
        <f t="shared" si="45"/>
        <v>22.02.2015</v>
      </c>
      <c r="E617" s="1">
        <v>0.5</v>
      </c>
      <c r="F617" t="s">
        <v>10</v>
      </c>
      <c r="G617" t="s">
        <v>27</v>
      </c>
      <c r="H617" s="2">
        <v>46085</v>
      </c>
      <c r="I617" s="3" t="str">
        <f t="shared" si="46"/>
        <v/>
      </c>
      <c r="J617" t="str">
        <f t="shared" si="47"/>
        <v/>
      </c>
      <c r="K617" t="str">
        <f t="shared" si="48"/>
        <v/>
      </c>
      <c r="L617" t="str">
        <f t="shared" si="49"/>
        <v/>
      </c>
      <c r="M617" t="str">
        <f>IF(COUNTIF($A$2:A617,A617)=1,
     VLOOKUP(A617,Season_Winners!A:B,2,FALSE),
     "")</f>
        <v/>
      </c>
      <c r="N617" s="2"/>
    </row>
    <row r="618" spans="1:14" x14ac:dyDescent="0.3">
      <c r="A618" t="s">
        <v>179</v>
      </c>
      <c r="B618">
        <v>24</v>
      </c>
      <c r="C618" t="s">
        <v>286</v>
      </c>
      <c r="D618" t="str">
        <f t="shared" si="45"/>
        <v>22.02.2015</v>
      </c>
      <c r="E618" s="1">
        <v>0.70833333333333337</v>
      </c>
      <c r="F618" t="s">
        <v>15</v>
      </c>
      <c r="G618" t="s">
        <v>30</v>
      </c>
      <c r="H618" t="s">
        <v>18</v>
      </c>
      <c r="I618" t="str">
        <f t="shared" si="46"/>
        <v>1-0</v>
      </c>
      <c r="J618" t="str">
        <f t="shared" si="47"/>
        <v>1</v>
      </c>
      <c r="K618" t="str">
        <f t="shared" si="48"/>
        <v>0</v>
      </c>
      <c r="L618" t="str">
        <f t="shared" si="49"/>
        <v>Athletic Club</v>
      </c>
      <c r="M618" t="str">
        <f>IF(COUNTIF($A$2:A618,A618)=1,
     VLOOKUP(A618,Season_Winners!A:B,2,FALSE),
     "")</f>
        <v/>
      </c>
    </row>
    <row r="619" spans="1:14" x14ac:dyDescent="0.3">
      <c r="A619" t="s">
        <v>179</v>
      </c>
      <c r="B619">
        <v>24</v>
      </c>
      <c r="C619" t="s">
        <v>286</v>
      </c>
      <c r="D619" t="str">
        <f t="shared" si="45"/>
        <v>22.02.2015</v>
      </c>
      <c r="E619" s="1">
        <v>0.79166666666666663</v>
      </c>
      <c r="F619" t="s">
        <v>34</v>
      </c>
      <c r="G619" t="s">
        <v>187</v>
      </c>
      <c r="H619" t="s">
        <v>18</v>
      </c>
      <c r="I619" t="str">
        <f t="shared" si="46"/>
        <v>1-0</v>
      </c>
      <c r="J619" t="str">
        <f t="shared" si="47"/>
        <v>1</v>
      </c>
      <c r="K619" t="str">
        <f t="shared" si="48"/>
        <v>0</v>
      </c>
      <c r="L619" t="str">
        <f t="shared" si="49"/>
        <v>Villarreal CF</v>
      </c>
      <c r="M619" t="str">
        <f>IF(COUNTIF($A$2:A619,A619)=1,
     VLOOKUP(A619,Season_Winners!A:B,2,FALSE),
     "")</f>
        <v/>
      </c>
    </row>
    <row r="620" spans="1:14" x14ac:dyDescent="0.3">
      <c r="A620" t="s">
        <v>179</v>
      </c>
      <c r="B620">
        <v>24</v>
      </c>
      <c r="C620" t="s">
        <v>286</v>
      </c>
      <c r="D620" t="str">
        <f t="shared" si="45"/>
        <v>22.02.2015</v>
      </c>
      <c r="E620" s="1">
        <v>0.875</v>
      </c>
      <c r="F620" t="s">
        <v>31</v>
      </c>
      <c r="G620" t="s">
        <v>25</v>
      </c>
      <c r="H620" t="s">
        <v>54</v>
      </c>
      <c r="I620" t="str">
        <f t="shared" si="46"/>
        <v>0-2</v>
      </c>
      <c r="J620" t="str">
        <f t="shared" si="47"/>
        <v>0</v>
      </c>
      <c r="K620" t="str">
        <f t="shared" si="48"/>
        <v>2</v>
      </c>
      <c r="L620" t="str">
        <f t="shared" si="49"/>
        <v>Real Madrid</v>
      </c>
      <c r="M620" t="str">
        <f>IF(COUNTIF($A$2:A620,A620)=1,
     VLOOKUP(A620,Season_Winners!A:B,2,FALSE),
     "")</f>
        <v/>
      </c>
    </row>
    <row r="621" spans="1:14" hidden="1" x14ac:dyDescent="0.3">
      <c r="A621" t="s">
        <v>179</v>
      </c>
      <c r="B621">
        <v>24</v>
      </c>
      <c r="C621" t="s">
        <v>287</v>
      </c>
      <c r="D621" t="str">
        <f t="shared" si="45"/>
        <v>23.02.2015</v>
      </c>
      <c r="E621" s="1">
        <v>0.86458333333333337</v>
      </c>
      <c r="F621" t="s">
        <v>21</v>
      </c>
      <c r="G621" t="s">
        <v>24</v>
      </c>
      <c r="H621" s="2">
        <v>46024</v>
      </c>
      <c r="I621" s="3" t="str">
        <f t="shared" si="46"/>
        <v/>
      </c>
      <c r="J621" t="str">
        <f t="shared" si="47"/>
        <v/>
      </c>
      <c r="K621" t="str">
        <f t="shared" si="48"/>
        <v/>
      </c>
      <c r="L621" t="str">
        <f t="shared" si="49"/>
        <v/>
      </c>
      <c r="M621" t="str">
        <f>IF(COUNTIF($A$2:A621,A621)=1,
     VLOOKUP(A621,Season_Winners!A:B,2,FALSE),
     "")</f>
        <v/>
      </c>
      <c r="N621" s="2"/>
    </row>
    <row r="622" spans="1:14" x14ac:dyDescent="0.3">
      <c r="A622" t="s">
        <v>179</v>
      </c>
      <c r="B622">
        <v>25</v>
      </c>
      <c r="C622" t="s">
        <v>288</v>
      </c>
      <c r="D622" t="str">
        <f t="shared" si="45"/>
        <v>27.02.2015</v>
      </c>
      <c r="E622" s="1">
        <v>0.86458333333333337</v>
      </c>
      <c r="F622" t="s">
        <v>36</v>
      </c>
      <c r="G622" t="s">
        <v>193</v>
      </c>
      <c r="H622" t="s">
        <v>18</v>
      </c>
      <c r="I622" t="str">
        <f t="shared" si="46"/>
        <v>1-0</v>
      </c>
      <c r="J622" t="str">
        <f t="shared" si="47"/>
        <v>1</v>
      </c>
      <c r="K622" t="str">
        <f t="shared" si="48"/>
        <v>0</v>
      </c>
      <c r="L622" t="str">
        <f t="shared" si="49"/>
        <v>RCD Espanyol de Barcelona</v>
      </c>
      <c r="M622" t="str">
        <f>IF(COUNTIF($A$2:A622,A622)=1,
     VLOOKUP(A622,Season_Winners!A:B,2,FALSE),
     "")</f>
        <v/>
      </c>
    </row>
    <row r="623" spans="1:14" hidden="1" x14ac:dyDescent="0.3">
      <c r="A623" t="s">
        <v>179</v>
      </c>
      <c r="B623">
        <v>25</v>
      </c>
      <c r="C623" t="s">
        <v>289</v>
      </c>
      <c r="D623" t="str">
        <f t="shared" si="45"/>
        <v>28.02.2015</v>
      </c>
      <c r="E623" s="1">
        <v>0.66666666666666663</v>
      </c>
      <c r="F623" t="s">
        <v>24</v>
      </c>
      <c r="G623" t="s">
        <v>20</v>
      </c>
      <c r="H623" s="2">
        <v>46082</v>
      </c>
      <c r="I623" s="3" t="str">
        <f t="shared" si="46"/>
        <v/>
      </c>
      <c r="J623" t="str">
        <f t="shared" si="47"/>
        <v/>
      </c>
      <c r="K623" t="str">
        <f t="shared" si="48"/>
        <v/>
      </c>
      <c r="L623" t="str">
        <f t="shared" si="49"/>
        <v/>
      </c>
      <c r="M623" t="str">
        <f>IF(COUNTIF($A$2:A623,A623)=1,
     VLOOKUP(A623,Season_Winners!A:B,2,FALSE),
     "")</f>
        <v/>
      </c>
      <c r="N623" s="2"/>
    </row>
    <row r="624" spans="1:14" hidden="1" x14ac:dyDescent="0.3">
      <c r="A624" t="s">
        <v>179</v>
      </c>
      <c r="B624">
        <v>25</v>
      </c>
      <c r="C624" t="s">
        <v>289</v>
      </c>
      <c r="D624" t="str">
        <f t="shared" si="45"/>
        <v>28.02.2015</v>
      </c>
      <c r="E624" s="1">
        <v>0.75</v>
      </c>
      <c r="F624" t="s">
        <v>30</v>
      </c>
      <c r="G624" t="s">
        <v>21</v>
      </c>
      <c r="H624" s="2">
        <v>46057</v>
      </c>
      <c r="I624" s="3" t="str">
        <f t="shared" si="46"/>
        <v/>
      </c>
      <c r="J624" t="str">
        <f t="shared" si="47"/>
        <v/>
      </c>
      <c r="K624" t="str">
        <f t="shared" si="48"/>
        <v/>
      </c>
      <c r="L624" t="str">
        <f t="shared" si="49"/>
        <v/>
      </c>
      <c r="M624" t="str">
        <f>IF(COUNTIF($A$2:A624,A624)=1,
     VLOOKUP(A624,Season_Winners!A:B,2,FALSE),
     "")</f>
        <v/>
      </c>
      <c r="N624" s="2"/>
    </row>
    <row r="625" spans="1:14" x14ac:dyDescent="0.3">
      <c r="A625" t="s">
        <v>179</v>
      </c>
      <c r="B625">
        <v>25</v>
      </c>
      <c r="C625" t="s">
        <v>289</v>
      </c>
      <c r="D625" t="str">
        <f t="shared" si="45"/>
        <v>28.02.2015</v>
      </c>
      <c r="E625" s="1">
        <v>0.83333333333333337</v>
      </c>
      <c r="F625" t="s">
        <v>33</v>
      </c>
      <c r="G625" t="s">
        <v>182</v>
      </c>
      <c r="H625" t="s">
        <v>41</v>
      </c>
      <c r="I625" t="str">
        <f t="shared" si="46"/>
        <v>0-0</v>
      </c>
      <c r="J625" t="str">
        <f t="shared" si="47"/>
        <v>0</v>
      </c>
      <c r="K625" t="str">
        <f t="shared" si="48"/>
        <v>0</v>
      </c>
      <c r="L625" t="str">
        <f t="shared" si="49"/>
        <v>Draw</v>
      </c>
      <c r="M625" t="str">
        <f>IF(COUNTIF($A$2:A625,A625)=1,
     VLOOKUP(A625,Season_Winners!A:B,2,FALSE),
     "")</f>
        <v/>
      </c>
    </row>
    <row r="626" spans="1:14" hidden="1" x14ac:dyDescent="0.3">
      <c r="A626" t="s">
        <v>179</v>
      </c>
      <c r="B626">
        <v>25</v>
      </c>
      <c r="C626" t="s">
        <v>289</v>
      </c>
      <c r="D626" t="str">
        <f t="shared" si="45"/>
        <v>28.02.2015</v>
      </c>
      <c r="E626" s="1">
        <v>0.91666666666666663</v>
      </c>
      <c r="F626" t="s">
        <v>17</v>
      </c>
      <c r="G626" t="s">
        <v>11</v>
      </c>
      <c r="H626" s="2">
        <v>46056</v>
      </c>
      <c r="I626" s="3" t="str">
        <f t="shared" si="46"/>
        <v/>
      </c>
      <c r="J626" t="str">
        <f t="shared" si="47"/>
        <v/>
      </c>
      <c r="K626" t="str">
        <f t="shared" si="48"/>
        <v/>
      </c>
      <c r="L626" t="str">
        <f t="shared" si="49"/>
        <v/>
      </c>
      <c r="M626" t="str">
        <f>IF(COUNTIF($A$2:A626,A626)=1,
     VLOOKUP(A626,Season_Winners!A:B,2,FALSE),
     "")</f>
        <v/>
      </c>
      <c r="N626" s="2"/>
    </row>
    <row r="627" spans="1:14" x14ac:dyDescent="0.3">
      <c r="A627" t="s">
        <v>179</v>
      </c>
      <c r="B627">
        <v>25</v>
      </c>
      <c r="C627" t="s">
        <v>290</v>
      </c>
      <c r="D627" t="str">
        <f t="shared" si="45"/>
        <v>01.03.2015</v>
      </c>
      <c r="E627" s="1">
        <v>0.5</v>
      </c>
      <c r="F627" t="s">
        <v>16</v>
      </c>
      <c r="G627" t="s">
        <v>10</v>
      </c>
      <c r="H627" t="s">
        <v>12</v>
      </c>
      <c r="I627" t="str">
        <f t="shared" si="46"/>
        <v>2-0</v>
      </c>
      <c r="J627" t="str">
        <f t="shared" si="47"/>
        <v>2</v>
      </c>
      <c r="K627" t="str">
        <f t="shared" si="48"/>
        <v>0</v>
      </c>
      <c r="L627" t="str">
        <f t="shared" si="49"/>
        <v>Valencia CF</v>
      </c>
      <c r="M627" t="str">
        <f>IF(COUNTIF($A$2:A627,A627)=1,
     VLOOKUP(A627,Season_Winners!A:B,2,FALSE),
     "")</f>
        <v/>
      </c>
    </row>
    <row r="628" spans="1:14" x14ac:dyDescent="0.3">
      <c r="A628" t="s">
        <v>179</v>
      </c>
      <c r="B628">
        <v>25</v>
      </c>
      <c r="C628" t="s">
        <v>290</v>
      </c>
      <c r="D628" t="str">
        <f t="shared" si="45"/>
        <v>01.03.2015</v>
      </c>
      <c r="E628" s="1">
        <v>0.70833333333333337</v>
      </c>
      <c r="F628" t="s">
        <v>187</v>
      </c>
      <c r="G628" t="s">
        <v>15</v>
      </c>
      <c r="H628" t="s">
        <v>42</v>
      </c>
      <c r="I628" t="str">
        <f t="shared" si="46"/>
        <v>0-1</v>
      </c>
      <c r="J628" t="str">
        <f t="shared" si="47"/>
        <v>0</v>
      </c>
      <c r="K628" t="str">
        <f t="shared" si="48"/>
        <v>1</v>
      </c>
      <c r="L628" t="str">
        <f t="shared" si="49"/>
        <v>Athletic Club</v>
      </c>
      <c r="M628" t="str">
        <f>IF(COUNTIF($A$2:A628,A628)=1,
     VLOOKUP(A628,Season_Winners!A:B,2,FALSE),
     "")</f>
        <v/>
      </c>
    </row>
    <row r="629" spans="1:14" x14ac:dyDescent="0.3">
      <c r="A629" t="s">
        <v>179</v>
      </c>
      <c r="B629">
        <v>25</v>
      </c>
      <c r="C629" t="s">
        <v>290</v>
      </c>
      <c r="D629" t="str">
        <f t="shared" si="45"/>
        <v>01.03.2015</v>
      </c>
      <c r="E629" s="1">
        <v>0.79166666666666663</v>
      </c>
      <c r="F629" t="s">
        <v>27</v>
      </c>
      <c r="G629" t="s">
        <v>1425</v>
      </c>
      <c r="H629" t="s">
        <v>41</v>
      </c>
      <c r="I629" t="str">
        <f t="shared" si="46"/>
        <v>0-0</v>
      </c>
      <c r="J629" t="str">
        <f t="shared" si="47"/>
        <v>0</v>
      </c>
      <c r="K629" t="str">
        <f t="shared" si="48"/>
        <v>0</v>
      </c>
      <c r="L629" t="str">
        <f t="shared" si="49"/>
        <v>Draw</v>
      </c>
      <c r="M629" t="str">
        <f>IF(COUNTIF($A$2:A629,A629)=1,
     VLOOKUP(A629,Season_Winners!A:B,2,FALSE),
     "")</f>
        <v/>
      </c>
    </row>
    <row r="630" spans="1:14" hidden="1" x14ac:dyDescent="0.3">
      <c r="A630" t="s">
        <v>179</v>
      </c>
      <c r="B630">
        <v>25</v>
      </c>
      <c r="C630" t="s">
        <v>290</v>
      </c>
      <c r="D630" t="str">
        <f t="shared" si="45"/>
        <v>01.03.2015</v>
      </c>
      <c r="E630" s="1">
        <v>0.875</v>
      </c>
      <c r="F630" t="s">
        <v>25</v>
      </c>
      <c r="G630" t="s">
        <v>34</v>
      </c>
      <c r="H630" s="2">
        <v>46023</v>
      </c>
      <c r="I630" s="3" t="str">
        <f t="shared" si="46"/>
        <v/>
      </c>
      <c r="J630" t="str">
        <f t="shared" si="47"/>
        <v/>
      </c>
      <c r="K630" t="str">
        <f t="shared" si="48"/>
        <v/>
      </c>
      <c r="L630" t="str">
        <f t="shared" si="49"/>
        <v/>
      </c>
      <c r="M630" t="str">
        <f>IF(COUNTIF($A$2:A630,A630)=1,
     VLOOKUP(A630,Season_Winners!A:B,2,FALSE),
     "")</f>
        <v/>
      </c>
      <c r="N630" s="2"/>
    </row>
    <row r="631" spans="1:14" hidden="1" x14ac:dyDescent="0.3">
      <c r="A631" t="s">
        <v>179</v>
      </c>
      <c r="B631">
        <v>25</v>
      </c>
      <c r="C631" t="s">
        <v>291</v>
      </c>
      <c r="D631" t="str">
        <f t="shared" si="45"/>
        <v>02.03.2015</v>
      </c>
      <c r="E631" s="1">
        <v>0.86458333333333337</v>
      </c>
      <c r="F631" t="s">
        <v>35</v>
      </c>
      <c r="G631" t="s">
        <v>31</v>
      </c>
      <c r="H631" s="2">
        <v>46023</v>
      </c>
      <c r="I631" s="3" t="str">
        <f t="shared" si="46"/>
        <v/>
      </c>
      <c r="J631" t="str">
        <f t="shared" si="47"/>
        <v/>
      </c>
      <c r="K631" t="str">
        <f t="shared" si="48"/>
        <v/>
      </c>
      <c r="L631" t="str">
        <f t="shared" si="49"/>
        <v/>
      </c>
      <c r="M631" t="str">
        <f>IF(COUNTIF($A$2:A631,A631)=1,
     VLOOKUP(A631,Season_Winners!A:B,2,FALSE),
     "")</f>
        <v/>
      </c>
      <c r="N631" s="2"/>
    </row>
    <row r="632" spans="1:14" hidden="1" x14ac:dyDescent="0.3">
      <c r="A632" t="s">
        <v>179</v>
      </c>
      <c r="B632">
        <v>26</v>
      </c>
      <c r="C632" t="s">
        <v>292</v>
      </c>
      <c r="D632" t="str">
        <f t="shared" si="45"/>
        <v>06.03.2015</v>
      </c>
      <c r="E632" s="1">
        <v>0.86458333333333337</v>
      </c>
      <c r="F632" t="s">
        <v>21</v>
      </c>
      <c r="G632" t="s">
        <v>187</v>
      </c>
      <c r="H632" s="2">
        <v>46024</v>
      </c>
      <c r="I632" s="3" t="str">
        <f t="shared" si="46"/>
        <v/>
      </c>
      <c r="J632" t="str">
        <f t="shared" si="47"/>
        <v/>
      </c>
      <c r="K632" t="str">
        <f t="shared" si="48"/>
        <v/>
      </c>
      <c r="L632" t="str">
        <f t="shared" si="49"/>
        <v/>
      </c>
      <c r="M632" t="str">
        <f>IF(COUNTIF($A$2:A632,A632)=1,
     VLOOKUP(A632,Season_Winners!A:B,2,FALSE),
     "")</f>
        <v/>
      </c>
      <c r="N632" s="2"/>
    </row>
    <row r="633" spans="1:14" hidden="1" x14ac:dyDescent="0.3">
      <c r="A633" t="s">
        <v>179</v>
      </c>
      <c r="B633">
        <v>26</v>
      </c>
      <c r="C633" t="s">
        <v>293</v>
      </c>
      <c r="D633" t="str">
        <f t="shared" si="45"/>
        <v>07.03.2015</v>
      </c>
      <c r="E633" s="1">
        <v>0.66666666666666663</v>
      </c>
      <c r="F633" t="s">
        <v>182</v>
      </c>
      <c r="G633" t="s">
        <v>27</v>
      </c>
      <c r="H633" s="2">
        <v>46115</v>
      </c>
      <c r="I633" s="3" t="str">
        <f t="shared" si="46"/>
        <v/>
      </c>
      <c r="J633" t="str">
        <f t="shared" si="47"/>
        <v/>
      </c>
      <c r="K633" t="str">
        <f t="shared" si="48"/>
        <v/>
      </c>
      <c r="L633" t="str">
        <f t="shared" si="49"/>
        <v/>
      </c>
      <c r="M633" t="str">
        <f>IF(COUNTIF($A$2:A633,A633)=1,
     VLOOKUP(A633,Season_Winners!A:B,2,FALSE),
     "")</f>
        <v/>
      </c>
      <c r="N633" s="2"/>
    </row>
    <row r="634" spans="1:14" x14ac:dyDescent="0.3">
      <c r="A634" t="s">
        <v>179</v>
      </c>
      <c r="B634">
        <v>26</v>
      </c>
      <c r="C634" t="s">
        <v>293</v>
      </c>
      <c r="D634" t="str">
        <f t="shared" si="45"/>
        <v>07.03.2015</v>
      </c>
      <c r="E634" s="1">
        <v>0.75</v>
      </c>
      <c r="F634" t="s">
        <v>15</v>
      </c>
      <c r="G634" t="s">
        <v>25</v>
      </c>
      <c r="H634" t="s">
        <v>18</v>
      </c>
      <c r="I634" t="str">
        <f t="shared" si="46"/>
        <v>1-0</v>
      </c>
      <c r="J634" t="str">
        <f t="shared" si="47"/>
        <v>1</v>
      </c>
      <c r="K634" t="str">
        <f t="shared" si="48"/>
        <v>0</v>
      </c>
      <c r="L634" t="str">
        <f t="shared" si="49"/>
        <v>Athletic Club</v>
      </c>
      <c r="M634" t="str">
        <f>IF(COUNTIF($A$2:A634,A634)=1,
     VLOOKUP(A634,Season_Winners!A:B,2,FALSE),
     "")</f>
        <v/>
      </c>
    </row>
    <row r="635" spans="1:14" x14ac:dyDescent="0.3">
      <c r="A635" t="s">
        <v>179</v>
      </c>
      <c r="B635">
        <v>26</v>
      </c>
      <c r="C635" t="s">
        <v>293</v>
      </c>
      <c r="D635" t="str">
        <f t="shared" si="45"/>
        <v>07.03.2015</v>
      </c>
      <c r="E635" s="1">
        <v>0.83333333333333337</v>
      </c>
      <c r="F635" t="s">
        <v>31</v>
      </c>
      <c r="G635" t="s">
        <v>33</v>
      </c>
      <c r="H635" t="s">
        <v>18</v>
      </c>
      <c r="I635" t="str">
        <f t="shared" si="46"/>
        <v>1-0</v>
      </c>
      <c r="J635" t="str">
        <f t="shared" si="47"/>
        <v>1</v>
      </c>
      <c r="K635" t="str">
        <f t="shared" si="48"/>
        <v>0</v>
      </c>
      <c r="L635" t="str">
        <f t="shared" si="49"/>
        <v>Elche CF</v>
      </c>
      <c r="M635" t="str">
        <f>IF(COUNTIF($A$2:A635,A635)=1,
     VLOOKUP(A635,Season_Winners!A:B,2,FALSE),
     "")</f>
        <v/>
      </c>
    </row>
    <row r="636" spans="1:14" x14ac:dyDescent="0.3">
      <c r="A636" t="s">
        <v>179</v>
      </c>
      <c r="B636">
        <v>26</v>
      </c>
      <c r="C636" t="s">
        <v>293</v>
      </c>
      <c r="D636" t="str">
        <f t="shared" si="45"/>
        <v>07.03.2015</v>
      </c>
      <c r="E636" s="1">
        <v>0.91666666666666663</v>
      </c>
      <c r="F636" t="s">
        <v>24</v>
      </c>
      <c r="G636" t="s">
        <v>17</v>
      </c>
      <c r="H636" t="s">
        <v>18</v>
      </c>
      <c r="I636" t="str">
        <f t="shared" si="46"/>
        <v>1-0</v>
      </c>
      <c r="J636" t="str">
        <f t="shared" si="47"/>
        <v>1</v>
      </c>
      <c r="K636" t="str">
        <f t="shared" si="48"/>
        <v>0</v>
      </c>
      <c r="L636" t="str">
        <f t="shared" si="49"/>
        <v>Granada CF</v>
      </c>
      <c r="M636" t="str">
        <f>IF(COUNTIF($A$2:A636,A636)=1,
     VLOOKUP(A636,Season_Winners!A:B,2,FALSE),
     "")</f>
        <v/>
      </c>
    </row>
    <row r="637" spans="1:14" hidden="1" x14ac:dyDescent="0.3">
      <c r="A637" t="s">
        <v>179</v>
      </c>
      <c r="B637">
        <v>26</v>
      </c>
      <c r="C637" t="s">
        <v>294</v>
      </c>
      <c r="D637" t="str">
        <f t="shared" si="45"/>
        <v>08.03.2015</v>
      </c>
      <c r="E637" s="1">
        <v>0.5</v>
      </c>
      <c r="F637" t="s">
        <v>20</v>
      </c>
      <c r="G637" t="s">
        <v>30</v>
      </c>
      <c r="H637" s="2">
        <v>46028</v>
      </c>
      <c r="I637" s="3" t="str">
        <f t="shared" si="46"/>
        <v/>
      </c>
      <c r="J637" t="str">
        <f t="shared" si="47"/>
        <v/>
      </c>
      <c r="K637" t="str">
        <f t="shared" si="48"/>
        <v/>
      </c>
      <c r="L637" t="str">
        <f t="shared" si="49"/>
        <v/>
      </c>
      <c r="M637" t="str">
        <f>IF(COUNTIF($A$2:A637,A637)=1,
     VLOOKUP(A637,Season_Winners!A:B,2,FALSE),
     "")</f>
        <v/>
      </c>
      <c r="N637" s="2"/>
    </row>
    <row r="638" spans="1:14" x14ac:dyDescent="0.3">
      <c r="A638" t="s">
        <v>179</v>
      </c>
      <c r="B638">
        <v>26</v>
      </c>
      <c r="C638" t="s">
        <v>294</v>
      </c>
      <c r="D638" t="str">
        <f t="shared" si="45"/>
        <v>08.03.2015</v>
      </c>
      <c r="E638" s="1">
        <v>0.70833333333333337</v>
      </c>
      <c r="F638" t="s">
        <v>10</v>
      </c>
      <c r="G638" t="s">
        <v>36</v>
      </c>
      <c r="H638" t="s">
        <v>18</v>
      </c>
      <c r="I638" t="str">
        <f t="shared" si="46"/>
        <v>1-0</v>
      </c>
      <c r="J638" t="str">
        <f t="shared" si="47"/>
        <v>1</v>
      </c>
      <c r="K638" t="str">
        <f t="shared" si="48"/>
        <v>0</v>
      </c>
      <c r="L638" t="str">
        <f t="shared" si="49"/>
        <v>Real Sociedad</v>
      </c>
      <c r="M638" t="str">
        <f>IF(COUNTIF($A$2:A638,A638)=1,
     VLOOKUP(A638,Season_Winners!A:B,2,FALSE),
     "")</f>
        <v/>
      </c>
    </row>
    <row r="639" spans="1:14" hidden="1" x14ac:dyDescent="0.3">
      <c r="A639" t="s">
        <v>179</v>
      </c>
      <c r="B639">
        <v>26</v>
      </c>
      <c r="C639" t="s">
        <v>294</v>
      </c>
      <c r="D639" t="str">
        <f t="shared" si="45"/>
        <v>08.03.2015</v>
      </c>
      <c r="E639" s="1">
        <v>0.79166666666666663</v>
      </c>
      <c r="F639" t="s">
        <v>34</v>
      </c>
      <c r="G639" t="s">
        <v>35</v>
      </c>
      <c r="H639" s="2">
        <v>46026</v>
      </c>
      <c r="I639" s="3" t="str">
        <f t="shared" si="46"/>
        <v/>
      </c>
      <c r="J639" t="str">
        <f t="shared" si="47"/>
        <v/>
      </c>
      <c r="K639" t="str">
        <f t="shared" si="48"/>
        <v/>
      </c>
      <c r="L639" t="str">
        <f t="shared" si="49"/>
        <v/>
      </c>
      <c r="M639" t="str">
        <f>IF(COUNTIF($A$2:A639,A639)=1,
     VLOOKUP(A639,Season_Winners!A:B,2,FALSE),
     "")</f>
        <v/>
      </c>
      <c r="N639" s="2"/>
    </row>
    <row r="640" spans="1:14" hidden="1" x14ac:dyDescent="0.3">
      <c r="A640" t="s">
        <v>179</v>
      </c>
      <c r="B640">
        <v>26</v>
      </c>
      <c r="C640" t="s">
        <v>294</v>
      </c>
      <c r="D640" t="str">
        <f t="shared" si="45"/>
        <v>08.03.2015</v>
      </c>
      <c r="E640" s="1">
        <v>0.875</v>
      </c>
      <c r="F640" t="s">
        <v>28</v>
      </c>
      <c r="G640" t="s">
        <v>16</v>
      </c>
      <c r="H640" s="2">
        <v>46023</v>
      </c>
      <c r="I640" s="3" t="str">
        <f t="shared" si="46"/>
        <v/>
      </c>
      <c r="J640" t="str">
        <f t="shared" si="47"/>
        <v/>
      </c>
      <c r="K640" t="str">
        <f t="shared" si="48"/>
        <v/>
      </c>
      <c r="L640" t="str">
        <f t="shared" si="49"/>
        <v/>
      </c>
      <c r="M640" t="str">
        <f>IF(COUNTIF($A$2:A640,A640)=1,
     VLOOKUP(A640,Season_Winners!A:B,2,FALSE),
     "")</f>
        <v/>
      </c>
      <c r="N640" s="2"/>
    </row>
    <row r="641" spans="1:14" hidden="1" x14ac:dyDescent="0.3">
      <c r="A641" t="s">
        <v>179</v>
      </c>
      <c r="B641">
        <v>26</v>
      </c>
      <c r="C641" t="s">
        <v>295</v>
      </c>
      <c r="D641" t="str">
        <f t="shared" si="45"/>
        <v>09.03.2015</v>
      </c>
      <c r="E641" s="1">
        <v>0.86458333333333337</v>
      </c>
      <c r="F641" t="s">
        <v>193</v>
      </c>
      <c r="G641" t="s">
        <v>11</v>
      </c>
      <c r="H641" s="2">
        <v>46054</v>
      </c>
      <c r="I641" s="3" t="str">
        <f t="shared" si="46"/>
        <v/>
      </c>
      <c r="J641" t="str">
        <f t="shared" si="47"/>
        <v/>
      </c>
      <c r="K641" t="str">
        <f t="shared" si="48"/>
        <v/>
      </c>
      <c r="L641" t="str">
        <f t="shared" si="49"/>
        <v/>
      </c>
      <c r="M641" t="str">
        <f>IF(COUNTIF($A$2:A641,A641)=1,
     VLOOKUP(A641,Season_Winners!A:B,2,FALSE),
     "")</f>
        <v/>
      </c>
      <c r="N641" s="2"/>
    </row>
    <row r="642" spans="1:14" x14ac:dyDescent="0.3">
      <c r="A642" t="s">
        <v>179</v>
      </c>
      <c r="B642">
        <v>27</v>
      </c>
      <c r="C642" t="s">
        <v>296</v>
      </c>
      <c r="D642" t="str">
        <f t="shared" ref="D642:D705" si="50">RIGHT(C642,10)</f>
        <v>13.03.2015</v>
      </c>
      <c r="E642" s="1">
        <v>0.86458333333333337</v>
      </c>
      <c r="F642" t="s">
        <v>16</v>
      </c>
      <c r="G642" t="s">
        <v>182</v>
      </c>
      <c r="H642" t="s">
        <v>12</v>
      </c>
      <c r="I642" t="str">
        <f t="shared" ref="I642:I705" si="51">IF(ISNUMBER(SEARCH("-",H642)),H642,"")</f>
        <v>2-0</v>
      </c>
      <c r="J642" t="str">
        <f t="shared" ref="J642:J705" si="52">IF(I642="","",LEFT(I642,FIND("-",I642)-1))</f>
        <v>2</v>
      </c>
      <c r="K642" t="str">
        <f t="shared" ref="K642:K705" si="53">IF(I642="","",RIGHT(I642,LEN(I642)-FIND("-",I642)))</f>
        <v>0</v>
      </c>
      <c r="L642" t="str">
        <f t="shared" ref="L642:L705" si="54">IF(I642="","",IF(J642&gt;K642,F642,IF(K642&gt;J642,G642,"Draw")))</f>
        <v>Valencia CF</v>
      </c>
      <c r="M642" t="str">
        <f>IF(COUNTIF($A$2:A642,A642)=1,
     VLOOKUP(A642,Season_Winners!A:B,2,FALSE),
     "")</f>
        <v/>
      </c>
    </row>
    <row r="643" spans="1:14" x14ac:dyDescent="0.3">
      <c r="A643" t="s">
        <v>179</v>
      </c>
      <c r="B643">
        <v>27</v>
      </c>
      <c r="C643" t="s">
        <v>297</v>
      </c>
      <c r="D643" t="str">
        <f t="shared" si="50"/>
        <v>14.03.2015</v>
      </c>
      <c r="E643" s="1">
        <v>0.66666666666666663</v>
      </c>
      <c r="F643" t="s">
        <v>36</v>
      </c>
      <c r="G643" t="s">
        <v>1425</v>
      </c>
      <c r="H643" t="s">
        <v>41</v>
      </c>
      <c r="I643" t="str">
        <f t="shared" si="51"/>
        <v>0-0</v>
      </c>
      <c r="J643" t="str">
        <f t="shared" si="52"/>
        <v>0</v>
      </c>
      <c r="K643" t="str">
        <f t="shared" si="53"/>
        <v>0</v>
      </c>
      <c r="L643" t="str">
        <f t="shared" si="54"/>
        <v>Draw</v>
      </c>
      <c r="M643" t="str">
        <f>IF(COUNTIF($A$2:A643,A643)=1,
     VLOOKUP(A643,Season_Winners!A:B,2,FALSE),
     "")</f>
        <v/>
      </c>
    </row>
    <row r="644" spans="1:14" x14ac:dyDescent="0.3">
      <c r="A644" t="s">
        <v>179</v>
      </c>
      <c r="B644">
        <v>27</v>
      </c>
      <c r="C644" t="s">
        <v>297</v>
      </c>
      <c r="D644" t="str">
        <f t="shared" si="50"/>
        <v>14.03.2015</v>
      </c>
      <c r="E644" s="1">
        <v>0.75</v>
      </c>
      <c r="F644" t="s">
        <v>187</v>
      </c>
      <c r="G644" t="s">
        <v>20</v>
      </c>
      <c r="H644" t="s">
        <v>54</v>
      </c>
      <c r="I644" t="str">
        <f t="shared" si="51"/>
        <v>0-2</v>
      </c>
      <c r="J644" t="str">
        <f t="shared" si="52"/>
        <v>0</v>
      </c>
      <c r="K644" t="str">
        <f t="shared" si="53"/>
        <v>2</v>
      </c>
      <c r="L644" t="str">
        <f t="shared" si="54"/>
        <v>FC Barcelona</v>
      </c>
      <c r="M644" t="str">
        <f>IF(COUNTIF($A$2:A644,A644)=1,
     VLOOKUP(A644,Season_Winners!A:B,2,FALSE),
     "")</f>
        <v/>
      </c>
    </row>
    <row r="645" spans="1:14" hidden="1" x14ac:dyDescent="0.3">
      <c r="A645" t="s">
        <v>179</v>
      </c>
      <c r="B645">
        <v>27</v>
      </c>
      <c r="C645" t="s">
        <v>297</v>
      </c>
      <c r="D645" t="str">
        <f t="shared" si="50"/>
        <v>14.03.2015</v>
      </c>
      <c r="E645" s="1">
        <v>0.83333333333333337</v>
      </c>
      <c r="F645" t="s">
        <v>30</v>
      </c>
      <c r="G645" t="s">
        <v>24</v>
      </c>
      <c r="H645" s="2">
        <v>46025</v>
      </c>
      <c r="I645" s="3" t="str">
        <f t="shared" si="51"/>
        <v/>
      </c>
      <c r="J645" t="str">
        <f t="shared" si="52"/>
        <v/>
      </c>
      <c r="K645" t="str">
        <f t="shared" si="53"/>
        <v/>
      </c>
      <c r="L645" t="str">
        <f t="shared" si="54"/>
        <v/>
      </c>
      <c r="M645" t="str">
        <f>IF(COUNTIF($A$2:A645,A645)=1,
     VLOOKUP(A645,Season_Winners!A:B,2,FALSE),
     "")</f>
        <v/>
      </c>
      <c r="N645" s="2"/>
    </row>
    <row r="646" spans="1:14" hidden="1" x14ac:dyDescent="0.3">
      <c r="A646" t="s">
        <v>179</v>
      </c>
      <c r="B646">
        <v>27</v>
      </c>
      <c r="C646" t="s">
        <v>297</v>
      </c>
      <c r="D646" t="str">
        <f t="shared" si="50"/>
        <v>14.03.2015</v>
      </c>
      <c r="E646" s="1">
        <v>0.91666666666666663</v>
      </c>
      <c r="F646" t="s">
        <v>35</v>
      </c>
      <c r="G646" t="s">
        <v>15</v>
      </c>
      <c r="H646" s="2">
        <v>46054</v>
      </c>
      <c r="I646" s="3" t="str">
        <f t="shared" si="51"/>
        <v/>
      </c>
      <c r="J646" t="str">
        <f t="shared" si="52"/>
        <v/>
      </c>
      <c r="K646" t="str">
        <f t="shared" si="53"/>
        <v/>
      </c>
      <c r="L646" t="str">
        <f t="shared" si="54"/>
        <v/>
      </c>
      <c r="M646" t="str">
        <f>IF(COUNTIF($A$2:A646,A646)=1,
     VLOOKUP(A646,Season_Winners!A:B,2,FALSE),
     "")</f>
        <v/>
      </c>
      <c r="N646" s="2"/>
    </row>
    <row r="647" spans="1:14" x14ac:dyDescent="0.3">
      <c r="A647" t="s">
        <v>179</v>
      </c>
      <c r="B647">
        <v>27</v>
      </c>
      <c r="C647" t="s">
        <v>298</v>
      </c>
      <c r="D647" t="str">
        <f t="shared" si="50"/>
        <v>15.03.2015</v>
      </c>
      <c r="E647" s="1">
        <v>0.5</v>
      </c>
      <c r="F647" t="s">
        <v>33</v>
      </c>
      <c r="G647" t="s">
        <v>34</v>
      </c>
      <c r="H647" t="s">
        <v>41</v>
      </c>
      <c r="I647" t="str">
        <f t="shared" si="51"/>
        <v>0-0</v>
      </c>
      <c r="J647" t="str">
        <f t="shared" si="52"/>
        <v>0</v>
      </c>
      <c r="K647" t="str">
        <f t="shared" si="53"/>
        <v>0</v>
      </c>
      <c r="L647" t="str">
        <f t="shared" si="54"/>
        <v>Draw</v>
      </c>
      <c r="M647" t="str">
        <f>IF(COUNTIF($A$2:A647,A647)=1,
     VLOOKUP(A647,Season_Winners!A:B,2,FALSE),
     "")</f>
        <v/>
      </c>
    </row>
    <row r="648" spans="1:14" x14ac:dyDescent="0.3">
      <c r="A648" t="s">
        <v>179</v>
      </c>
      <c r="B648">
        <v>27</v>
      </c>
      <c r="C648" t="s">
        <v>298</v>
      </c>
      <c r="D648" t="str">
        <f t="shared" si="50"/>
        <v>15.03.2015</v>
      </c>
      <c r="E648" s="1">
        <v>0.70833333333333337</v>
      </c>
      <c r="F648" t="s">
        <v>17</v>
      </c>
      <c r="G648" t="s">
        <v>193</v>
      </c>
      <c r="H648" t="s">
        <v>12</v>
      </c>
      <c r="I648" t="str">
        <f t="shared" si="51"/>
        <v>2-0</v>
      </c>
      <c r="J648" t="str">
        <f t="shared" si="52"/>
        <v>2</v>
      </c>
      <c r="K648" t="str">
        <f t="shared" si="53"/>
        <v>0</v>
      </c>
      <c r="L648" t="str">
        <f t="shared" si="54"/>
        <v>MÃ¡laga CF</v>
      </c>
      <c r="M648" t="str">
        <f>IF(COUNTIF($A$2:A648,A648)=1,
     VLOOKUP(A648,Season_Winners!A:B,2,FALSE),
     "")</f>
        <v/>
      </c>
    </row>
    <row r="649" spans="1:14" x14ac:dyDescent="0.3">
      <c r="A649" t="s">
        <v>179</v>
      </c>
      <c r="B649">
        <v>27</v>
      </c>
      <c r="C649" t="s">
        <v>298</v>
      </c>
      <c r="D649" t="str">
        <f t="shared" si="50"/>
        <v>15.03.2015</v>
      </c>
      <c r="E649" s="1">
        <v>0.79166666666666663</v>
      </c>
      <c r="F649" t="s">
        <v>27</v>
      </c>
      <c r="G649" t="s">
        <v>31</v>
      </c>
      <c r="H649" t="s">
        <v>32</v>
      </c>
      <c r="I649" t="str">
        <f t="shared" si="51"/>
        <v>3-0</v>
      </c>
      <c r="J649" t="str">
        <f t="shared" si="52"/>
        <v>3</v>
      </c>
      <c r="K649" t="str">
        <f t="shared" si="53"/>
        <v>0</v>
      </c>
      <c r="L649" t="str">
        <f t="shared" si="54"/>
        <v>Sevilla FC</v>
      </c>
      <c r="M649" t="str">
        <f>IF(COUNTIF($A$2:A649,A649)=1,
     VLOOKUP(A649,Season_Winners!A:B,2,FALSE),
     "")</f>
        <v/>
      </c>
    </row>
    <row r="650" spans="1:14" x14ac:dyDescent="0.3">
      <c r="A650" t="s">
        <v>179</v>
      </c>
      <c r="B650">
        <v>27</v>
      </c>
      <c r="C650" t="s">
        <v>298</v>
      </c>
      <c r="D650" t="str">
        <f t="shared" si="50"/>
        <v>15.03.2015</v>
      </c>
      <c r="E650" s="1">
        <v>0.875</v>
      </c>
      <c r="F650" t="s">
        <v>25</v>
      </c>
      <c r="G650" t="s">
        <v>21</v>
      </c>
      <c r="H650" t="s">
        <v>12</v>
      </c>
      <c r="I650" t="str">
        <f t="shared" si="51"/>
        <v>2-0</v>
      </c>
      <c r="J650" t="str">
        <f t="shared" si="52"/>
        <v>2</v>
      </c>
      <c r="K650" t="str">
        <f t="shared" si="53"/>
        <v>0</v>
      </c>
      <c r="L650" t="str">
        <f t="shared" si="54"/>
        <v>Real Madrid</v>
      </c>
      <c r="M650" t="str">
        <f>IF(COUNTIF($A$2:A650,A650)=1,
     VLOOKUP(A650,Season_Winners!A:B,2,FALSE),
     "")</f>
        <v/>
      </c>
    </row>
    <row r="651" spans="1:14" x14ac:dyDescent="0.3">
      <c r="A651" t="s">
        <v>179</v>
      </c>
      <c r="B651">
        <v>27</v>
      </c>
      <c r="C651" t="s">
        <v>299</v>
      </c>
      <c r="D651" t="str">
        <f t="shared" si="50"/>
        <v>16.03.2015</v>
      </c>
      <c r="E651" s="1">
        <v>0.86458333333333337</v>
      </c>
      <c r="F651" t="s">
        <v>11</v>
      </c>
      <c r="G651" t="s">
        <v>10</v>
      </c>
      <c r="H651" t="s">
        <v>42</v>
      </c>
      <c r="I651" t="str">
        <f t="shared" si="51"/>
        <v>0-1</v>
      </c>
      <c r="J651" t="str">
        <f t="shared" si="52"/>
        <v>0</v>
      </c>
      <c r="K651" t="str">
        <f t="shared" si="53"/>
        <v>1</v>
      </c>
      <c r="L651" t="str">
        <f t="shared" si="54"/>
        <v>Real Sociedad</v>
      </c>
      <c r="M651" t="str">
        <f>IF(COUNTIF($A$2:A651,A651)=1,
     VLOOKUP(A651,Season_Winners!A:B,2,FALSE),
     "")</f>
        <v/>
      </c>
    </row>
    <row r="652" spans="1:14" x14ac:dyDescent="0.3">
      <c r="A652" t="s">
        <v>179</v>
      </c>
      <c r="B652">
        <v>28</v>
      </c>
      <c r="C652" t="s">
        <v>300</v>
      </c>
      <c r="D652" t="str">
        <f t="shared" si="50"/>
        <v>20.03.2015</v>
      </c>
      <c r="E652" s="1">
        <v>0.86458333333333337</v>
      </c>
      <c r="F652" t="s">
        <v>31</v>
      </c>
      <c r="G652" t="s">
        <v>16</v>
      </c>
      <c r="H652" t="s">
        <v>53</v>
      </c>
      <c r="I652" t="str">
        <f t="shared" si="51"/>
        <v>0-4</v>
      </c>
      <c r="J652" t="str">
        <f t="shared" si="52"/>
        <v>0</v>
      </c>
      <c r="K652" t="str">
        <f t="shared" si="53"/>
        <v>4</v>
      </c>
      <c r="L652" t="str">
        <f t="shared" si="54"/>
        <v>Valencia CF</v>
      </c>
      <c r="M652" t="str">
        <f>IF(COUNTIF($A$2:A652,A652)=1,
     VLOOKUP(A652,Season_Winners!A:B,2,FALSE),
     "")</f>
        <v/>
      </c>
    </row>
    <row r="653" spans="1:14" x14ac:dyDescent="0.3">
      <c r="A653" t="s">
        <v>179</v>
      </c>
      <c r="B653">
        <v>28</v>
      </c>
      <c r="C653" t="s">
        <v>301</v>
      </c>
      <c r="D653" t="str">
        <f t="shared" si="50"/>
        <v>21.03.2015</v>
      </c>
      <c r="E653" s="1">
        <v>0.66666666666666663</v>
      </c>
      <c r="F653" t="s">
        <v>1425</v>
      </c>
      <c r="G653" t="s">
        <v>11</v>
      </c>
      <c r="H653" t="s">
        <v>12</v>
      </c>
      <c r="I653" t="str">
        <f t="shared" si="51"/>
        <v>2-0</v>
      </c>
      <c r="J653" t="str">
        <f t="shared" si="52"/>
        <v>2</v>
      </c>
      <c r="K653" t="str">
        <f t="shared" si="53"/>
        <v>0</v>
      </c>
      <c r="L653" t="str">
        <f t="shared" si="54"/>
        <v>Atlético de Madrid</v>
      </c>
      <c r="M653" t="str">
        <f>IF(COUNTIF($A$2:A653,A653)=1,
     VLOOKUP(A653,Season_Winners!A:B,2,FALSE),
     "")</f>
        <v/>
      </c>
    </row>
    <row r="654" spans="1:14" x14ac:dyDescent="0.3">
      <c r="A654" t="s">
        <v>179</v>
      </c>
      <c r="B654">
        <v>28</v>
      </c>
      <c r="C654" t="s">
        <v>301</v>
      </c>
      <c r="D654" t="str">
        <f t="shared" si="50"/>
        <v>21.03.2015</v>
      </c>
      <c r="E654" s="1">
        <v>0.75</v>
      </c>
      <c r="F654" t="s">
        <v>30</v>
      </c>
      <c r="G654" t="s">
        <v>17</v>
      </c>
      <c r="H654" t="s">
        <v>18</v>
      </c>
      <c r="I654" t="str">
        <f t="shared" si="51"/>
        <v>1-0</v>
      </c>
      <c r="J654" t="str">
        <f t="shared" si="52"/>
        <v>1</v>
      </c>
      <c r="K654" t="str">
        <f t="shared" si="53"/>
        <v>0</v>
      </c>
      <c r="L654" t="str">
        <f t="shared" si="54"/>
        <v>Rayo Vallecano</v>
      </c>
      <c r="M654" t="str">
        <f>IF(COUNTIF($A$2:A654,A654)=1,
     VLOOKUP(A654,Season_Winners!A:B,2,FALSE),
     "")</f>
        <v/>
      </c>
    </row>
    <row r="655" spans="1:14" x14ac:dyDescent="0.3">
      <c r="A655" t="s">
        <v>179</v>
      </c>
      <c r="B655">
        <v>28</v>
      </c>
      <c r="C655" t="s">
        <v>301</v>
      </c>
      <c r="D655" t="str">
        <f t="shared" si="50"/>
        <v>21.03.2015</v>
      </c>
      <c r="E655" s="1">
        <v>0.83333333333333337</v>
      </c>
      <c r="F655" t="s">
        <v>21</v>
      </c>
      <c r="G655" t="s">
        <v>35</v>
      </c>
      <c r="H655" t="s">
        <v>42</v>
      </c>
      <c r="I655" t="str">
        <f t="shared" si="51"/>
        <v>0-1</v>
      </c>
      <c r="J655" t="str">
        <f t="shared" si="52"/>
        <v>0</v>
      </c>
      <c r="K655" t="str">
        <f t="shared" si="53"/>
        <v>1</v>
      </c>
      <c r="L655" t="str">
        <f t="shared" si="54"/>
        <v>RC Celta</v>
      </c>
      <c r="M655" t="str">
        <f>IF(COUNTIF($A$2:A655,A655)=1,
     VLOOKUP(A655,Season_Winners!A:B,2,FALSE),
     "")</f>
        <v/>
      </c>
    </row>
    <row r="656" spans="1:14" hidden="1" x14ac:dyDescent="0.3">
      <c r="A656" t="s">
        <v>179</v>
      </c>
      <c r="B656">
        <v>28</v>
      </c>
      <c r="C656" t="s">
        <v>301</v>
      </c>
      <c r="D656" t="str">
        <f t="shared" si="50"/>
        <v>21.03.2015</v>
      </c>
      <c r="E656" s="1">
        <v>0.91666666666666663</v>
      </c>
      <c r="F656" t="s">
        <v>15</v>
      </c>
      <c r="G656" t="s">
        <v>33</v>
      </c>
      <c r="H656" s="2">
        <v>46024</v>
      </c>
      <c r="I656" s="3" t="str">
        <f t="shared" si="51"/>
        <v/>
      </c>
      <c r="J656" t="str">
        <f t="shared" si="52"/>
        <v/>
      </c>
      <c r="K656" t="str">
        <f t="shared" si="53"/>
        <v/>
      </c>
      <c r="L656" t="str">
        <f t="shared" si="54"/>
        <v/>
      </c>
      <c r="M656" t="str">
        <f>IF(COUNTIF($A$2:A656,A656)=1,
     VLOOKUP(A656,Season_Winners!A:B,2,FALSE),
     "")</f>
        <v/>
      </c>
      <c r="N656" s="2"/>
    </row>
    <row r="657" spans="1:14" x14ac:dyDescent="0.3">
      <c r="A657" t="s">
        <v>179</v>
      </c>
      <c r="B657">
        <v>28</v>
      </c>
      <c r="C657" t="s">
        <v>301</v>
      </c>
      <c r="D657" t="str">
        <f t="shared" si="50"/>
        <v>21.03.2015</v>
      </c>
      <c r="E657" s="1">
        <v>0.91666666666666663</v>
      </c>
      <c r="F657" t="s">
        <v>24</v>
      </c>
      <c r="G657" t="s">
        <v>187</v>
      </c>
      <c r="H657" t="s">
        <v>41</v>
      </c>
      <c r="I657" t="str">
        <f t="shared" si="51"/>
        <v>0-0</v>
      </c>
      <c r="J657" t="str">
        <f t="shared" si="52"/>
        <v>0</v>
      </c>
      <c r="K657" t="str">
        <f t="shared" si="53"/>
        <v>0</v>
      </c>
      <c r="L657" t="str">
        <f t="shared" si="54"/>
        <v>Draw</v>
      </c>
      <c r="M657" t="str">
        <f>IF(COUNTIF($A$2:A657,A657)=1,
     VLOOKUP(A657,Season_Winners!A:B,2,FALSE),
     "")</f>
        <v/>
      </c>
    </row>
    <row r="658" spans="1:14" x14ac:dyDescent="0.3">
      <c r="A658" t="s">
        <v>179</v>
      </c>
      <c r="B658">
        <v>28</v>
      </c>
      <c r="C658" t="s">
        <v>302</v>
      </c>
      <c r="D658" t="str">
        <f t="shared" si="50"/>
        <v>22.03.2015</v>
      </c>
      <c r="E658" s="1">
        <v>0.5</v>
      </c>
      <c r="F658" t="s">
        <v>182</v>
      </c>
      <c r="G658" t="s">
        <v>36</v>
      </c>
      <c r="H658" t="s">
        <v>41</v>
      </c>
      <c r="I658" t="str">
        <f t="shared" si="51"/>
        <v>0-0</v>
      </c>
      <c r="J658" t="str">
        <f t="shared" si="52"/>
        <v>0</v>
      </c>
      <c r="K658" t="str">
        <f t="shared" si="53"/>
        <v>0</v>
      </c>
      <c r="L658" t="str">
        <f t="shared" si="54"/>
        <v>Draw</v>
      </c>
      <c r="M658" t="str">
        <f>IF(COUNTIF($A$2:A658,A658)=1,
     VLOOKUP(A658,Season_Winners!A:B,2,FALSE),
     "")</f>
        <v/>
      </c>
    </row>
    <row r="659" spans="1:14" x14ac:dyDescent="0.3">
      <c r="A659" t="s">
        <v>179</v>
      </c>
      <c r="B659">
        <v>28</v>
      </c>
      <c r="C659" t="s">
        <v>302</v>
      </c>
      <c r="D659" t="str">
        <f t="shared" si="50"/>
        <v>22.03.2015</v>
      </c>
      <c r="E659" s="1">
        <v>0.70833333333333337</v>
      </c>
      <c r="F659" t="s">
        <v>34</v>
      </c>
      <c r="G659" t="s">
        <v>27</v>
      </c>
      <c r="H659" t="s">
        <v>54</v>
      </c>
      <c r="I659" t="str">
        <f t="shared" si="51"/>
        <v>0-2</v>
      </c>
      <c r="J659" t="str">
        <f t="shared" si="52"/>
        <v>0</v>
      </c>
      <c r="K659" t="str">
        <f t="shared" si="53"/>
        <v>2</v>
      </c>
      <c r="L659" t="str">
        <f t="shared" si="54"/>
        <v>Sevilla FC</v>
      </c>
      <c r="M659" t="str">
        <f>IF(COUNTIF($A$2:A659,A659)=1,
     VLOOKUP(A659,Season_Winners!A:B,2,FALSE),
     "")</f>
        <v/>
      </c>
    </row>
    <row r="660" spans="1:14" hidden="1" x14ac:dyDescent="0.3">
      <c r="A660" t="s">
        <v>179</v>
      </c>
      <c r="B660">
        <v>28</v>
      </c>
      <c r="C660" t="s">
        <v>302</v>
      </c>
      <c r="D660" t="str">
        <f t="shared" si="50"/>
        <v>22.03.2015</v>
      </c>
      <c r="E660" s="1">
        <v>0.79166666666666663</v>
      </c>
      <c r="F660" t="s">
        <v>10</v>
      </c>
      <c r="G660" t="s">
        <v>193</v>
      </c>
      <c r="H660" s="2">
        <v>46025</v>
      </c>
      <c r="I660" s="3" t="str">
        <f t="shared" si="51"/>
        <v/>
      </c>
      <c r="J660" t="str">
        <f t="shared" si="52"/>
        <v/>
      </c>
      <c r="K660" t="str">
        <f t="shared" si="53"/>
        <v/>
      </c>
      <c r="L660" t="str">
        <f t="shared" si="54"/>
        <v/>
      </c>
      <c r="M660" t="str">
        <f>IF(COUNTIF($A$2:A660,A660)=1,
     VLOOKUP(A660,Season_Winners!A:B,2,FALSE),
     "")</f>
        <v/>
      </c>
      <c r="N660" s="2"/>
    </row>
    <row r="661" spans="1:14" hidden="1" x14ac:dyDescent="0.3">
      <c r="A661" t="s">
        <v>179</v>
      </c>
      <c r="B661">
        <v>28</v>
      </c>
      <c r="C661" t="s">
        <v>302</v>
      </c>
      <c r="D661" t="str">
        <f t="shared" si="50"/>
        <v>22.03.2015</v>
      </c>
      <c r="E661" s="1">
        <v>0.875</v>
      </c>
      <c r="F661" t="s">
        <v>20</v>
      </c>
      <c r="G661" t="s">
        <v>25</v>
      </c>
      <c r="H661" s="2">
        <v>46024</v>
      </c>
      <c r="I661" s="3" t="str">
        <f t="shared" si="51"/>
        <v/>
      </c>
      <c r="J661" t="str">
        <f t="shared" si="52"/>
        <v/>
      </c>
      <c r="K661" t="str">
        <f t="shared" si="53"/>
        <v/>
      </c>
      <c r="L661" t="str">
        <f t="shared" si="54"/>
        <v/>
      </c>
      <c r="M661" t="str">
        <f>IF(COUNTIF($A$2:A661,A661)=1,
     VLOOKUP(A661,Season_Winners!A:B,2,FALSE),
     "")</f>
        <v/>
      </c>
      <c r="N661" s="2"/>
    </row>
    <row r="662" spans="1:14" hidden="1" x14ac:dyDescent="0.3">
      <c r="A662" t="s">
        <v>179</v>
      </c>
      <c r="B662">
        <v>29</v>
      </c>
      <c r="C662" t="s">
        <v>303</v>
      </c>
      <c r="D662" t="str">
        <f t="shared" si="50"/>
        <v>03.04.2015</v>
      </c>
      <c r="E662" s="1">
        <v>0.86458333333333337</v>
      </c>
      <c r="F662" t="s">
        <v>187</v>
      </c>
      <c r="G662" t="s">
        <v>30</v>
      </c>
      <c r="H662" s="2">
        <v>46054</v>
      </c>
      <c r="I662" s="3" t="str">
        <f t="shared" si="51"/>
        <v/>
      </c>
      <c r="J662" t="str">
        <f t="shared" si="52"/>
        <v/>
      </c>
      <c r="K662" t="str">
        <f t="shared" si="53"/>
        <v/>
      </c>
      <c r="L662" t="str">
        <f t="shared" si="54"/>
        <v/>
      </c>
      <c r="M662" t="str">
        <f>IF(COUNTIF($A$2:A662,A662)=1,
     VLOOKUP(A662,Season_Winners!A:B,2,FALSE),
     "")</f>
        <v/>
      </c>
      <c r="N662" s="2"/>
    </row>
    <row r="663" spans="1:14" x14ac:dyDescent="0.3">
      <c r="A663" t="s">
        <v>179</v>
      </c>
      <c r="B663">
        <v>29</v>
      </c>
      <c r="C663" t="s">
        <v>304</v>
      </c>
      <c r="D663" t="str">
        <f t="shared" si="50"/>
        <v>04.04.2015</v>
      </c>
      <c r="E663" s="1">
        <v>0.66666666666666663</v>
      </c>
      <c r="F663" t="s">
        <v>27</v>
      </c>
      <c r="G663" t="s">
        <v>15</v>
      </c>
      <c r="H663" t="s">
        <v>12</v>
      </c>
      <c r="I663" t="str">
        <f t="shared" si="51"/>
        <v>2-0</v>
      </c>
      <c r="J663" t="str">
        <f t="shared" si="52"/>
        <v>2</v>
      </c>
      <c r="K663" t="str">
        <f t="shared" si="53"/>
        <v>0</v>
      </c>
      <c r="L663" t="str">
        <f t="shared" si="54"/>
        <v>Sevilla FC</v>
      </c>
      <c r="M663" t="str">
        <f>IF(COUNTIF($A$2:A663,A663)=1,
     VLOOKUP(A663,Season_Winners!A:B,2,FALSE),
     "")</f>
        <v/>
      </c>
    </row>
    <row r="664" spans="1:14" x14ac:dyDescent="0.3">
      <c r="A664" t="s">
        <v>179</v>
      </c>
      <c r="B664">
        <v>29</v>
      </c>
      <c r="C664" t="s">
        <v>304</v>
      </c>
      <c r="D664" t="str">
        <f t="shared" si="50"/>
        <v>04.04.2015</v>
      </c>
      <c r="E664" s="1">
        <v>0.75</v>
      </c>
      <c r="F664" t="s">
        <v>193</v>
      </c>
      <c r="G664" t="s">
        <v>1425</v>
      </c>
      <c r="H664" t="s">
        <v>54</v>
      </c>
      <c r="I664" t="str">
        <f t="shared" si="51"/>
        <v>0-2</v>
      </c>
      <c r="J664" t="str">
        <f t="shared" si="52"/>
        <v>0</v>
      </c>
      <c r="K664" t="str">
        <f t="shared" si="53"/>
        <v>2</v>
      </c>
      <c r="L664" t="str">
        <f t="shared" si="54"/>
        <v>Atlético de Madrid</v>
      </c>
      <c r="M664" t="str">
        <f>IF(COUNTIF($A$2:A664,A664)=1,
     VLOOKUP(A664,Season_Winners!A:B,2,FALSE),
     "")</f>
        <v/>
      </c>
    </row>
    <row r="665" spans="1:14" hidden="1" x14ac:dyDescent="0.3">
      <c r="A665" t="s">
        <v>179</v>
      </c>
      <c r="B665">
        <v>29</v>
      </c>
      <c r="C665" t="s">
        <v>304</v>
      </c>
      <c r="D665" t="str">
        <f t="shared" si="50"/>
        <v>04.04.2015</v>
      </c>
      <c r="E665" s="1">
        <v>0.83333333333333337</v>
      </c>
      <c r="F665" t="s">
        <v>33</v>
      </c>
      <c r="G665" t="s">
        <v>21</v>
      </c>
      <c r="H665" s="2">
        <v>46113</v>
      </c>
      <c r="I665" s="3" t="str">
        <f t="shared" si="51"/>
        <v/>
      </c>
      <c r="J665" t="str">
        <f t="shared" si="52"/>
        <v/>
      </c>
      <c r="K665" t="str">
        <f t="shared" si="53"/>
        <v/>
      </c>
      <c r="L665" t="str">
        <f t="shared" si="54"/>
        <v/>
      </c>
      <c r="M665" t="str">
        <f>IF(COUNTIF($A$2:A665,A665)=1,
     VLOOKUP(A665,Season_Winners!A:B,2,FALSE),
     "")</f>
        <v/>
      </c>
      <c r="N665" s="2"/>
    </row>
    <row r="666" spans="1:14" hidden="1" x14ac:dyDescent="0.3">
      <c r="A666" t="s">
        <v>179</v>
      </c>
      <c r="B666">
        <v>29</v>
      </c>
      <c r="C666" t="s">
        <v>304</v>
      </c>
      <c r="D666" t="str">
        <f t="shared" si="50"/>
        <v>04.04.2015</v>
      </c>
      <c r="E666" s="1">
        <v>0.91666666666666663</v>
      </c>
      <c r="F666" t="s">
        <v>17</v>
      </c>
      <c r="G666" t="s">
        <v>10</v>
      </c>
      <c r="H666" s="2">
        <v>46023</v>
      </c>
      <c r="I666" s="3" t="str">
        <f t="shared" si="51"/>
        <v/>
      </c>
      <c r="J666" t="str">
        <f t="shared" si="52"/>
        <v/>
      </c>
      <c r="K666" t="str">
        <f t="shared" si="53"/>
        <v/>
      </c>
      <c r="L666" t="str">
        <f t="shared" si="54"/>
        <v/>
      </c>
      <c r="M666" t="str">
        <f>IF(COUNTIF($A$2:A666,A666)=1,
     VLOOKUP(A666,Season_Winners!A:B,2,FALSE),
     "")</f>
        <v/>
      </c>
      <c r="N666" s="2"/>
    </row>
    <row r="667" spans="1:14" hidden="1" x14ac:dyDescent="0.3">
      <c r="A667" t="s">
        <v>179</v>
      </c>
      <c r="B667">
        <v>29</v>
      </c>
      <c r="C667" t="s">
        <v>305</v>
      </c>
      <c r="D667" t="str">
        <f t="shared" si="50"/>
        <v>05.04.2015</v>
      </c>
      <c r="E667" s="1">
        <v>0.5</v>
      </c>
      <c r="F667" t="s">
        <v>25</v>
      </c>
      <c r="G667" t="s">
        <v>24</v>
      </c>
      <c r="H667" s="2">
        <v>46031</v>
      </c>
      <c r="I667" s="3" t="str">
        <f t="shared" si="51"/>
        <v/>
      </c>
      <c r="J667" t="str">
        <f t="shared" si="52"/>
        <v/>
      </c>
      <c r="K667" t="str">
        <f t="shared" si="53"/>
        <v/>
      </c>
      <c r="L667" t="str">
        <f t="shared" si="54"/>
        <v/>
      </c>
      <c r="M667" t="str">
        <f>IF(COUNTIF($A$2:A667,A667)=1,
     VLOOKUP(A667,Season_Winners!A:B,2,FALSE),
     "")</f>
        <v/>
      </c>
      <c r="N667" s="2"/>
    </row>
    <row r="668" spans="1:14" x14ac:dyDescent="0.3">
      <c r="A668" t="s">
        <v>179</v>
      </c>
      <c r="B668">
        <v>29</v>
      </c>
      <c r="C668" t="s">
        <v>305</v>
      </c>
      <c r="D668" t="str">
        <f t="shared" si="50"/>
        <v>05.04.2015</v>
      </c>
      <c r="E668" s="1">
        <v>0.70833333333333337</v>
      </c>
      <c r="F668" t="s">
        <v>16</v>
      </c>
      <c r="G668" t="s">
        <v>34</v>
      </c>
      <c r="H668" t="s">
        <v>41</v>
      </c>
      <c r="I668" t="str">
        <f t="shared" si="51"/>
        <v>0-0</v>
      </c>
      <c r="J668" t="str">
        <f t="shared" si="52"/>
        <v>0</v>
      </c>
      <c r="K668" t="str">
        <f t="shared" si="53"/>
        <v>0</v>
      </c>
      <c r="L668" t="str">
        <f t="shared" si="54"/>
        <v>Draw</v>
      </c>
      <c r="M668" t="str">
        <f>IF(COUNTIF($A$2:A668,A668)=1,
     VLOOKUP(A668,Season_Winners!A:B,2,FALSE),
     "")</f>
        <v/>
      </c>
    </row>
    <row r="669" spans="1:14" hidden="1" x14ac:dyDescent="0.3">
      <c r="A669" t="s">
        <v>179</v>
      </c>
      <c r="B669">
        <v>29</v>
      </c>
      <c r="C669" t="s">
        <v>305</v>
      </c>
      <c r="D669" t="str">
        <f t="shared" si="50"/>
        <v>05.04.2015</v>
      </c>
      <c r="E669" s="1">
        <v>0.79166666666666663</v>
      </c>
      <c r="F669" t="s">
        <v>11</v>
      </c>
      <c r="G669" t="s">
        <v>182</v>
      </c>
      <c r="H669" s="2">
        <v>46024</v>
      </c>
      <c r="I669" s="3" t="str">
        <f t="shared" si="51"/>
        <v/>
      </c>
      <c r="J669" t="str">
        <f t="shared" si="52"/>
        <v/>
      </c>
      <c r="K669" t="str">
        <f t="shared" si="53"/>
        <v/>
      </c>
      <c r="L669" t="str">
        <f t="shared" si="54"/>
        <v/>
      </c>
      <c r="M669" t="str">
        <f>IF(COUNTIF($A$2:A669,A669)=1,
     VLOOKUP(A669,Season_Winners!A:B,2,FALSE),
     "")</f>
        <v/>
      </c>
      <c r="N669" s="2"/>
    </row>
    <row r="670" spans="1:14" x14ac:dyDescent="0.3">
      <c r="A670" t="s">
        <v>179</v>
      </c>
      <c r="B670">
        <v>29</v>
      </c>
      <c r="C670" t="s">
        <v>305</v>
      </c>
      <c r="D670" t="str">
        <f t="shared" si="50"/>
        <v>05.04.2015</v>
      </c>
      <c r="E670" s="1">
        <v>0.875</v>
      </c>
      <c r="F670" t="s">
        <v>35</v>
      </c>
      <c r="G670" t="s">
        <v>20</v>
      </c>
      <c r="H670" t="s">
        <v>42</v>
      </c>
      <c r="I670" t="str">
        <f t="shared" si="51"/>
        <v>0-1</v>
      </c>
      <c r="J670" t="str">
        <f t="shared" si="52"/>
        <v>0</v>
      </c>
      <c r="K670" t="str">
        <f t="shared" si="53"/>
        <v>1</v>
      </c>
      <c r="L670" t="str">
        <f t="shared" si="54"/>
        <v>FC Barcelona</v>
      </c>
      <c r="M670" t="str">
        <f>IF(COUNTIF($A$2:A670,A670)=1,
     VLOOKUP(A670,Season_Winners!A:B,2,FALSE),
     "")</f>
        <v/>
      </c>
    </row>
    <row r="671" spans="1:14" hidden="1" x14ac:dyDescent="0.3">
      <c r="A671" t="s">
        <v>179</v>
      </c>
      <c r="B671">
        <v>29</v>
      </c>
      <c r="C671" t="s">
        <v>306</v>
      </c>
      <c r="D671" t="str">
        <f t="shared" si="50"/>
        <v>06.04.2015</v>
      </c>
      <c r="E671" s="1">
        <v>0.83333333333333337</v>
      </c>
      <c r="F671" t="s">
        <v>36</v>
      </c>
      <c r="G671" t="s">
        <v>31</v>
      </c>
      <c r="H671" s="2">
        <v>46023</v>
      </c>
      <c r="I671" s="3" t="str">
        <f t="shared" si="51"/>
        <v/>
      </c>
      <c r="J671" t="str">
        <f t="shared" si="52"/>
        <v/>
      </c>
      <c r="K671" t="str">
        <f t="shared" si="53"/>
        <v/>
      </c>
      <c r="L671" t="str">
        <f t="shared" si="54"/>
        <v/>
      </c>
      <c r="M671" t="str">
        <f>IF(COUNTIF($A$2:A671,A671)=1,
     VLOOKUP(A671,Season_Winners!A:B,2,FALSE),
     "")</f>
        <v/>
      </c>
      <c r="N671" s="2"/>
    </row>
    <row r="672" spans="1:14" x14ac:dyDescent="0.3">
      <c r="A672" t="s">
        <v>179</v>
      </c>
      <c r="B672">
        <v>30</v>
      </c>
      <c r="C672" t="s">
        <v>307</v>
      </c>
      <c r="D672" t="str">
        <f t="shared" si="50"/>
        <v>07.04.2015</v>
      </c>
      <c r="E672" s="1">
        <v>0.83333333333333337</v>
      </c>
      <c r="F672" t="s">
        <v>1425</v>
      </c>
      <c r="G672" t="s">
        <v>10</v>
      </c>
      <c r="H672" t="s">
        <v>12</v>
      </c>
      <c r="I672" t="str">
        <f t="shared" si="51"/>
        <v>2-0</v>
      </c>
      <c r="J672" t="str">
        <f t="shared" si="52"/>
        <v>2</v>
      </c>
      <c r="K672" t="str">
        <f t="shared" si="53"/>
        <v>0</v>
      </c>
      <c r="L672" t="str">
        <f t="shared" si="54"/>
        <v>Atlético de Madrid</v>
      </c>
      <c r="M672" t="str">
        <f>IF(COUNTIF($A$2:A672,A672)=1,
     VLOOKUP(A672,Season_Winners!A:B,2,FALSE),
     "")</f>
        <v/>
      </c>
    </row>
    <row r="673" spans="1:14" hidden="1" x14ac:dyDescent="0.3">
      <c r="A673" t="s">
        <v>179</v>
      </c>
      <c r="B673">
        <v>30</v>
      </c>
      <c r="C673" t="s">
        <v>307</v>
      </c>
      <c r="D673" t="str">
        <f t="shared" si="50"/>
        <v>07.04.2015</v>
      </c>
      <c r="E673" s="1">
        <v>0.91666666666666663</v>
      </c>
      <c r="F673" t="s">
        <v>21</v>
      </c>
      <c r="G673" t="s">
        <v>27</v>
      </c>
      <c r="H673" s="2">
        <v>46054</v>
      </c>
      <c r="I673" s="3" t="str">
        <f t="shared" si="51"/>
        <v/>
      </c>
      <c r="J673" t="str">
        <f t="shared" si="52"/>
        <v/>
      </c>
      <c r="K673" t="str">
        <f t="shared" si="53"/>
        <v/>
      </c>
      <c r="L673" t="str">
        <f t="shared" si="54"/>
        <v/>
      </c>
      <c r="M673" t="str">
        <f>IF(COUNTIF($A$2:A673,A673)=1,
     VLOOKUP(A673,Season_Winners!A:B,2,FALSE),
     "")</f>
        <v/>
      </c>
      <c r="N673" s="2"/>
    </row>
    <row r="674" spans="1:14" x14ac:dyDescent="0.3">
      <c r="A674" t="s">
        <v>179</v>
      </c>
      <c r="B674">
        <v>30</v>
      </c>
      <c r="C674" t="s">
        <v>307</v>
      </c>
      <c r="D674" t="str">
        <f t="shared" si="50"/>
        <v>07.04.2015</v>
      </c>
      <c r="E674" s="1">
        <v>0.91666666666666663</v>
      </c>
      <c r="F674" t="s">
        <v>187</v>
      </c>
      <c r="G674" t="s">
        <v>17</v>
      </c>
      <c r="H674" t="s">
        <v>18</v>
      </c>
      <c r="I674" t="str">
        <f t="shared" si="51"/>
        <v>1-0</v>
      </c>
      <c r="J674" t="str">
        <f t="shared" si="52"/>
        <v>1</v>
      </c>
      <c r="K674" t="str">
        <f t="shared" si="53"/>
        <v>0</v>
      </c>
      <c r="L674" t="str">
        <f t="shared" si="54"/>
        <v>SD Eibar</v>
      </c>
      <c r="M674" t="str">
        <f>IF(COUNTIF($A$2:A674,A674)=1,
     VLOOKUP(A674,Season_Winners!A:B,2,FALSE),
     "")</f>
        <v/>
      </c>
    </row>
    <row r="675" spans="1:14" x14ac:dyDescent="0.3">
      <c r="A675" t="s">
        <v>179</v>
      </c>
      <c r="B675">
        <v>30</v>
      </c>
      <c r="C675" t="s">
        <v>308</v>
      </c>
      <c r="D675" t="str">
        <f t="shared" si="50"/>
        <v>08.04.2015</v>
      </c>
      <c r="E675" s="1">
        <v>0.83333333333333337</v>
      </c>
      <c r="F675" t="s">
        <v>20</v>
      </c>
      <c r="G675" t="s">
        <v>33</v>
      </c>
      <c r="H675" t="s">
        <v>88</v>
      </c>
      <c r="I675" t="str">
        <f t="shared" si="51"/>
        <v>4-0</v>
      </c>
      <c r="J675" t="str">
        <f t="shared" si="52"/>
        <v>4</v>
      </c>
      <c r="K675" t="str">
        <f t="shared" si="53"/>
        <v>0</v>
      </c>
      <c r="L675" t="str">
        <f t="shared" si="54"/>
        <v>FC Barcelona</v>
      </c>
      <c r="M675" t="str">
        <f>IF(COUNTIF($A$2:A675,A675)=1,
     VLOOKUP(A675,Season_Winners!A:B,2,FALSE),
     "")</f>
        <v/>
      </c>
    </row>
    <row r="676" spans="1:14" hidden="1" x14ac:dyDescent="0.3">
      <c r="A676" t="s">
        <v>179</v>
      </c>
      <c r="B676">
        <v>30</v>
      </c>
      <c r="C676" t="s">
        <v>308</v>
      </c>
      <c r="D676" t="str">
        <f t="shared" si="50"/>
        <v>08.04.2015</v>
      </c>
      <c r="E676" s="1">
        <v>0.83333333333333337</v>
      </c>
      <c r="F676" t="s">
        <v>182</v>
      </c>
      <c r="G676" t="s">
        <v>193</v>
      </c>
      <c r="H676" s="2">
        <v>46023</v>
      </c>
      <c r="I676" s="3" t="str">
        <f t="shared" si="51"/>
        <v/>
      </c>
      <c r="J676" t="str">
        <f t="shared" si="52"/>
        <v/>
      </c>
      <c r="K676" t="str">
        <f t="shared" si="53"/>
        <v/>
      </c>
      <c r="L676" t="str">
        <f t="shared" si="54"/>
        <v/>
      </c>
      <c r="M676" t="str">
        <f>IF(COUNTIF($A$2:A676,A676)=1,
     VLOOKUP(A676,Season_Winners!A:B,2,FALSE),
     "")</f>
        <v/>
      </c>
      <c r="N676" s="2"/>
    </row>
    <row r="677" spans="1:14" hidden="1" x14ac:dyDescent="0.3">
      <c r="A677" t="s">
        <v>179</v>
      </c>
      <c r="B677">
        <v>30</v>
      </c>
      <c r="C677" t="s">
        <v>308</v>
      </c>
      <c r="D677" t="str">
        <f t="shared" si="50"/>
        <v>08.04.2015</v>
      </c>
      <c r="E677" s="1">
        <v>0.91666666666666663</v>
      </c>
      <c r="F677" t="s">
        <v>24</v>
      </c>
      <c r="G677" t="s">
        <v>35</v>
      </c>
      <c r="H677" s="2">
        <v>46023</v>
      </c>
      <c r="I677" s="3" t="str">
        <f t="shared" si="51"/>
        <v/>
      </c>
      <c r="J677" t="str">
        <f t="shared" si="52"/>
        <v/>
      </c>
      <c r="K677" t="str">
        <f t="shared" si="53"/>
        <v/>
      </c>
      <c r="L677" t="str">
        <f t="shared" si="54"/>
        <v/>
      </c>
      <c r="M677" t="str">
        <f>IF(COUNTIF($A$2:A677,A677)=1,
     VLOOKUP(A677,Season_Winners!A:B,2,FALSE),
     "")</f>
        <v/>
      </c>
      <c r="N677" s="2"/>
    </row>
    <row r="678" spans="1:14" x14ac:dyDescent="0.3">
      <c r="A678" t="s">
        <v>179</v>
      </c>
      <c r="B678">
        <v>30</v>
      </c>
      <c r="C678" t="s">
        <v>308</v>
      </c>
      <c r="D678" t="str">
        <f t="shared" si="50"/>
        <v>08.04.2015</v>
      </c>
      <c r="E678" s="1">
        <v>0.91666666666666663</v>
      </c>
      <c r="F678" t="s">
        <v>30</v>
      </c>
      <c r="G678" t="s">
        <v>25</v>
      </c>
      <c r="H678" t="s">
        <v>54</v>
      </c>
      <c r="I678" t="str">
        <f t="shared" si="51"/>
        <v>0-2</v>
      </c>
      <c r="J678" t="str">
        <f t="shared" si="52"/>
        <v>0</v>
      </c>
      <c r="K678" t="str">
        <f t="shared" si="53"/>
        <v>2</v>
      </c>
      <c r="L678" t="str">
        <f t="shared" si="54"/>
        <v>Real Madrid</v>
      </c>
      <c r="M678" t="str">
        <f>IF(COUNTIF($A$2:A678,A678)=1,
     VLOOKUP(A678,Season_Winners!A:B,2,FALSE),
     "")</f>
        <v/>
      </c>
    </row>
    <row r="679" spans="1:14" hidden="1" x14ac:dyDescent="0.3">
      <c r="A679" t="s">
        <v>179</v>
      </c>
      <c r="B679">
        <v>30</v>
      </c>
      <c r="C679" t="s">
        <v>309</v>
      </c>
      <c r="D679" t="str">
        <f t="shared" si="50"/>
        <v>09.04.2015</v>
      </c>
      <c r="E679" s="1">
        <v>0.83333333333333337</v>
      </c>
      <c r="F679" t="s">
        <v>15</v>
      </c>
      <c r="G679" t="s">
        <v>16</v>
      </c>
      <c r="H679" s="2">
        <v>46023</v>
      </c>
      <c r="I679" s="3" t="str">
        <f t="shared" si="51"/>
        <v/>
      </c>
      <c r="J679" t="str">
        <f t="shared" si="52"/>
        <v/>
      </c>
      <c r="K679" t="str">
        <f t="shared" si="53"/>
        <v/>
      </c>
      <c r="L679" t="str">
        <f t="shared" si="54"/>
        <v/>
      </c>
      <c r="M679" t="str">
        <f>IF(COUNTIF($A$2:A679,A679)=1,
     VLOOKUP(A679,Season_Winners!A:B,2,FALSE),
     "")</f>
        <v/>
      </c>
      <c r="N679" s="2"/>
    </row>
    <row r="680" spans="1:14" x14ac:dyDescent="0.3">
      <c r="A680" t="s">
        <v>179</v>
      </c>
      <c r="B680">
        <v>30</v>
      </c>
      <c r="C680" t="s">
        <v>309</v>
      </c>
      <c r="D680" t="str">
        <f t="shared" si="50"/>
        <v>09.04.2015</v>
      </c>
      <c r="E680" s="1">
        <v>0.91666666666666663</v>
      </c>
      <c r="F680" t="s">
        <v>31</v>
      </c>
      <c r="G680" t="s">
        <v>11</v>
      </c>
      <c r="H680" t="s">
        <v>42</v>
      </c>
      <c r="I680" t="str">
        <f t="shared" si="51"/>
        <v>0-1</v>
      </c>
      <c r="J680" t="str">
        <f t="shared" si="52"/>
        <v>0</v>
      </c>
      <c r="K680" t="str">
        <f t="shared" si="53"/>
        <v>1</v>
      </c>
      <c r="L680" t="str">
        <f t="shared" si="54"/>
        <v>Getafe CF</v>
      </c>
      <c r="M680" t="str">
        <f>IF(COUNTIF($A$2:A680,A680)=1,
     VLOOKUP(A680,Season_Winners!A:B,2,FALSE),
     "")</f>
        <v/>
      </c>
    </row>
    <row r="681" spans="1:14" x14ac:dyDescent="0.3">
      <c r="A681" t="s">
        <v>179</v>
      </c>
      <c r="B681">
        <v>30</v>
      </c>
      <c r="C681" t="s">
        <v>309</v>
      </c>
      <c r="D681" t="str">
        <f t="shared" si="50"/>
        <v>09.04.2015</v>
      </c>
      <c r="E681" s="1">
        <v>0.91666666666666663</v>
      </c>
      <c r="F681" t="s">
        <v>34</v>
      </c>
      <c r="G681" t="s">
        <v>36</v>
      </c>
      <c r="H681" t="s">
        <v>46</v>
      </c>
      <c r="I681" t="str">
        <f t="shared" si="51"/>
        <v>0-3</v>
      </c>
      <c r="J681" t="str">
        <f t="shared" si="52"/>
        <v>0</v>
      </c>
      <c r="K681" t="str">
        <f t="shared" si="53"/>
        <v>3</v>
      </c>
      <c r="L681" t="str">
        <f t="shared" si="54"/>
        <v>RCD Espanyol de Barcelona</v>
      </c>
      <c r="M681" t="str">
        <f>IF(COUNTIF($A$2:A681,A681)=1,
     VLOOKUP(A681,Season_Winners!A:B,2,FALSE),
     "")</f>
        <v/>
      </c>
    </row>
    <row r="682" spans="1:14" x14ac:dyDescent="0.3">
      <c r="A682" t="s">
        <v>179</v>
      </c>
      <c r="B682">
        <v>31</v>
      </c>
      <c r="C682" t="s">
        <v>310</v>
      </c>
      <c r="D682" t="str">
        <f t="shared" si="50"/>
        <v>11.04.2015</v>
      </c>
      <c r="E682" s="1">
        <v>0.66666666666666663</v>
      </c>
      <c r="F682" t="s">
        <v>25</v>
      </c>
      <c r="G682" t="s">
        <v>187</v>
      </c>
      <c r="H682" t="s">
        <v>32</v>
      </c>
      <c r="I682" t="str">
        <f t="shared" si="51"/>
        <v>3-0</v>
      </c>
      <c r="J682" t="str">
        <f t="shared" si="52"/>
        <v>3</v>
      </c>
      <c r="K682" t="str">
        <f t="shared" si="53"/>
        <v>0</v>
      </c>
      <c r="L682" t="str">
        <f t="shared" si="54"/>
        <v>Real Madrid</v>
      </c>
      <c r="M682" t="str">
        <f>IF(COUNTIF($A$2:A682,A682)=1,
     VLOOKUP(A682,Season_Winners!A:B,2,FALSE),
     "")</f>
        <v/>
      </c>
    </row>
    <row r="683" spans="1:14" hidden="1" x14ac:dyDescent="0.3">
      <c r="A683" t="s">
        <v>179</v>
      </c>
      <c r="B683">
        <v>31</v>
      </c>
      <c r="C683" t="s">
        <v>310</v>
      </c>
      <c r="D683" t="str">
        <f t="shared" si="50"/>
        <v>11.04.2015</v>
      </c>
      <c r="E683" s="1">
        <v>0.75</v>
      </c>
      <c r="F683" t="s">
        <v>17</v>
      </c>
      <c r="G683" t="s">
        <v>28</v>
      </c>
      <c r="H683" s="2">
        <v>46055</v>
      </c>
      <c r="I683" s="3" t="str">
        <f t="shared" si="51"/>
        <v/>
      </c>
      <c r="J683" t="str">
        <f t="shared" si="52"/>
        <v/>
      </c>
      <c r="K683" t="str">
        <f t="shared" si="53"/>
        <v/>
      </c>
      <c r="L683" t="str">
        <f t="shared" si="54"/>
        <v/>
      </c>
      <c r="M683" t="str">
        <f>IF(COUNTIF($A$2:A683,A683)=1,
     VLOOKUP(A683,Season_Winners!A:B,2,FALSE),
     "")</f>
        <v/>
      </c>
      <c r="N683" s="2"/>
    </row>
    <row r="684" spans="1:14" hidden="1" x14ac:dyDescent="0.3">
      <c r="A684" t="s">
        <v>179</v>
      </c>
      <c r="B684">
        <v>31</v>
      </c>
      <c r="C684" t="s">
        <v>310</v>
      </c>
      <c r="D684" t="str">
        <f t="shared" si="50"/>
        <v>11.04.2015</v>
      </c>
      <c r="E684" s="1">
        <v>0.83333333333333337</v>
      </c>
      <c r="F684" t="s">
        <v>27</v>
      </c>
      <c r="G684" t="s">
        <v>20</v>
      </c>
      <c r="H684" s="2">
        <v>46055</v>
      </c>
      <c r="I684" s="3" t="str">
        <f t="shared" si="51"/>
        <v/>
      </c>
      <c r="J684" t="str">
        <f t="shared" si="52"/>
        <v/>
      </c>
      <c r="K684" t="str">
        <f t="shared" si="53"/>
        <v/>
      </c>
      <c r="L684" t="str">
        <f t="shared" si="54"/>
        <v/>
      </c>
      <c r="M684" t="str">
        <f>IF(COUNTIF($A$2:A684,A684)=1,
     VLOOKUP(A684,Season_Winners!A:B,2,FALSE),
     "")</f>
        <v/>
      </c>
      <c r="N684" s="2"/>
    </row>
    <row r="685" spans="1:14" x14ac:dyDescent="0.3">
      <c r="A685" t="s">
        <v>179</v>
      </c>
      <c r="B685">
        <v>31</v>
      </c>
      <c r="C685" t="s">
        <v>310</v>
      </c>
      <c r="D685" t="str">
        <f t="shared" si="50"/>
        <v>11.04.2015</v>
      </c>
      <c r="E685" s="1">
        <v>0.91666666666666663</v>
      </c>
      <c r="F685" t="s">
        <v>33</v>
      </c>
      <c r="G685" t="s">
        <v>24</v>
      </c>
      <c r="H685" t="s">
        <v>32</v>
      </c>
      <c r="I685" t="str">
        <f t="shared" si="51"/>
        <v>3-0</v>
      </c>
      <c r="J685" t="str">
        <f t="shared" si="52"/>
        <v>3</v>
      </c>
      <c r="K685" t="str">
        <f t="shared" si="53"/>
        <v>0</v>
      </c>
      <c r="L685" t="str">
        <f t="shared" si="54"/>
        <v>UD AlmerÃ­a</v>
      </c>
      <c r="M685" t="str">
        <f>IF(COUNTIF($A$2:A685,A685)=1,
     VLOOKUP(A685,Season_Winners!A:B,2,FALSE),
     "")</f>
        <v/>
      </c>
    </row>
    <row r="686" spans="1:14" hidden="1" x14ac:dyDescent="0.3">
      <c r="A686" t="s">
        <v>179</v>
      </c>
      <c r="B686">
        <v>31</v>
      </c>
      <c r="C686" t="s">
        <v>310</v>
      </c>
      <c r="D686" t="str">
        <f t="shared" si="50"/>
        <v>11.04.2015</v>
      </c>
      <c r="E686" s="1">
        <v>0.91666666666666663</v>
      </c>
      <c r="F686" t="s">
        <v>35</v>
      </c>
      <c r="G686" t="s">
        <v>30</v>
      </c>
      <c r="H686" s="2">
        <v>46028</v>
      </c>
      <c r="I686" s="3" t="str">
        <f t="shared" si="51"/>
        <v/>
      </c>
      <c r="J686" t="str">
        <f t="shared" si="52"/>
        <v/>
      </c>
      <c r="K686" t="str">
        <f t="shared" si="53"/>
        <v/>
      </c>
      <c r="L686" t="str">
        <f t="shared" si="54"/>
        <v/>
      </c>
      <c r="M686" t="str">
        <f>IF(COUNTIF($A$2:A686,A686)=1,
     VLOOKUP(A686,Season_Winners!A:B,2,FALSE),
     "")</f>
        <v/>
      </c>
      <c r="N686" s="2"/>
    </row>
    <row r="687" spans="1:14" hidden="1" x14ac:dyDescent="0.3">
      <c r="A687" t="s">
        <v>179</v>
      </c>
      <c r="B687">
        <v>31</v>
      </c>
      <c r="C687" t="s">
        <v>311</v>
      </c>
      <c r="D687" t="str">
        <f t="shared" si="50"/>
        <v>12.04.2015</v>
      </c>
      <c r="E687" s="1">
        <v>0.5</v>
      </c>
      <c r="F687" t="s">
        <v>11</v>
      </c>
      <c r="G687" t="s">
        <v>34</v>
      </c>
      <c r="H687" s="2">
        <v>46023</v>
      </c>
      <c r="I687" s="3" t="str">
        <f t="shared" si="51"/>
        <v/>
      </c>
      <c r="J687" t="str">
        <f t="shared" si="52"/>
        <v/>
      </c>
      <c r="K687" t="str">
        <f t="shared" si="53"/>
        <v/>
      </c>
      <c r="L687" t="str">
        <f t="shared" si="54"/>
        <v/>
      </c>
      <c r="M687" t="str">
        <f>IF(COUNTIF($A$2:A687,A687)=1,
     VLOOKUP(A687,Season_Winners!A:B,2,FALSE),
     "")</f>
        <v/>
      </c>
      <c r="N687" s="2"/>
    </row>
    <row r="688" spans="1:14" x14ac:dyDescent="0.3">
      <c r="A688" t="s">
        <v>179</v>
      </c>
      <c r="B688">
        <v>31</v>
      </c>
      <c r="C688" t="s">
        <v>311</v>
      </c>
      <c r="D688" t="str">
        <f t="shared" si="50"/>
        <v>12.04.2015</v>
      </c>
      <c r="E688" s="1">
        <v>0.70833333333333337</v>
      </c>
      <c r="F688" t="s">
        <v>36</v>
      </c>
      <c r="G688" t="s">
        <v>15</v>
      </c>
      <c r="H688" t="s">
        <v>18</v>
      </c>
      <c r="I688" t="str">
        <f t="shared" si="51"/>
        <v>1-0</v>
      </c>
      <c r="J688" t="str">
        <f t="shared" si="52"/>
        <v>1</v>
      </c>
      <c r="K688" t="str">
        <f t="shared" si="53"/>
        <v>0</v>
      </c>
      <c r="L688" t="str">
        <f t="shared" si="54"/>
        <v>RCD Espanyol de Barcelona</v>
      </c>
      <c r="M688" t="str">
        <f>IF(COUNTIF($A$2:A688,A688)=1,
     VLOOKUP(A688,Season_Winners!A:B,2,FALSE),
     "")</f>
        <v/>
      </c>
    </row>
    <row r="689" spans="1:14" hidden="1" x14ac:dyDescent="0.3">
      <c r="A689" t="s">
        <v>179</v>
      </c>
      <c r="B689">
        <v>31</v>
      </c>
      <c r="C689" t="s">
        <v>311</v>
      </c>
      <c r="D689" t="str">
        <f t="shared" si="50"/>
        <v>12.04.2015</v>
      </c>
      <c r="E689" s="1">
        <v>0.79166666666666663</v>
      </c>
      <c r="F689" t="s">
        <v>10</v>
      </c>
      <c r="G689" t="s">
        <v>182</v>
      </c>
      <c r="H689" s="2">
        <v>46055</v>
      </c>
      <c r="I689" s="3" t="str">
        <f t="shared" si="51"/>
        <v/>
      </c>
      <c r="J689" t="str">
        <f t="shared" si="52"/>
        <v/>
      </c>
      <c r="K689" t="str">
        <f t="shared" si="53"/>
        <v/>
      </c>
      <c r="L689" t="str">
        <f t="shared" si="54"/>
        <v/>
      </c>
      <c r="M689" t="str">
        <f>IF(COUNTIF($A$2:A689,A689)=1,
     VLOOKUP(A689,Season_Winners!A:B,2,FALSE),
     "")</f>
        <v/>
      </c>
      <c r="N689" s="2"/>
    </row>
    <row r="690" spans="1:14" x14ac:dyDescent="0.3">
      <c r="A690" t="s">
        <v>179</v>
      </c>
      <c r="B690">
        <v>31</v>
      </c>
      <c r="C690" t="s">
        <v>311</v>
      </c>
      <c r="D690" t="str">
        <f t="shared" si="50"/>
        <v>12.04.2015</v>
      </c>
      <c r="E690" s="1">
        <v>0.875</v>
      </c>
      <c r="F690" t="s">
        <v>193</v>
      </c>
      <c r="G690" t="s">
        <v>31</v>
      </c>
      <c r="H690" t="s">
        <v>54</v>
      </c>
      <c r="I690" t="str">
        <f t="shared" si="51"/>
        <v>0-2</v>
      </c>
      <c r="J690" t="str">
        <f t="shared" si="52"/>
        <v>0</v>
      </c>
      <c r="K690" t="str">
        <f t="shared" si="53"/>
        <v>2</v>
      </c>
      <c r="L690" t="str">
        <f t="shared" si="54"/>
        <v>Elche CF</v>
      </c>
      <c r="M690" t="str">
        <f>IF(COUNTIF($A$2:A690,A690)=1,
     VLOOKUP(A690,Season_Winners!A:B,2,FALSE),
     "")</f>
        <v/>
      </c>
    </row>
    <row r="691" spans="1:14" x14ac:dyDescent="0.3">
      <c r="A691" t="s">
        <v>179</v>
      </c>
      <c r="B691">
        <v>31</v>
      </c>
      <c r="C691" t="s">
        <v>312</v>
      </c>
      <c r="D691" t="str">
        <f t="shared" si="50"/>
        <v>13.04.2015</v>
      </c>
      <c r="E691" s="1">
        <v>0.85416666666666663</v>
      </c>
      <c r="F691" t="s">
        <v>16</v>
      </c>
      <c r="G691" t="s">
        <v>21</v>
      </c>
      <c r="H691" t="s">
        <v>32</v>
      </c>
      <c r="I691" t="str">
        <f t="shared" si="51"/>
        <v>3-0</v>
      </c>
      <c r="J691" t="str">
        <f t="shared" si="52"/>
        <v>3</v>
      </c>
      <c r="K691" t="str">
        <f t="shared" si="53"/>
        <v>0</v>
      </c>
      <c r="L691" t="str">
        <f t="shared" si="54"/>
        <v>Valencia CF</v>
      </c>
      <c r="M691" t="str">
        <f>IF(COUNTIF($A$2:A691,A691)=1,
     VLOOKUP(A691,Season_Winners!A:B,2,FALSE),
     "")</f>
        <v/>
      </c>
    </row>
    <row r="692" spans="1:14" hidden="1" x14ac:dyDescent="0.3">
      <c r="A692" t="s">
        <v>179</v>
      </c>
      <c r="B692">
        <v>32</v>
      </c>
      <c r="C692" t="s">
        <v>313</v>
      </c>
      <c r="D692" t="str">
        <f t="shared" si="50"/>
        <v>17.04.2015</v>
      </c>
      <c r="E692" s="1">
        <v>0.86458333333333337</v>
      </c>
      <c r="F692" t="s">
        <v>21</v>
      </c>
      <c r="G692" t="s">
        <v>36</v>
      </c>
      <c r="H692" s="2">
        <v>46055</v>
      </c>
      <c r="I692" s="3" t="str">
        <f t="shared" si="51"/>
        <v/>
      </c>
      <c r="J692" t="str">
        <f t="shared" si="52"/>
        <v/>
      </c>
      <c r="K692" t="str">
        <f t="shared" si="53"/>
        <v/>
      </c>
      <c r="L692" t="str">
        <f t="shared" si="54"/>
        <v/>
      </c>
      <c r="M692" t="str">
        <f>IF(COUNTIF($A$2:A692,A692)=1,
     VLOOKUP(A692,Season_Winners!A:B,2,FALSE),
     "")</f>
        <v/>
      </c>
      <c r="N692" s="2"/>
    </row>
    <row r="693" spans="1:14" x14ac:dyDescent="0.3">
      <c r="A693" t="s">
        <v>179</v>
      </c>
      <c r="B693">
        <v>32</v>
      </c>
      <c r="C693" t="s">
        <v>314</v>
      </c>
      <c r="D693" t="str">
        <f t="shared" si="50"/>
        <v>18.04.2015</v>
      </c>
      <c r="E693" s="1">
        <v>0.66666666666666663</v>
      </c>
      <c r="F693" t="s">
        <v>20</v>
      </c>
      <c r="G693" t="s">
        <v>16</v>
      </c>
      <c r="H693" t="s">
        <v>12</v>
      </c>
      <c r="I693" t="str">
        <f t="shared" si="51"/>
        <v>2-0</v>
      </c>
      <c r="J693" t="str">
        <f t="shared" si="52"/>
        <v>2</v>
      </c>
      <c r="K693" t="str">
        <f t="shared" si="53"/>
        <v>0</v>
      </c>
      <c r="L693" t="str">
        <f t="shared" si="54"/>
        <v>FC Barcelona</v>
      </c>
      <c r="M693" t="str">
        <f>IF(COUNTIF($A$2:A693,A693)=1,
     VLOOKUP(A693,Season_Winners!A:B,2,FALSE),
     "")</f>
        <v/>
      </c>
    </row>
    <row r="694" spans="1:14" hidden="1" x14ac:dyDescent="0.3">
      <c r="A694" t="s">
        <v>179</v>
      </c>
      <c r="B694">
        <v>32</v>
      </c>
      <c r="C694" t="s">
        <v>314</v>
      </c>
      <c r="D694" t="str">
        <f t="shared" si="50"/>
        <v>18.04.2015</v>
      </c>
      <c r="E694" s="1">
        <v>0.75</v>
      </c>
      <c r="F694" t="s">
        <v>182</v>
      </c>
      <c r="G694" t="s">
        <v>28</v>
      </c>
      <c r="H694" s="2">
        <v>46054</v>
      </c>
      <c r="I694" s="3" t="str">
        <f t="shared" si="51"/>
        <v/>
      </c>
      <c r="J694" t="str">
        <f t="shared" si="52"/>
        <v/>
      </c>
      <c r="K694" t="str">
        <f t="shared" si="53"/>
        <v/>
      </c>
      <c r="L694" t="str">
        <f t="shared" si="54"/>
        <v/>
      </c>
      <c r="M694" t="str">
        <f>IF(COUNTIF($A$2:A694,A694)=1,
     VLOOKUP(A694,Season_Winners!A:B,2,FALSE),
     "")</f>
        <v/>
      </c>
      <c r="N694" s="2"/>
    </row>
    <row r="695" spans="1:14" hidden="1" x14ac:dyDescent="0.3">
      <c r="A695" t="s">
        <v>179</v>
      </c>
      <c r="B695">
        <v>32</v>
      </c>
      <c r="C695" t="s">
        <v>314</v>
      </c>
      <c r="D695" t="str">
        <f t="shared" si="50"/>
        <v>18.04.2015</v>
      </c>
      <c r="E695" s="1">
        <v>0.83333333333333337</v>
      </c>
      <c r="F695" t="s">
        <v>25</v>
      </c>
      <c r="G695" t="s">
        <v>17</v>
      </c>
      <c r="H695" s="2">
        <v>46025</v>
      </c>
      <c r="I695" s="3" t="str">
        <f t="shared" si="51"/>
        <v/>
      </c>
      <c r="J695" t="str">
        <f t="shared" si="52"/>
        <v/>
      </c>
      <c r="K695" t="str">
        <f t="shared" si="53"/>
        <v/>
      </c>
      <c r="L695" t="str">
        <f t="shared" si="54"/>
        <v/>
      </c>
      <c r="M695" t="str">
        <f>IF(COUNTIF($A$2:A695,A695)=1,
     VLOOKUP(A695,Season_Winners!A:B,2,FALSE),
     "")</f>
        <v/>
      </c>
      <c r="N695" s="2"/>
    </row>
    <row r="696" spans="1:14" x14ac:dyDescent="0.3">
      <c r="A696" t="s">
        <v>179</v>
      </c>
      <c r="B696">
        <v>32</v>
      </c>
      <c r="C696" t="s">
        <v>314</v>
      </c>
      <c r="D696" t="str">
        <f t="shared" si="50"/>
        <v>18.04.2015</v>
      </c>
      <c r="E696" s="1">
        <v>0.91666666666666663</v>
      </c>
      <c r="F696" t="s">
        <v>15</v>
      </c>
      <c r="G696" t="s">
        <v>11</v>
      </c>
      <c r="H696" t="s">
        <v>88</v>
      </c>
      <c r="I696" t="str">
        <f t="shared" si="51"/>
        <v>4-0</v>
      </c>
      <c r="J696" t="str">
        <f t="shared" si="52"/>
        <v>4</v>
      </c>
      <c r="K696" t="str">
        <f t="shared" si="53"/>
        <v>0</v>
      </c>
      <c r="L696" t="str">
        <f t="shared" si="54"/>
        <v>Athletic Club</v>
      </c>
      <c r="M696" t="str">
        <f>IF(COUNTIF($A$2:A696,A696)=1,
     VLOOKUP(A696,Season_Winners!A:B,2,FALSE),
     "")</f>
        <v/>
      </c>
    </row>
    <row r="697" spans="1:14" x14ac:dyDescent="0.3">
      <c r="A697" t="s">
        <v>179</v>
      </c>
      <c r="B697">
        <v>32</v>
      </c>
      <c r="C697" t="s">
        <v>315</v>
      </c>
      <c r="D697" t="str">
        <f t="shared" si="50"/>
        <v>19.04.2015</v>
      </c>
      <c r="E697" s="1">
        <v>0.5</v>
      </c>
      <c r="F697" t="s">
        <v>30</v>
      </c>
      <c r="G697" t="s">
        <v>33</v>
      </c>
      <c r="H697" t="s">
        <v>12</v>
      </c>
      <c r="I697" t="str">
        <f t="shared" si="51"/>
        <v>2-0</v>
      </c>
      <c r="J697" t="str">
        <f t="shared" si="52"/>
        <v>2</v>
      </c>
      <c r="K697" t="str">
        <f t="shared" si="53"/>
        <v>0</v>
      </c>
      <c r="L697" t="str">
        <f t="shared" si="54"/>
        <v>Rayo Vallecano</v>
      </c>
      <c r="M697" t="str">
        <f>IF(COUNTIF($A$2:A697,A697)=1,
     VLOOKUP(A697,Season_Winners!A:B,2,FALSE),
     "")</f>
        <v/>
      </c>
    </row>
    <row r="698" spans="1:14" hidden="1" x14ac:dyDescent="0.3">
      <c r="A698" t="s">
        <v>179</v>
      </c>
      <c r="B698">
        <v>32</v>
      </c>
      <c r="C698" t="s">
        <v>315</v>
      </c>
      <c r="D698" t="str">
        <f t="shared" si="50"/>
        <v>19.04.2015</v>
      </c>
      <c r="E698" s="1">
        <v>0.70833333333333337</v>
      </c>
      <c r="F698" t="s">
        <v>24</v>
      </c>
      <c r="G698" t="s">
        <v>27</v>
      </c>
      <c r="H698" s="2">
        <v>46023</v>
      </c>
      <c r="I698" s="3" t="str">
        <f t="shared" si="51"/>
        <v/>
      </c>
      <c r="J698" t="str">
        <f t="shared" si="52"/>
        <v/>
      </c>
      <c r="K698" t="str">
        <f t="shared" si="53"/>
        <v/>
      </c>
      <c r="L698" t="str">
        <f t="shared" si="54"/>
        <v/>
      </c>
      <c r="M698" t="str">
        <f>IF(COUNTIF($A$2:A698,A698)=1,
     VLOOKUP(A698,Season_Winners!A:B,2,FALSE),
     "")</f>
        <v/>
      </c>
      <c r="N698" s="2"/>
    </row>
    <row r="699" spans="1:14" x14ac:dyDescent="0.3">
      <c r="A699" t="s">
        <v>179</v>
      </c>
      <c r="B699">
        <v>32</v>
      </c>
      <c r="C699" t="s">
        <v>315</v>
      </c>
      <c r="D699" t="str">
        <f t="shared" si="50"/>
        <v>19.04.2015</v>
      </c>
      <c r="E699" s="1">
        <v>0.79166666666666663</v>
      </c>
      <c r="F699" t="s">
        <v>34</v>
      </c>
      <c r="G699" t="s">
        <v>193</v>
      </c>
      <c r="H699" t="s">
        <v>41</v>
      </c>
      <c r="I699" t="str">
        <f t="shared" si="51"/>
        <v>0-0</v>
      </c>
      <c r="J699" t="str">
        <f t="shared" si="52"/>
        <v>0</v>
      </c>
      <c r="K699" t="str">
        <f t="shared" si="53"/>
        <v>0</v>
      </c>
      <c r="L699" t="str">
        <f t="shared" si="54"/>
        <v>Draw</v>
      </c>
      <c r="M699" t="str">
        <f>IF(COUNTIF($A$2:A699,A699)=1,
     VLOOKUP(A699,Season_Winners!A:B,2,FALSE),
     "")</f>
        <v/>
      </c>
    </row>
    <row r="700" spans="1:14" x14ac:dyDescent="0.3">
      <c r="A700" t="s">
        <v>179</v>
      </c>
      <c r="B700">
        <v>32</v>
      </c>
      <c r="C700" t="s">
        <v>315</v>
      </c>
      <c r="D700" t="str">
        <f t="shared" si="50"/>
        <v>19.04.2015</v>
      </c>
      <c r="E700" s="1">
        <v>0.875</v>
      </c>
      <c r="F700" t="s">
        <v>187</v>
      </c>
      <c r="G700" t="s">
        <v>35</v>
      </c>
      <c r="H700" t="s">
        <v>42</v>
      </c>
      <c r="I700" t="str">
        <f t="shared" si="51"/>
        <v>0-1</v>
      </c>
      <c r="J700" t="str">
        <f t="shared" si="52"/>
        <v>0</v>
      </c>
      <c r="K700" t="str">
        <f t="shared" si="53"/>
        <v>1</v>
      </c>
      <c r="L700" t="str">
        <f t="shared" si="54"/>
        <v>RC Celta</v>
      </c>
      <c r="M700" t="str">
        <f>IF(COUNTIF($A$2:A700,A700)=1,
     VLOOKUP(A700,Season_Winners!A:B,2,FALSE),
     "")</f>
        <v/>
      </c>
    </row>
    <row r="701" spans="1:14" x14ac:dyDescent="0.3">
      <c r="A701" t="s">
        <v>179</v>
      </c>
      <c r="B701">
        <v>32</v>
      </c>
      <c r="C701" t="s">
        <v>316</v>
      </c>
      <c r="D701" t="str">
        <f t="shared" si="50"/>
        <v>20.04.2015</v>
      </c>
      <c r="E701" s="1">
        <v>0.86458333333333337</v>
      </c>
      <c r="F701" t="s">
        <v>31</v>
      </c>
      <c r="G701" t="s">
        <v>10</v>
      </c>
      <c r="H701" t="s">
        <v>18</v>
      </c>
      <c r="I701" t="str">
        <f t="shared" si="51"/>
        <v>1-0</v>
      </c>
      <c r="J701" t="str">
        <f t="shared" si="52"/>
        <v>1</v>
      </c>
      <c r="K701" t="str">
        <f t="shared" si="53"/>
        <v>0</v>
      </c>
      <c r="L701" t="str">
        <f t="shared" si="54"/>
        <v>Elche CF</v>
      </c>
      <c r="M701" t="str">
        <f>IF(COUNTIF($A$2:A701,A701)=1,
     VLOOKUP(A701,Season_Winners!A:B,2,FALSE),
     "")</f>
        <v/>
      </c>
    </row>
    <row r="702" spans="1:14" x14ac:dyDescent="0.3">
      <c r="A702" t="s">
        <v>179</v>
      </c>
      <c r="B702">
        <v>33</v>
      </c>
      <c r="C702" t="s">
        <v>317</v>
      </c>
      <c r="D702" t="str">
        <f t="shared" si="50"/>
        <v>24.04.2015</v>
      </c>
      <c r="E702" s="1">
        <v>0.86458333333333337</v>
      </c>
      <c r="F702" t="s">
        <v>193</v>
      </c>
      <c r="G702" t="s">
        <v>15</v>
      </c>
      <c r="H702" t="s">
        <v>42</v>
      </c>
      <c r="I702" t="str">
        <f t="shared" si="51"/>
        <v>0-1</v>
      </c>
      <c r="J702" t="str">
        <f t="shared" si="52"/>
        <v>0</v>
      </c>
      <c r="K702" t="str">
        <f t="shared" si="53"/>
        <v>1</v>
      </c>
      <c r="L702" t="str">
        <f t="shared" si="54"/>
        <v>Athletic Club</v>
      </c>
      <c r="M702" t="str">
        <f>IF(COUNTIF($A$2:A702,A702)=1,
     VLOOKUP(A702,Season_Winners!A:B,2,FALSE),
     "")</f>
        <v/>
      </c>
    </row>
    <row r="703" spans="1:14" x14ac:dyDescent="0.3">
      <c r="A703" t="s">
        <v>179</v>
      </c>
      <c r="B703">
        <v>33</v>
      </c>
      <c r="C703" t="s">
        <v>318</v>
      </c>
      <c r="D703" t="str">
        <f t="shared" si="50"/>
        <v>25.04.2015</v>
      </c>
      <c r="E703" s="1">
        <v>0.66666666666666663</v>
      </c>
      <c r="F703" t="s">
        <v>36</v>
      </c>
      <c r="G703" t="s">
        <v>20</v>
      </c>
      <c r="H703" t="s">
        <v>54</v>
      </c>
      <c r="I703" t="str">
        <f t="shared" si="51"/>
        <v>0-2</v>
      </c>
      <c r="J703" t="str">
        <f t="shared" si="52"/>
        <v>0</v>
      </c>
      <c r="K703" t="str">
        <f t="shared" si="53"/>
        <v>2</v>
      </c>
      <c r="L703" t="str">
        <f t="shared" si="54"/>
        <v>FC Barcelona</v>
      </c>
      <c r="M703" t="str">
        <f>IF(COUNTIF($A$2:A703,A703)=1,
     VLOOKUP(A703,Season_Winners!A:B,2,FALSE),
     "")</f>
        <v/>
      </c>
    </row>
    <row r="704" spans="1:14" x14ac:dyDescent="0.3">
      <c r="A704" t="s">
        <v>179</v>
      </c>
      <c r="B704">
        <v>33</v>
      </c>
      <c r="C704" t="s">
        <v>318</v>
      </c>
      <c r="D704" t="str">
        <f t="shared" si="50"/>
        <v>25.04.2015</v>
      </c>
      <c r="E704" s="1">
        <v>0.75</v>
      </c>
      <c r="F704" t="s">
        <v>1425</v>
      </c>
      <c r="G704" t="s">
        <v>31</v>
      </c>
      <c r="H704" t="s">
        <v>32</v>
      </c>
      <c r="I704" t="str">
        <f t="shared" si="51"/>
        <v>3-0</v>
      </c>
      <c r="J704" t="str">
        <f t="shared" si="52"/>
        <v>3</v>
      </c>
      <c r="K704" t="str">
        <f t="shared" si="53"/>
        <v>0</v>
      </c>
      <c r="L704" t="str">
        <f t="shared" si="54"/>
        <v>Atlético de Madrid</v>
      </c>
      <c r="M704" t="str">
        <f>IF(COUNTIF($A$2:A704,A704)=1,
     VLOOKUP(A704,Season_Winners!A:B,2,FALSE),
     "")</f>
        <v/>
      </c>
    </row>
    <row r="705" spans="1:14" x14ac:dyDescent="0.3">
      <c r="A705" t="s">
        <v>179</v>
      </c>
      <c r="B705">
        <v>33</v>
      </c>
      <c r="C705" t="s">
        <v>318</v>
      </c>
      <c r="D705" t="str">
        <f t="shared" si="50"/>
        <v>25.04.2015</v>
      </c>
      <c r="E705" s="1">
        <v>0.83333333333333337</v>
      </c>
      <c r="F705" t="s">
        <v>11</v>
      </c>
      <c r="G705" t="s">
        <v>21</v>
      </c>
      <c r="H705" t="s">
        <v>42</v>
      </c>
      <c r="I705" t="str">
        <f t="shared" si="51"/>
        <v>0-1</v>
      </c>
      <c r="J705" t="str">
        <f t="shared" si="52"/>
        <v>0</v>
      </c>
      <c r="K705" t="str">
        <f t="shared" si="53"/>
        <v>1</v>
      </c>
      <c r="L705" t="str">
        <f t="shared" si="54"/>
        <v>Levante UD</v>
      </c>
      <c r="M705" t="str">
        <f>IF(COUNTIF($A$2:A705,A705)=1,
     VLOOKUP(A705,Season_Winners!A:B,2,FALSE),
     "")</f>
        <v/>
      </c>
    </row>
    <row r="706" spans="1:14" x14ac:dyDescent="0.3">
      <c r="A706" t="s">
        <v>179</v>
      </c>
      <c r="B706">
        <v>33</v>
      </c>
      <c r="C706" t="s">
        <v>318</v>
      </c>
      <c r="D706" t="str">
        <f t="shared" ref="D706:D769" si="55">RIGHT(C706,10)</f>
        <v>25.04.2015</v>
      </c>
      <c r="E706" s="1">
        <v>0.91666666666666663</v>
      </c>
      <c r="F706" t="s">
        <v>10</v>
      </c>
      <c r="G706" t="s">
        <v>34</v>
      </c>
      <c r="H706" t="s">
        <v>41</v>
      </c>
      <c r="I706" t="str">
        <f t="shared" ref="I706:I769" si="56">IF(ISNUMBER(SEARCH("-",H706)),H706,"")</f>
        <v>0-0</v>
      </c>
      <c r="J706" t="str">
        <f t="shared" ref="J706:J769" si="57">IF(I706="","",LEFT(I706,FIND("-",I706)-1))</f>
        <v>0</v>
      </c>
      <c r="K706" t="str">
        <f t="shared" ref="K706:K769" si="58">IF(I706="","",RIGHT(I706,LEN(I706)-FIND("-",I706)))</f>
        <v>0</v>
      </c>
      <c r="L706" t="str">
        <f t="shared" ref="L706:L769" si="59">IF(I706="","",IF(J706&gt;K706,F706,IF(K706&gt;J706,G706,"Draw")))</f>
        <v>Draw</v>
      </c>
      <c r="M706" t="str">
        <f>IF(COUNTIF($A$2:A706,A706)=1,
     VLOOKUP(A706,Season_Winners!A:B,2,FALSE),
     "")</f>
        <v/>
      </c>
    </row>
    <row r="707" spans="1:14" hidden="1" x14ac:dyDescent="0.3">
      <c r="A707" t="s">
        <v>179</v>
      </c>
      <c r="B707">
        <v>33</v>
      </c>
      <c r="C707" t="s">
        <v>319</v>
      </c>
      <c r="D707" t="str">
        <f t="shared" si="55"/>
        <v>26.04.2015</v>
      </c>
      <c r="E707" s="1">
        <v>0.5</v>
      </c>
      <c r="F707" t="s">
        <v>17</v>
      </c>
      <c r="G707" t="s">
        <v>182</v>
      </c>
      <c r="H707" s="2">
        <v>46023</v>
      </c>
      <c r="I707" s="3" t="str">
        <f t="shared" si="56"/>
        <v/>
      </c>
      <c r="J707" t="str">
        <f t="shared" si="57"/>
        <v/>
      </c>
      <c r="K707" t="str">
        <f t="shared" si="58"/>
        <v/>
      </c>
      <c r="L707" t="str">
        <f t="shared" si="59"/>
        <v/>
      </c>
      <c r="M707" t="str">
        <f>IF(COUNTIF($A$2:A707,A707)=1,
     VLOOKUP(A707,Season_Winners!A:B,2,FALSE),
     "")</f>
        <v/>
      </c>
      <c r="N707" s="2"/>
    </row>
    <row r="708" spans="1:14" x14ac:dyDescent="0.3">
      <c r="A708" t="s">
        <v>179</v>
      </c>
      <c r="B708">
        <v>33</v>
      </c>
      <c r="C708" t="s">
        <v>319</v>
      </c>
      <c r="D708" t="str">
        <f t="shared" si="55"/>
        <v>26.04.2015</v>
      </c>
      <c r="E708" s="1">
        <v>0.70833333333333337</v>
      </c>
      <c r="F708" t="s">
        <v>33</v>
      </c>
      <c r="G708" t="s">
        <v>187</v>
      </c>
      <c r="H708" t="s">
        <v>12</v>
      </c>
      <c r="I708" t="str">
        <f t="shared" si="56"/>
        <v>2-0</v>
      </c>
      <c r="J708" t="str">
        <f t="shared" si="57"/>
        <v>2</v>
      </c>
      <c r="K708" t="str">
        <f t="shared" si="58"/>
        <v>0</v>
      </c>
      <c r="L708" t="str">
        <f t="shared" si="59"/>
        <v>UD AlmerÃ­a</v>
      </c>
      <c r="M708" t="str">
        <f>IF(COUNTIF($A$2:A708,A708)=1,
     VLOOKUP(A708,Season_Winners!A:B,2,FALSE),
     "")</f>
        <v/>
      </c>
    </row>
    <row r="709" spans="1:14" x14ac:dyDescent="0.3">
      <c r="A709" t="s">
        <v>179</v>
      </c>
      <c r="B709">
        <v>33</v>
      </c>
      <c r="C709" t="s">
        <v>319</v>
      </c>
      <c r="D709" t="str">
        <f t="shared" si="55"/>
        <v>26.04.2015</v>
      </c>
      <c r="E709" s="1">
        <v>0.79166666666666663</v>
      </c>
      <c r="F709" t="s">
        <v>27</v>
      </c>
      <c r="G709" t="s">
        <v>30</v>
      </c>
      <c r="H709" t="s">
        <v>12</v>
      </c>
      <c r="I709" t="str">
        <f t="shared" si="56"/>
        <v>2-0</v>
      </c>
      <c r="J709" t="str">
        <f t="shared" si="57"/>
        <v>2</v>
      </c>
      <c r="K709" t="str">
        <f t="shared" si="58"/>
        <v>0</v>
      </c>
      <c r="L709" t="str">
        <f t="shared" si="59"/>
        <v>Sevilla FC</v>
      </c>
      <c r="M709" t="str">
        <f>IF(COUNTIF($A$2:A709,A709)=1,
     VLOOKUP(A709,Season_Winners!A:B,2,FALSE),
     "")</f>
        <v/>
      </c>
    </row>
    <row r="710" spans="1:14" hidden="1" x14ac:dyDescent="0.3">
      <c r="A710" t="s">
        <v>179</v>
      </c>
      <c r="B710">
        <v>33</v>
      </c>
      <c r="C710" t="s">
        <v>319</v>
      </c>
      <c r="D710" t="str">
        <f t="shared" si="55"/>
        <v>26.04.2015</v>
      </c>
      <c r="E710" s="1">
        <v>0.875</v>
      </c>
      <c r="F710" t="s">
        <v>35</v>
      </c>
      <c r="G710" t="s">
        <v>25</v>
      </c>
      <c r="H710" s="2">
        <v>46114</v>
      </c>
      <c r="I710" s="3" t="str">
        <f t="shared" si="56"/>
        <v/>
      </c>
      <c r="J710" t="str">
        <f t="shared" si="57"/>
        <v/>
      </c>
      <c r="K710" t="str">
        <f t="shared" si="58"/>
        <v/>
      </c>
      <c r="L710" t="str">
        <f t="shared" si="59"/>
        <v/>
      </c>
      <c r="M710" t="str">
        <f>IF(COUNTIF($A$2:A710,A710)=1,
     VLOOKUP(A710,Season_Winners!A:B,2,FALSE),
     "")</f>
        <v/>
      </c>
      <c r="N710" s="2"/>
    </row>
    <row r="711" spans="1:14" x14ac:dyDescent="0.3">
      <c r="A711" t="s">
        <v>179</v>
      </c>
      <c r="B711">
        <v>33</v>
      </c>
      <c r="C711" t="s">
        <v>320</v>
      </c>
      <c r="D711" t="str">
        <f t="shared" si="55"/>
        <v>27.04.2015</v>
      </c>
      <c r="E711" s="1">
        <v>0.86458333333333337</v>
      </c>
      <c r="F711" t="s">
        <v>16</v>
      </c>
      <c r="G711" t="s">
        <v>24</v>
      </c>
      <c r="H711" t="s">
        <v>88</v>
      </c>
      <c r="I711" t="str">
        <f t="shared" si="56"/>
        <v>4-0</v>
      </c>
      <c r="J711" t="str">
        <f t="shared" si="57"/>
        <v>4</v>
      </c>
      <c r="K711" t="str">
        <f t="shared" si="58"/>
        <v>0</v>
      </c>
      <c r="L711" t="str">
        <f t="shared" si="59"/>
        <v>Valencia CF</v>
      </c>
      <c r="M711" t="str">
        <f>IF(COUNTIF($A$2:A711,A711)=1,
     VLOOKUP(A711,Season_Winners!A:B,2,FALSE),
     "")</f>
        <v/>
      </c>
    </row>
    <row r="712" spans="1:14" x14ac:dyDescent="0.3">
      <c r="A712" t="s">
        <v>179</v>
      </c>
      <c r="B712">
        <v>34</v>
      </c>
      <c r="C712" t="s">
        <v>321</v>
      </c>
      <c r="D712" t="str">
        <f t="shared" si="55"/>
        <v>28.04.2015</v>
      </c>
      <c r="E712" s="1">
        <v>0.83333333333333337</v>
      </c>
      <c r="F712" t="s">
        <v>20</v>
      </c>
      <c r="G712" t="s">
        <v>11</v>
      </c>
      <c r="H712" t="s">
        <v>126</v>
      </c>
      <c r="I712" t="str">
        <f t="shared" si="56"/>
        <v>6-0</v>
      </c>
      <c r="J712" t="str">
        <f t="shared" si="57"/>
        <v>6</v>
      </c>
      <c r="K712" t="str">
        <f t="shared" si="58"/>
        <v>0</v>
      </c>
      <c r="L712" t="str">
        <f t="shared" si="59"/>
        <v>FC Barcelona</v>
      </c>
      <c r="M712" t="str">
        <f>IF(COUNTIF($A$2:A712,A712)=1,
     VLOOKUP(A712,Season_Winners!A:B,2,FALSE),
     "")</f>
        <v/>
      </c>
    </row>
    <row r="713" spans="1:14" hidden="1" x14ac:dyDescent="0.3">
      <c r="A713" t="s">
        <v>179</v>
      </c>
      <c r="B713">
        <v>34</v>
      </c>
      <c r="C713" t="s">
        <v>321</v>
      </c>
      <c r="D713" t="str">
        <f t="shared" si="55"/>
        <v>28.04.2015</v>
      </c>
      <c r="E713" s="1">
        <v>0.91666666666666663</v>
      </c>
      <c r="F713" t="s">
        <v>15</v>
      </c>
      <c r="G713" t="s">
        <v>10</v>
      </c>
      <c r="H713" s="2">
        <v>46023</v>
      </c>
      <c r="I713" s="3" t="str">
        <f t="shared" si="56"/>
        <v/>
      </c>
      <c r="J713" t="str">
        <f t="shared" si="57"/>
        <v/>
      </c>
      <c r="K713" t="str">
        <f t="shared" si="58"/>
        <v/>
      </c>
      <c r="L713" t="str">
        <f t="shared" si="59"/>
        <v/>
      </c>
      <c r="M713" t="str">
        <f>IF(COUNTIF($A$2:A713,A713)=1,
     VLOOKUP(A713,Season_Winners!A:B,2,FALSE),
     "")</f>
        <v/>
      </c>
      <c r="N713" s="2"/>
    </row>
    <row r="714" spans="1:14" x14ac:dyDescent="0.3">
      <c r="A714" t="s">
        <v>179</v>
      </c>
      <c r="B714">
        <v>34</v>
      </c>
      <c r="C714" t="s">
        <v>321</v>
      </c>
      <c r="D714" t="str">
        <f t="shared" si="55"/>
        <v>28.04.2015</v>
      </c>
      <c r="E714" s="1">
        <v>0.91666666666666663</v>
      </c>
      <c r="F714" t="s">
        <v>21</v>
      </c>
      <c r="G714" t="s">
        <v>193</v>
      </c>
      <c r="H714" t="s">
        <v>18</v>
      </c>
      <c r="I714" t="str">
        <f t="shared" si="56"/>
        <v>1-0</v>
      </c>
      <c r="J714" t="str">
        <f t="shared" si="57"/>
        <v>1</v>
      </c>
      <c r="K714" t="str">
        <f t="shared" si="58"/>
        <v>0</v>
      </c>
      <c r="L714" t="str">
        <f t="shared" si="59"/>
        <v>Levante UD</v>
      </c>
      <c r="M714" t="str">
        <f>IF(COUNTIF($A$2:A714,A714)=1,
     VLOOKUP(A714,Season_Winners!A:B,2,FALSE),
     "")</f>
        <v/>
      </c>
    </row>
    <row r="715" spans="1:14" x14ac:dyDescent="0.3">
      <c r="A715" t="s">
        <v>179</v>
      </c>
      <c r="B715">
        <v>34</v>
      </c>
      <c r="C715" t="s">
        <v>322</v>
      </c>
      <c r="D715" t="str">
        <f t="shared" si="55"/>
        <v>29.04.2015</v>
      </c>
      <c r="E715" s="1">
        <v>0.83333333333333337</v>
      </c>
      <c r="F715" t="s">
        <v>35</v>
      </c>
      <c r="G715" t="s">
        <v>17</v>
      </c>
      <c r="H715" t="s">
        <v>18</v>
      </c>
      <c r="I715" t="str">
        <f t="shared" si="56"/>
        <v>1-0</v>
      </c>
      <c r="J715" t="str">
        <f t="shared" si="57"/>
        <v>1</v>
      </c>
      <c r="K715" t="str">
        <f t="shared" si="58"/>
        <v>0</v>
      </c>
      <c r="L715" t="str">
        <f t="shared" si="59"/>
        <v>RC Celta</v>
      </c>
      <c r="M715" t="str">
        <f>IF(COUNTIF($A$2:A715,A715)=1,
     VLOOKUP(A715,Season_Winners!A:B,2,FALSE),
     "")</f>
        <v/>
      </c>
    </row>
    <row r="716" spans="1:14" x14ac:dyDescent="0.3">
      <c r="A716" t="s">
        <v>179</v>
      </c>
      <c r="B716">
        <v>34</v>
      </c>
      <c r="C716" t="s">
        <v>322</v>
      </c>
      <c r="D716" t="str">
        <f t="shared" si="55"/>
        <v>29.04.2015</v>
      </c>
      <c r="E716" s="1">
        <v>0.83333333333333337</v>
      </c>
      <c r="F716" t="s">
        <v>25</v>
      </c>
      <c r="G716" t="s">
        <v>33</v>
      </c>
      <c r="H716" t="s">
        <v>32</v>
      </c>
      <c r="I716" t="str">
        <f t="shared" si="56"/>
        <v>3-0</v>
      </c>
      <c r="J716" t="str">
        <f t="shared" si="57"/>
        <v>3</v>
      </c>
      <c r="K716" t="str">
        <f t="shared" si="58"/>
        <v>0</v>
      </c>
      <c r="L716" t="str">
        <f t="shared" si="59"/>
        <v>Real Madrid</v>
      </c>
      <c r="M716" t="str">
        <f>IF(COUNTIF($A$2:A716,A716)=1,
     VLOOKUP(A716,Season_Winners!A:B,2,FALSE),
     "")</f>
        <v/>
      </c>
    </row>
    <row r="717" spans="1:14" hidden="1" x14ac:dyDescent="0.3">
      <c r="A717" t="s">
        <v>179</v>
      </c>
      <c r="B717">
        <v>34</v>
      </c>
      <c r="C717" t="s">
        <v>322</v>
      </c>
      <c r="D717" t="str">
        <f t="shared" si="55"/>
        <v>29.04.2015</v>
      </c>
      <c r="E717" s="1">
        <v>0.83333333333333337</v>
      </c>
      <c r="F717" t="s">
        <v>187</v>
      </c>
      <c r="G717" t="s">
        <v>27</v>
      </c>
      <c r="H717" s="2">
        <v>46082</v>
      </c>
      <c r="I717" s="3" t="str">
        <f t="shared" si="56"/>
        <v/>
      </c>
      <c r="J717" t="str">
        <f t="shared" si="57"/>
        <v/>
      </c>
      <c r="K717" t="str">
        <f t="shared" si="58"/>
        <v/>
      </c>
      <c r="L717" t="str">
        <f t="shared" si="59"/>
        <v/>
      </c>
      <c r="M717" t="str">
        <f>IF(COUNTIF($A$2:A717,A717)=1,
     VLOOKUP(A717,Season_Winners!A:B,2,FALSE),
     "")</f>
        <v/>
      </c>
      <c r="N717" s="2"/>
    </row>
    <row r="718" spans="1:14" x14ac:dyDescent="0.3">
      <c r="A718" t="s">
        <v>179</v>
      </c>
      <c r="B718">
        <v>34</v>
      </c>
      <c r="C718" t="s">
        <v>322</v>
      </c>
      <c r="D718" t="str">
        <f t="shared" si="55"/>
        <v>29.04.2015</v>
      </c>
      <c r="E718" s="1">
        <v>0.91666666666666663</v>
      </c>
      <c r="F718" t="s">
        <v>31</v>
      </c>
      <c r="G718" t="s">
        <v>182</v>
      </c>
      <c r="H718" t="s">
        <v>88</v>
      </c>
      <c r="I718" t="str">
        <f t="shared" si="56"/>
        <v>4-0</v>
      </c>
      <c r="J718" t="str">
        <f t="shared" si="57"/>
        <v>4</v>
      </c>
      <c r="K718" t="str">
        <f t="shared" si="58"/>
        <v>0</v>
      </c>
      <c r="L718" t="str">
        <f t="shared" si="59"/>
        <v>Elche CF</v>
      </c>
      <c r="M718" t="str">
        <f>IF(COUNTIF($A$2:A718,A718)=1,
     VLOOKUP(A718,Season_Winners!A:B,2,FALSE),
     "")</f>
        <v/>
      </c>
    </row>
    <row r="719" spans="1:14" x14ac:dyDescent="0.3">
      <c r="A719" t="s">
        <v>179</v>
      </c>
      <c r="B719">
        <v>34</v>
      </c>
      <c r="C719" t="s">
        <v>322</v>
      </c>
      <c r="D719" t="str">
        <f t="shared" si="55"/>
        <v>29.04.2015</v>
      </c>
      <c r="E719" s="1">
        <v>0.91666666666666663</v>
      </c>
      <c r="F719" t="s">
        <v>34</v>
      </c>
      <c r="G719" t="s">
        <v>1425</v>
      </c>
      <c r="H719" t="s">
        <v>42</v>
      </c>
      <c r="I719" t="str">
        <f t="shared" si="56"/>
        <v>0-1</v>
      </c>
      <c r="J719" t="str">
        <f t="shared" si="57"/>
        <v>0</v>
      </c>
      <c r="K719" t="str">
        <f t="shared" si="58"/>
        <v>1</v>
      </c>
      <c r="L719" t="str">
        <f t="shared" si="59"/>
        <v>Atlético de Madrid</v>
      </c>
      <c r="M719" t="str">
        <f>IF(COUNTIF($A$2:A719,A719)=1,
     VLOOKUP(A719,Season_Winners!A:B,2,FALSE),
     "")</f>
        <v/>
      </c>
    </row>
    <row r="720" spans="1:14" hidden="1" x14ac:dyDescent="0.3">
      <c r="A720" t="s">
        <v>179</v>
      </c>
      <c r="B720">
        <v>34</v>
      </c>
      <c r="C720" t="s">
        <v>323</v>
      </c>
      <c r="D720" t="str">
        <f t="shared" si="55"/>
        <v>30.04.2015</v>
      </c>
      <c r="E720" s="1">
        <v>0.83333333333333337</v>
      </c>
      <c r="F720" t="s">
        <v>30</v>
      </c>
      <c r="G720" t="s">
        <v>16</v>
      </c>
      <c r="H720" s="2">
        <v>46023</v>
      </c>
      <c r="I720" s="3" t="str">
        <f t="shared" si="56"/>
        <v/>
      </c>
      <c r="J720" t="str">
        <f t="shared" si="57"/>
        <v/>
      </c>
      <c r="K720" t="str">
        <f t="shared" si="58"/>
        <v/>
      </c>
      <c r="L720" t="str">
        <f t="shared" si="59"/>
        <v/>
      </c>
      <c r="M720" t="str">
        <f>IF(COUNTIF($A$2:A720,A720)=1,
     VLOOKUP(A720,Season_Winners!A:B,2,FALSE),
     "")</f>
        <v/>
      </c>
      <c r="N720" s="2"/>
    </row>
    <row r="721" spans="1:14" hidden="1" x14ac:dyDescent="0.3">
      <c r="A721" t="s">
        <v>179</v>
      </c>
      <c r="B721">
        <v>34</v>
      </c>
      <c r="C721" t="s">
        <v>323</v>
      </c>
      <c r="D721" t="str">
        <f t="shared" si="55"/>
        <v>30.04.2015</v>
      </c>
      <c r="E721" s="1">
        <v>0.91666666666666663</v>
      </c>
      <c r="F721" t="s">
        <v>24</v>
      </c>
      <c r="G721" t="s">
        <v>36</v>
      </c>
      <c r="H721" s="2">
        <v>46054</v>
      </c>
      <c r="I721" s="3" t="str">
        <f t="shared" si="56"/>
        <v/>
      </c>
      <c r="J721" t="str">
        <f t="shared" si="57"/>
        <v/>
      </c>
      <c r="K721" t="str">
        <f t="shared" si="58"/>
        <v/>
      </c>
      <c r="L721" t="str">
        <f t="shared" si="59"/>
        <v/>
      </c>
      <c r="M721" t="str">
        <f>IF(COUNTIF($A$2:A721,A721)=1,
     VLOOKUP(A721,Season_Winners!A:B,2,FALSE),
     "")</f>
        <v/>
      </c>
      <c r="N721" s="2"/>
    </row>
    <row r="722" spans="1:14" x14ac:dyDescent="0.3">
      <c r="A722" t="s">
        <v>179</v>
      </c>
      <c r="B722">
        <v>35</v>
      </c>
      <c r="C722" t="s">
        <v>324</v>
      </c>
      <c r="D722" t="str">
        <f t="shared" si="55"/>
        <v>01.05.2015</v>
      </c>
      <c r="E722" s="1">
        <v>0.86458333333333337</v>
      </c>
      <c r="F722" t="s">
        <v>10</v>
      </c>
      <c r="G722" t="s">
        <v>21</v>
      </c>
      <c r="H722" t="s">
        <v>32</v>
      </c>
      <c r="I722" t="str">
        <f t="shared" si="56"/>
        <v>3-0</v>
      </c>
      <c r="J722" t="str">
        <f t="shared" si="57"/>
        <v>3</v>
      </c>
      <c r="K722" t="str">
        <f t="shared" si="58"/>
        <v>0</v>
      </c>
      <c r="L722" t="str">
        <f t="shared" si="59"/>
        <v>Real Sociedad</v>
      </c>
      <c r="M722" t="str">
        <f>IF(COUNTIF($A$2:A722,A722)=1,
     VLOOKUP(A722,Season_Winners!A:B,2,FALSE),
     "")</f>
        <v/>
      </c>
    </row>
    <row r="723" spans="1:14" x14ac:dyDescent="0.3">
      <c r="A723" t="s">
        <v>179</v>
      </c>
      <c r="B723">
        <v>35</v>
      </c>
      <c r="C723" t="s">
        <v>325</v>
      </c>
      <c r="D723" t="str">
        <f t="shared" si="55"/>
        <v>02.05.2015</v>
      </c>
      <c r="E723" s="1">
        <v>0.66666666666666663</v>
      </c>
      <c r="F723" t="s">
        <v>193</v>
      </c>
      <c r="G723" t="s">
        <v>20</v>
      </c>
      <c r="H723" t="s">
        <v>326</v>
      </c>
      <c r="I723" t="str">
        <f t="shared" si="56"/>
        <v>0-8</v>
      </c>
      <c r="J723" t="str">
        <f t="shared" si="57"/>
        <v>0</v>
      </c>
      <c r="K723" t="str">
        <f t="shared" si="58"/>
        <v>8</v>
      </c>
      <c r="L723" t="str">
        <f t="shared" si="59"/>
        <v>FC Barcelona</v>
      </c>
      <c r="M723" t="str">
        <f>IF(COUNTIF($A$2:A723,A723)=1,
     VLOOKUP(A723,Season_Winners!A:B,2,FALSE),
     "")</f>
        <v/>
      </c>
    </row>
    <row r="724" spans="1:14" x14ac:dyDescent="0.3">
      <c r="A724" t="s">
        <v>179</v>
      </c>
      <c r="B724">
        <v>35</v>
      </c>
      <c r="C724" t="s">
        <v>325</v>
      </c>
      <c r="D724" t="str">
        <f t="shared" si="55"/>
        <v>02.05.2015</v>
      </c>
      <c r="E724" s="1">
        <v>0.75</v>
      </c>
      <c r="F724" t="s">
        <v>1425</v>
      </c>
      <c r="G724" t="s">
        <v>15</v>
      </c>
      <c r="H724" t="s">
        <v>41</v>
      </c>
      <c r="I724" t="str">
        <f t="shared" si="56"/>
        <v>0-0</v>
      </c>
      <c r="J724" t="str">
        <f t="shared" si="57"/>
        <v>0</v>
      </c>
      <c r="K724" t="str">
        <f t="shared" si="58"/>
        <v>0</v>
      </c>
      <c r="L724" t="str">
        <f t="shared" si="59"/>
        <v>Draw</v>
      </c>
      <c r="M724" t="str">
        <f>IF(COUNTIF($A$2:A724,A724)=1,
     VLOOKUP(A724,Season_Winners!A:B,2,FALSE),
     "")</f>
        <v/>
      </c>
    </row>
    <row r="725" spans="1:14" hidden="1" x14ac:dyDescent="0.3">
      <c r="A725" t="s">
        <v>179</v>
      </c>
      <c r="B725">
        <v>35</v>
      </c>
      <c r="C725" t="s">
        <v>325</v>
      </c>
      <c r="D725" t="str">
        <f t="shared" si="55"/>
        <v>02.05.2015</v>
      </c>
      <c r="E725" s="1">
        <v>0.83333333333333337</v>
      </c>
      <c r="F725" t="s">
        <v>27</v>
      </c>
      <c r="G725" t="s">
        <v>25</v>
      </c>
      <c r="H725" s="2">
        <v>46083</v>
      </c>
      <c r="I725" s="3" t="str">
        <f t="shared" si="56"/>
        <v/>
      </c>
      <c r="J725" t="str">
        <f t="shared" si="57"/>
        <v/>
      </c>
      <c r="K725" t="str">
        <f t="shared" si="58"/>
        <v/>
      </c>
      <c r="L725" t="str">
        <f t="shared" si="59"/>
        <v/>
      </c>
      <c r="M725" t="str">
        <f>IF(COUNTIF($A$2:A725,A725)=1,
     VLOOKUP(A725,Season_Winners!A:B,2,FALSE),
     "")</f>
        <v/>
      </c>
      <c r="N725" s="2"/>
    </row>
    <row r="726" spans="1:14" hidden="1" x14ac:dyDescent="0.3">
      <c r="A726" t="s">
        <v>179</v>
      </c>
      <c r="B726">
        <v>35</v>
      </c>
      <c r="C726" t="s">
        <v>325</v>
      </c>
      <c r="D726" t="str">
        <f t="shared" si="55"/>
        <v>02.05.2015</v>
      </c>
      <c r="E726" s="1">
        <v>0.91666666666666663</v>
      </c>
      <c r="F726" t="s">
        <v>182</v>
      </c>
      <c r="G726" t="s">
        <v>34</v>
      </c>
      <c r="H726" s="2">
        <v>46023</v>
      </c>
      <c r="I726" s="3" t="str">
        <f t="shared" si="56"/>
        <v/>
      </c>
      <c r="J726" t="str">
        <f t="shared" si="57"/>
        <v/>
      </c>
      <c r="K726" t="str">
        <f t="shared" si="58"/>
        <v/>
      </c>
      <c r="L726" t="str">
        <f t="shared" si="59"/>
        <v/>
      </c>
      <c r="M726" t="str">
        <f>IF(COUNTIF($A$2:A726,A726)=1,
     VLOOKUP(A726,Season_Winners!A:B,2,FALSE),
     "")</f>
        <v/>
      </c>
      <c r="N726" s="2"/>
    </row>
    <row r="727" spans="1:14" hidden="1" x14ac:dyDescent="0.3">
      <c r="A727" t="s">
        <v>179</v>
      </c>
      <c r="B727">
        <v>35</v>
      </c>
      <c r="C727" t="s">
        <v>327</v>
      </c>
      <c r="D727" t="str">
        <f t="shared" si="55"/>
        <v>03.05.2015</v>
      </c>
      <c r="E727" s="1">
        <v>0.5</v>
      </c>
      <c r="F727" t="s">
        <v>36</v>
      </c>
      <c r="G727" t="s">
        <v>30</v>
      </c>
      <c r="H727" s="2">
        <v>46023</v>
      </c>
      <c r="I727" s="3" t="str">
        <f t="shared" si="56"/>
        <v/>
      </c>
      <c r="J727" t="str">
        <f t="shared" si="57"/>
        <v/>
      </c>
      <c r="K727" t="str">
        <f t="shared" si="58"/>
        <v/>
      </c>
      <c r="L727" t="str">
        <f t="shared" si="59"/>
        <v/>
      </c>
      <c r="M727" t="str">
        <f>IF(COUNTIF($A$2:A727,A727)=1,
     VLOOKUP(A727,Season_Winners!A:B,2,FALSE),
     "")</f>
        <v/>
      </c>
      <c r="N727" s="2"/>
    </row>
    <row r="728" spans="1:14" hidden="1" x14ac:dyDescent="0.3">
      <c r="A728" t="s">
        <v>179</v>
      </c>
      <c r="B728">
        <v>35</v>
      </c>
      <c r="C728" t="s">
        <v>327</v>
      </c>
      <c r="D728" t="str">
        <f t="shared" si="55"/>
        <v>03.05.2015</v>
      </c>
      <c r="E728" s="1">
        <v>0.70833333333333337</v>
      </c>
      <c r="F728" t="s">
        <v>11</v>
      </c>
      <c r="G728" t="s">
        <v>24</v>
      </c>
      <c r="H728" s="2">
        <v>46054</v>
      </c>
      <c r="I728" s="3" t="str">
        <f t="shared" si="56"/>
        <v/>
      </c>
      <c r="J728" t="str">
        <f t="shared" si="57"/>
        <v/>
      </c>
      <c r="K728" t="str">
        <f t="shared" si="58"/>
        <v/>
      </c>
      <c r="L728" t="str">
        <f t="shared" si="59"/>
        <v/>
      </c>
      <c r="M728" t="str">
        <f>IF(COUNTIF($A$2:A728,A728)=1,
     VLOOKUP(A728,Season_Winners!A:B,2,FALSE),
     "")</f>
        <v/>
      </c>
      <c r="N728" s="2"/>
    </row>
    <row r="729" spans="1:14" hidden="1" x14ac:dyDescent="0.3">
      <c r="A729" t="s">
        <v>179</v>
      </c>
      <c r="B729">
        <v>35</v>
      </c>
      <c r="C729" t="s">
        <v>327</v>
      </c>
      <c r="D729" t="str">
        <f t="shared" si="55"/>
        <v>03.05.2015</v>
      </c>
      <c r="E729" s="1">
        <v>0.79166666666666663</v>
      </c>
      <c r="F729" t="s">
        <v>16</v>
      </c>
      <c r="G729" t="s">
        <v>187</v>
      </c>
      <c r="H729" s="2">
        <v>46025</v>
      </c>
      <c r="I729" s="3" t="str">
        <f t="shared" si="56"/>
        <v/>
      </c>
      <c r="J729" t="str">
        <f t="shared" si="57"/>
        <v/>
      </c>
      <c r="K729" t="str">
        <f t="shared" si="58"/>
        <v/>
      </c>
      <c r="L729" t="str">
        <f t="shared" si="59"/>
        <v/>
      </c>
      <c r="M729" t="str">
        <f>IF(COUNTIF($A$2:A729,A729)=1,
     VLOOKUP(A729,Season_Winners!A:B,2,FALSE),
     "")</f>
        <v/>
      </c>
      <c r="N729" s="2"/>
    </row>
    <row r="730" spans="1:14" hidden="1" x14ac:dyDescent="0.3">
      <c r="A730" t="s">
        <v>179</v>
      </c>
      <c r="B730">
        <v>35</v>
      </c>
      <c r="C730" t="s">
        <v>327</v>
      </c>
      <c r="D730" t="str">
        <f t="shared" si="55"/>
        <v>03.05.2015</v>
      </c>
      <c r="E730" s="1">
        <v>0.875</v>
      </c>
      <c r="F730" t="s">
        <v>17</v>
      </c>
      <c r="G730" t="s">
        <v>31</v>
      </c>
      <c r="H730" s="2">
        <v>46054</v>
      </c>
      <c r="I730" s="3" t="str">
        <f t="shared" si="56"/>
        <v/>
      </c>
      <c r="J730" t="str">
        <f t="shared" si="57"/>
        <v/>
      </c>
      <c r="K730" t="str">
        <f t="shared" si="58"/>
        <v/>
      </c>
      <c r="L730" t="str">
        <f t="shared" si="59"/>
        <v/>
      </c>
      <c r="M730" t="str">
        <f>IF(COUNTIF($A$2:A730,A730)=1,
     VLOOKUP(A730,Season_Winners!A:B,2,FALSE),
     "")</f>
        <v/>
      </c>
      <c r="N730" s="2"/>
    </row>
    <row r="731" spans="1:14" hidden="1" x14ac:dyDescent="0.3">
      <c r="A731" t="s">
        <v>179</v>
      </c>
      <c r="B731">
        <v>35</v>
      </c>
      <c r="C731" t="s">
        <v>328</v>
      </c>
      <c r="D731" t="str">
        <f t="shared" si="55"/>
        <v>04.05.2015</v>
      </c>
      <c r="E731" s="1">
        <v>0.86458333333333337</v>
      </c>
      <c r="F731" t="s">
        <v>33</v>
      </c>
      <c r="G731" t="s">
        <v>35</v>
      </c>
      <c r="H731" s="2">
        <v>46055</v>
      </c>
      <c r="I731" s="3" t="str">
        <f t="shared" si="56"/>
        <v/>
      </c>
      <c r="J731" t="str">
        <f t="shared" si="57"/>
        <v/>
      </c>
      <c r="K731" t="str">
        <f t="shared" si="58"/>
        <v/>
      </c>
      <c r="L731" t="str">
        <f t="shared" si="59"/>
        <v/>
      </c>
      <c r="M731" t="str">
        <f>IF(COUNTIF($A$2:A731,A731)=1,
     VLOOKUP(A731,Season_Winners!A:B,2,FALSE),
     "")</f>
        <v/>
      </c>
      <c r="N731" s="2"/>
    </row>
    <row r="732" spans="1:14" x14ac:dyDescent="0.3">
      <c r="A732" t="s">
        <v>179</v>
      </c>
      <c r="B732">
        <v>36</v>
      </c>
      <c r="C732" t="s">
        <v>329</v>
      </c>
      <c r="D732" t="str">
        <f t="shared" si="55"/>
        <v>08.05.2015</v>
      </c>
      <c r="E732" s="1">
        <v>0.86458333333333337</v>
      </c>
      <c r="F732" t="s">
        <v>187</v>
      </c>
      <c r="G732" t="s">
        <v>36</v>
      </c>
      <c r="H732" t="s">
        <v>54</v>
      </c>
      <c r="I732" t="str">
        <f t="shared" si="56"/>
        <v>0-2</v>
      </c>
      <c r="J732" t="str">
        <f t="shared" si="57"/>
        <v>0</v>
      </c>
      <c r="K732" t="str">
        <f t="shared" si="58"/>
        <v>2</v>
      </c>
      <c r="L732" t="str">
        <f t="shared" si="59"/>
        <v>RCD Espanyol de Barcelona</v>
      </c>
      <c r="M732" t="str">
        <f>IF(COUNTIF($A$2:A732,A732)=1,
     VLOOKUP(A732,Season_Winners!A:B,2,FALSE),
     "")</f>
        <v/>
      </c>
    </row>
    <row r="733" spans="1:14" x14ac:dyDescent="0.3">
      <c r="A733" t="s">
        <v>179</v>
      </c>
      <c r="B733">
        <v>36</v>
      </c>
      <c r="C733" t="s">
        <v>330</v>
      </c>
      <c r="D733" t="str">
        <f t="shared" si="55"/>
        <v>09.05.2015</v>
      </c>
      <c r="E733" s="1">
        <v>0.66666666666666663</v>
      </c>
      <c r="F733" t="s">
        <v>24</v>
      </c>
      <c r="G733" t="s">
        <v>193</v>
      </c>
      <c r="H733" t="s">
        <v>12</v>
      </c>
      <c r="I733" t="str">
        <f t="shared" si="56"/>
        <v>2-0</v>
      </c>
      <c r="J733" t="str">
        <f t="shared" si="57"/>
        <v>2</v>
      </c>
      <c r="K733" t="str">
        <f t="shared" si="58"/>
        <v>0</v>
      </c>
      <c r="L733" t="str">
        <f t="shared" si="59"/>
        <v>Granada CF</v>
      </c>
      <c r="M733" t="str">
        <f>IF(COUNTIF($A$2:A733,A733)=1,
     VLOOKUP(A733,Season_Winners!A:B,2,FALSE),
     "")</f>
        <v/>
      </c>
    </row>
    <row r="734" spans="1:14" x14ac:dyDescent="0.3">
      <c r="A734" t="s">
        <v>179</v>
      </c>
      <c r="B734">
        <v>36</v>
      </c>
      <c r="C734" t="s">
        <v>330</v>
      </c>
      <c r="D734" t="str">
        <f t="shared" si="55"/>
        <v>09.05.2015</v>
      </c>
      <c r="E734" s="1">
        <v>0.75</v>
      </c>
      <c r="F734" t="s">
        <v>20</v>
      </c>
      <c r="G734" t="s">
        <v>10</v>
      </c>
      <c r="H734" t="s">
        <v>12</v>
      </c>
      <c r="I734" t="str">
        <f t="shared" si="56"/>
        <v>2-0</v>
      </c>
      <c r="J734" t="str">
        <f t="shared" si="57"/>
        <v>2</v>
      </c>
      <c r="K734" t="str">
        <f t="shared" si="58"/>
        <v>0</v>
      </c>
      <c r="L734" t="str">
        <f t="shared" si="59"/>
        <v>FC Barcelona</v>
      </c>
      <c r="M734" t="str">
        <f>IF(COUNTIF($A$2:A734,A734)=1,
     VLOOKUP(A734,Season_Winners!A:B,2,FALSE),
     "")</f>
        <v/>
      </c>
    </row>
    <row r="735" spans="1:14" hidden="1" x14ac:dyDescent="0.3">
      <c r="A735" t="s">
        <v>179</v>
      </c>
      <c r="B735">
        <v>36</v>
      </c>
      <c r="C735" t="s">
        <v>330</v>
      </c>
      <c r="D735" t="str">
        <f t="shared" si="55"/>
        <v>09.05.2015</v>
      </c>
      <c r="E735" s="1">
        <v>0.83333333333333337</v>
      </c>
      <c r="F735" t="s">
        <v>25</v>
      </c>
      <c r="G735" t="s">
        <v>16</v>
      </c>
      <c r="H735" s="2">
        <v>46055</v>
      </c>
      <c r="I735" s="3" t="str">
        <f t="shared" si="56"/>
        <v/>
      </c>
      <c r="J735" t="str">
        <f t="shared" si="57"/>
        <v/>
      </c>
      <c r="K735" t="str">
        <f t="shared" si="58"/>
        <v/>
      </c>
      <c r="L735" t="str">
        <f t="shared" si="59"/>
        <v/>
      </c>
      <c r="M735" t="str">
        <f>IF(COUNTIF($A$2:A735,A735)=1,
     VLOOKUP(A735,Season_Winners!A:B,2,FALSE),
     "")</f>
        <v/>
      </c>
      <c r="N735" s="2"/>
    </row>
    <row r="736" spans="1:14" hidden="1" x14ac:dyDescent="0.3">
      <c r="A736" t="s">
        <v>179</v>
      </c>
      <c r="B736">
        <v>36</v>
      </c>
      <c r="C736" t="s">
        <v>330</v>
      </c>
      <c r="D736" t="str">
        <f t="shared" si="55"/>
        <v>09.05.2015</v>
      </c>
      <c r="E736" s="1">
        <v>0.91666666666666663</v>
      </c>
      <c r="F736" t="s">
        <v>15</v>
      </c>
      <c r="G736" t="s">
        <v>182</v>
      </c>
      <c r="H736" s="2">
        <v>46023</v>
      </c>
      <c r="I736" s="3" t="str">
        <f t="shared" si="56"/>
        <v/>
      </c>
      <c r="J736" t="str">
        <f t="shared" si="57"/>
        <v/>
      </c>
      <c r="K736" t="str">
        <f t="shared" si="58"/>
        <v/>
      </c>
      <c r="L736" t="str">
        <f t="shared" si="59"/>
        <v/>
      </c>
      <c r="M736" t="str">
        <f>IF(COUNTIF($A$2:A736,A736)=1,
     VLOOKUP(A736,Season_Winners!A:B,2,FALSE),
     "")</f>
        <v/>
      </c>
      <c r="N736" s="2"/>
    </row>
    <row r="737" spans="1:14" hidden="1" x14ac:dyDescent="0.3">
      <c r="A737" t="s">
        <v>179</v>
      </c>
      <c r="B737">
        <v>36</v>
      </c>
      <c r="C737" t="s">
        <v>331</v>
      </c>
      <c r="D737" t="str">
        <f t="shared" si="55"/>
        <v>10.05.2015</v>
      </c>
      <c r="E737" s="1">
        <v>0.5</v>
      </c>
      <c r="F737" t="s">
        <v>21</v>
      </c>
      <c r="G737" t="s">
        <v>28</v>
      </c>
      <c r="H737" s="2">
        <v>46055</v>
      </c>
      <c r="I737" s="3" t="str">
        <f t="shared" si="56"/>
        <v/>
      </c>
      <c r="J737" t="str">
        <f t="shared" si="57"/>
        <v/>
      </c>
      <c r="K737" t="str">
        <f t="shared" si="58"/>
        <v/>
      </c>
      <c r="L737" t="str">
        <f t="shared" si="59"/>
        <v/>
      </c>
      <c r="M737" t="str">
        <f>IF(COUNTIF($A$2:A737,A737)=1,
     VLOOKUP(A737,Season_Winners!A:B,2,FALSE),
     "")</f>
        <v/>
      </c>
      <c r="N737" s="2"/>
    </row>
    <row r="738" spans="1:14" x14ac:dyDescent="0.3">
      <c r="A738" t="s">
        <v>179</v>
      </c>
      <c r="B738">
        <v>36</v>
      </c>
      <c r="C738" t="s">
        <v>331</v>
      </c>
      <c r="D738" t="str">
        <f t="shared" si="55"/>
        <v>10.05.2015</v>
      </c>
      <c r="E738" s="1">
        <v>0.70833333333333337</v>
      </c>
      <c r="F738" t="s">
        <v>34</v>
      </c>
      <c r="G738" t="s">
        <v>31</v>
      </c>
      <c r="H738" t="s">
        <v>18</v>
      </c>
      <c r="I738" t="str">
        <f t="shared" si="56"/>
        <v>1-0</v>
      </c>
      <c r="J738" t="str">
        <f t="shared" si="57"/>
        <v>1</v>
      </c>
      <c r="K738" t="str">
        <f t="shared" si="58"/>
        <v>0</v>
      </c>
      <c r="L738" t="str">
        <f t="shared" si="59"/>
        <v>Villarreal CF</v>
      </c>
      <c r="M738" t="str">
        <f>IF(COUNTIF($A$2:A738,A738)=1,
     VLOOKUP(A738,Season_Winners!A:B,2,FALSE),
     "")</f>
        <v/>
      </c>
    </row>
    <row r="739" spans="1:14" hidden="1" x14ac:dyDescent="0.3">
      <c r="A739" t="s">
        <v>179</v>
      </c>
      <c r="B739">
        <v>36</v>
      </c>
      <c r="C739" t="s">
        <v>331</v>
      </c>
      <c r="D739" t="str">
        <f t="shared" si="55"/>
        <v>10.05.2015</v>
      </c>
      <c r="E739" s="1">
        <v>0.79166666666666663</v>
      </c>
      <c r="F739" t="s">
        <v>33</v>
      </c>
      <c r="G739" t="s">
        <v>17</v>
      </c>
      <c r="H739" s="2">
        <v>46054</v>
      </c>
      <c r="I739" s="3" t="str">
        <f t="shared" si="56"/>
        <v/>
      </c>
      <c r="J739" t="str">
        <f t="shared" si="57"/>
        <v/>
      </c>
      <c r="K739" t="str">
        <f t="shared" si="58"/>
        <v/>
      </c>
      <c r="L739" t="str">
        <f t="shared" si="59"/>
        <v/>
      </c>
      <c r="M739" t="str">
        <f>IF(COUNTIF($A$2:A739,A739)=1,
     VLOOKUP(A739,Season_Winners!A:B,2,FALSE),
     "")</f>
        <v/>
      </c>
      <c r="N739" s="2"/>
    </row>
    <row r="740" spans="1:14" hidden="1" x14ac:dyDescent="0.3">
      <c r="A740" t="s">
        <v>179</v>
      </c>
      <c r="B740">
        <v>36</v>
      </c>
      <c r="C740" t="s">
        <v>331</v>
      </c>
      <c r="D740" t="str">
        <f t="shared" si="55"/>
        <v>10.05.2015</v>
      </c>
      <c r="E740" s="1">
        <v>0.875</v>
      </c>
      <c r="F740" t="s">
        <v>35</v>
      </c>
      <c r="G740" t="s">
        <v>27</v>
      </c>
      <c r="H740" s="2">
        <v>46023</v>
      </c>
      <c r="I740" s="3" t="str">
        <f t="shared" si="56"/>
        <v/>
      </c>
      <c r="J740" t="str">
        <f t="shared" si="57"/>
        <v/>
      </c>
      <c r="K740" t="str">
        <f t="shared" si="58"/>
        <v/>
      </c>
      <c r="L740" t="str">
        <f t="shared" si="59"/>
        <v/>
      </c>
      <c r="M740" t="str">
        <f>IF(COUNTIF($A$2:A740,A740)=1,
     VLOOKUP(A740,Season_Winners!A:B,2,FALSE),
     "")</f>
        <v/>
      </c>
      <c r="N740" s="2"/>
    </row>
    <row r="741" spans="1:14" x14ac:dyDescent="0.3">
      <c r="A741" t="s">
        <v>179</v>
      </c>
      <c r="B741">
        <v>36</v>
      </c>
      <c r="C741" t="s">
        <v>332</v>
      </c>
      <c r="D741" t="str">
        <f t="shared" si="55"/>
        <v>11.05.2015</v>
      </c>
      <c r="E741" s="1">
        <v>0.86458333333333337</v>
      </c>
      <c r="F741" t="s">
        <v>30</v>
      </c>
      <c r="G741" t="s">
        <v>11</v>
      </c>
      <c r="H741" t="s">
        <v>12</v>
      </c>
      <c r="I741" t="str">
        <f t="shared" si="56"/>
        <v>2-0</v>
      </c>
      <c r="J741" t="str">
        <f t="shared" si="57"/>
        <v>2</v>
      </c>
      <c r="K741" t="str">
        <f t="shared" si="58"/>
        <v>0</v>
      </c>
      <c r="L741" t="str">
        <f t="shared" si="59"/>
        <v>Rayo Vallecano</v>
      </c>
      <c r="M741" t="str">
        <f>IF(COUNTIF($A$2:A741,A741)=1,
     VLOOKUP(A741,Season_Winners!A:B,2,FALSE),
     "")</f>
        <v/>
      </c>
    </row>
    <row r="742" spans="1:14" x14ac:dyDescent="0.3">
      <c r="A742" t="s">
        <v>179</v>
      </c>
      <c r="B742">
        <v>37</v>
      </c>
      <c r="C742" t="s">
        <v>333</v>
      </c>
      <c r="D742" t="str">
        <f t="shared" si="55"/>
        <v>17.05.2015</v>
      </c>
      <c r="E742" s="1">
        <v>0.79166666666666663</v>
      </c>
      <c r="F742" t="s">
        <v>1425</v>
      </c>
      <c r="G742" t="s">
        <v>20</v>
      </c>
      <c r="H742" t="s">
        <v>42</v>
      </c>
      <c r="I742" t="str">
        <f t="shared" si="56"/>
        <v>0-1</v>
      </c>
      <c r="J742" t="str">
        <f t="shared" si="57"/>
        <v>0</v>
      </c>
      <c r="K742" t="str">
        <f t="shared" si="58"/>
        <v>1</v>
      </c>
      <c r="L742" t="str">
        <f t="shared" si="59"/>
        <v>FC Barcelona</v>
      </c>
      <c r="M742" t="str">
        <f>IF(COUNTIF($A$2:A742,A742)=1,
     VLOOKUP(A742,Season_Winners!A:B,2,FALSE),
     "")</f>
        <v/>
      </c>
    </row>
    <row r="743" spans="1:14" hidden="1" x14ac:dyDescent="0.3">
      <c r="A743" t="s">
        <v>179</v>
      </c>
      <c r="B743">
        <v>37</v>
      </c>
      <c r="C743" t="s">
        <v>333</v>
      </c>
      <c r="D743" t="str">
        <f t="shared" si="55"/>
        <v>17.05.2015</v>
      </c>
      <c r="E743" s="1">
        <v>0.79166666666666663</v>
      </c>
      <c r="F743" t="s">
        <v>31</v>
      </c>
      <c r="G743" t="s">
        <v>15</v>
      </c>
      <c r="H743" s="2">
        <v>46083</v>
      </c>
      <c r="I743" s="3" t="str">
        <f t="shared" si="56"/>
        <v/>
      </c>
      <c r="J743" t="str">
        <f t="shared" si="57"/>
        <v/>
      </c>
      <c r="K743" t="str">
        <f t="shared" si="58"/>
        <v/>
      </c>
      <c r="L743" t="str">
        <f t="shared" si="59"/>
        <v/>
      </c>
      <c r="M743" t="str">
        <f>IF(COUNTIF($A$2:A743,A743)=1,
     VLOOKUP(A743,Season_Winners!A:B,2,FALSE),
     "")</f>
        <v/>
      </c>
      <c r="N743" s="2"/>
    </row>
    <row r="744" spans="1:14" hidden="1" x14ac:dyDescent="0.3">
      <c r="A744" t="s">
        <v>179</v>
      </c>
      <c r="B744">
        <v>37</v>
      </c>
      <c r="C744" t="s">
        <v>333</v>
      </c>
      <c r="D744" t="str">
        <f t="shared" si="55"/>
        <v>17.05.2015</v>
      </c>
      <c r="E744" s="1">
        <v>0.79166666666666663</v>
      </c>
      <c r="F744" t="s">
        <v>36</v>
      </c>
      <c r="G744" t="s">
        <v>25</v>
      </c>
      <c r="H744" s="2">
        <v>46113</v>
      </c>
      <c r="I744" s="3" t="str">
        <f t="shared" si="56"/>
        <v/>
      </c>
      <c r="J744" t="str">
        <f t="shared" si="57"/>
        <v/>
      </c>
      <c r="K744" t="str">
        <f t="shared" si="58"/>
        <v/>
      </c>
      <c r="L744" t="str">
        <f t="shared" si="59"/>
        <v/>
      </c>
      <c r="M744" t="str">
        <f>IF(COUNTIF($A$2:A744,A744)=1,
     VLOOKUP(A744,Season_Winners!A:B,2,FALSE),
     "")</f>
        <v/>
      </c>
      <c r="N744" s="2"/>
    </row>
    <row r="745" spans="1:14" hidden="1" x14ac:dyDescent="0.3">
      <c r="A745" t="s">
        <v>179</v>
      </c>
      <c r="B745">
        <v>37</v>
      </c>
      <c r="C745" t="s">
        <v>333</v>
      </c>
      <c r="D745" t="str">
        <f t="shared" si="55"/>
        <v>17.05.2015</v>
      </c>
      <c r="E745" s="1">
        <v>0.79166666666666663</v>
      </c>
      <c r="F745" t="s">
        <v>11</v>
      </c>
      <c r="G745" t="s">
        <v>187</v>
      </c>
      <c r="H745" s="2">
        <v>46023</v>
      </c>
      <c r="I745" s="3" t="str">
        <f t="shared" si="56"/>
        <v/>
      </c>
      <c r="J745" t="str">
        <f t="shared" si="57"/>
        <v/>
      </c>
      <c r="K745" t="str">
        <f t="shared" si="58"/>
        <v/>
      </c>
      <c r="L745" t="str">
        <f t="shared" si="59"/>
        <v/>
      </c>
      <c r="M745" t="str">
        <f>IF(COUNTIF($A$2:A745,A745)=1,
     VLOOKUP(A745,Season_Winners!A:B,2,FALSE),
     "")</f>
        <v/>
      </c>
      <c r="N745" s="2"/>
    </row>
    <row r="746" spans="1:14" x14ac:dyDescent="0.3">
      <c r="A746" t="s">
        <v>179</v>
      </c>
      <c r="B746">
        <v>37</v>
      </c>
      <c r="C746" t="s">
        <v>333</v>
      </c>
      <c r="D746" t="str">
        <f t="shared" si="55"/>
        <v>17.05.2015</v>
      </c>
      <c r="E746" s="1">
        <v>0.79166666666666663</v>
      </c>
      <c r="F746" t="s">
        <v>10</v>
      </c>
      <c r="G746" t="s">
        <v>24</v>
      </c>
      <c r="H746" t="s">
        <v>46</v>
      </c>
      <c r="I746" t="str">
        <f t="shared" si="56"/>
        <v>0-3</v>
      </c>
      <c r="J746" t="str">
        <f t="shared" si="57"/>
        <v>0</v>
      </c>
      <c r="K746" t="str">
        <f t="shared" si="58"/>
        <v>3</v>
      </c>
      <c r="L746" t="str">
        <f t="shared" si="59"/>
        <v>Granada CF</v>
      </c>
      <c r="M746" t="str">
        <f>IF(COUNTIF($A$2:A746,A746)=1,
     VLOOKUP(A746,Season_Winners!A:B,2,FALSE),
     "")</f>
        <v/>
      </c>
    </row>
    <row r="747" spans="1:14" hidden="1" x14ac:dyDescent="0.3">
      <c r="A747" t="s">
        <v>179</v>
      </c>
      <c r="B747">
        <v>37</v>
      </c>
      <c r="C747" t="s">
        <v>333</v>
      </c>
      <c r="D747" t="str">
        <f t="shared" si="55"/>
        <v>17.05.2015</v>
      </c>
      <c r="E747" s="1">
        <v>0.79166666666666663</v>
      </c>
      <c r="F747" t="s">
        <v>27</v>
      </c>
      <c r="G747" t="s">
        <v>33</v>
      </c>
      <c r="H747" s="2">
        <v>46024</v>
      </c>
      <c r="I747" s="3" t="str">
        <f t="shared" si="56"/>
        <v/>
      </c>
      <c r="J747" t="str">
        <f t="shared" si="57"/>
        <v/>
      </c>
      <c r="K747" t="str">
        <f t="shared" si="58"/>
        <v/>
      </c>
      <c r="L747" t="str">
        <f t="shared" si="59"/>
        <v/>
      </c>
      <c r="M747" t="str">
        <f>IF(COUNTIF($A$2:A747,A747)=1,
     VLOOKUP(A747,Season_Winners!A:B,2,FALSE),
     "")</f>
        <v/>
      </c>
      <c r="N747" s="2"/>
    </row>
    <row r="748" spans="1:14" hidden="1" x14ac:dyDescent="0.3">
      <c r="A748" t="s">
        <v>179</v>
      </c>
      <c r="B748">
        <v>37</v>
      </c>
      <c r="C748" t="s">
        <v>333</v>
      </c>
      <c r="D748" t="str">
        <f t="shared" si="55"/>
        <v>17.05.2015</v>
      </c>
      <c r="E748" s="1">
        <v>0.79166666666666663</v>
      </c>
      <c r="F748" t="s">
        <v>16</v>
      </c>
      <c r="G748" t="s">
        <v>35</v>
      </c>
      <c r="H748" s="2">
        <v>46023</v>
      </c>
      <c r="I748" s="3" t="str">
        <f t="shared" si="56"/>
        <v/>
      </c>
      <c r="J748" t="str">
        <f t="shared" si="57"/>
        <v/>
      </c>
      <c r="K748" t="str">
        <f t="shared" si="58"/>
        <v/>
      </c>
      <c r="L748" t="str">
        <f t="shared" si="59"/>
        <v/>
      </c>
      <c r="M748" t="str">
        <f>IF(COUNTIF($A$2:A748,A748)=1,
     VLOOKUP(A748,Season_Winners!A:B,2,FALSE),
     "")</f>
        <v/>
      </c>
      <c r="N748" s="2"/>
    </row>
    <row r="749" spans="1:14" hidden="1" x14ac:dyDescent="0.3">
      <c r="A749" t="s">
        <v>179</v>
      </c>
      <c r="B749">
        <v>37</v>
      </c>
      <c r="C749" t="s">
        <v>333</v>
      </c>
      <c r="D749" t="str">
        <f t="shared" si="55"/>
        <v>17.05.2015</v>
      </c>
      <c r="E749" s="1">
        <v>0.79166666666666663</v>
      </c>
      <c r="F749" t="s">
        <v>34</v>
      </c>
      <c r="G749" t="s">
        <v>17</v>
      </c>
      <c r="H749" s="2">
        <v>46024</v>
      </c>
      <c r="I749" s="3" t="str">
        <f t="shared" si="56"/>
        <v/>
      </c>
      <c r="J749" t="str">
        <f t="shared" si="57"/>
        <v/>
      </c>
      <c r="K749" t="str">
        <f t="shared" si="58"/>
        <v/>
      </c>
      <c r="L749" t="str">
        <f t="shared" si="59"/>
        <v/>
      </c>
      <c r="M749" t="str">
        <f>IF(COUNTIF($A$2:A749,A749)=1,
     VLOOKUP(A749,Season_Winners!A:B,2,FALSE),
     "")</f>
        <v/>
      </c>
      <c r="N749" s="2"/>
    </row>
    <row r="750" spans="1:14" hidden="1" x14ac:dyDescent="0.3">
      <c r="A750" t="s">
        <v>179</v>
      </c>
      <c r="B750">
        <v>37</v>
      </c>
      <c r="C750" t="s">
        <v>333</v>
      </c>
      <c r="D750" t="str">
        <f t="shared" si="55"/>
        <v>17.05.2015</v>
      </c>
      <c r="E750" s="1">
        <v>0.79166666666666663</v>
      </c>
      <c r="F750" t="s">
        <v>193</v>
      </c>
      <c r="G750" t="s">
        <v>30</v>
      </c>
      <c r="H750" s="2">
        <v>46054</v>
      </c>
      <c r="I750" s="3" t="str">
        <f t="shared" si="56"/>
        <v/>
      </c>
      <c r="J750" t="str">
        <f t="shared" si="57"/>
        <v/>
      </c>
      <c r="K750" t="str">
        <f t="shared" si="58"/>
        <v/>
      </c>
      <c r="L750" t="str">
        <f t="shared" si="59"/>
        <v/>
      </c>
      <c r="M750" t="str">
        <f>IF(COUNTIF($A$2:A750,A750)=1,
     VLOOKUP(A750,Season_Winners!A:B,2,FALSE),
     "")</f>
        <v/>
      </c>
      <c r="N750" s="2"/>
    </row>
    <row r="751" spans="1:14" x14ac:dyDescent="0.3">
      <c r="A751" t="s">
        <v>179</v>
      </c>
      <c r="B751">
        <v>37</v>
      </c>
      <c r="C751" t="s">
        <v>333</v>
      </c>
      <c r="D751" t="str">
        <f t="shared" si="55"/>
        <v>17.05.2015</v>
      </c>
      <c r="E751" s="1">
        <v>0.79166666666666663</v>
      </c>
      <c r="F751" t="s">
        <v>182</v>
      </c>
      <c r="G751" t="s">
        <v>21</v>
      </c>
      <c r="H751" t="s">
        <v>12</v>
      </c>
      <c r="I751" t="str">
        <f t="shared" si="56"/>
        <v>2-0</v>
      </c>
      <c r="J751" t="str">
        <f t="shared" si="57"/>
        <v>2</v>
      </c>
      <c r="K751" t="str">
        <f t="shared" si="58"/>
        <v>0</v>
      </c>
      <c r="L751" t="str">
        <f t="shared" si="59"/>
        <v>RC Deportivo</v>
      </c>
      <c r="M751" t="str">
        <f>IF(COUNTIF($A$2:A751,A751)=1,
     VLOOKUP(A751,Season_Winners!A:B,2,FALSE),
     "")</f>
        <v/>
      </c>
    </row>
    <row r="752" spans="1:14" x14ac:dyDescent="0.3">
      <c r="A752" t="s">
        <v>179</v>
      </c>
      <c r="B752">
        <v>38</v>
      </c>
      <c r="C752" t="s">
        <v>334</v>
      </c>
      <c r="D752" t="str">
        <f t="shared" si="55"/>
        <v>23.05.2015</v>
      </c>
      <c r="E752" s="1">
        <v>0.6875</v>
      </c>
      <c r="F752" t="s">
        <v>21</v>
      </c>
      <c r="G752" t="s">
        <v>31</v>
      </c>
      <c r="H752" t="s">
        <v>41</v>
      </c>
      <c r="I752" t="str">
        <f t="shared" si="56"/>
        <v>0-0</v>
      </c>
      <c r="J752" t="str">
        <f t="shared" si="57"/>
        <v>0</v>
      </c>
      <c r="K752" t="str">
        <f t="shared" si="58"/>
        <v>0</v>
      </c>
      <c r="L752" t="str">
        <f t="shared" si="59"/>
        <v>Draw</v>
      </c>
      <c r="M752" t="str">
        <f>IF(COUNTIF($A$2:A752,A752)=1,
     VLOOKUP(A752,Season_Winners!A:B,2,FALSE),
     "")</f>
        <v/>
      </c>
    </row>
    <row r="753" spans="1:14" hidden="1" x14ac:dyDescent="0.3">
      <c r="A753" t="s">
        <v>179</v>
      </c>
      <c r="B753">
        <v>38</v>
      </c>
      <c r="C753" t="s">
        <v>334</v>
      </c>
      <c r="D753" t="str">
        <f t="shared" si="55"/>
        <v>23.05.2015</v>
      </c>
      <c r="E753" s="1">
        <v>0.77083333333333337</v>
      </c>
      <c r="F753" t="s">
        <v>33</v>
      </c>
      <c r="G753" t="s">
        <v>16</v>
      </c>
      <c r="H753" s="2">
        <v>46083</v>
      </c>
      <c r="I753" s="3" t="str">
        <f t="shared" si="56"/>
        <v/>
      </c>
      <c r="J753" t="str">
        <f t="shared" si="57"/>
        <v/>
      </c>
      <c r="K753" t="str">
        <f t="shared" si="58"/>
        <v/>
      </c>
      <c r="L753" t="str">
        <f t="shared" si="59"/>
        <v/>
      </c>
      <c r="M753" t="str">
        <f>IF(COUNTIF($A$2:A753,A753)=1,
     VLOOKUP(A753,Season_Winners!A:B,2,FALSE),
     "")</f>
        <v/>
      </c>
      <c r="N753" s="2"/>
    </row>
    <row r="754" spans="1:14" x14ac:dyDescent="0.3">
      <c r="A754" t="s">
        <v>179</v>
      </c>
      <c r="B754">
        <v>38</v>
      </c>
      <c r="C754" t="s">
        <v>334</v>
      </c>
      <c r="D754" t="str">
        <f t="shared" si="55"/>
        <v>23.05.2015</v>
      </c>
      <c r="E754" s="1">
        <v>0.77083333333333337</v>
      </c>
      <c r="F754" t="s">
        <v>15</v>
      </c>
      <c r="G754" t="s">
        <v>34</v>
      </c>
      <c r="H754" t="s">
        <v>88</v>
      </c>
      <c r="I754" t="str">
        <f t="shared" si="56"/>
        <v>4-0</v>
      </c>
      <c r="J754" t="str">
        <f t="shared" si="57"/>
        <v>4</v>
      </c>
      <c r="K754" t="str">
        <f t="shared" si="58"/>
        <v>0</v>
      </c>
      <c r="L754" t="str">
        <f t="shared" si="59"/>
        <v>Athletic Club</v>
      </c>
      <c r="M754" t="str">
        <f>IF(COUNTIF($A$2:A754,A754)=1,
     VLOOKUP(A754,Season_Winners!A:B,2,FALSE),
     "")</f>
        <v/>
      </c>
    </row>
    <row r="755" spans="1:14" hidden="1" x14ac:dyDescent="0.3">
      <c r="A755" t="s">
        <v>179</v>
      </c>
      <c r="B755">
        <v>38</v>
      </c>
      <c r="C755" t="s">
        <v>334</v>
      </c>
      <c r="D755" t="str">
        <f t="shared" si="55"/>
        <v>23.05.2015</v>
      </c>
      <c r="E755" s="1">
        <v>0.77083333333333337</v>
      </c>
      <c r="F755" t="s">
        <v>20</v>
      </c>
      <c r="G755" t="s">
        <v>182</v>
      </c>
      <c r="H755" s="2">
        <v>46055</v>
      </c>
      <c r="I755" s="3" t="str">
        <f t="shared" si="56"/>
        <v/>
      </c>
      <c r="J755" t="str">
        <f t="shared" si="57"/>
        <v/>
      </c>
      <c r="K755" t="str">
        <f t="shared" si="58"/>
        <v/>
      </c>
      <c r="L755" t="str">
        <f t="shared" si="59"/>
        <v/>
      </c>
      <c r="M755" t="str">
        <f>IF(COUNTIF($A$2:A755,A755)=1,
     VLOOKUP(A755,Season_Winners!A:B,2,FALSE),
     "")</f>
        <v/>
      </c>
      <c r="N755" s="2"/>
    </row>
    <row r="756" spans="1:14" hidden="1" x14ac:dyDescent="0.3">
      <c r="A756" t="s">
        <v>179</v>
      </c>
      <c r="B756">
        <v>38</v>
      </c>
      <c r="C756" t="s">
        <v>334</v>
      </c>
      <c r="D756" t="str">
        <f t="shared" si="55"/>
        <v>23.05.2015</v>
      </c>
      <c r="E756" s="1">
        <v>0.77083333333333337</v>
      </c>
      <c r="F756" t="s">
        <v>35</v>
      </c>
      <c r="G756" t="s">
        <v>36</v>
      </c>
      <c r="H756" s="2">
        <v>46056</v>
      </c>
      <c r="I756" s="3" t="str">
        <f t="shared" si="56"/>
        <v/>
      </c>
      <c r="J756" t="str">
        <f t="shared" si="57"/>
        <v/>
      </c>
      <c r="K756" t="str">
        <f t="shared" si="58"/>
        <v/>
      </c>
      <c r="L756" t="str">
        <f t="shared" si="59"/>
        <v/>
      </c>
      <c r="M756" t="str">
        <f>IF(COUNTIF($A$2:A756,A756)=1,
     VLOOKUP(A756,Season_Winners!A:B,2,FALSE),
     "")</f>
        <v/>
      </c>
      <c r="N756" s="2"/>
    </row>
    <row r="757" spans="1:14" x14ac:dyDescent="0.3">
      <c r="A757" t="s">
        <v>179</v>
      </c>
      <c r="B757">
        <v>38</v>
      </c>
      <c r="C757" t="s">
        <v>334</v>
      </c>
      <c r="D757" t="str">
        <f t="shared" si="55"/>
        <v>23.05.2015</v>
      </c>
      <c r="E757" s="1">
        <v>0.77083333333333337</v>
      </c>
      <c r="F757" t="s">
        <v>24</v>
      </c>
      <c r="G757" t="s">
        <v>1425</v>
      </c>
      <c r="H757" t="s">
        <v>41</v>
      </c>
      <c r="I757" t="str">
        <f t="shared" si="56"/>
        <v>0-0</v>
      </c>
      <c r="J757" t="str">
        <f t="shared" si="57"/>
        <v>0</v>
      </c>
      <c r="K757" t="str">
        <f t="shared" si="58"/>
        <v>0</v>
      </c>
      <c r="L757" t="str">
        <f t="shared" si="59"/>
        <v>Draw</v>
      </c>
      <c r="M757" t="str">
        <f>IF(COUNTIF($A$2:A757,A757)=1,
     VLOOKUP(A757,Season_Winners!A:B,2,FALSE),
     "")</f>
        <v/>
      </c>
    </row>
    <row r="758" spans="1:14" hidden="1" x14ac:dyDescent="0.3">
      <c r="A758" t="s">
        <v>179</v>
      </c>
      <c r="B758">
        <v>38</v>
      </c>
      <c r="C758" t="s">
        <v>334</v>
      </c>
      <c r="D758" t="str">
        <f t="shared" si="55"/>
        <v>23.05.2015</v>
      </c>
      <c r="E758" s="1">
        <v>0.77083333333333337</v>
      </c>
      <c r="F758" t="s">
        <v>17</v>
      </c>
      <c r="G758" t="s">
        <v>27</v>
      </c>
      <c r="H758" s="2">
        <v>46055</v>
      </c>
      <c r="I758" s="3" t="str">
        <f t="shared" si="56"/>
        <v/>
      </c>
      <c r="J758" t="str">
        <f t="shared" si="57"/>
        <v/>
      </c>
      <c r="K758" t="str">
        <f t="shared" si="58"/>
        <v/>
      </c>
      <c r="L758" t="str">
        <f t="shared" si="59"/>
        <v/>
      </c>
      <c r="M758" t="str">
        <f>IF(COUNTIF($A$2:A758,A758)=1,
     VLOOKUP(A758,Season_Winners!A:B,2,FALSE),
     "")</f>
        <v/>
      </c>
      <c r="N758" s="2"/>
    </row>
    <row r="759" spans="1:14" hidden="1" x14ac:dyDescent="0.3">
      <c r="A759" t="s">
        <v>179</v>
      </c>
      <c r="B759">
        <v>38</v>
      </c>
      <c r="C759" t="s">
        <v>334</v>
      </c>
      <c r="D759" t="str">
        <f t="shared" si="55"/>
        <v>23.05.2015</v>
      </c>
      <c r="E759" s="1">
        <v>0.77083333333333337</v>
      </c>
      <c r="F759" t="s">
        <v>30</v>
      </c>
      <c r="G759" t="s">
        <v>10</v>
      </c>
      <c r="H759" s="2">
        <v>46114</v>
      </c>
      <c r="I759" s="3" t="str">
        <f t="shared" si="56"/>
        <v/>
      </c>
      <c r="J759" t="str">
        <f t="shared" si="57"/>
        <v/>
      </c>
      <c r="K759" t="str">
        <f t="shared" si="58"/>
        <v/>
      </c>
      <c r="L759" t="str">
        <f t="shared" si="59"/>
        <v/>
      </c>
      <c r="M759" t="str">
        <f>IF(COUNTIF($A$2:A759,A759)=1,
     VLOOKUP(A759,Season_Winners!A:B,2,FALSE),
     "")</f>
        <v/>
      </c>
      <c r="N759" s="2"/>
    </row>
    <row r="760" spans="1:14" x14ac:dyDescent="0.3">
      <c r="A760" t="s">
        <v>179</v>
      </c>
      <c r="B760">
        <v>38</v>
      </c>
      <c r="C760" t="s">
        <v>334</v>
      </c>
      <c r="D760" t="str">
        <f t="shared" si="55"/>
        <v>23.05.2015</v>
      </c>
      <c r="E760" s="1">
        <v>0.77083333333333337</v>
      </c>
      <c r="F760" t="s">
        <v>187</v>
      </c>
      <c r="G760" t="s">
        <v>193</v>
      </c>
      <c r="H760" t="s">
        <v>32</v>
      </c>
      <c r="I760" t="str">
        <f t="shared" si="56"/>
        <v>3-0</v>
      </c>
      <c r="J760" t="str">
        <f t="shared" si="57"/>
        <v>3</v>
      </c>
      <c r="K760" t="str">
        <f t="shared" si="58"/>
        <v>0</v>
      </c>
      <c r="L760" t="str">
        <f t="shared" si="59"/>
        <v>SD Eibar</v>
      </c>
      <c r="M760" t="str">
        <f>IF(COUNTIF($A$2:A760,A760)=1,
     VLOOKUP(A760,Season_Winners!A:B,2,FALSE),
     "")</f>
        <v/>
      </c>
    </row>
    <row r="761" spans="1:14" hidden="1" x14ac:dyDescent="0.3">
      <c r="A761" t="s">
        <v>179</v>
      </c>
      <c r="B761">
        <v>38</v>
      </c>
      <c r="C761" t="s">
        <v>334</v>
      </c>
      <c r="D761" t="str">
        <f t="shared" si="55"/>
        <v>23.05.2015</v>
      </c>
      <c r="E761" s="1">
        <v>0.85416666666666663</v>
      </c>
      <c r="F761" t="s">
        <v>25</v>
      </c>
      <c r="G761" t="s">
        <v>11</v>
      </c>
      <c r="H761" s="2">
        <v>46088</v>
      </c>
      <c r="I761" s="3" t="str">
        <f t="shared" si="56"/>
        <v/>
      </c>
      <c r="J761" t="str">
        <f t="shared" si="57"/>
        <v/>
      </c>
      <c r="K761" t="str">
        <f t="shared" si="58"/>
        <v/>
      </c>
      <c r="L761" t="str">
        <f t="shared" si="59"/>
        <v/>
      </c>
      <c r="M761" t="str">
        <f>IF(COUNTIF($A$2:A761,A761)=1,
     VLOOKUP(A761,Season_Winners!A:B,2,FALSE),
     "")</f>
        <v/>
      </c>
      <c r="N761" s="2"/>
    </row>
    <row r="762" spans="1:14" x14ac:dyDescent="0.3">
      <c r="A762" t="s">
        <v>335</v>
      </c>
      <c r="B762">
        <v>1</v>
      </c>
      <c r="C762" t="s">
        <v>336</v>
      </c>
      <c r="D762" t="str">
        <f t="shared" si="55"/>
        <v>21.08.2015</v>
      </c>
      <c r="E762" s="1">
        <v>0.85416666666666663</v>
      </c>
      <c r="F762" t="s">
        <v>17</v>
      </c>
      <c r="G762" t="s">
        <v>27</v>
      </c>
      <c r="H762" t="s">
        <v>41</v>
      </c>
      <c r="I762" t="str">
        <f t="shared" si="56"/>
        <v>0-0</v>
      </c>
      <c r="J762" t="str">
        <f t="shared" si="57"/>
        <v>0</v>
      </c>
      <c r="K762" t="str">
        <f t="shared" si="58"/>
        <v>0</v>
      </c>
      <c r="L762" t="str">
        <f t="shared" si="59"/>
        <v>Draw</v>
      </c>
      <c r="M762" t="str">
        <f>IF(COUNTIF($A$2:A762,A762)=1,
     VLOOKUP(A762,Season_Winners!A:B,2,FALSE),
     "")</f>
        <v>FC Barcelona</v>
      </c>
    </row>
    <row r="763" spans="1:14" x14ac:dyDescent="0.3">
      <c r="A763" t="s">
        <v>335</v>
      </c>
      <c r="B763">
        <v>1</v>
      </c>
      <c r="C763" t="s">
        <v>337</v>
      </c>
      <c r="D763" t="str">
        <f t="shared" si="55"/>
        <v>22.08.2015</v>
      </c>
      <c r="E763" s="1">
        <v>0.77083333333333337</v>
      </c>
      <c r="F763" t="s">
        <v>36</v>
      </c>
      <c r="G763" t="s">
        <v>11</v>
      </c>
      <c r="H763" t="s">
        <v>18</v>
      </c>
      <c r="I763" t="str">
        <f t="shared" si="56"/>
        <v>1-0</v>
      </c>
      <c r="J763" t="str">
        <f t="shared" si="57"/>
        <v>1</v>
      </c>
      <c r="K763" t="str">
        <f t="shared" si="58"/>
        <v>0</v>
      </c>
      <c r="L763" t="str">
        <f t="shared" si="59"/>
        <v>RCD Espanyol de Barcelona</v>
      </c>
      <c r="M763" t="str">
        <f>IF(COUNTIF($A$2:A763,A763)=1,
     VLOOKUP(A763,Season_Winners!A:B,2,FALSE),
     "")</f>
        <v/>
      </c>
    </row>
    <row r="764" spans="1:14" x14ac:dyDescent="0.3">
      <c r="A764" t="s">
        <v>335</v>
      </c>
      <c r="B764">
        <v>1</v>
      </c>
      <c r="C764" t="s">
        <v>337</v>
      </c>
      <c r="D764" t="str">
        <f t="shared" si="55"/>
        <v>22.08.2015</v>
      </c>
      <c r="E764" s="1">
        <v>0.77083333333333337</v>
      </c>
      <c r="F764" t="s">
        <v>182</v>
      </c>
      <c r="G764" t="s">
        <v>10</v>
      </c>
      <c r="H764" t="s">
        <v>41</v>
      </c>
      <c r="I764" t="str">
        <f t="shared" si="56"/>
        <v>0-0</v>
      </c>
      <c r="J764" t="str">
        <f t="shared" si="57"/>
        <v>0</v>
      </c>
      <c r="K764" t="str">
        <f t="shared" si="58"/>
        <v>0</v>
      </c>
      <c r="L764" t="str">
        <f t="shared" si="59"/>
        <v>Draw</v>
      </c>
      <c r="M764" t="str">
        <f>IF(COUNTIF($A$2:A764,A764)=1,
     VLOOKUP(A764,Season_Winners!A:B,2,FALSE),
     "")</f>
        <v/>
      </c>
    </row>
    <row r="765" spans="1:14" x14ac:dyDescent="0.3">
      <c r="A765" t="s">
        <v>335</v>
      </c>
      <c r="B765">
        <v>1</v>
      </c>
      <c r="C765" t="s">
        <v>337</v>
      </c>
      <c r="D765" t="str">
        <f t="shared" si="55"/>
        <v>22.08.2015</v>
      </c>
      <c r="E765" s="1">
        <v>0.85416666666666663</v>
      </c>
      <c r="F765" t="s">
        <v>1425</v>
      </c>
      <c r="G765" t="s">
        <v>338</v>
      </c>
      <c r="H765" t="s">
        <v>18</v>
      </c>
      <c r="I765" t="str">
        <f t="shared" si="56"/>
        <v>1-0</v>
      </c>
      <c r="J765" t="str">
        <f t="shared" si="57"/>
        <v>1</v>
      </c>
      <c r="K765" t="str">
        <f t="shared" si="58"/>
        <v>0</v>
      </c>
      <c r="L765" t="str">
        <f t="shared" si="59"/>
        <v>Atlético de Madrid</v>
      </c>
      <c r="M765" t="str">
        <f>IF(COUNTIF($A$2:A765,A765)=1,
     VLOOKUP(A765,Season_Winners!A:B,2,FALSE),
     "")</f>
        <v/>
      </c>
    </row>
    <row r="766" spans="1:14" x14ac:dyDescent="0.3">
      <c r="A766" t="s">
        <v>335</v>
      </c>
      <c r="B766">
        <v>1</v>
      </c>
      <c r="C766" t="s">
        <v>337</v>
      </c>
      <c r="D766" t="str">
        <f t="shared" si="55"/>
        <v>22.08.2015</v>
      </c>
      <c r="E766" s="1">
        <v>0.9375</v>
      </c>
      <c r="F766" t="s">
        <v>30</v>
      </c>
      <c r="G766" t="s">
        <v>16</v>
      </c>
      <c r="H766" t="s">
        <v>41</v>
      </c>
      <c r="I766" t="str">
        <f t="shared" si="56"/>
        <v>0-0</v>
      </c>
      <c r="J766" t="str">
        <f t="shared" si="57"/>
        <v>0</v>
      </c>
      <c r="K766" t="str">
        <f t="shared" si="58"/>
        <v>0</v>
      </c>
      <c r="L766" t="str">
        <f t="shared" si="59"/>
        <v>Draw</v>
      </c>
      <c r="M766" t="str">
        <f>IF(COUNTIF($A$2:A766,A766)=1,
     VLOOKUP(A766,Season_Winners!A:B,2,FALSE),
     "")</f>
        <v/>
      </c>
    </row>
    <row r="767" spans="1:14" x14ac:dyDescent="0.3">
      <c r="A767" t="s">
        <v>335</v>
      </c>
      <c r="B767">
        <v>1</v>
      </c>
      <c r="C767" t="s">
        <v>339</v>
      </c>
      <c r="D767" t="str">
        <f t="shared" si="55"/>
        <v>23.08.2015</v>
      </c>
      <c r="E767" s="1">
        <v>0.77083333333333337</v>
      </c>
      <c r="F767" t="s">
        <v>15</v>
      </c>
      <c r="G767" t="s">
        <v>20</v>
      </c>
      <c r="H767" t="s">
        <v>42</v>
      </c>
      <c r="I767" t="str">
        <f t="shared" si="56"/>
        <v>0-1</v>
      </c>
      <c r="J767" t="str">
        <f t="shared" si="57"/>
        <v>0</v>
      </c>
      <c r="K767" t="str">
        <f t="shared" si="58"/>
        <v>1</v>
      </c>
      <c r="L767" t="str">
        <f t="shared" si="59"/>
        <v>FC Barcelona</v>
      </c>
      <c r="M767" t="str">
        <f>IF(COUNTIF($A$2:A767,A767)=1,
     VLOOKUP(A767,Season_Winners!A:B,2,FALSE),
     "")</f>
        <v/>
      </c>
    </row>
    <row r="768" spans="1:14" x14ac:dyDescent="0.3">
      <c r="A768" t="s">
        <v>335</v>
      </c>
      <c r="B768">
        <v>1</v>
      </c>
      <c r="C768" t="s">
        <v>339</v>
      </c>
      <c r="D768" t="str">
        <f t="shared" si="55"/>
        <v>23.08.2015</v>
      </c>
      <c r="E768" s="1">
        <v>0.85416666666666663</v>
      </c>
      <c r="F768" t="s">
        <v>340</v>
      </c>
      <c r="G768" t="s">
        <v>25</v>
      </c>
      <c r="H768" t="s">
        <v>41</v>
      </c>
      <c r="I768" t="str">
        <f t="shared" si="56"/>
        <v>0-0</v>
      </c>
      <c r="J768" t="str">
        <f t="shared" si="57"/>
        <v>0</v>
      </c>
      <c r="K768" t="str">
        <f t="shared" si="58"/>
        <v>0</v>
      </c>
      <c r="L768" t="str">
        <f t="shared" si="59"/>
        <v>Draw</v>
      </c>
      <c r="M768" t="str">
        <f>IF(COUNTIF($A$2:A768,A768)=1,
     VLOOKUP(A768,Season_Winners!A:B,2,FALSE),
     "")</f>
        <v/>
      </c>
    </row>
    <row r="769" spans="1:14" hidden="1" x14ac:dyDescent="0.3">
      <c r="A769" t="s">
        <v>335</v>
      </c>
      <c r="B769">
        <v>1</v>
      </c>
      <c r="C769" t="s">
        <v>339</v>
      </c>
      <c r="D769" t="str">
        <f t="shared" si="55"/>
        <v>23.08.2015</v>
      </c>
      <c r="E769" s="1">
        <v>0.91666666666666663</v>
      </c>
      <c r="F769" t="s">
        <v>21</v>
      </c>
      <c r="G769" t="s">
        <v>35</v>
      </c>
      <c r="H769" s="2">
        <v>46054</v>
      </c>
      <c r="I769" s="3" t="str">
        <f t="shared" si="56"/>
        <v/>
      </c>
      <c r="J769" t="str">
        <f t="shared" si="57"/>
        <v/>
      </c>
      <c r="K769" t="str">
        <f t="shared" si="58"/>
        <v/>
      </c>
      <c r="L769" t="str">
        <f t="shared" si="59"/>
        <v/>
      </c>
      <c r="M769" t="str">
        <f>IF(COUNTIF($A$2:A769,A769)=1,
     VLOOKUP(A769,Season_Winners!A:B,2,FALSE),
     "")</f>
        <v/>
      </c>
      <c r="N769" s="2"/>
    </row>
    <row r="770" spans="1:14" hidden="1" x14ac:dyDescent="0.3">
      <c r="A770" t="s">
        <v>335</v>
      </c>
      <c r="B770">
        <v>1</v>
      </c>
      <c r="C770" t="s">
        <v>339</v>
      </c>
      <c r="D770" t="str">
        <f t="shared" ref="D770:D833" si="60">RIGHT(C770,10)</f>
        <v>23.08.2015</v>
      </c>
      <c r="E770" s="1">
        <v>0.9375</v>
      </c>
      <c r="F770" t="s">
        <v>26</v>
      </c>
      <c r="G770" t="s">
        <v>34</v>
      </c>
      <c r="H770" s="2">
        <v>46023</v>
      </c>
      <c r="I770" s="3" t="str">
        <f t="shared" ref="I770:I833" si="61">IF(ISNUMBER(SEARCH("-",H770)),H770,"")</f>
        <v/>
      </c>
      <c r="J770" t="str">
        <f t="shared" ref="J770:J833" si="62">IF(I770="","",LEFT(I770,FIND("-",I770)-1))</f>
        <v/>
      </c>
      <c r="K770" t="str">
        <f t="shared" ref="K770:K833" si="63">IF(I770="","",RIGHT(I770,LEN(I770)-FIND("-",I770)))</f>
        <v/>
      </c>
      <c r="L770" t="str">
        <f t="shared" ref="L770:L833" si="64">IF(I770="","",IF(J770&gt;K770,F770,IF(K770&gt;J770,G770,"Draw")))</f>
        <v/>
      </c>
      <c r="M770" t="str">
        <f>IF(COUNTIF($A$2:A770,A770)=1,
     VLOOKUP(A770,Season_Winners!A:B,2,FALSE),
     "")</f>
        <v/>
      </c>
      <c r="N770" s="2"/>
    </row>
    <row r="771" spans="1:14" hidden="1" x14ac:dyDescent="0.3">
      <c r="A771" t="s">
        <v>335</v>
      </c>
      <c r="B771">
        <v>1</v>
      </c>
      <c r="C771" t="s">
        <v>342</v>
      </c>
      <c r="D771" t="str">
        <f t="shared" si="60"/>
        <v>24.08.2015</v>
      </c>
      <c r="E771" s="1">
        <v>0.85416666666666663</v>
      </c>
      <c r="F771" t="s">
        <v>24</v>
      </c>
      <c r="G771" t="s">
        <v>187</v>
      </c>
      <c r="H771" s="2">
        <v>46082</v>
      </c>
      <c r="I771" s="3" t="str">
        <f t="shared" si="61"/>
        <v/>
      </c>
      <c r="J771" t="str">
        <f t="shared" si="62"/>
        <v/>
      </c>
      <c r="K771" t="str">
        <f t="shared" si="63"/>
        <v/>
      </c>
      <c r="L771" t="str">
        <f t="shared" si="64"/>
        <v/>
      </c>
      <c r="M771" t="str">
        <f>IF(COUNTIF($A$2:A771,A771)=1,
     VLOOKUP(A771,Season_Winners!A:B,2,FALSE),
     "")</f>
        <v/>
      </c>
      <c r="N771" s="2"/>
    </row>
    <row r="772" spans="1:14" hidden="1" x14ac:dyDescent="0.3">
      <c r="A772" t="s">
        <v>335</v>
      </c>
      <c r="B772">
        <v>2</v>
      </c>
      <c r="C772" t="s">
        <v>343</v>
      </c>
      <c r="D772" t="str">
        <f t="shared" si="60"/>
        <v>28.08.2015</v>
      </c>
      <c r="E772" s="1">
        <v>0.85416666666666663</v>
      </c>
      <c r="F772" t="s">
        <v>34</v>
      </c>
      <c r="G772" t="s">
        <v>36</v>
      </c>
      <c r="H772" s="2">
        <v>46025</v>
      </c>
      <c r="I772" s="3" t="str">
        <f t="shared" si="61"/>
        <v/>
      </c>
      <c r="J772" t="str">
        <f t="shared" si="62"/>
        <v/>
      </c>
      <c r="K772" t="str">
        <f t="shared" si="63"/>
        <v/>
      </c>
      <c r="L772" t="str">
        <f t="shared" si="64"/>
        <v/>
      </c>
      <c r="M772" t="str">
        <f>IF(COUNTIF($A$2:A772,A772)=1,
     VLOOKUP(A772,Season_Winners!A:B,2,FALSE),
     "")</f>
        <v/>
      </c>
      <c r="N772" s="2"/>
    </row>
    <row r="773" spans="1:14" x14ac:dyDescent="0.3">
      <c r="A773" t="s">
        <v>335</v>
      </c>
      <c r="B773">
        <v>2</v>
      </c>
      <c r="C773" t="s">
        <v>344</v>
      </c>
      <c r="D773" t="str">
        <f t="shared" si="60"/>
        <v>29.08.2015</v>
      </c>
      <c r="E773" s="1">
        <v>0.77083333333333337</v>
      </c>
      <c r="F773" t="s">
        <v>10</v>
      </c>
      <c r="G773" t="s">
        <v>340</v>
      </c>
      <c r="H773" t="s">
        <v>41</v>
      </c>
      <c r="I773" t="str">
        <f t="shared" si="61"/>
        <v>0-0</v>
      </c>
      <c r="J773" t="str">
        <f t="shared" si="62"/>
        <v>0</v>
      </c>
      <c r="K773" t="str">
        <f t="shared" si="63"/>
        <v>0</v>
      </c>
      <c r="L773" t="str">
        <f t="shared" si="64"/>
        <v>Draw</v>
      </c>
      <c r="M773" t="str">
        <f>IF(COUNTIF($A$2:A773,A773)=1,
     VLOOKUP(A773,Season_Winners!A:B,2,FALSE),
     "")</f>
        <v/>
      </c>
    </row>
    <row r="774" spans="1:14" x14ac:dyDescent="0.3">
      <c r="A774" t="s">
        <v>335</v>
      </c>
      <c r="B774">
        <v>2</v>
      </c>
      <c r="C774" t="s">
        <v>344</v>
      </c>
      <c r="D774" t="str">
        <f t="shared" si="60"/>
        <v>29.08.2015</v>
      </c>
      <c r="E774" s="1">
        <v>0.85416666666666663</v>
      </c>
      <c r="F774" t="s">
        <v>20</v>
      </c>
      <c r="G774" t="s">
        <v>17</v>
      </c>
      <c r="H774" t="s">
        <v>18</v>
      </c>
      <c r="I774" t="str">
        <f t="shared" si="61"/>
        <v>1-0</v>
      </c>
      <c r="J774" t="str">
        <f t="shared" si="62"/>
        <v>1</v>
      </c>
      <c r="K774" t="str">
        <f t="shared" si="63"/>
        <v>0</v>
      </c>
      <c r="L774" t="str">
        <f t="shared" si="64"/>
        <v>FC Barcelona</v>
      </c>
      <c r="M774" t="str">
        <f>IF(COUNTIF($A$2:A774,A774)=1,
     VLOOKUP(A774,Season_Winners!A:B,2,FALSE),
     "")</f>
        <v/>
      </c>
    </row>
    <row r="775" spans="1:14" x14ac:dyDescent="0.3">
      <c r="A775" t="s">
        <v>335</v>
      </c>
      <c r="B775">
        <v>2</v>
      </c>
      <c r="C775" t="s">
        <v>344</v>
      </c>
      <c r="D775" t="str">
        <f t="shared" si="60"/>
        <v>29.08.2015</v>
      </c>
      <c r="E775" s="1">
        <v>0.91666666666666663</v>
      </c>
      <c r="F775" t="s">
        <v>35</v>
      </c>
      <c r="G775" t="s">
        <v>30</v>
      </c>
      <c r="H775" t="s">
        <v>32</v>
      </c>
      <c r="I775" t="str">
        <f t="shared" si="61"/>
        <v>3-0</v>
      </c>
      <c r="J775" t="str">
        <f t="shared" si="62"/>
        <v>3</v>
      </c>
      <c r="K775" t="str">
        <f t="shared" si="63"/>
        <v>0</v>
      </c>
      <c r="L775" t="str">
        <f t="shared" si="64"/>
        <v>RC Celta</v>
      </c>
      <c r="M775" t="str">
        <f>IF(COUNTIF($A$2:A775,A775)=1,
     VLOOKUP(A775,Season_Winners!A:B,2,FALSE),
     "")</f>
        <v/>
      </c>
    </row>
    <row r="776" spans="1:14" x14ac:dyDescent="0.3">
      <c r="A776" t="s">
        <v>335</v>
      </c>
      <c r="B776">
        <v>2</v>
      </c>
      <c r="C776" t="s">
        <v>344</v>
      </c>
      <c r="D776" t="str">
        <f t="shared" si="60"/>
        <v>29.08.2015</v>
      </c>
      <c r="E776" s="1">
        <v>0.9375</v>
      </c>
      <c r="F776" t="s">
        <v>25</v>
      </c>
      <c r="G776" t="s">
        <v>26</v>
      </c>
      <c r="H776" t="s">
        <v>40</v>
      </c>
      <c r="I776" t="str">
        <f t="shared" si="61"/>
        <v>5-0</v>
      </c>
      <c r="J776" t="str">
        <f t="shared" si="62"/>
        <v>5</v>
      </c>
      <c r="K776" t="str">
        <f t="shared" si="63"/>
        <v>0</v>
      </c>
      <c r="L776" t="str">
        <f t="shared" si="64"/>
        <v>Real Madrid</v>
      </c>
      <c r="M776" t="str">
        <f>IF(COUNTIF($A$2:A776,A776)=1,
     VLOOKUP(A776,Season_Winners!A:B,2,FALSE),
     "")</f>
        <v/>
      </c>
    </row>
    <row r="777" spans="1:14" x14ac:dyDescent="0.3">
      <c r="A777" t="s">
        <v>335</v>
      </c>
      <c r="B777">
        <v>2</v>
      </c>
      <c r="C777" t="s">
        <v>346</v>
      </c>
      <c r="D777" t="str">
        <f t="shared" si="60"/>
        <v>30.08.2015</v>
      </c>
      <c r="E777" s="1">
        <v>0.77083333333333337</v>
      </c>
      <c r="F777" t="s">
        <v>187</v>
      </c>
      <c r="G777" t="s">
        <v>15</v>
      </c>
      <c r="H777" t="s">
        <v>12</v>
      </c>
      <c r="I777" t="str">
        <f t="shared" si="61"/>
        <v>2-0</v>
      </c>
      <c r="J777" t="str">
        <f t="shared" si="62"/>
        <v>2</v>
      </c>
      <c r="K777" t="str">
        <f t="shared" si="63"/>
        <v>0</v>
      </c>
      <c r="L777" t="str">
        <f t="shared" si="64"/>
        <v>SD Eibar</v>
      </c>
      <c r="M777" t="str">
        <f>IF(COUNTIF($A$2:A777,A777)=1,
     VLOOKUP(A777,Season_Winners!A:B,2,FALSE),
     "")</f>
        <v/>
      </c>
    </row>
    <row r="778" spans="1:14" x14ac:dyDescent="0.3">
      <c r="A778" t="s">
        <v>335</v>
      </c>
      <c r="B778">
        <v>2</v>
      </c>
      <c r="C778" t="s">
        <v>346</v>
      </c>
      <c r="D778" t="str">
        <f t="shared" si="60"/>
        <v>30.08.2015</v>
      </c>
      <c r="E778" s="1">
        <v>0.85416666666666663</v>
      </c>
      <c r="F778" t="s">
        <v>27</v>
      </c>
      <c r="G778" t="s">
        <v>1425</v>
      </c>
      <c r="H778" t="s">
        <v>46</v>
      </c>
      <c r="I778" t="str">
        <f t="shared" si="61"/>
        <v>0-3</v>
      </c>
      <c r="J778" t="str">
        <f t="shared" si="62"/>
        <v>0</v>
      </c>
      <c r="K778" t="str">
        <f t="shared" si="63"/>
        <v>3</v>
      </c>
      <c r="L778" t="str">
        <f t="shared" si="64"/>
        <v>Atlético de Madrid</v>
      </c>
      <c r="M778" t="str">
        <f>IF(COUNTIF($A$2:A778,A778)=1,
     VLOOKUP(A778,Season_Winners!A:B,2,FALSE),
     "")</f>
        <v/>
      </c>
    </row>
    <row r="779" spans="1:14" hidden="1" x14ac:dyDescent="0.3">
      <c r="A779" t="s">
        <v>335</v>
      </c>
      <c r="B779">
        <v>2</v>
      </c>
      <c r="C779" t="s">
        <v>346</v>
      </c>
      <c r="D779" t="str">
        <f t="shared" si="60"/>
        <v>30.08.2015</v>
      </c>
      <c r="E779" s="1">
        <v>0.85416666666666663</v>
      </c>
      <c r="F779" t="s">
        <v>16</v>
      </c>
      <c r="G779" t="s">
        <v>182</v>
      </c>
      <c r="H779" s="2">
        <v>46023</v>
      </c>
      <c r="I779" s="3" t="str">
        <f t="shared" si="61"/>
        <v/>
      </c>
      <c r="J779" t="str">
        <f t="shared" si="62"/>
        <v/>
      </c>
      <c r="K779" t="str">
        <f t="shared" si="63"/>
        <v/>
      </c>
      <c r="L779" t="str">
        <f t="shared" si="64"/>
        <v/>
      </c>
      <c r="M779" t="str">
        <f>IF(COUNTIF($A$2:A779,A779)=1,
     VLOOKUP(A779,Season_Winners!A:B,2,FALSE),
     "")</f>
        <v/>
      </c>
      <c r="N779" s="2"/>
    </row>
    <row r="780" spans="1:14" hidden="1" x14ac:dyDescent="0.3">
      <c r="A780" t="s">
        <v>335</v>
      </c>
      <c r="B780">
        <v>2</v>
      </c>
      <c r="C780" t="s">
        <v>346</v>
      </c>
      <c r="D780" t="str">
        <f t="shared" si="60"/>
        <v>30.08.2015</v>
      </c>
      <c r="E780" s="1">
        <v>0.9375</v>
      </c>
      <c r="F780" t="s">
        <v>11</v>
      </c>
      <c r="G780" t="s">
        <v>24</v>
      </c>
      <c r="H780" s="2">
        <v>46054</v>
      </c>
      <c r="I780" s="3" t="str">
        <f t="shared" si="61"/>
        <v/>
      </c>
      <c r="J780" t="str">
        <f t="shared" si="62"/>
        <v/>
      </c>
      <c r="K780" t="str">
        <f t="shared" si="63"/>
        <v/>
      </c>
      <c r="L780" t="str">
        <f t="shared" si="64"/>
        <v/>
      </c>
      <c r="M780" t="str">
        <f>IF(COUNTIF($A$2:A780,A780)=1,
     VLOOKUP(A780,Season_Winners!A:B,2,FALSE),
     "")</f>
        <v/>
      </c>
      <c r="N780" s="2"/>
    </row>
    <row r="781" spans="1:14" x14ac:dyDescent="0.3">
      <c r="A781" t="s">
        <v>335</v>
      </c>
      <c r="B781">
        <v>2</v>
      </c>
      <c r="C781" t="s">
        <v>346</v>
      </c>
      <c r="D781" t="str">
        <f t="shared" si="60"/>
        <v>30.08.2015</v>
      </c>
      <c r="E781" s="1">
        <v>0.9375</v>
      </c>
      <c r="F781" t="s">
        <v>338</v>
      </c>
      <c r="G781" t="s">
        <v>21</v>
      </c>
      <c r="H781" t="s">
        <v>41</v>
      </c>
      <c r="I781" t="str">
        <f t="shared" si="61"/>
        <v>0-0</v>
      </c>
      <c r="J781" t="str">
        <f t="shared" si="62"/>
        <v>0</v>
      </c>
      <c r="K781" t="str">
        <f t="shared" si="63"/>
        <v>0</v>
      </c>
      <c r="L781" t="str">
        <f t="shared" si="64"/>
        <v>Draw</v>
      </c>
      <c r="M781" t="str">
        <f>IF(COUNTIF($A$2:A781,A781)=1,
     VLOOKUP(A781,Season_Winners!A:B,2,FALSE),
     "")</f>
        <v/>
      </c>
    </row>
    <row r="782" spans="1:14" hidden="1" x14ac:dyDescent="0.3">
      <c r="A782" t="s">
        <v>335</v>
      </c>
      <c r="B782">
        <v>3</v>
      </c>
      <c r="C782" t="s">
        <v>347</v>
      </c>
      <c r="D782" t="str">
        <f t="shared" si="60"/>
        <v>11.09.2015</v>
      </c>
      <c r="E782" s="1">
        <v>0.85416666666666663</v>
      </c>
      <c r="F782" t="s">
        <v>21</v>
      </c>
      <c r="G782" t="s">
        <v>27</v>
      </c>
      <c r="H782" s="2">
        <v>46023</v>
      </c>
      <c r="I782" s="3" t="str">
        <f t="shared" si="61"/>
        <v/>
      </c>
      <c r="J782" t="str">
        <f t="shared" si="62"/>
        <v/>
      </c>
      <c r="K782" t="str">
        <f t="shared" si="63"/>
        <v/>
      </c>
      <c r="L782" t="str">
        <f t="shared" si="64"/>
        <v/>
      </c>
      <c r="M782" t="str">
        <f>IF(COUNTIF($A$2:A782,A782)=1,
     VLOOKUP(A782,Season_Winners!A:B,2,FALSE),
     "")</f>
        <v/>
      </c>
      <c r="N782" s="2"/>
    </row>
    <row r="783" spans="1:14" x14ac:dyDescent="0.3">
      <c r="A783" t="s">
        <v>335</v>
      </c>
      <c r="B783">
        <v>3</v>
      </c>
      <c r="C783" t="s">
        <v>348</v>
      </c>
      <c r="D783" t="str">
        <f t="shared" si="60"/>
        <v>12.09.2015</v>
      </c>
      <c r="E783" s="1">
        <v>0.66666666666666663</v>
      </c>
      <c r="F783" t="s">
        <v>36</v>
      </c>
      <c r="G783" t="s">
        <v>25</v>
      </c>
      <c r="H783" t="s">
        <v>269</v>
      </c>
      <c r="I783" t="str">
        <f t="shared" si="61"/>
        <v>0-6</v>
      </c>
      <c r="J783" t="str">
        <f t="shared" si="62"/>
        <v>0</v>
      </c>
      <c r="K783" t="str">
        <f t="shared" si="63"/>
        <v>6</v>
      </c>
      <c r="L783" t="str">
        <f t="shared" si="64"/>
        <v>Real Madrid</v>
      </c>
      <c r="M783" t="str">
        <f>IF(COUNTIF($A$2:A783,A783)=1,
     VLOOKUP(A783,Season_Winners!A:B,2,FALSE),
     "")</f>
        <v/>
      </c>
    </row>
    <row r="784" spans="1:14" x14ac:dyDescent="0.3">
      <c r="A784" t="s">
        <v>335</v>
      </c>
      <c r="B784">
        <v>3</v>
      </c>
      <c r="C784" t="s">
        <v>348</v>
      </c>
      <c r="D784" t="str">
        <f t="shared" si="60"/>
        <v>12.09.2015</v>
      </c>
      <c r="E784" s="1">
        <v>0.76041666666666663</v>
      </c>
      <c r="F784" t="s">
        <v>340</v>
      </c>
      <c r="G784" t="s">
        <v>16</v>
      </c>
      <c r="H784" t="s">
        <v>42</v>
      </c>
      <c r="I784" t="str">
        <f t="shared" si="61"/>
        <v>0-1</v>
      </c>
      <c r="J784" t="str">
        <f t="shared" si="62"/>
        <v>0</v>
      </c>
      <c r="K784" t="str">
        <f t="shared" si="63"/>
        <v>1</v>
      </c>
      <c r="L784" t="str">
        <f t="shared" si="64"/>
        <v>Valencia CF</v>
      </c>
      <c r="M784" t="str">
        <f>IF(COUNTIF($A$2:A784,A784)=1,
     VLOOKUP(A784,Season_Winners!A:B,2,FALSE),
     "")</f>
        <v/>
      </c>
    </row>
    <row r="785" spans="1:14" hidden="1" x14ac:dyDescent="0.3">
      <c r="A785" t="s">
        <v>335</v>
      </c>
      <c r="B785">
        <v>3</v>
      </c>
      <c r="C785" t="s">
        <v>348</v>
      </c>
      <c r="D785" t="str">
        <f t="shared" si="60"/>
        <v>12.09.2015</v>
      </c>
      <c r="E785" s="1">
        <v>0.85416666666666663</v>
      </c>
      <c r="F785" t="s">
        <v>28</v>
      </c>
      <c r="G785" t="s">
        <v>20</v>
      </c>
      <c r="H785" s="2">
        <v>46054</v>
      </c>
      <c r="I785" s="3" t="str">
        <f t="shared" si="61"/>
        <v/>
      </c>
      <c r="J785" t="str">
        <f t="shared" si="62"/>
        <v/>
      </c>
      <c r="K785" t="str">
        <f t="shared" si="63"/>
        <v/>
      </c>
      <c r="L785" t="str">
        <f t="shared" si="64"/>
        <v/>
      </c>
      <c r="M785" t="str">
        <f>IF(COUNTIF($A$2:A785,A785)=1,
     VLOOKUP(A785,Season_Winners!A:B,2,FALSE),
     "")</f>
        <v/>
      </c>
      <c r="N785" s="2"/>
    </row>
    <row r="786" spans="1:14" x14ac:dyDescent="0.3">
      <c r="A786" t="s">
        <v>335</v>
      </c>
      <c r="B786">
        <v>3</v>
      </c>
      <c r="C786" t="s">
        <v>348</v>
      </c>
      <c r="D786" t="str">
        <f t="shared" si="60"/>
        <v>12.09.2015</v>
      </c>
      <c r="E786" s="1">
        <v>0.91666666666666663</v>
      </c>
      <c r="F786" t="s">
        <v>26</v>
      </c>
      <c r="G786" t="s">
        <v>10</v>
      </c>
      <c r="H786" t="s">
        <v>18</v>
      </c>
      <c r="I786" t="str">
        <f t="shared" si="61"/>
        <v>1-0</v>
      </c>
      <c r="J786" t="str">
        <f t="shared" si="62"/>
        <v>1</v>
      </c>
      <c r="K786" t="str">
        <f t="shared" si="63"/>
        <v>0</v>
      </c>
      <c r="L786" t="str">
        <f t="shared" si="64"/>
        <v>Real Betis</v>
      </c>
      <c r="M786" t="str">
        <f>IF(COUNTIF($A$2:A786,A786)=1,
     VLOOKUP(A786,Season_Winners!A:B,2,FALSE),
     "")</f>
        <v/>
      </c>
    </row>
    <row r="787" spans="1:14" hidden="1" x14ac:dyDescent="0.3">
      <c r="A787" t="s">
        <v>335</v>
      </c>
      <c r="B787">
        <v>3</v>
      </c>
      <c r="C787" t="s">
        <v>349</v>
      </c>
      <c r="D787" t="str">
        <f t="shared" si="60"/>
        <v>13.09.2015</v>
      </c>
      <c r="E787" s="1">
        <v>0.5</v>
      </c>
      <c r="F787" t="s">
        <v>24</v>
      </c>
      <c r="G787" t="s">
        <v>34</v>
      </c>
      <c r="H787" s="2">
        <v>46082</v>
      </c>
      <c r="I787" s="3" t="str">
        <f t="shared" si="61"/>
        <v/>
      </c>
      <c r="J787" t="str">
        <f t="shared" si="62"/>
        <v/>
      </c>
      <c r="K787" t="str">
        <f t="shared" si="63"/>
        <v/>
      </c>
      <c r="L787" t="str">
        <f t="shared" si="64"/>
        <v/>
      </c>
      <c r="M787" t="str">
        <f>IF(COUNTIF($A$2:A787,A787)=1,
     VLOOKUP(A787,Season_Winners!A:B,2,FALSE),
     "")</f>
        <v/>
      </c>
      <c r="N787" s="2"/>
    </row>
    <row r="788" spans="1:14" hidden="1" x14ac:dyDescent="0.3">
      <c r="A788" t="s">
        <v>335</v>
      </c>
      <c r="B788">
        <v>3</v>
      </c>
      <c r="C788" t="s">
        <v>349</v>
      </c>
      <c r="D788" t="str">
        <f t="shared" si="60"/>
        <v>13.09.2015</v>
      </c>
      <c r="E788" s="1">
        <v>0.66666666666666663</v>
      </c>
      <c r="F788" t="s">
        <v>15</v>
      </c>
      <c r="G788" t="s">
        <v>11</v>
      </c>
      <c r="H788" s="2">
        <v>46025</v>
      </c>
      <c r="I788" s="3" t="str">
        <f t="shared" si="61"/>
        <v/>
      </c>
      <c r="J788" t="str">
        <f t="shared" si="62"/>
        <v/>
      </c>
      <c r="K788" t="str">
        <f t="shared" si="63"/>
        <v/>
      </c>
      <c r="L788" t="str">
        <f t="shared" si="64"/>
        <v/>
      </c>
      <c r="M788" t="str">
        <f>IF(COUNTIF($A$2:A788,A788)=1,
     VLOOKUP(A788,Season_Winners!A:B,2,FALSE),
     "")</f>
        <v/>
      </c>
      <c r="N788" s="2"/>
    </row>
    <row r="789" spans="1:14" hidden="1" x14ac:dyDescent="0.3">
      <c r="A789" t="s">
        <v>335</v>
      </c>
      <c r="B789">
        <v>3</v>
      </c>
      <c r="C789" t="s">
        <v>349</v>
      </c>
      <c r="D789" t="str">
        <f t="shared" si="60"/>
        <v>13.09.2015</v>
      </c>
      <c r="E789" s="1">
        <v>0.76041666666666663</v>
      </c>
      <c r="F789" t="s">
        <v>35</v>
      </c>
      <c r="G789" t="s">
        <v>338</v>
      </c>
      <c r="H789" s="2">
        <v>46084</v>
      </c>
      <c r="I789" s="3" t="str">
        <f t="shared" si="61"/>
        <v/>
      </c>
      <c r="J789" t="str">
        <f t="shared" si="62"/>
        <v/>
      </c>
      <c r="K789" t="str">
        <f t="shared" si="63"/>
        <v/>
      </c>
      <c r="L789" t="str">
        <f t="shared" si="64"/>
        <v/>
      </c>
      <c r="M789" t="str">
        <f>IF(COUNTIF($A$2:A789,A789)=1,
     VLOOKUP(A789,Season_Winners!A:B,2,FALSE),
     "")</f>
        <v/>
      </c>
      <c r="N789" s="2"/>
    </row>
    <row r="790" spans="1:14" x14ac:dyDescent="0.3">
      <c r="A790" t="s">
        <v>335</v>
      </c>
      <c r="B790">
        <v>3</v>
      </c>
      <c r="C790" t="s">
        <v>349</v>
      </c>
      <c r="D790" t="str">
        <f t="shared" si="60"/>
        <v>13.09.2015</v>
      </c>
      <c r="E790" s="1">
        <v>0.85416666666666663</v>
      </c>
      <c r="F790" t="s">
        <v>17</v>
      </c>
      <c r="G790" t="s">
        <v>187</v>
      </c>
      <c r="H790" t="s">
        <v>41</v>
      </c>
      <c r="I790" t="str">
        <f t="shared" si="61"/>
        <v>0-0</v>
      </c>
      <c r="J790" t="str">
        <f t="shared" si="62"/>
        <v>0</v>
      </c>
      <c r="K790" t="str">
        <f t="shared" si="63"/>
        <v>0</v>
      </c>
      <c r="L790" t="str">
        <f t="shared" si="64"/>
        <v>Draw</v>
      </c>
      <c r="M790" t="str">
        <f>IF(COUNTIF($A$2:A790,A790)=1,
     VLOOKUP(A790,Season_Winners!A:B,2,FALSE),
     "")</f>
        <v/>
      </c>
    </row>
    <row r="791" spans="1:14" hidden="1" x14ac:dyDescent="0.3">
      <c r="A791" t="s">
        <v>335</v>
      </c>
      <c r="B791">
        <v>3</v>
      </c>
      <c r="C791" t="s">
        <v>350</v>
      </c>
      <c r="D791" t="str">
        <f t="shared" si="60"/>
        <v>14.09.2015</v>
      </c>
      <c r="E791" s="1">
        <v>0.85416666666666663</v>
      </c>
      <c r="F791" t="s">
        <v>30</v>
      </c>
      <c r="G791" t="s">
        <v>182</v>
      </c>
      <c r="H791" s="2">
        <v>46082</v>
      </c>
      <c r="I791" s="3" t="str">
        <f t="shared" si="61"/>
        <v/>
      </c>
      <c r="J791" t="str">
        <f t="shared" si="62"/>
        <v/>
      </c>
      <c r="K791" t="str">
        <f t="shared" si="63"/>
        <v/>
      </c>
      <c r="L791" t="str">
        <f t="shared" si="64"/>
        <v/>
      </c>
      <c r="M791" t="str">
        <f>IF(COUNTIF($A$2:A791,A791)=1,
     VLOOKUP(A791,Season_Winners!A:B,2,FALSE),
     "")</f>
        <v/>
      </c>
      <c r="N791" s="2"/>
    </row>
    <row r="792" spans="1:14" x14ac:dyDescent="0.3">
      <c r="A792" t="s">
        <v>335</v>
      </c>
      <c r="B792">
        <v>4</v>
      </c>
      <c r="C792" t="s">
        <v>351</v>
      </c>
      <c r="D792" t="str">
        <f t="shared" si="60"/>
        <v>18.09.2015</v>
      </c>
      <c r="E792" s="1">
        <v>0.85416666666666663</v>
      </c>
      <c r="F792" t="s">
        <v>11</v>
      </c>
      <c r="G792" t="s">
        <v>17</v>
      </c>
      <c r="H792" t="s">
        <v>18</v>
      </c>
      <c r="I792" t="str">
        <f t="shared" si="61"/>
        <v>1-0</v>
      </c>
      <c r="J792" t="str">
        <f t="shared" si="62"/>
        <v>1</v>
      </c>
      <c r="K792" t="str">
        <f t="shared" si="63"/>
        <v>0</v>
      </c>
      <c r="L792" t="str">
        <f t="shared" si="64"/>
        <v>Getafe CF</v>
      </c>
      <c r="M792" t="str">
        <f>IF(COUNTIF($A$2:A792,A792)=1,
     VLOOKUP(A792,Season_Winners!A:B,2,FALSE),
     "")</f>
        <v/>
      </c>
    </row>
    <row r="793" spans="1:14" x14ac:dyDescent="0.3">
      <c r="A793" t="s">
        <v>335</v>
      </c>
      <c r="B793">
        <v>4</v>
      </c>
      <c r="C793" t="s">
        <v>352</v>
      </c>
      <c r="D793" t="str">
        <f t="shared" si="60"/>
        <v>19.09.2015</v>
      </c>
      <c r="E793" s="1">
        <v>0.66666666666666663</v>
      </c>
      <c r="F793" t="s">
        <v>25</v>
      </c>
      <c r="G793" t="s">
        <v>24</v>
      </c>
      <c r="H793" t="s">
        <v>18</v>
      </c>
      <c r="I793" t="str">
        <f t="shared" si="61"/>
        <v>1-0</v>
      </c>
      <c r="J793" t="str">
        <f t="shared" si="62"/>
        <v>1</v>
      </c>
      <c r="K793" t="str">
        <f t="shared" si="63"/>
        <v>0</v>
      </c>
      <c r="L793" t="str">
        <f t="shared" si="64"/>
        <v>Real Madrid</v>
      </c>
      <c r="M793" t="str">
        <f>IF(COUNTIF($A$2:A793,A793)=1,
     VLOOKUP(A793,Season_Winners!A:B,2,FALSE),
     "")</f>
        <v/>
      </c>
    </row>
    <row r="794" spans="1:14" x14ac:dyDescent="0.3">
      <c r="A794" t="s">
        <v>335</v>
      </c>
      <c r="B794">
        <v>4</v>
      </c>
      <c r="C794" t="s">
        <v>352</v>
      </c>
      <c r="D794" t="str">
        <f t="shared" si="60"/>
        <v>19.09.2015</v>
      </c>
      <c r="E794" s="1">
        <v>0.76041666666666663</v>
      </c>
      <c r="F794" t="s">
        <v>16</v>
      </c>
      <c r="G794" t="s">
        <v>26</v>
      </c>
      <c r="H794" t="s">
        <v>41</v>
      </c>
      <c r="I794" t="str">
        <f t="shared" si="61"/>
        <v>0-0</v>
      </c>
      <c r="J794" t="str">
        <f t="shared" si="62"/>
        <v>0</v>
      </c>
      <c r="K794" t="str">
        <f t="shared" si="63"/>
        <v>0</v>
      </c>
      <c r="L794" t="str">
        <f t="shared" si="64"/>
        <v>Draw</v>
      </c>
      <c r="M794" t="str">
        <f>IF(COUNTIF($A$2:A794,A794)=1,
     VLOOKUP(A794,Season_Winners!A:B,2,FALSE),
     "")</f>
        <v/>
      </c>
    </row>
    <row r="795" spans="1:14" x14ac:dyDescent="0.3">
      <c r="A795" t="s">
        <v>335</v>
      </c>
      <c r="B795">
        <v>4</v>
      </c>
      <c r="C795" t="s">
        <v>352</v>
      </c>
      <c r="D795" t="str">
        <f t="shared" si="60"/>
        <v>19.09.2015</v>
      </c>
      <c r="E795" s="1">
        <v>0.85416666666666663</v>
      </c>
      <c r="F795" t="s">
        <v>187</v>
      </c>
      <c r="G795" t="s">
        <v>1425</v>
      </c>
      <c r="H795" t="s">
        <v>54</v>
      </c>
      <c r="I795" t="str">
        <f t="shared" si="61"/>
        <v>0-2</v>
      </c>
      <c r="J795" t="str">
        <f t="shared" si="62"/>
        <v>0</v>
      </c>
      <c r="K795" t="str">
        <f t="shared" si="63"/>
        <v>2</v>
      </c>
      <c r="L795" t="str">
        <f t="shared" si="64"/>
        <v>Atlético de Madrid</v>
      </c>
      <c r="M795" t="str">
        <f>IF(COUNTIF($A$2:A795,A795)=1,
     VLOOKUP(A795,Season_Winners!A:B,2,FALSE),
     "")</f>
        <v/>
      </c>
    </row>
    <row r="796" spans="1:14" hidden="1" x14ac:dyDescent="0.3">
      <c r="A796" t="s">
        <v>335</v>
      </c>
      <c r="B796">
        <v>4</v>
      </c>
      <c r="C796" t="s">
        <v>352</v>
      </c>
      <c r="D796" t="str">
        <f t="shared" si="60"/>
        <v>19.09.2015</v>
      </c>
      <c r="E796" s="1">
        <v>0.91666666666666663</v>
      </c>
      <c r="F796" t="s">
        <v>10</v>
      </c>
      <c r="G796" t="s">
        <v>36</v>
      </c>
      <c r="H796" s="2">
        <v>46083</v>
      </c>
      <c r="I796" s="3" t="str">
        <f t="shared" si="61"/>
        <v/>
      </c>
      <c r="J796" t="str">
        <f t="shared" si="62"/>
        <v/>
      </c>
      <c r="K796" t="str">
        <f t="shared" si="63"/>
        <v/>
      </c>
      <c r="L796" t="str">
        <f t="shared" si="64"/>
        <v/>
      </c>
      <c r="M796" t="str">
        <f>IF(COUNTIF($A$2:A796,A796)=1,
     VLOOKUP(A796,Season_Winners!A:B,2,FALSE),
     "")</f>
        <v/>
      </c>
      <c r="N796" s="2"/>
    </row>
    <row r="797" spans="1:14" hidden="1" x14ac:dyDescent="0.3">
      <c r="A797" t="s">
        <v>335</v>
      </c>
      <c r="B797">
        <v>4</v>
      </c>
      <c r="C797" t="s">
        <v>353</v>
      </c>
      <c r="D797" t="str">
        <f t="shared" si="60"/>
        <v>20.09.2015</v>
      </c>
      <c r="E797" s="1">
        <v>0.5</v>
      </c>
      <c r="F797" t="s">
        <v>27</v>
      </c>
      <c r="G797" t="s">
        <v>35</v>
      </c>
      <c r="H797" s="2">
        <v>46054</v>
      </c>
      <c r="I797" s="3" t="str">
        <f t="shared" si="61"/>
        <v/>
      </c>
      <c r="J797" t="str">
        <f t="shared" si="62"/>
        <v/>
      </c>
      <c r="K797" t="str">
        <f t="shared" si="63"/>
        <v/>
      </c>
      <c r="L797" t="str">
        <f t="shared" si="64"/>
        <v/>
      </c>
      <c r="M797" t="str">
        <f>IF(COUNTIF($A$2:A797,A797)=1,
     VLOOKUP(A797,Season_Winners!A:B,2,FALSE),
     "")</f>
        <v/>
      </c>
      <c r="N797" s="2"/>
    </row>
    <row r="798" spans="1:14" hidden="1" x14ac:dyDescent="0.3">
      <c r="A798" t="s">
        <v>335</v>
      </c>
      <c r="B798">
        <v>4</v>
      </c>
      <c r="C798" t="s">
        <v>353</v>
      </c>
      <c r="D798" t="str">
        <f t="shared" si="60"/>
        <v>20.09.2015</v>
      </c>
      <c r="E798" s="1">
        <v>0.66666666666666663</v>
      </c>
      <c r="F798" t="s">
        <v>182</v>
      </c>
      <c r="G798" t="s">
        <v>340</v>
      </c>
      <c r="H798" s="2">
        <v>46083</v>
      </c>
      <c r="I798" s="3" t="str">
        <f t="shared" si="61"/>
        <v/>
      </c>
      <c r="J798" t="str">
        <f t="shared" si="62"/>
        <v/>
      </c>
      <c r="K798" t="str">
        <f t="shared" si="63"/>
        <v/>
      </c>
      <c r="L798" t="str">
        <f t="shared" si="64"/>
        <v/>
      </c>
      <c r="M798" t="str">
        <f>IF(COUNTIF($A$2:A798,A798)=1,
     VLOOKUP(A798,Season_Winners!A:B,2,FALSE),
     "")</f>
        <v/>
      </c>
      <c r="N798" s="2"/>
    </row>
    <row r="799" spans="1:14" hidden="1" x14ac:dyDescent="0.3">
      <c r="A799" t="s">
        <v>335</v>
      </c>
      <c r="B799">
        <v>4</v>
      </c>
      <c r="C799" t="s">
        <v>353</v>
      </c>
      <c r="D799" t="str">
        <f t="shared" si="60"/>
        <v>20.09.2015</v>
      </c>
      <c r="E799" s="1">
        <v>0.76041666666666663</v>
      </c>
      <c r="F799" t="s">
        <v>34</v>
      </c>
      <c r="G799" t="s">
        <v>15</v>
      </c>
      <c r="H799" s="2">
        <v>46025</v>
      </c>
      <c r="I799" s="3" t="str">
        <f t="shared" si="61"/>
        <v/>
      </c>
      <c r="J799" t="str">
        <f t="shared" si="62"/>
        <v/>
      </c>
      <c r="K799" t="str">
        <f t="shared" si="63"/>
        <v/>
      </c>
      <c r="L799" t="str">
        <f t="shared" si="64"/>
        <v/>
      </c>
      <c r="M799" t="str">
        <f>IF(COUNTIF($A$2:A799,A799)=1,
     VLOOKUP(A799,Season_Winners!A:B,2,FALSE),
     "")</f>
        <v/>
      </c>
      <c r="N799" s="2"/>
    </row>
    <row r="800" spans="1:14" hidden="1" x14ac:dyDescent="0.3">
      <c r="A800" t="s">
        <v>335</v>
      </c>
      <c r="B800">
        <v>4</v>
      </c>
      <c r="C800" t="s">
        <v>353</v>
      </c>
      <c r="D800" t="str">
        <f t="shared" si="60"/>
        <v>20.09.2015</v>
      </c>
      <c r="E800" s="1">
        <v>0.85416666666666663</v>
      </c>
      <c r="F800" t="s">
        <v>20</v>
      </c>
      <c r="G800" t="s">
        <v>21</v>
      </c>
      <c r="H800" s="2">
        <v>46026</v>
      </c>
      <c r="I800" s="3" t="str">
        <f t="shared" si="61"/>
        <v/>
      </c>
      <c r="J800" t="str">
        <f t="shared" si="62"/>
        <v/>
      </c>
      <c r="K800" t="str">
        <f t="shared" si="63"/>
        <v/>
      </c>
      <c r="L800" t="str">
        <f t="shared" si="64"/>
        <v/>
      </c>
      <c r="M800" t="str">
        <f>IF(COUNTIF($A$2:A800,A800)=1,
     VLOOKUP(A800,Season_Winners!A:B,2,FALSE),
     "")</f>
        <v/>
      </c>
      <c r="N800" s="2"/>
    </row>
    <row r="801" spans="1:14" x14ac:dyDescent="0.3">
      <c r="A801" t="s">
        <v>335</v>
      </c>
      <c r="B801">
        <v>4</v>
      </c>
      <c r="C801" t="s">
        <v>353</v>
      </c>
      <c r="D801" t="str">
        <f t="shared" si="60"/>
        <v>20.09.2015</v>
      </c>
      <c r="E801" s="1">
        <v>0.85416666666666663</v>
      </c>
      <c r="F801" t="s">
        <v>338</v>
      </c>
      <c r="G801" t="s">
        <v>30</v>
      </c>
      <c r="H801" t="s">
        <v>42</v>
      </c>
      <c r="I801" t="str">
        <f t="shared" si="61"/>
        <v>0-1</v>
      </c>
      <c r="J801" t="str">
        <f t="shared" si="62"/>
        <v>0</v>
      </c>
      <c r="K801" t="str">
        <f t="shared" si="63"/>
        <v>1</v>
      </c>
      <c r="L801" t="str">
        <f t="shared" si="64"/>
        <v>Rayo Vallecano</v>
      </c>
      <c r="M801" t="str">
        <f>IF(COUNTIF($A$2:A801,A801)=1,
     VLOOKUP(A801,Season_Winners!A:B,2,FALSE),
     "")</f>
        <v/>
      </c>
    </row>
    <row r="802" spans="1:14" x14ac:dyDescent="0.3">
      <c r="A802" t="s">
        <v>335</v>
      </c>
      <c r="B802">
        <v>5</v>
      </c>
      <c r="C802" t="s">
        <v>354</v>
      </c>
      <c r="D802" t="str">
        <f t="shared" si="60"/>
        <v>22.09.2015</v>
      </c>
      <c r="E802" s="1">
        <v>0.83333333333333337</v>
      </c>
      <c r="F802" t="s">
        <v>1425</v>
      </c>
      <c r="G802" t="s">
        <v>11</v>
      </c>
      <c r="H802" t="s">
        <v>12</v>
      </c>
      <c r="I802" t="str">
        <f t="shared" si="61"/>
        <v>2-0</v>
      </c>
      <c r="J802" t="str">
        <f t="shared" si="62"/>
        <v>2</v>
      </c>
      <c r="K802" t="str">
        <f t="shared" si="63"/>
        <v>0</v>
      </c>
      <c r="L802" t="str">
        <f t="shared" si="64"/>
        <v>Atlético de Madrid</v>
      </c>
      <c r="M802" t="str">
        <f>IF(COUNTIF($A$2:A802,A802)=1,
     VLOOKUP(A802,Season_Winners!A:B,2,FALSE),
     "")</f>
        <v/>
      </c>
    </row>
    <row r="803" spans="1:14" x14ac:dyDescent="0.3">
      <c r="A803" t="s">
        <v>335</v>
      </c>
      <c r="B803">
        <v>5</v>
      </c>
      <c r="C803" t="s">
        <v>354</v>
      </c>
      <c r="D803" t="str">
        <f t="shared" si="60"/>
        <v>22.09.2015</v>
      </c>
      <c r="E803" s="1">
        <v>0.83333333333333337</v>
      </c>
      <c r="F803" t="s">
        <v>36</v>
      </c>
      <c r="G803" t="s">
        <v>16</v>
      </c>
      <c r="H803" t="s">
        <v>18</v>
      </c>
      <c r="I803" t="str">
        <f t="shared" si="61"/>
        <v>1-0</v>
      </c>
      <c r="J803" t="str">
        <f t="shared" si="62"/>
        <v>1</v>
      </c>
      <c r="K803" t="str">
        <f t="shared" si="63"/>
        <v>0</v>
      </c>
      <c r="L803" t="str">
        <f t="shared" si="64"/>
        <v>RCD Espanyol de Barcelona</v>
      </c>
      <c r="M803" t="str">
        <f>IF(COUNTIF($A$2:A803,A803)=1,
     VLOOKUP(A803,Season_Winners!A:B,2,FALSE),
     "")</f>
        <v/>
      </c>
    </row>
    <row r="804" spans="1:14" x14ac:dyDescent="0.3">
      <c r="A804" t="s">
        <v>335</v>
      </c>
      <c r="B804">
        <v>5</v>
      </c>
      <c r="C804" t="s">
        <v>354</v>
      </c>
      <c r="D804" t="str">
        <f t="shared" si="60"/>
        <v>22.09.2015</v>
      </c>
      <c r="E804" s="1">
        <v>0.91666666666666663</v>
      </c>
      <c r="F804" t="s">
        <v>24</v>
      </c>
      <c r="G804" t="s">
        <v>10</v>
      </c>
      <c r="H804" t="s">
        <v>46</v>
      </c>
      <c r="I804" t="str">
        <f t="shared" si="61"/>
        <v>0-3</v>
      </c>
      <c r="J804" t="str">
        <f t="shared" si="62"/>
        <v>0</v>
      </c>
      <c r="K804" t="str">
        <f t="shared" si="63"/>
        <v>3</v>
      </c>
      <c r="L804" t="str">
        <f t="shared" si="64"/>
        <v>Real Sociedad</v>
      </c>
      <c r="M804" t="str">
        <f>IF(COUNTIF($A$2:A804,A804)=1,
     VLOOKUP(A804,Season_Winners!A:B,2,FALSE),
     "")</f>
        <v/>
      </c>
    </row>
    <row r="805" spans="1:14" hidden="1" x14ac:dyDescent="0.3">
      <c r="A805" t="s">
        <v>335</v>
      </c>
      <c r="B805">
        <v>5</v>
      </c>
      <c r="C805" t="s">
        <v>355</v>
      </c>
      <c r="D805" t="str">
        <f t="shared" si="60"/>
        <v>23.09.2015</v>
      </c>
      <c r="E805" s="1">
        <v>0.83333333333333337</v>
      </c>
      <c r="F805" t="s">
        <v>35</v>
      </c>
      <c r="G805" t="s">
        <v>20</v>
      </c>
      <c r="H805" s="2">
        <v>46026</v>
      </c>
      <c r="I805" s="3" t="str">
        <f t="shared" si="61"/>
        <v/>
      </c>
      <c r="J805" t="str">
        <f t="shared" si="62"/>
        <v/>
      </c>
      <c r="K805" t="str">
        <f t="shared" si="63"/>
        <v/>
      </c>
      <c r="L805" t="str">
        <f t="shared" si="64"/>
        <v/>
      </c>
      <c r="M805" t="str">
        <f>IF(COUNTIF($A$2:A805,A805)=1,
     VLOOKUP(A805,Season_Winners!A:B,2,FALSE),
     "")</f>
        <v/>
      </c>
      <c r="N805" s="2"/>
    </row>
    <row r="806" spans="1:14" hidden="1" x14ac:dyDescent="0.3">
      <c r="A806" t="s">
        <v>335</v>
      </c>
      <c r="B806">
        <v>5</v>
      </c>
      <c r="C806" t="s">
        <v>355</v>
      </c>
      <c r="D806" t="str">
        <f t="shared" si="60"/>
        <v>23.09.2015</v>
      </c>
      <c r="E806" s="1">
        <v>0.83333333333333337</v>
      </c>
      <c r="F806" t="s">
        <v>21</v>
      </c>
      <c r="G806" t="s">
        <v>187</v>
      </c>
      <c r="H806" s="2">
        <v>46055</v>
      </c>
      <c r="I806" s="3" t="str">
        <f t="shared" si="61"/>
        <v/>
      </c>
      <c r="J806" t="str">
        <f t="shared" si="62"/>
        <v/>
      </c>
      <c r="K806" t="str">
        <f t="shared" si="63"/>
        <v/>
      </c>
      <c r="L806" t="str">
        <f t="shared" si="64"/>
        <v/>
      </c>
      <c r="M806" t="str">
        <f>IF(COUNTIF($A$2:A806,A806)=1,
     VLOOKUP(A806,Season_Winners!A:B,2,FALSE),
     "")</f>
        <v/>
      </c>
      <c r="N806" s="2"/>
    </row>
    <row r="807" spans="1:14" hidden="1" x14ac:dyDescent="0.3">
      <c r="A807" t="s">
        <v>335</v>
      </c>
      <c r="B807">
        <v>5</v>
      </c>
      <c r="C807" t="s">
        <v>355</v>
      </c>
      <c r="D807" t="str">
        <f t="shared" si="60"/>
        <v>23.09.2015</v>
      </c>
      <c r="E807" s="1">
        <v>0.83333333333333337</v>
      </c>
      <c r="F807" t="s">
        <v>30</v>
      </c>
      <c r="G807" t="s">
        <v>340</v>
      </c>
      <c r="H807" s="2">
        <v>46024</v>
      </c>
      <c r="I807" s="3" t="str">
        <f t="shared" si="61"/>
        <v/>
      </c>
      <c r="J807" t="str">
        <f t="shared" si="62"/>
        <v/>
      </c>
      <c r="K807" t="str">
        <f t="shared" si="63"/>
        <v/>
      </c>
      <c r="L807" t="str">
        <f t="shared" si="64"/>
        <v/>
      </c>
      <c r="M807" t="str">
        <f>IF(COUNTIF($A$2:A807,A807)=1,
     VLOOKUP(A807,Season_Winners!A:B,2,FALSE),
     "")</f>
        <v/>
      </c>
      <c r="N807" s="2"/>
    </row>
    <row r="808" spans="1:14" hidden="1" x14ac:dyDescent="0.3">
      <c r="A808" t="s">
        <v>335</v>
      </c>
      <c r="B808">
        <v>5</v>
      </c>
      <c r="C808" t="s">
        <v>355</v>
      </c>
      <c r="D808" t="str">
        <f t="shared" si="60"/>
        <v>23.09.2015</v>
      </c>
      <c r="E808" s="1">
        <v>0.875</v>
      </c>
      <c r="F808" t="s">
        <v>15</v>
      </c>
      <c r="G808" t="s">
        <v>25</v>
      </c>
      <c r="H808" s="2">
        <v>46054</v>
      </c>
      <c r="I808" s="3" t="str">
        <f t="shared" si="61"/>
        <v/>
      </c>
      <c r="J808" t="str">
        <f t="shared" si="62"/>
        <v/>
      </c>
      <c r="K808" t="str">
        <f t="shared" si="63"/>
        <v/>
      </c>
      <c r="L808" t="str">
        <f t="shared" si="64"/>
        <v/>
      </c>
      <c r="M808" t="str">
        <f>IF(COUNTIF($A$2:A808,A808)=1,
     VLOOKUP(A808,Season_Winners!A:B,2,FALSE),
     "")</f>
        <v/>
      </c>
      <c r="N808" s="2"/>
    </row>
    <row r="809" spans="1:14" x14ac:dyDescent="0.3">
      <c r="A809" t="s">
        <v>335</v>
      </c>
      <c r="B809">
        <v>5</v>
      </c>
      <c r="C809" t="s">
        <v>355</v>
      </c>
      <c r="D809" t="str">
        <f t="shared" si="60"/>
        <v>23.09.2015</v>
      </c>
      <c r="E809" s="1">
        <v>0.91666666666666663</v>
      </c>
      <c r="F809" t="s">
        <v>17</v>
      </c>
      <c r="G809" t="s">
        <v>34</v>
      </c>
      <c r="H809" t="s">
        <v>42</v>
      </c>
      <c r="I809" t="str">
        <f t="shared" si="61"/>
        <v>0-1</v>
      </c>
      <c r="J809" t="str">
        <f t="shared" si="62"/>
        <v>0</v>
      </c>
      <c r="K809" t="str">
        <f t="shared" si="63"/>
        <v>1</v>
      </c>
      <c r="L809" t="str">
        <f t="shared" si="64"/>
        <v>Villarreal CF</v>
      </c>
      <c r="M809" t="str">
        <f>IF(COUNTIF($A$2:A809,A809)=1,
     VLOOKUP(A809,Season_Winners!A:B,2,FALSE),
     "")</f>
        <v/>
      </c>
    </row>
    <row r="810" spans="1:14" x14ac:dyDescent="0.3">
      <c r="A810" t="s">
        <v>335</v>
      </c>
      <c r="B810">
        <v>5</v>
      </c>
      <c r="C810" t="s">
        <v>355</v>
      </c>
      <c r="D810" t="str">
        <f t="shared" si="60"/>
        <v>23.09.2015</v>
      </c>
      <c r="E810" s="1">
        <v>0.91666666666666663</v>
      </c>
      <c r="F810" t="s">
        <v>338</v>
      </c>
      <c r="G810" t="s">
        <v>27</v>
      </c>
      <c r="H810" t="s">
        <v>12</v>
      </c>
      <c r="I810" t="str">
        <f t="shared" si="61"/>
        <v>2-0</v>
      </c>
      <c r="J810" t="str">
        <f t="shared" si="62"/>
        <v>2</v>
      </c>
      <c r="K810" t="str">
        <f t="shared" si="63"/>
        <v>0</v>
      </c>
      <c r="L810" t="str">
        <f t="shared" si="64"/>
        <v>UD Las Palmas</v>
      </c>
      <c r="M810" t="str">
        <f>IF(COUNTIF($A$2:A810,A810)=1,
     VLOOKUP(A810,Season_Winners!A:B,2,FALSE),
     "")</f>
        <v/>
      </c>
    </row>
    <row r="811" spans="1:14" hidden="1" x14ac:dyDescent="0.3">
      <c r="A811" t="s">
        <v>335</v>
      </c>
      <c r="B811">
        <v>5</v>
      </c>
      <c r="C811" t="s">
        <v>356</v>
      </c>
      <c r="D811" t="str">
        <f t="shared" si="60"/>
        <v>24.09.2015</v>
      </c>
      <c r="E811" s="1">
        <v>0.92013888888888884</v>
      </c>
      <c r="F811" t="s">
        <v>26</v>
      </c>
      <c r="G811" t="s">
        <v>182</v>
      </c>
      <c r="H811" s="2">
        <v>46054</v>
      </c>
      <c r="I811" s="3" t="str">
        <f t="shared" si="61"/>
        <v/>
      </c>
      <c r="J811" t="str">
        <f t="shared" si="62"/>
        <v/>
      </c>
      <c r="K811" t="str">
        <f t="shared" si="63"/>
        <v/>
      </c>
      <c r="L811" t="str">
        <f t="shared" si="64"/>
        <v/>
      </c>
      <c r="M811" t="str">
        <f>IF(COUNTIF($A$2:A811,A811)=1,
     VLOOKUP(A811,Season_Winners!A:B,2,FALSE),
     "")</f>
        <v/>
      </c>
      <c r="N811" s="2"/>
    </row>
    <row r="812" spans="1:14" x14ac:dyDescent="0.3">
      <c r="A812" t="s">
        <v>335</v>
      </c>
      <c r="B812">
        <v>6</v>
      </c>
      <c r="C812" t="s">
        <v>357</v>
      </c>
      <c r="D812" t="str">
        <f t="shared" si="60"/>
        <v>25.09.2015</v>
      </c>
      <c r="E812" s="1">
        <v>0.85416666666666663</v>
      </c>
      <c r="F812" t="s">
        <v>16</v>
      </c>
      <c r="G812" t="s">
        <v>24</v>
      </c>
      <c r="H812" t="s">
        <v>18</v>
      </c>
      <c r="I812" t="str">
        <f t="shared" si="61"/>
        <v>1-0</v>
      </c>
      <c r="J812" t="str">
        <f t="shared" si="62"/>
        <v>1</v>
      </c>
      <c r="K812" t="str">
        <f t="shared" si="63"/>
        <v>0</v>
      </c>
      <c r="L812" t="str">
        <f t="shared" si="64"/>
        <v>Valencia CF</v>
      </c>
      <c r="M812" t="str">
        <f>IF(COUNTIF($A$2:A812,A812)=1,
     VLOOKUP(A812,Season_Winners!A:B,2,FALSE),
     "")</f>
        <v/>
      </c>
    </row>
    <row r="813" spans="1:14" hidden="1" x14ac:dyDescent="0.3">
      <c r="A813" t="s">
        <v>335</v>
      </c>
      <c r="B813">
        <v>6</v>
      </c>
      <c r="C813" t="s">
        <v>358</v>
      </c>
      <c r="D813" t="str">
        <f t="shared" si="60"/>
        <v>26.09.2015</v>
      </c>
      <c r="E813" s="1">
        <v>0.66666666666666663</v>
      </c>
      <c r="F813" t="s">
        <v>20</v>
      </c>
      <c r="G813" t="s">
        <v>338</v>
      </c>
      <c r="H813" s="2">
        <v>46024</v>
      </c>
      <c r="I813" s="3" t="str">
        <f t="shared" si="61"/>
        <v/>
      </c>
      <c r="J813" t="str">
        <f t="shared" si="62"/>
        <v/>
      </c>
      <c r="K813" t="str">
        <f t="shared" si="63"/>
        <v/>
      </c>
      <c r="L813" t="str">
        <f t="shared" si="64"/>
        <v/>
      </c>
      <c r="M813" t="str">
        <f>IF(COUNTIF($A$2:A813,A813)=1,
     VLOOKUP(A813,Season_Winners!A:B,2,FALSE),
     "")</f>
        <v/>
      </c>
      <c r="N813" s="2"/>
    </row>
    <row r="814" spans="1:14" x14ac:dyDescent="0.3">
      <c r="A814" t="s">
        <v>335</v>
      </c>
      <c r="B814">
        <v>6</v>
      </c>
      <c r="C814" t="s">
        <v>358</v>
      </c>
      <c r="D814" t="str">
        <f t="shared" si="60"/>
        <v>26.09.2015</v>
      </c>
      <c r="E814" s="1">
        <v>0.76041666666666663</v>
      </c>
      <c r="F814" t="s">
        <v>25</v>
      </c>
      <c r="G814" t="s">
        <v>17</v>
      </c>
      <c r="H814" t="s">
        <v>41</v>
      </c>
      <c r="I814" t="str">
        <f t="shared" si="61"/>
        <v>0-0</v>
      </c>
      <c r="J814" t="str">
        <f t="shared" si="62"/>
        <v>0</v>
      </c>
      <c r="K814" t="str">
        <f t="shared" si="63"/>
        <v>0</v>
      </c>
      <c r="L814" t="str">
        <f t="shared" si="64"/>
        <v>Draw</v>
      </c>
      <c r="M814" t="str">
        <f>IF(COUNTIF($A$2:A814,A814)=1,
     VLOOKUP(A814,Season_Winners!A:B,2,FALSE),
     "")</f>
        <v/>
      </c>
    </row>
    <row r="815" spans="1:14" hidden="1" x14ac:dyDescent="0.3">
      <c r="A815" t="s">
        <v>335</v>
      </c>
      <c r="B815">
        <v>6</v>
      </c>
      <c r="C815" t="s">
        <v>358</v>
      </c>
      <c r="D815" t="str">
        <f t="shared" si="60"/>
        <v>26.09.2015</v>
      </c>
      <c r="E815" s="1">
        <v>0.85416666666666663</v>
      </c>
      <c r="F815" t="s">
        <v>27</v>
      </c>
      <c r="G815" t="s">
        <v>30</v>
      </c>
      <c r="H815" s="2">
        <v>46056</v>
      </c>
      <c r="I815" s="3" t="str">
        <f t="shared" si="61"/>
        <v/>
      </c>
      <c r="J815" t="str">
        <f t="shared" si="62"/>
        <v/>
      </c>
      <c r="K815" t="str">
        <f t="shared" si="63"/>
        <v/>
      </c>
      <c r="L815" t="str">
        <f t="shared" si="64"/>
        <v/>
      </c>
      <c r="M815" t="str">
        <f>IF(COUNTIF($A$2:A815,A815)=1,
     VLOOKUP(A815,Season_Winners!A:B,2,FALSE),
     "")</f>
        <v/>
      </c>
      <c r="N815" s="2"/>
    </row>
    <row r="816" spans="1:14" x14ac:dyDescent="0.3">
      <c r="A816" t="s">
        <v>335</v>
      </c>
      <c r="B816">
        <v>6</v>
      </c>
      <c r="C816" t="s">
        <v>358</v>
      </c>
      <c r="D816" t="str">
        <f t="shared" si="60"/>
        <v>26.09.2015</v>
      </c>
      <c r="E816" s="1">
        <v>0.85416666666666663</v>
      </c>
      <c r="F816" t="s">
        <v>34</v>
      </c>
      <c r="G816" t="s">
        <v>1425</v>
      </c>
      <c r="H816" t="s">
        <v>18</v>
      </c>
      <c r="I816" t="str">
        <f t="shared" si="61"/>
        <v>1-0</v>
      </c>
      <c r="J816" t="str">
        <f t="shared" si="62"/>
        <v>1</v>
      </c>
      <c r="K816" t="str">
        <f t="shared" si="63"/>
        <v>0</v>
      </c>
      <c r="L816" t="str">
        <f t="shared" si="64"/>
        <v>Villarreal CF</v>
      </c>
      <c r="M816" t="str">
        <f>IF(COUNTIF($A$2:A816,A816)=1,
     VLOOKUP(A816,Season_Winners!A:B,2,FALSE),
     "")</f>
        <v/>
      </c>
    </row>
    <row r="817" spans="1:14" hidden="1" x14ac:dyDescent="0.3">
      <c r="A817" t="s">
        <v>335</v>
      </c>
      <c r="B817">
        <v>6</v>
      </c>
      <c r="C817" t="s">
        <v>358</v>
      </c>
      <c r="D817" t="str">
        <f t="shared" si="60"/>
        <v>26.09.2015</v>
      </c>
      <c r="E817" s="1">
        <v>0.92013888888888884</v>
      </c>
      <c r="F817" t="s">
        <v>187</v>
      </c>
      <c r="G817" t="s">
        <v>35</v>
      </c>
      <c r="H817" s="2">
        <v>46023</v>
      </c>
      <c r="I817" s="3" t="str">
        <f t="shared" si="61"/>
        <v/>
      </c>
      <c r="J817" t="str">
        <f t="shared" si="62"/>
        <v/>
      </c>
      <c r="K817" t="str">
        <f t="shared" si="63"/>
        <v/>
      </c>
      <c r="L817" t="str">
        <f t="shared" si="64"/>
        <v/>
      </c>
      <c r="M817" t="str">
        <f>IF(COUNTIF($A$2:A817,A817)=1,
     VLOOKUP(A817,Season_Winners!A:B,2,FALSE),
     "")</f>
        <v/>
      </c>
      <c r="N817" s="2"/>
    </row>
    <row r="818" spans="1:14" hidden="1" x14ac:dyDescent="0.3">
      <c r="A818" t="s">
        <v>335</v>
      </c>
      <c r="B818">
        <v>6</v>
      </c>
      <c r="C818" t="s">
        <v>359</v>
      </c>
      <c r="D818" t="str">
        <f t="shared" si="60"/>
        <v>27.09.2015</v>
      </c>
      <c r="E818" s="1">
        <v>0.5</v>
      </c>
      <c r="F818" t="s">
        <v>340</v>
      </c>
      <c r="G818" t="s">
        <v>26</v>
      </c>
      <c r="H818" s="2">
        <v>46054</v>
      </c>
      <c r="I818" s="3" t="str">
        <f t="shared" si="61"/>
        <v/>
      </c>
      <c r="J818" t="str">
        <f t="shared" si="62"/>
        <v/>
      </c>
      <c r="K818" t="str">
        <f t="shared" si="63"/>
        <v/>
      </c>
      <c r="L818" t="str">
        <f t="shared" si="64"/>
        <v/>
      </c>
      <c r="M818" t="str">
        <f>IF(COUNTIF($A$2:A818,A818)=1,
     VLOOKUP(A818,Season_Winners!A:B,2,FALSE),
     "")</f>
        <v/>
      </c>
      <c r="N818" s="2"/>
    </row>
    <row r="819" spans="1:14" x14ac:dyDescent="0.3">
      <c r="A819" t="s">
        <v>335</v>
      </c>
      <c r="B819">
        <v>6</v>
      </c>
      <c r="C819" t="s">
        <v>359</v>
      </c>
      <c r="D819" t="str">
        <f t="shared" si="60"/>
        <v>27.09.2015</v>
      </c>
      <c r="E819" s="1">
        <v>0.66666666666666663</v>
      </c>
      <c r="F819" t="s">
        <v>182</v>
      </c>
      <c r="G819" t="s">
        <v>36</v>
      </c>
      <c r="H819" t="s">
        <v>32</v>
      </c>
      <c r="I819" t="str">
        <f t="shared" si="61"/>
        <v>3-0</v>
      </c>
      <c r="J819" t="str">
        <f t="shared" si="62"/>
        <v>3</v>
      </c>
      <c r="K819" t="str">
        <f t="shared" si="63"/>
        <v>0</v>
      </c>
      <c r="L819" t="str">
        <f t="shared" si="64"/>
        <v>RC Deportivo</v>
      </c>
      <c r="M819" t="str">
        <f>IF(COUNTIF($A$2:A819,A819)=1,
     VLOOKUP(A819,Season_Winners!A:B,2,FALSE),
     "")</f>
        <v/>
      </c>
    </row>
    <row r="820" spans="1:14" x14ac:dyDescent="0.3">
      <c r="A820" t="s">
        <v>335</v>
      </c>
      <c r="B820">
        <v>6</v>
      </c>
      <c r="C820" t="s">
        <v>359</v>
      </c>
      <c r="D820" t="str">
        <f t="shared" si="60"/>
        <v>27.09.2015</v>
      </c>
      <c r="E820" s="1">
        <v>0.76041666666666663</v>
      </c>
      <c r="F820" t="s">
        <v>11</v>
      </c>
      <c r="G820" t="s">
        <v>21</v>
      </c>
      <c r="H820" t="s">
        <v>32</v>
      </c>
      <c r="I820" t="str">
        <f t="shared" si="61"/>
        <v>3-0</v>
      </c>
      <c r="J820" t="str">
        <f t="shared" si="62"/>
        <v>3</v>
      </c>
      <c r="K820" t="str">
        <f t="shared" si="63"/>
        <v>0</v>
      </c>
      <c r="L820" t="str">
        <f t="shared" si="64"/>
        <v>Getafe CF</v>
      </c>
      <c r="M820" t="str">
        <f>IF(COUNTIF($A$2:A820,A820)=1,
     VLOOKUP(A820,Season_Winners!A:B,2,FALSE),
     "")</f>
        <v/>
      </c>
    </row>
    <row r="821" spans="1:14" x14ac:dyDescent="0.3">
      <c r="A821" t="s">
        <v>335</v>
      </c>
      <c r="B821">
        <v>6</v>
      </c>
      <c r="C821" t="s">
        <v>359</v>
      </c>
      <c r="D821" t="str">
        <f t="shared" si="60"/>
        <v>27.09.2015</v>
      </c>
      <c r="E821" s="1">
        <v>0.85416666666666663</v>
      </c>
      <c r="F821" t="s">
        <v>10</v>
      </c>
      <c r="G821" t="s">
        <v>15</v>
      </c>
      <c r="H821" t="s">
        <v>41</v>
      </c>
      <c r="I821" t="str">
        <f t="shared" si="61"/>
        <v>0-0</v>
      </c>
      <c r="J821" t="str">
        <f t="shared" si="62"/>
        <v>0</v>
      </c>
      <c r="K821" t="str">
        <f t="shared" si="63"/>
        <v>0</v>
      </c>
      <c r="L821" t="str">
        <f t="shared" si="64"/>
        <v>Draw</v>
      </c>
      <c r="M821" t="str">
        <f>IF(COUNTIF($A$2:A821,A821)=1,
     VLOOKUP(A821,Season_Winners!A:B,2,FALSE),
     "")</f>
        <v/>
      </c>
    </row>
    <row r="822" spans="1:14" x14ac:dyDescent="0.3">
      <c r="A822" t="s">
        <v>335</v>
      </c>
      <c r="B822">
        <v>7</v>
      </c>
      <c r="C822" t="s">
        <v>360</v>
      </c>
      <c r="D822" t="str">
        <f t="shared" si="60"/>
        <v>02.10.2015</v>
      </c>
      <c r="E822" s="1">
        <v>0.85416666666666663</v>
      </c>
      <c r="F822" t="s">
        <v>35</v>
      </c>
      <c r="G822" t="s">
        <v>11</v>
      </c>
      <c r="H822" t="s">
        <v>41</v>
      </c>
      <c r="I822" t="str">
        <f t="shared" si="61"/>
        <v>0-0</v>
      </c>
      <c r="J822" t="str">
        <f t="shared" si="62"/>
        <v>0</v>
      </c>
      <c r="K822" t="str">
        <f t="shared" si="63"/>
        <v>0</v>
      </c>
      <c r="L822" t="str">
        <f t="shared" si="64"/>
        <v>Draw</v>
      </c>
      <c r="M822" t="str">
        <f>IF(COUNTIF($A$2:A822,A822)=1,
     VLOOKUP(A822,Season_Winners!A:B,2,FALSE),
     "")</f>
        <v/>
      </c>
    </row>
    <row r="823" spans="1:14" hidden="1" x14ac:dyDescent="0.3">
      <c r="A823" t="s">
        <v>335</v>
      </c>
      <c r="B823">
        <v>7</v>
      </c>
      <c r="C823" t="s">
        <v>361</v>
      </c>
      <c r="D823" t="str">
        <f t="shared" si="60"/>
        <v>03.10.2015</v>
      </c>
      <c r="E823" s="1">
        <v>0.66666666666666663</v>
      </c>
      <c r="F823" t="s">
        <v>27</v>
      </c>
      <c r="G823" t="s">
        <v>20</v>
      </c>
      <c r="H823" s="2">
        <v>46024</v>
      </c>
      <c r="I823" s="3" t="str">
        <f t="shared" si="61"/>
        <v/>
      </c>
      <c r="J823" t="str">
        <f t="shared" si="62"/>
        <v/>
      </c>
      <c r="K823" t="str">
        <f t="shared" si="63"/>
        <v/>
      </c>
      <c r="L823" t="str">
        <f t="shared" si="64"/>
        <v/>
      </c>
      <c r="M823" t="str">
        <f>IF(COUNTIF($A$2:A823,A823)=1,
     VLOOKUP(A823,Season_Winners!A:B,2,FALSE),
     "")</f>
        <v/>
      </c>
      <c r="N823" s="2"/>
    </row>
    <row r="824" spans="1:14" hidden="1" x14ac:dyDescent="0.3">
      <c r="A824" t="s">
        <v>335</v>
      </c>
      <c r="B824">
        <v>7</v>
      </c>
      <c r="C824" t="s">
        <v>361</v>
      </c>
      <c r="D824" t="str">
        <f t="shared" si="60"/>
        <v>03.10.2015</v>
      </c>
      <c r="E824" s="1">
        <v>0.76041666666666663</v>
      </c>
      <c r="F824" t="s">
        <v>24</v>
      </c>
      <c r="G824" t="s">
        <v>182</v>
      </c>
      <c r="H824" s="2">
        <v>46023</v>
      </c>
      <c r="I824" s="3" t="str">
        <f t="shared" si="61"/>
        <v/>
      </c>
      <c r="J824" t="str">
        <f t="shared" si="62"/>
        <v/>
      </c>
      <c r="K824" t="str">
        <f t="shared" si="63"/>
        <v/>
      </c>
      <c r="L824" t="str">
        <f t="shared" si="64"/>
        <v/>
      </c>
      <c r="M824" t="str">
        <f>IF(COUNTIF($A$2:A824,A824)=1,
     VLOOKUP(A824,Season_Winners!A:B,2,FALSE),
     "")</f>
        <v/>
      </c>
      <c r="N824" s="2"/>
    </row>
    <row r="825" spans="1:14" hidden="1" x14ac:dyDescent="0.3">
      <c r="A825" t="s">
        <v>335</v>
      </c>
      <c r="B825">
        <v>7</v>
      </c>
      <c r="C825" t="s">
        <v>361</v>
      </c>
      <c r="D825" t="str">
        <f t="shared" si="60"/>
        <v>03.10.2015</v>
      </c>
      <c r="E825" s="1">
        <v>0.85416666666666663</v>
      </c>
      <c r="F825" t="s">
        <v>36</v>
      </c>
      <c r="G825" t="s">
        <v>340</v>
      </c>
      <c r="H825" s="2">
        <v>46054</v>
      </c>
      <c r="I825" s="3" t="str">
        <f t="shared" si="61"/>
        <v/>
      </c>
      <c r="J825" t="str">
        <f t="shared" si="62"/>
        <v/>
      </c>
      <c r="K825" t="str">
        <f t="shared" si="63"/>
        <v/>
      </c>
      <c r="L825" t="str">
        <f t="shared" si="64"/>
        <v/>
      </c>
      <c r="M825" t="str">
        <f>IF(COUNTIF($A$2:A825,A825)=1,
     VLOOKUP(A825,Season_Winners!A:B,2,FALSE),
     "")</f>
        <v/>
      </c>
      <c r="N825" s="2"/>
    </row>
    <row r="826" spans="1:14" x14ac:dyDescent="0.3">
      <c r="A826" t="s">
        <v>335</v>
      </c>
      <c r="B826">
        <v>7</v>
      </c>
      <c r="C826" t="s">
        <v>361</v>
      </c>
      <c r="D826" t="str">
        <f t="shared" si="60"/>
        <v>03.10.2015</v>
      </c>
      <c r="E826" s="1">
        <v>0.91666666666666663</v>
      </c>
      <c r="F826" t="s">
        <v>338</v>
      </c>
      <c r="G826" t="s">
        <v>187</v>
      </c>
      <c r="H826" t="s">
        <v>54</v>
      </c>
      <c r="I826" t="str">
        <f t="shared" si="61"/>
        <v>0-2</v>
      </c>
      <c r="J826" t="str">
        <f t="shared" si="62"/>
        <v>0</v>
      </c>
      <c r="K826" t="str">
        <f t="shared" si="63"/>
        <v>2</v>
      </c>
      <c r="L826" t="str">
        <f t="shared" si="64"/>
        <v>SD Eibar</v>
      </c>
      <c r="M826" t="str">
        <f>IF(COUNTIF($A$2:A826,A826)=1,
     VLOOKUP(A826,Season_Winners!A:B,2,FALSE),
     "")</f>
        <v/>
      </c>
    </row>
    <row r="827" spans="1:14" hidden="1" x14ac:dyDescent="0.3">
      <c r="A827" t="s">
        <v>335</v>
      </c>
      <c r="B827">
        <v>7</v>
      </c>
      <c r="C827" t="s">
        <v>361</v>
      </c>
      <c r="D827" t="str">
        <f t="shared" si="60"/>
        <v>03.10.2015</v>
      </c>
      <c r="E827" s="1">
        <v>0.92013888888888884</v>
      </c>
      <c r="F827" t="s">
        <v>17</v>
      </c>
      <c r="G827" t="s">
        <v>10</v>
      </c>
      <c r="H827" s="2">
        <v>46025</v>
      </c>
      <c r="I827" s="3" t="str">
        <f t="shared" si="61"/>
        <v/>
      </c>
      <c r="J827" t="str">
        <f t="shared" si="62"/>
        <v/>
      </c>
      <c r="K827" t="str">
        <f t="shared" si="63"/>
        <v/>
      </c>
      <c r="L827" t="str">
        <f t="shared" si="64"/>
        <v/>
      </c>
      <c r="M827" t="str">
        <f>IF(COUNTIF($A$2:A827,A827)=1,
     VLOOKUP(A827,Season_Winners!A:B,2,FALSE),
     "")</f>
        <v/>
      </c>
      <c r="N827" s="2"/>
    </row>
    <row r="828" spans="1:14" x14ac:dyDescent="0.3">
      <c r="A828" t="s">
        <v>335</v>
      </c>
      <c r="B828">
        <v>7</v>
      </c>
      <c r="C828" t="s">
        <v>362</v>
      </c>
      <c r="D828" t="str">
        <f t="shared" si="60"/>
        <v>04.10.2015</v>
      </c>
      <c r="E828" s="1">
        <v>0.5</v>
      </c>
      <c r="F828" t="s">
        <v>30</v>
      </c>
      <c r="G828" t="s">
        <v>26</v>
      </c>
      <c r="H828" t="s">
        <v>54</v>
      </c>
      <c r="I828" t="str">
        <f t="shared" si="61"/>
        <v>0-2</v>
      </c>
      <c r="J828" t="str">
        <f t="shared" si="62"/>
        <v>0</v>
      </c>
      <c r="K828" t="str">
        <f t="shared" si="63"/>
        <v>2</v>
      </c>
      <c r="L828" t="str">
        <f t="shared" si="64"/>
        <v>Real Betis</v>
      </c>
      <c r="M828" t="str">
        <f>IF(COUNTIF($A$2:A828,A828)=1,
     VLOOKUP(A828,Season_Winners!A:B,2,FALSE),
     "")</f>
        <v/>
      </c>
    </row>
    <row r="829" spans="1:14" hidden="1" x14ac:dyDescent="0.3">
      <c r="A829" t="s">
        <v>335</v>
      </c>
      <c r="B829">
        <v>7</v>
      </c>
      <c r="C829" t="s">
        <v>362</v>
      </c>
      <c r="D829" t="str">
        <f t="shared" si="60"/>
        <v>04.10.2015</v>
      </c>
      <c r="E829" s="1">
        <v>0.66666666666666663</v>
      </c>
      <c r="F829" t="s">
        <v>15</v>
      </c>
      <c r="G829" t="s">
        <v>16</v>
      </c>
      <c r="H829" s="2">
        <v>46025</v>
      </c>
      <c r="I829" s="3" t="str">
        <f t="shared" si="61"/>
        <v/>
      </c>
      <c r="J829" t="str">
        <f t="shared" si="62"/>
        <v/>
      </c>
      <c r="K829" t="str">
        <f t="shared" si="63"/>
        <v/>
      </c>
      <c r="L829" t="str">
        <f t="shared" si="64"/>
        <v/>
      </c>
      <c r="M829" t="str">
        <f>IF(COUNTIF($A$2:A829,A829)=1,
     VLOOKUP(A829,Season_Winners!A:B,2,FALSE),
     "")</f>
        <v/>
      </c>
      <c r="N829" s="2"/>
    </row>
    <row r="830" spans="1:14" x14ac:dyDescent="0.3">
      <c r="A830" t="s">
        <v>335</v>
      </c>
      <c r="B830">
        <v>7</v>
      </c>
      <c r="C830" t="s">
        <v>362</v>
      </c>
      <c r="D830" t="str">
        <f t="shared" si="60"/>
        <v>04.10.2015</v>
      </c>
      <c r="E830" s="1">
        <v>0.76041666666666663</v>
      </c>
      <c r="F830" t="s">
        <v>21</v>
      </c>
      <c r="G830" t="s">
        <v>34</v>
      </c>
      <c r="H830" t="s">
        <v>18</v>
      </c>
      <c r="I830" t="str">
        <f t="shared" si="61"/>
        <v>1-0</v>
      </c>
      <c r="J830" t="str">
        <f t="shared" si="62"/>
        <v>1</v>
      </c>
      <c r="K830" t="str">
        <f t="shared" si="63"/>
        <v>0</v>
      </c>
      <c r="L830" t="str">
        <f t="shared" si="64"/>
        <v>Levante UD</v>
      </c>
      <c r="M830" t="str">
        <f>IF(COUNTIF($A$2:A830,A830)=1,
     VLOOKUP(A830,Season_Winners!A:B,2,FALSE),
     "")</f>
        <v/>
      </c>
    </row>
    <row r="831" spans="1:14" hidden="1" x14ac:dyDescent="0.3">
      <c r="A831" t="s">
        <v>335</v>
      </c>
      <c r="B831">
        <v>7</v>
      </c>
      <c r="C831" t="s">
        <v>362</v>
      </c>
      <c r="D831" t="str">
        <f t="shared" si="60"/>
        <v>04.10.2015</v>
      </c>
      <c r="E831" s="1">
        <v>0.85416666666666663</v>
      </c>
      <c r="F831" t="s">
        <v>28</v>
      </c>
      <c r="G831" t="s">
        <v>25</v>
      </c>
      <c r="H831" s="2">
        <v>46023</v>
      </c>
      <c r="I831" s="3" t="str">
        <f t="shared" si="61"/>
        <v/>
      </c>
      <c r="J831" t="str">
        <f t="shared" si="62"/>
        <v/>
      </c>
      <c r="K831" t="str">
        <f t="shared" si="63"/>
        <v/>
      </c>
      <c r="L831" t="str">
        <f t="shared" si="64"/>
        <v/>
      </c>
      <c r="M831" t="str">
        <f>IF(COUNTIF($A$2:A831,A831)=1,
     VLOOKUP(A831,Season_Winners!A:B,2,FALSE),
     "")</f>
        <v/>
      </c>
      <c r="N831" s="2"/>
    </row>
    <row r="832" spans="1:14" x14ac:dyDescent="0.3">
      <c r="A832" t="s">
        <v>335</v>
      </c>
      <c r="B832">
        <v>8</v>
      </c>
      <c r="C832" t="s">
        <v>363</v>
      </c>
      <c r="D832" t="str">
        <f t="shared" si="60"/>
        <v>17.10.2015</v>
      </c>
      <c r="E832" s="1">
        <v>0.66666666666666663</v>
      </c>
      <c r="F832" t="s">
        <v>25</v>
      </c>
      <c r="G832" t="s">
        <v>21</v>
      </c>
      <c r="H832" t="s">
        <v>32</v>
      </c>
      <c r="I832" t="str">
        <f t="shared" si="61"/>
        <v>3-0</v>
      </c>
      <c r="J832" t="str">
        <f t="shared" si="62"/>
        <v>3</v>
      </c>
      <c r="K832" t="str">
        <f t="shared" si="63"/>
        <v>0</v>
      </c>
      <c r="L832" t="str">
        <f t="shared" si="64"/>
        <v>Real Madrid</v>
      </c>
      <c r="M832" t="str">
        <f>IF(COUNTIF($A$2:A832,A832)=1,
     VLOOKUP(A832,Season_Winners!A:B,2,FALSE),
     "")</f>
        <v/>
      </c>
    </row>
    <row r="833" spans="1:14" hidden="1" x14ac:dyDescent="0.3">
      <c r="A833" t="s">
        <v>335</v>
      </c>
      <c r="B833">
        <v>8</v>
      </c>
      <c r="C833" t="s">
        <v>363</v>
      </c>
      <c r="D833" t="str">
        <f t="shared" si="60"/>
        <v>17.10.2015</v>
      </c>
      <c r="E833" s="1">
        <v>0.76041666666666663</v>
      </c>
      <c r="F833" t="s">
        <v>187</v>
      </c>
      <c r="G833" t="s">
        <v>27</v>
      </c>
      <c r="H833" s="2">
        <v>46023</v>
      </c>
      <c r="I833" s="3" t="str">
        <f t="shared" si="61"/>
        <v/>
      </c>
      <c r="J833" t="str">
        <f t="shared" si="62"/>
        <v/>
      </c>
      <c r="K833" t="str">
        <f t="shared" si="63"/>
        <v/>
      </c>
      <c r="L833" t="str">
        <f t="shared" si="64"/>
        <v/>
      </c>
      <c r="M833" t="str">
        <f>IF(COUNTIF($A$2:A833,A833)=1,
     VLOOKUP(A833,Season_Winners!A:B,2,FALSE),
     "")</f>
        <v/>
      </c>
      <c r="N833" s="2"/>
    </row>
    <row r="834" spans="1:14" hidden="1" x14ac:dyDescent="0.3">
      <c r="A834" t="s">
        <v>335</v>
      </c>
      <c r="B834">
        <v>8</v>
      </c>
      <c r="C834" t="s">
        <v>363</v>
      </c>
      <c r="D834" t="str">
        <f t="shared" ref="D834:D897" si="65">RIGHT(C834,10)</f>
        <v>17.10.2015</v>
      </c>
      <c r="E834" s="1">
        <v>0.85416666666666663</v>
      </c>
      <c r="F834" t="s">
        <v>20</v>
      </c>
      <c r="G834" t="s">
        <v>30</v>
      </c>
      <c r="H834" s="2">
        <v>46058</v>
      </c>
      <c r="I834" s="3" t="str">
        <f t="shared" ref="I834:I897" si="66">IF(ISNUMBER(SEARCH("-",H834)),H834,"")</f>
        <v/>
      </c>
      <c r="J834" t="str">
        <f t="shared" ref="J834:J897" si="67">IF(I834="","",LEFT(I834,FIND("-",I834)-1))</f>
        <v/>
      </c>
      <c r="K834" t="str">
        <f t="shared" ref="K834:K897" si="68">IF(I834="","",RIGHT(I834,LEN(I834)-FIND("-",I834)))</f>
        <v/>
      </c>
      <c r="L834" t="str">
        <f t="shared" ref="L834:L897" si="69">IF(I834="","",IF(J834&gt;K834,F834,IF(K834&gt;J834,G834,"Draw")))</f>
        <v/>
      </c>
      <c r="M834" t="str">
        <f>IF(COUNTIF($A$2:A834,A834)=1,
     VLOOKUP(A834,Season_Winners!A:B,2,FALSE),
     "")</f>
        <v/>
      </c>
      <c r="N834" s="2"/>
    </row>
    <row r="835" spans="1:14" x14ac:dyDescent="0.3">
      <c r="A835" t="s">
        <v>335</v>
      </c>
      <c r="B835">
        <v>8</v>
      </c>
      <c r="C835" t="s">
        <v>363</v>
      </c>
      <c r="D835" t="str">
        <f t="shared" si="65"/>
        <v>17.10.2015</v>
      </c>
      <c r="E835" s="1">
        <v>0.91666666666666663</v>
      </c>
      <c r="F835" t="s">
        <v>16</v>
      </c>
      <c r="G835" t="s">
        <v>17</v>
      </c>
      <c r="H835" t="s">
        <v>32</v>
      </c>
      <c r="I835" t="str">
        <f t="shared" si="66"/>
        <v>3-0</v>
      </c>
      <c r="J835" t="str">
        <f t="shared" si="67"/>
        <v>3</v>
      </c>
      <c r="K835" t="str">
        <f t="shared" si="68"/>
        <v>0</v>
      </c>
      <c r="L835" t="str">
        <f t="shared" si="69"/>
        <v>Valencia CF</v>
      </c>
      <c r="M835" t="str">
        <f>IF(COUNTIF($A$2:A835,A835)=1,
     VLOOKUP(A835,Season_Winners!A:B,2,FALSE),
     "")</f>
        <v/>
      </c>
    </row>
    <row r="836" spans="1:14" hidden="1" x14ac:dyDescent="0.3">
      <c r="A836" t="s">
        <v>335</v>
      </c>
      <c r="B836">
        <v>8</v>
      </c>
      <c r="C836" t="s">
        <v>363</v>
      </c>
      <c r="D836" t="str">
        <f t="shared" si="65"/>
        <v>17.10.2015</v>
      </c>
      <c r="E836" s="1">
        <v>0.92013888888888884</v>
      </c>
      <c r="F836" t="s">
        <v>26</v>
      </c>
      <c r="G836" t="s">
        <v>36</v>
      </c>
      <c r="H836" s="2">
        <v>46082</v>
      </c>
      <c r="I836" s="3" t="str">
        <f t="shared" si="66"/>
        <v/>
      </c>
      <c r="J836" t="str">
        <f t="shared" si="67"/>
        <v/>
      </c>
      <c r="K836" t="str">
        <f t="shared" si="68"/>
        <v/>
      </c>
      <c r="L836" t="str">
        <f t="shared" si="69"/>
        <v/>
      </c>
      <c r="M836" t="str">
        <f>IF(COUNTIF($A$2:A836,A836)=1,
     VLOOKUP(A836,Season_Winners!A:B,2,FALSE),
     "")</f>
        <v/>
      </c>
      <c r="N836" s="2"/>
    </row>
    <row r="837" spans="1:14" hidden="1" x14ac:dyDescent="0.3">
      <c r="A837" t="s">
        <v>335</v>
      </c>
      <c r="B837">
        <v>8</v>
      </c>
      <c r="C837" t="s">
        <v>364</v>
      </c>
      <c r="D837" t="str">
        <f t="shared" si="65"/>
        <v>18.10.2015</v>
      </c>
      <c r="E837" s="1">
        <v>0.5</v>
      </c>
      <c r="F837" t="s">
        <v>34</v>
      </c>
      <c r="G837" t="s">
        <v>35</v>
      </c>
      <c r="H837" s="2">
        <v>46054</v>
      </c>
      <c r="I837" s="3" t="str">
        <f t="shared" si="66"/>
        <v/>
      </c>
      <c r="J837" t="str">
        <f t="shared" si="67"/>
        <v/>
      </c>
      <c r="K837" t="str">
        <f t="shared" si="68"/>
        <v/>
      </c>
      <c r="L837" t="str">
        <f t="shared" si="69"/>
        <v/>
      </c>
      <c r="M837" t="str">
        <f>IF(COUNTIF($A$2:A837,A837)=1,
     VLOOKUP(A837,Season_Winners!A:B,2,FALSE),
     "")</f>
        <v/>
      </c>
      <c r="N837" s="2"/>
    </row>
    <row r="838" spans="1:14" x14ac:dyDescent="0.3">
      <c r="A838" t="s">
        <v>335</v>
      </c>
      <c r="B838">
        <v>8</v>
      </c>
      <c r="C838" t="s">
        <v>364</v>
      </c>
      <c r="D838" t="str">
        <f t="shared" si="65"/>
        <v>18.10.2015</v>
      </c>
      <c r="E838" s="1">
        <v>0.66666666666666663</v>
      </c>
      <c r="F838" t="s">
        <v>10</v>
      </c>
      <c r="G838" t="s">
        <v>1425</v>
      </c>
      <c r="H838" t="s">
        <v>54</v>
      </c>
      <c r="I838" t="str">
        <f t="shared" si="66"/>
        <v>0-2</v>
      </c>
      <c r="J838" t="str">
        <f t="shared" si="67"/>
        <v>0</v>
      </c>
      <c r="K838" t="str">
        <f t="shared" si="68"/>
        <v>2</v>
      </c>
      <c r="L838" t="str">
        <f t="shared" si="69"/>
        <v>Atlético de Madrid</v>
      </c>
      <c r="M838" t="str">
        <f>IF(COUNTIF($A$2:A838,A838)=1,
     VLOOKUP(A838,Season_Winners!A:B,2,FALSE),
     "")</f>
        <v/>
      </c>
    </row>
    <row r="839" spans="1:14" x14ac:dyDescent="0.3">
      <c r="A839" t="s">
        <v>335</v>
      </c>
      <c r="B839">
        <v>8</v>
      </c>
      <c r="C839" t="s">
        <v>364</v>
      </c>
      <c r="D839" t="str">
        <f t="shared" si="65"/>
        <v>18.10.2015</v>
      </c>
      <c r="E839" s="1">
        <v>0.76041666666666663</v>
      </c>
      <c r="F839" t="s">
        <v>11</v>
      </c>
      <c r="G839" t="s">
        <v>338</v>
      </c>
      <c r="H839" t="s">
        <v>88</v>
      </c>
      <c r="I839" t="str">
        <f t="shared" si="66"/>
        <v>4-0</v>
      </c>
      <c r="J839" t="str">
        <f t="shared" si="67"/>
        <v>4</v>
      </c>
      <c r="K839" t="str">
        <f t="shared" si="68"/>
        <v>0</v>
      </c>
      <c r="L839" t="str">
        <f t="shared" si="69"/>
        <v>Getafe CF</v>
      </c>
      <c r="M839" t="str">
        <f>IF(COUNTIF($A$2:A839,A839)=1,
     VLOOKUP(A839,Season_Winners!A:B,2,FALSE),
     "")</f>
        <v/>
      </c>
    </row>
    <row r="840" spans="1:14" hidden="1" x14ac:dyDescent="0.3">
      <c r="A840" t="s">
        <v>335</v>
      </c>
      <c r="B840">
        <v>8</v>
      </c>
      <c r="C840" t="s">
        <v>364</v>
      </c>
      <c r="D840" t="str">
        <f t="shared" si="65"/>
        <v>18.10.2015</v>
      </c>
      <c r="E840" s="1">
        <v>0.85416666666666663</v>
      </c>
      <c r="F840" t="s">
        <v>182</v>
      </c>
      <c r="G840" t="s">
        <v>15</v>
      </c>
      <c r="H840" s="2">
        <v>46055</v>
      </c>
      <c r="I840" s="3" t="str">
        <f t="shared" si="66"/>
        <v/>
      </c>
      <c r="J840" t="str">
        <f t="shared" si="67"/>
        <v/>
      </c>
      <c r="K840" t="str">
        <f t="shared" si="68"/>
        <v/>
      </c>
      <c r="L840" t="str">
        <f t="shared" si="69"/>
        <v/>
      </c>
      <c r="M840" t="str">
        <f>IF(COUNTIF($A$2:A840,A840)=1,
     VLOOKUP(A840,Season_Winners!A:B,2,FALSE),
     "")</f>
        <v/>
      </c>
      <c r="N840" s="2"/>
    </row>
    <row r="841" spans="1:14" hidden="1" x14ac:dyDescent="0.3">
      <c r="A841" t="s">
        <v>335</v>
      </c>
      <c r="B841">
        <v>8</v>
      </c>
      <c r="C841" t="s">
        <v>365</v>
      </c>
      <c r="D841" t="str">
        <f t="shared" si="65"/>
        <v>19.10.2015</v>
      </c>
      <c r="E841" s="1">
        <v>0.85416666666666663</v>
      </c>
      <c r="F841" t="s">
        <v>340</v>
      </c>
      <c r="G841" t="s">
        <v>24</v>
      </c>
      <c r="H841" s="2">
        <v>46084</v>
      </c>
      <c r="I841" s="3" t="str">
        <f t="shared" si="66"/>
        <v/>
      </c>
      <c r="J841" t="str">
        <f t="shared" si="67"/>
        <v/>
      </c>
      <c r="K841" t="str">
        <f t="shared" si="68"/>
        <v/>
      </c>
      <c r="L841" t="str">
        <f t="shared" si="69"/>
        <v/>
      </c>
      <c r="M841" t="str">
        <f>IF(COUNTIF($A$2:A841,A841)=1,
     VLOOKUP(A841,Season_Winners!A:B,2,FALSE),
     "")</f>
        <v/>
      </c>
      <c r="N841" s="2"/>
    </row>
    <row r="842" spans="1:14" x14ac:dyDescent="0.3">
      <c r="A842" t="s">
        <v>335</v>
      </c>
      <c r="B842">
        <v>9</v>
      </c>
      <c r="C842" t="s">
        <v>366</v>
      </c>
      <c r="D842" t="str">
        <f t="shared" si="65"/>
        <v>23.10.2015</v>
      </c>
      <c r="E842" s="1">
        <v>0.85416666666666663</v>
      </c>
      <c r="F842" t="s">
        <v>30</v>
      </c>
      <c r="G842" t="s">
        <v>36</v>
      </c>
      <c r="H842" t="s">
        <v>32</v>
      </c>
      <c r="I842" t="str">
        <f t="shared" si="66"/>
        <v>3-0</v>
      </c>
      <c r="J842" t="str">
        <f t="shared" si="67"/>
        <v>3</v>
      </c>
      <c r="K842" t="str">
        <f t="shared" si="68"/>
        <v>0</v>
      </c>
      <c r="L842" t="str">
        <f t="shared" si="69"/>
        <v>Rayo Vallecano</v>
      </c>
      <c r="M842" t="str">
        <f>IF(COUNTIF($A$2:A842,A842)=1,
     VLOOKUP(A842,Season_Winners!A:B,2,FALSE),
     "")</f>
        <v/>
      </c>
    </row>
    <row r="843" spans="1:14" hidden="1" x14ac:dyDescent="0.3">
      <c r="A843" t="s">
        <v>335</v>
      </c>
      <c r="B843">
        <v>9</v>
      </c>
      <c r="C843" t="s">
        <v>367</v>
      </c>
      <c r="D843" t="str">
        <f t="shared" si="65"/>
        <v>24.10.2015</v>
      </c>
      <c r="E843" s="1">
        <v>0.66666666666666663</v>
      </c>
      <c r="F843" t="s">
        <v>35</v>
      </c>
      <c r="G843" t="s">
        <v>25</v>
      </c>
      <c r="H843" s="2">
        <v>46082</v>
      </c>
      <c r="I843" s="3" t="str">
        <f t="shared" si="66"/>
        <v/>
      </c>
      <c r="J843" t="str">
        <f t="shared" si="67"/>
        <v/>
      </c>
      <c r="K843" t="str">
        <f t="shared" si="68"/>
        <v/>
      </c>
      <c r="L843" t="str">
        <f t="shared" si="69"/>
        <v/>
      </c>
      <c r="M843" t="str">
        <f>IF(COUNTIF($A$2:A843,A843)=1,
     VLOOKUP(A843,Season_Winners!A:B,2,FALSE),
     "")</f>
        <v/>
      </c>
      <c r="N843" s="2"/>
    </row>
    <row r="844" spans="1:14" hidden="1" x14ac:dyDescent="0.3">
      <c r="A844" t="s">
        <v>335</v>
      </c>
      <c r="B844">
        <v>9</v>
      </c>
      <c r="C844" t="s">
        <v>367</v>
      </c>
      <c r="D844" t="str">
        <f t="shared" si="65"/>
        <v>24.10.2015</v>
      </c>
      <c r="E844" s="1">
        <v>0.76041666666666663</v>
      </c>
      <c r="F844" t="s">
        <v>24</v>
      </c>
      <c r="G844" t="s">
        <v>26</v>
      </c>
      <c r="H844" s="2">
        <v>46023</v>
      </c>
      <c r="I844" s="3" t="str">
        <f t="shared" si="66"/>
        <v/>
      </c>
      <c r="J844" t="str">
        <f t="shared" si="67"/>
        <v/>
      </c>
      <c r="K844" t="str">
        <f t="shared" si="68"/>
        <v/>
      </c>
      <c r="L844" t="str">
        <f t="shared" si="69"/>
        <v/>
      </c>
      <c r="M844" t="str">
        <f>IF(COUNTIF($A$2:A844,A844)=1,
     VLOOKUP(A844,Season_Winners!A:B,2,FALSE),
     "")</f>
        <v/>
      </c>
      <c r="N844" s="2"/>
    </row>
    <row r="845" spans="1:14" x14ac:dyDescent="0.3">
      <c r="A845" t="s">
        <v>335</v>
      </c>
      <c r="B845">
        <v>9</v>
      </c>
      <c r="C845" t="s">
        <v>367</v>
      </c>
      <c r="D845" t="str">
        <f t="shared" si="65"/>
        <v>24.10.2015</v>
      </c>
      <c r="E845" s="1">
        <v>0.85416666666666663</v>
      </c>
      <c r="F845" t="s">
        <v>27</v>
      </c>
      <c r="G845" t="s">
        <v>11</v>
      </c>
      <c r="H845" t="s">
        <v>40</v>
      </c>
      <c r="I845" t="str">
        <f t="shared" si="66"/>
        <v>5-0</v>
      </c>
      <c r="J845" t="str">
        <f t="shared" si="67"/>
        <v>5</v>
      </c>
      <c r="K845" t="str">
        <f t="shared" si="68"/>
        <v>0</v>
      </c>
      <c r="L845" t="str">
        <f t="shared" si="69"/>
        <v>Sevilla FC</v>
      </c>
      <c r="M845" t="str">
        <f>IF(COUNTIF($A$2:A845,A845)=1,
     VLOOKUP(A845,Season_Winners!A:B,2,FALSE),
     "")</f>
        <v/>
      </c>
    </row>
    <row r="846" spans="1:14" x14ac:dyDescent="0.3">
      <c r="A846" t="s">
        <v>335</v>
      </c>
      <c r="B846">
        <v>9</v>
      </c>
      <c r="C846" t="s">
        <v>367</v>
      </c>
      <c r="D846" t="str">
        <f t="shared" si="65"/>
        <v>24.10.2015</v>
      </c>
      <c r="E846" s="1">
        <v>0.92013888888888884</v>
      </c>
      <c r="F846" t="s">
        <v>17</v>
      </c>
      <c r="G846" t="s">
        <v>182</v>
      </c>
      <c r="H846" t="s">
        <v>12</v>
      </c>
      <c r="I846" t="str">
        <f t="shared" si="66"/>
        <v>2-0</v>
      </c>
      <c r="J846" t="str">
        <f t="shared" si="67"/>
        <v>2</v>
      </c>
      <c r="K846" t="str">
        <f t="shared" si="68"/>
        <v>0</v>
      </c>
      <c r="L846" t="str">
        <f t="shared" si="69"/>
        <v>MÃ¡laga CF</v>
      </c>
      <c r="M846" t="str">
        <f>IF(COUNTIF($A$2:A846,A846)=1,
     VLOOKUP(A846,Season_Winners!A:B,2,FALSE),
     "")</f>
        <v/>
      </c>
    </row>
    <row r="847" spans="1:14" x14ac:dyDescent="0.3">
      <c r="A847" t="s">
        <v>335</v>
      </c>
      <c r="B847">
        <v>9</v>
      </c>
      <c r="C847" t="s">
        <v>368</v>
      </c>
      <c r="D847" t="str">
        <f t="shared" si="65"/>
        <v>25.10.2015</v>
      </c>
      <c r="E847" s="1">
        <v>0.5</v>
      </c>
      <c r="F847" t="s">
        <v>21</v>
      </c>
      <c r="G847" t="s">
        <v>10</v>
      </c>
      <c r="H847" t="s">
        <v>53</v>
      </c>
      <c r="I847" t="str">
        <f t="shared" si="66"/>
        <v>0-4</v>
      </c>
      <c r="J847" t="str">
        <f t="shared" si="67"/>
        <v>0</v>
      </c>
      <c r="K847" t="str">
        <f t="shared" si="68"/>
        <v>4</v>
      </c>
      <c r="L847" t="str">
        <f t="shared" si="69"/>
        <v>Real Sociedad</v>
      </c>
      <c r="M847" t="str">
        <f>IF(COUNTIF($A$2:A847,A847)=1,
     VLOOKUP(A847,Season_Winners!A:B,2,FALSE),
     "")</f>
        <v/>
      </c>
    </row>
    <row r="848" spans="1:14" x14ac:dyDescent="0.3">
      <c r="A848" t="s">
        <v>335</v>
      </c>
      <c r="B848">
        <v>9</v>
      </c>
      <c r="C848" t="s">
        <v>368</v>
      </c>
      <c r="D848" t="str">
        <f t="shared" si="65"/>
        <v>25.10.2015</v>
      </c>
      <c r="E848" s="1">
        <v>0.66666666666666663</v>
      </c>
      <c r="F848" t="s">
        <v>338</v>
      </c>
      <c r="G848" t="s">
        <v>34</v>
      </c>
      <c r="H848" t="s">
        <v>41</v>
      </c>
      <c r="I848" t="str">
        <f t="shared" si="66"/>
        <v>0-0</v>
      </c>
      <c r="J848" t="str">
        <f t="shared" si="67"/>
        <v>0</v>
      </c>
      <c r="K848" t="str">
        <f t="shared" si="68"/>
        <v>0</v>
      </c>
      <c r="L848" t="str">
        <f t="shared" si="69"/>
        <v>Draw</v>
      </c>
      <c r="M848" t="str">
        <f>IF(COUNTIF($A$2:A848,A848)=1,
     VLOOKUP(A848,Season_Winners!A:B,2,FALSE),
     "")</f>
        <v/>
      </c>
    </row>
    <row r="849" spans="1:14" hidden="1" x14ac:dyDescent="0.3">
      <c r="A849" t="s">
        <v>335</v>
      </c>
      <c r="B849">
        <v>9</v>
      </c>
      <c r="C849" t="s">
        <v>368</v>
      </c>
      <c r="D849" t="str">
        <f t="shared" si="65"/>
        <v>25.10.2015</v>
      </c>
      <c r="E849" s="1">
        <v>0.76041666666666663</v>
      </c>
      <c r="F849" t="s">
        <v>20</v>
      </c>
      <c r="G849" t="s">
        <v>187</v>
      </c>
      <c r="H849" s="2">
        <v>46025</v>
      </c>
      <c r="I849" s="3" t="str">
        <f t="shared" si="66"/>
        <v/>
      </c>
      <c r="J849" t="str">
        <f t="shared" si="67"/>
        <v/>
      </c>
      <c r="K849" t="str">
        <f t="shared" si="68"/>
        <v/>
      </c>
      <c r="L849" t="str">
        <f t="shared" si="69"/>
        <v/>
      </c>
      <c r="M849" t="str">
        <f>IF(COUNTIF($A$2:A849,A849)=1,
     VLOOKUP(A849,Season_Winners!A:B,2,FALSE),
     "")</f>
        <v/>
      </c>
      <c r="N849" s="2"/>
    </row>
    <row r="850" spans="1:14" hidden="1" x14ac:dyDescent="0.3">
      <c r="A850" t="s">
        <v>335</v>
      </c>
      <c r="B850">
        <v>9</v>
      </c>
      <c r="C850" t="s">
        <v>368</v>
      </c>
      <c r="D850" t="str">
        <f t="shared" si="65"/>
        <v>25.10.2015</v>
      </c>
      <c r="E850" s="1">
        <v>0.85416666666666663</v>
      </c>
      <c r="F850" t="s">
        <v>28</v>
      </c>
      <c r="G850" t="s">
        <v>16</v>
      </c>
      <c r="H850" s="2">
        <v>46024</v>
      </c>
      <c r="I850" s="3" t="str">
        <f t="shared" si="66"/>
        <v/>
      </c>
      <c r="J850" t="str">
        <f t="shared" si="67"/>
        <v/>
      </c>
      <c r="K850" t="str">
        <f t="shared" si="68"/>
        <v/>
      </c>
      <c r="L850" t="str">
        <f t="shared" si="69"/>
        <v/>
      </c>
      <c r="M850" t="str">
        <f>IF(COUNTIF($A$2:A850,A850)=1,
     VLOOKUP(A850,Season_Winners!A:B,2,FALSE),
     "")</f>
        <v/>
      </c>
      <c r="N850" s="2"/>
    </row>
    <row r="851" spans="1:14" x14ac:dyDescent="0.3">
      <c r="A851" t="s">
        <v>335</v>
      </c>
      <c r="B851">
        <v>9</v>
      </c>
      <c r="C851" t="s">
        <v>369</v>
      </c>
      <c r="D851" t="str">
        <f t="shared" si="65"/>
        <v>26.10.2015</v>
      </c>
      <c r="E851" s="1">
        <v>0.85416666666666663</v>
      </c>
      <c r="F851" t="s">
        <v>15</v>
      </c>
      <c r="G851" t="s">
        <v>340</v>
      </c>
      <c r="H851" t="s">
        <v>32</v>
      </c>
      <c r="I851" t="str">
        <f t="shared" si="66"/>
        <v>3-0</v>
      </c>
      <c r="J851" t="str">
        <f t="shared" si="67"/>
        <v>3</v>
      </c>
      <c r="K851" t="str">
        <f t="shared" si="68"/>
        <v>0</v>
      </c>
      <c r="L851" t="str">
        <f t="shared" si="69"/>
        <v>Athletic Club</v>
      </c>
      <c r="M851" t="str">
        <f>IF(COUNTIF($A$2:A851,A851)=1,
     VLOOKUP(A851,Season_Winners!A:B,2,FALSE),
     "")</f>
        <v/>
      </c>
    </row>
    <row r="852" spans="1:14" hidden="1" x14ac:dyDescent="0.3">
      <c r="A852" t="s">
        <v>335</v>
      </c>
      <c r="B852">
        <v>10</v>
      </c>
      <c r="C852" t="s">
        <v>370</v>
      </c>
      <c r="D852" t="str">
        <f t="shared" si="65"/>
        <v>30.10.2015</v>
      </c>
      <c r="E852" s="1">
        <v>0.85416666666666663</v>
      </c>
      <c r="F852" t="s">
        <v>182</v>
      </c>
      <c r="G852" t="s">
        <v>28</v>
      </c>
      <c r="H852" s="2">
        <v>46023</v>
      </c>
      <c r="I852" s="3" t="str">
        <f t="shared" si="66"/>
        <v/>
      </c>
      <c r="J852" t="str">
        <f t="shared" si="67"/>
        <v/>
      </c>
      <c r="K852" t="str">
        <f t="shared" si="68"/>
        <v/>
      </c>
      <c r="L852" t="str">
        <f t="shared" si="69"/>
        <v/>
      </c>
      <c r="M852" t="str">
        <f>IF(COUNTIF($A$2:A852,A852)=1,
     VLOOKUP(A852,Season_Winners!A:B,2,FALSE),
     "")</f>
        <v/>
      </c>
      <c r="N852" s="2"/>
    </row>
    <row r="853" spans="1:14" hidden="1" x14ac:dyDescent="0.3">
      <c r="A853" t="s">
        <v>335</v>
      </c>
      <c r="B853">
        <v>10</v>
      </c>
      <c r="C853" t="s">
        <v>371</v>
      </c>
      <c r="D853" t="str">
        <f t="shared" si="65"/>
        <v>31.10.2015</v>
      </c>
      <c r="E853" s="1">
        <v>0.66666666666666663</v>
      </c>
      <c r="F853" t="s">
        <v>25</v>
      </c>
      <c r="G853" t="s">
        <v>338</v>
      </c>
      <c r="H853" s="2">
        <v>46025</v>
      </c>
      <c r="I853" s="3" t="str">
        <f t="shared" si="66"/>
        <v/>
      </c>
      <c r="J853" t="str">
        <f t="shared" si="67"/>
        <v/>
      </c>
      <c r="K853" t="str">
        <f t="shared" si="68"/>
        <v/>
      </c>
      <c r="L853" t="str">
        <f t="shared" si="69"/>
        <v/>
      </c>
      <c r="M853" t="str">
        <f>IF(COUNTIF($A$2:A853,A853)=1,
     VLOOKUP(A853,Season_Winners!A:B,2,FALSE),
     "")</f>
        <v/>
      </c>
      <c r="N853" s="2"/>
    </row>
    <row r="854" spans="1:14" x14ac:dyDescent="0.3">
      <c r="A854" t="s">
        <v>335</v>
      </c>
      <c r="B854">
        <v>10</v>
      </c>
      <c r="C854" t="s">
        <v>371</v>
      </c>
      <c r="D854" t="str">
        <f t="shared" si="65"/>
        <v>31.10.2015</v>
      </c>
      <c r="E854" s="1">
        <v>0.76041666666666663</v>
      </c>
      <c r="F854" t="s">
        <v>16</v>
      </c>
      <c r="G854" t="s">
        <v>21</v>
      </c>
      <c r="H854" t="s">
        <v>32</v>
      </c>
      <c r="I854" t="str">
        <f t="shared" si="66"/>
        <v>3-0</v>
      </c>
      <c r="J854" t="str">
        <f t="shared" si="67"/>
        <v>3</v>
      </c>
      <c r="K854" t="str">
        <f t="shared" si="68"/>
        <v>0</v>
      </c>
      <c r="L854" t="str">
        <f t="shared" si="69"/>
        <v>Valencia CF</v>
      </c>
      <c r="M854" t="str">
        <f>IF(COUNTIF($A$2:A854,A854)=1,
     VLOOKUP(A854,Season_Winners!A:B,2,FALSE),
     "")</f>
        <v/>
      </c>
    </row>
    <row r="855" spans="1:14" hidden="1" x14ac:dyDescent="0.3">
      <c r="A855" t="s">
        <v>335</v>
      </c>
      <c r="B855">
        <v>10</v>
      </c>
      <c r="C855" t="s">
        <v>371</v>
      </c>
      <c r="D855" t="str">
        <f t="shared" si="65"/>
        <v>31.10.2015</v>
      </c>
      <c r="E855" s="1">
        <v>0.76041666666666663</v>
      </c>
      <c r="F855" t="s">
        <v>34</v>
      </c>
      <c r="G855" t="s">
        <v>27</v>
      </c>
      <c r="H855" s="2">
        <v>46024</v>
      </c>
      <c r="I855" s="3" t="str">
        <f t="shared" si="66"/>
        <v/>
      </c>
      <c r="J855" t="str">
        <f t="shared" si="67"/>
        <v/>
      </c>
      <c r="K855" t="str">
        <f t="shared" si="68"/>
        <v/>
      </c>
      <c r="L855" t="str">
        <f t="shared" si="69"/>
        <v/>
      </c>
      <c r="M855" t="str">
        <f>IF(COUNTIF($A$2:A855,A855)=1,
     VLOOKUP(A855,Season_Winners!A:B,2,FALSE),
     "")</f>
        <v/>
      </c>
      <c r="N855" s="2"/>
    </row>
    <row r="856" spans="1:14" x14ac:dyDescent="0.3">
      <c r="A856" t="s">
        <v>335</v>
      </c>
      <c r="B856">
        <v>10</v>
      </c>
      <c r="C856" t="s">
        <v>371</v>
      </c>
      <c r="D856" t="str">
        <f t="shared" si="65"/>
        <v>31.10.2015</v>
      </c>
      <c r="E856" s="1">
        <v>0.85416666666666663</v>
      </c>
      <c r="F856" t="s">
        <v>11</v>
      </c>
      <c r="G856" t="s">
        <v>20</v>
      </c>
      <c r="H856" t="s">
        <v>54</v>
      </c>
      <c r="I856" t="str">
        <f t="shared" si="66"/>
        <v>0-2</v>
      </c>
      <c r="J856" t="str">
        <f t="shared" si="67"/>
        <v>0</v>
      </c>
      <c r="K856" t="str">
        <f t="shared" si="68"/>
        <v>2</v>
      </c>
      <c r="L856" t="str">
        <f t="shared" si="69"/>
        <v>FC Barcelona</v>
      </c>
      <c r="M856" t="str">
        <f>IF(COUNTIF($A$2:A856,A856)=1,
     VLOOKUP(A856,Season_Winners!A:B,2,FALSE),
     "")</f>
        <v/>
      </c>
    </row>
    <row r="857" spans="1:14" hidden="1" x14ac:dyDescent="0.3">
      <c r="A857" t="s">
        <v>335</v>
      </c>
      <c r="B857">
        <v>10</v>
      </c>
      <c r="C857" t="s">
        <v>371</v>
      </c>
      <c r="D857" t="str">
        <f t="shared" si="65"/>
        <v>31.10.2015</v>
      </c>
      <c r="E857" s="1">
        <v>0.92013888888888884</v>
      </c>
      <c r="F857" t="s">
        <v>10</v>
      </c>
      <c r="G857" t="s">
        <v>35</v>
      </c>
      <c r="H857" s="2">
        <v>46083</v>
      </c>
      <c r="I857" s="3" t="str">
        <f t="shared" si="66"/>
        <v/>
      </c>
      <c r="J857" t="str">
        <f t="shared" si="67"/>
        <v/>
      </c>
      <c r="K857" t="str">
        <f t="shared" si="68"/>
        <v/>
      </c>
      <c r="L857" t="str">
        <f t="shared" si="69"/>
        <v/>
      </c>
      <c r="M857" t="str">
        <f>IF(COUNTIF($A$2:A857,A857)=1,
     VLOOKUP(A857,Season_Winners!A:B,2,FALSE),
     "")</f>
        <v/>
      </c>
      <c r="N857" s="2"/>
    </row>
    <row r="858" spans="1:14" x14ac:dyDescent="0.3">
      <c r="A858" t="s">
        <v>335</v>
      </c>
      <c r="B858">
        <v>10</v>
      </c>
      <c r="C858" t="s">
        <v>372</v>
      </c>
      <c r="D858" t="str">
        <f t="shared" si="65"/>
        <v>01.11.2015</v>
      </c>
      <c r="E858" s="1">
        <v>0.5</v>
      </c>
      <c r="F858" t="s">
        <v>187</v>
      </c>
      <c r="G858" t="s">
        <v>30</v>
      </c>
      <c r="H858" t="s">
        <v>18</v>
      </c>
      <c r="I858" t="str">
        <f t="shared" si="66"/>
        <v>1-0</v>
      </c>
      <c r="J858" t="str">
        <f t="shared" si="67"/>
        <v>1</v>
      </c>
      <c r="K858" t="str">
        <f t="shared" si="68"/>
        <v>0</v>
      </c>
      <c r="L858" t="str">
        <f t="shared" si="69"/>
        <v>SD Eibar</v>
      </c>
      <c r="M858" t="str">
        <f>IF(COUNTIF($A$2:A858,A858)=1,
     VLOOKUP(A858,Season_Winners!A:B,2,FALSE),
     "")</f>
        <v/>
      </c>
    </row>
    <row r="859" spans="1:14" hidden="1" x14ac:dyDescent="0.3">
      <c r="A859" t="s">
        <v>335</v>
      </c>
      <c r="B859">
        <v>10</v>
      </c>
      <c r="C859" t="s">
        <v>372</v>
      </c>
      <c r="D859" t="str">
        <f t="shared" si="65"/>
        <v>01.11.2015</v>
      </c>
      <c r="E859" s="1">
        <v>0.66666666666666663</v>
      </c>
      <c r="F859" t="s">
        <v>36</v>
      </c>
      <c r="G859" t="s">
        <v>24</v>
      </c>
      <c r="H859" s="2">
        <v>46023</v>
      </c>
      <c r="I859" s="3" t="str">
        <f t="shared" si="66"/>
        <v/>
      </c>
      <c r="J859" t="str">
        <f t="shared" si="67"/>
        <v/>
      </c>
      <c r="K859" t="str">
        <f t="shared" si="68"/>
        <v/>
      </c>
      <c r="L859" t="str">
        <f t="shared" si="69"/>
        <v/>
      </c>
      <c r="M859" t="str">
        <f>IF(COUNTIF($A$2:A859,A859)=1,
     VLOOKUP(A859,Season_Winners!A:B,2,FALSE),
     "")</f>
        <v/>
      </c>
      <c r="N859" s="2"/>
    </row>
    <row r="860" spans="1:14" x14ac:dyDescent="0.3">
      <c r="A860" t="s">
        <v>335</v>
      </c>
      <c r="B860">
        <v>10</v>
      </c>
      <c r="C860" t="s">
        <v>372</v>
      </c>
      <c r="D860" t="str">
        <f t="shared" si="65"/>
        <v>01.11.2015</v>
      </c>
      <c r="E860" s="1">
        <v>0.76041666666666663</v>
      </c>
      <c r="F860" t="s">
        <v>340</v>
      </c>
      <c r="G860" t="s">
        <v>17</v>
      </c>
      <c r="H860" t="s">
        <v>18</v>
      </c>
      <c r="I860" t="str">
        <f t="shared" si="66"/>
        <v>1-0</v>
      </c>
      <c r="J860" t="str">
        <f t="shared" si="67"/>
        <v>1</v>
      </c>
      <c r="K860" t="str">
        <f t="shared" si="68"/>
        <v>0</v>
      </c>
      <c r="L860" t="str">
        <f t="shared" si="69"/>
        <v>Real Sporting</v>
      </c>
      <c r="M860" t="str">
        <f>IF(COUNTIF($A$2:A860,A860)=1,
     VLOOKUP(A860,Season_Winners!A:B,2,FALSE),
     "")</f>
        <v/>
      </c>
    </row>
    <row r="861" spans="1:14" hidden="1" x14ac:dyDescent="0.3">
      <c r="A861" t="s">
        <v>335</v>
      </c>
      <c r="B861">
        <v>10</v>
      </c>
      <c r="C861" t="s">
        <v>372</v>
      </c>
      <c r="D861" t="str">
        <f t="shared" si="65"/>
        <v>01.11.2015</v>
      </c>
      <c r="E861" s="1">
        <v>0.85416666666666663</v>
      </c>
      <c r="F861" t="s">
        <v>26</v>
      </c>
      <c r="G861" t="s">
        <v>15</v>
      </c>
      <c r="H861" s="2">
        <v>46082</v>
      </c>
      <c r="I861" s="3" t="str">
        <f t="shared" si="66"/>
        <v/>
      </c>
      <c r="J861" t="str">
        <f t="shared" si="67"/>
        <v/>
      </c>
      <c r="K861" t="str">
        <f t="shared" si="68"/>
        <v/>
      </c>
      <c r="L861" t="str">
        <f t="shared" si="69"/>
        <v/>
      </c>
      <c r="M861" t="str">
        <f>IF(COUNTIF($A$2:A861,A861)=1,
     VLOOKUP(A861,Season_Winners!A:B,2,FALSE),
     "")</f>
        <v/>
      </c>
      <c r="N861" s="2"/>
    </row>
    <row r="862" spans="1:14" x14ac:dyDescent="0.3">
      <c r="A862" t="s">
        <v>335</v>
      </c>
      <c r="B862">
        <v>11</v>
      </c>
      <c r="C862" t="s">
        <v>373</v>
      </c>
      <c r="D862" t="str">
        <f t="shared" si="65"/>
        <v>06.11.2015</v>
      </c>
      <c r="E862" s="1">
        <v>0.85416666666666663</v>
      </c>
      <c r="F862" t="s">
        <v>338</v>
      </c>
      <c r="G862" t="s">
        <v>10</v>
      </c>
      <c r="H862" t="s">
        <v>12</v>
      </c>
      <c r="I862" t="str">
        <f t="shared" si="66"/>
        <v>2-0</v>
      </c>
      <c r="J862" t="str">
        <f t="shared" si="67"/>
        <v>2</v>
      </c>
      <c r="K862" t="str">
        <f t="shared" si="68"/>
        <v>0</v>
      </c>
      <c r="L862" t="str">
        <f t="shared" si="69"/>
        <v>UD Las Palmas</v>
      </c>
      <c r="M862" t="str">
        <f>IF(COUNTIF($A$2:A862,A862)=1,
     VLOOKUP(A862,Season_Winners!A:B,2,FALSE),
     "")</f>
        <v/>
      </c>
    </row>
    <row r="863" spans="1:14" hidden="1" x14ac:dyDescent="0.3">
      <c r="A863" t="s">
        <v>335</v>
      </c>
      <c r="B863">
        <v>11</v>
      </c>
      <c r="C863" t="s">
        <v>374</v>
      </c>
      <c r="D863" t="str">
        <f t="shared" si="65"/>
        <v>07.11.2015</v>
      </c>
      <c r="E863" s="1">
        <v>0.66666666666666663</v>
      </c>
      <c r="F863" t="s">
        <v>35</v>
      </c>
      <c r="G863" t="s">
        <v>16</v>
      </c>
      <c r="H863" s="2">
        <v>46143</v>
      </c>
      <c r="I863" s="3" t="str">
        <f t="shared" si="66"/>
        <v/>
      </c>
      <c r="J863" t="str">
        <f t="shared" si="67"/>
        <v/>
      </c>
      <c r="K863" t="str">
        <f t="shared" si="68"/>
        <v/>
      </c>
      <c r="L863" t="str">
        <f t="shared" si="69"/>
        <v/>
      </c>
      <c r="M863" t="str">
        <f>IF(COUNTIF($A$2:A863,A863)=1,
     VLOOKUP(A863,Season_Winners!A:B,2,FALSE),
     "")</f>
        <v/>
      </c>
      <c r="N863" s="2"/>
    </row>
    <row r="864" spans="1:14" hidden="1" x14ac:dyDescent="0.3">
      <c r="A864" t="s">
        <v>335</v>
      </c>
      <c r="B864">
        <v>11</v>
      </c>
      <c r="C864" t="s">
        <v>374</v>
      </c>
      <c r="D864" t="str">
        <f t="shared" si="65"/>
        <v>07.11.2015</v>
      </c>
      <c r="E864" s="1">
        <v>0.76041666666666663</v>
      </c>
      <c r="F864" t="s">
        <v>21</v>
      </c>
      <c r="G864" t="s">
        <v>182</v>
      </c>
      <c r="H864" s="2">
        <v>46023</v>
      </c>
      <c r="I864" s="3" t="str">
        <f t="shared" si="66"/>
        <v/>
      </c>
      <c r="J864" t="str">
        <f t="shared" si="67"/>
        <v/>
      </c>
      <c r="K864" t="str">
        <f t="shared" si="68"/>
        <v/>
      </c>
      <c r="L864" t="str">
        <f t="shared" si="69"/>
        <v/>
      </c>
      <c r="M864" t="str">
        <f>IF(COUNTIF($A$2:A864,A864)=1,
     VLOOKUP(A864,Season_Winners!A:B,2,FALSE),
     "")</f>
        <v/>
      </c>
      <c r="N864" s="2"/>
    </row>
    <row r="865" spans="1:14" hidden="1" x14ac:dyDescent="0.3">
      <c r="A865" t="s">
        <v>335</v>
      </c>
      <c r="B865">
        <v>11</v>
      </c>
      <c r="C865" t="s">
        <v>374</v>
      </c>
      <c r="D865" t="str">
        <f t="shared" si="65"/>
        <v>07.11.2015</v>
      </c>
      <c r="E865" s="1">
        <v>0.85416666666666663</v>
      </c>
      <c r="F865" t="s">
        <v>30</v>
      </c>
      <c r="G865" t="s">
        <v>24</v>
      </c>
      <c r="H865" s="2">
        <v>46024</v>
      </c>
      <c r="I865" s="3" t="str">
        <f t="shared" si="66"/>
        <v/>
      </c>
      <c r="J865" t="str">
        <f t="shared" si="67"/>
        <v/>
      </c>
      <c r="K865" t="str">
        <f t="shared" si="68"/>
        <v/>
      </c>
      <c r="L865" t="str">
        <f t="shared" si="69"/>
        <v/>
      </c>
      <c r="M865" t="str">
        <f>IF(COUNTIF($A$2:A865,A865)=1,
     VLOOKUP(A865,Season_Winners!A:B,2,FALSE),
     "")</f>
        <v/>
      </c>
      <c r="N865" s="2"/>
    </row>
    <row r="866" spans="1:14" hidden="1" x14ac:dyDescent="0.3">
      <c r="A866" t="s">
        <v>335</v>
      </c>
      <c r="B866">
        <v>11</v>
      </c>
      <c r="C866" t="s">
        <v>374</v>
      </c>
      <c r="D866" t="str">
        <f t="shared" si="65"/>
        <v>07.11.2015</v>
      </c>
      <c r="E866" s="1">
        <v>0.85416666666666663</v>
      </c>
      <c r="F866" t="s">
        <v>187</v>
      </c>
      <c r="G866" t="s">
        <v>11</v>
      </c>
      <c r="H866" s="2">
        <v>46025</v>
      </c>
      <c r="I866" s="3" t="str">
        <f t="shared" si="66"/>
        <v/>
      </c>
      <c r="J866" t="str">
        <f t="shared" si="67"/>
        <v/>
      </c>
      <c r="K866" t="str">
        <f t="shared" si="68"/>
        <v/>
      </c>
      <c r="L866" t="str">
        <f t="shared" si="69"/>
        <v/>
      </c>
      <c r="M866" t="str">
        <f>IF(COUNTIF($A$2:A866,A866)=1,
     VLOOKUP(A866,Season_Winners!A:B,2,FALSE),
     "")</f>
        <v/>
      </c>
      <c r="N866" s="2"/>
    </row>
    <row r="867" spans="1:14" x14ac:dyDescent="0.3">
      <c r="A867" t="s">
        <v>335</v>
      </c>
      <c r="B867">
        <v>11</v>
      </c>
      <c r="C867" t="s">
        <v>374</v>
      </c>
      <c r="D867" t="str">
        <f t="shared" si="65"/>
        <v>07.11.2015</v>
      </c>
      <c r="E867" s="1">
        <v>0.92013888888888884</v>
      </c>
      <c r="F867" t="s">
        <v>17</v>
      </c>
      <c r="G867" t="s">
        <v>26</v>
      </c>
      <c r="H867" t="s">
        <v>42</v>
      </c>
      <c r="I867" t="str">
        <f t="shared" si="66"/>
        <v>0-1</v>
      </c>
      <c r="J867" t="str">
        <f t="shared" si="67"/>
        <v>0</v>
      </c>
      <c r="K867" t="str">
        <f t="shared" si="68"/>
        <v>1</v>
      </c>
      <c r="L867" t="str">
        <f t="shared" si="69"/>
        <v>Real Betis</v>
      </c>
      <c r="M867" t="str">
        <f>IF(COUNTIF($A$2:A867,A867)=1,
     VLOOKUP(A867,Season_Winners!A:B,2,FALSE),
     "")</f>
        <v/>
      </c>
    </row>
    <row r="868" spans="1:14" hidden="1" x14ac:dyDescent="0.3">
      <c r="A868" t="s">
        <v>335</v>
      </c>
      <c r="B868">
        <v>11</v>
      </c>
      <c r="C868" t="s">
        <v>375</v>
      </c>
      <c r="D868" t="str">
        <f t="shared" si="65"/>
        <v>08.11.2015</v>
      </c>
      <c r="E868" s="1">
        <v>0.5</v>
      </c>
      <c r="F868" t="s">
        <v>15</v>
      </c>
      <c r="G868" t="s">
        <v>36</v>
      </c>
      <c r="H868" s="2">
        <v>46024</v>
      </c>
      <c r="I868" s="3" t="str">
        <f t="shared" si="66"/>
        <v/>
      </c>
      <c r="J868" t="str">
        <f t="shared" si="67"/>
        <v/>
      </c>
      <c r="K868" t="str">
        <f t="shared" si="68"/>
        <v/>
      </c>
      <c r="L868" t="str">
        <f t="shared" si="69"/>
        <v/>
      </c>
      <c r="M868" t="str">
        <f>IF(COUNTIF($A$2:A868,A868)=1,
     VLOOKUP(A868,Season_Winners!A:B,2,FALSE),
     "")</f>
        <v/>
      </c>
      <c r="N868" s="2"/>
    </row>
    <row r="869" spans="1:14" x14ac:dyDescent="0.3">
      <c r="A869" t="s">
        <v>335</v>
      </c>
      <c r="B869">
        <v>11</v>
      </c>
      <c r="C869" t="s">
        <v>375</v>
      </c>
      <c r="D869" t="str">
        <f t="shared" si="65"/>
        <v>08.11.2015</v>
      </c>
      <c r="E869" s="1">
        <v>0.66666666666666663</v>
      </c>
      <c r="F869" t="s">
        <v>20</v>
      </c>
      <c r="G869" t="s">
        <v>34</v>
      </c>
      <c r="H869" t="s">
        <v>32</v>
      </c>
      <c r="I869" t="str">
        <f t="shared" si="66"/>
        <v>3-0</v>
      </c>
      <c r="J869" t="str">
        <f t="shared" si="67"/>
        <v>3</v>
      </c>
      <c r="K869" t="str">
        <f t="shared" si="68"/>
        <v>0</v>
      </c>
      <c r="L869" t="str">
        <f t="shared" si="69"/>
        <v>FC Barcelona</v>
      </c>
      <c r="M869" t="str">
        <f>IF(COUNTIF($A$2:A869,A869)=1,
     VLOOKUP(A869,Season_Winners!A:B,2,FALSE),
     "")</f>
        <v/>
      </c>
    </row>
    <row r="870" spans="1:14" x14ac:dyDescent="0.3">
      <c r="A870" t="s">
        <v>335</v>
      </c>
      <c r="B870">
        <v>11</v>
      </c>
      <c r="C870" t="s">
        <v>375</v>
      </c>
      <c r="D870" t="str">
        <f t="shared" si="65"/>
        <v>08.11.2015</v>
      </c>
      <c r="E870" s="1">
        <v>0.76041666666666663</v>
      </c>
      <c r="F870" t="s">
        <v>1425</v>
      </c>
      <c r="G870" t="s">
        <v>340</v>
      </c>
      <c r="H870" t="s">
        <v>18</v>
      </c>
      <c r="I870" t="str">
        <f t="shared" si="66"/>
        <v>1-0</v>
      </c>
      <c r="J870" t="str">
        <f t="shared" si="67"/>
        <v>1</v>
      </c>
      <c r="K870" t="str">
        <f t="shared" si="68"/>
        <v>0</v>
      </c>
      <c r="L870" t="str">
        <f t="shared" si="69"/>
        <v>Atlético de Madrid</v>
      </c>
      <c r="M870" t="str">
        <f>IF(COUNTIF($A$2:A870,A870)=1,
     VLOOKUP(A870,Season_Winners!A:B,2,FALSE),
     "")</f>
        <v/>
      </c>
    </row>
    <row r="871" spans="1:14" hidden="1" x14ac:dyDescent="0.3">
      <c r="A871" t="s">
        <v>335</v>
      </c>
      <c r="B871">
        <v>11</v>
      </c>
      <c r="C871" t="s">
        <v>375</v>
      </c>
      <c r="D871" t="str">
        <f t="shared" si="65"/>
        <v>08.11.2015</v>
      </c>
      <c r="E871" s="1">
        <v>0.85416666666666663</v>
      </c>
      <c r="F871" t="s">
        <v>27</v>
      </c>
      <c r="G871" t="s">
        <v>25</v>
      </c>
      <c r="H871" s="2">
        <v>46056</v>
      </c>
      <c r="I871" s="3" t="str">
        <f t="shared" si="66"/>
        <v/>
      </c>
      <c r="J871" t="str">
        <f t="shared" si="67"/>
        <v/>
      </c>
      <c r="K871" t="str">
        <f t="shared" si="68"/>
        <v/>
      </c>
      <c r="L871" t="str">
        <f t="shared" si="69"/>
        <v/>
      </c>
      <c r="M871" t="str">
        <f>IF(COUNTIF($A$2:A871,A871)=1,
     VLOOKUP(A871,Season_Winners!A:B,2,FALSE),
     "")</f>
        <v/>
      </c>
      <c r="N871" s="2"/>
    </row>
    <row r="872" spans="1:14" x14ac:dyDescent="0.3">
      <c r="A872" t="s">
        <v>335</v>
      </c>
      <c r="B872">
        <v>12</v>
      </c>
      <c r="C872" t="s">
        <v>376</v>
      </c>
      <c r="D872" t="str">
        <f t="shared" si="65"/>
        <v>21.11.2015</v>
      </c>
      <c r="E872" s="1">
        <v>0.66666666666666663</v>
      </c>
      <c r="F872" t="s">
        <v>10</v>
      </c>
      <c r="G872" t="s">
        <v>27</v>
      </c>
      <c r="H872" t="s">
        <v>12</v>
      </c>
      <c r="I872" t="str">
        <f t="shared" si="66"/>
        <v>2-0</v>
      </c>
      <c r="J872" t="str">
        <f t="shared" si="67"/>
        <v>2</v>
      </c>
      <c r="K872" t="str">
        <f t="shared" si="68"/>
        <v>0</v>
      </c>
      <c r="L872" t="str">
        <f t="shared" si="69"/>
        <v>Real Sociedad</v>
      </c>
      <c r="M872" t="str">
        <f>IF(COUNTIF($A$2:A872,A872)=1,
     VLOOKUP(A872,Season_Winners!A:B,2,FALSE),
     "")</f>
        <v/>
      </c>
    </row>
    <row r="873" spans="1:14" x14ac:dyDescent="0.3">
      <c r="A873" t="s">
        <v>335</v>
      </c>
      <c r="B873">
        <v>12</v>
      </c>
      <c r="C873" t="s">
        <v>376</v>
      </c>
      <c r="D873" t="str">
        <f t="shared" si="65"/>
        <v>21.11.2015</v>
      </c>
      <c r="E873" s="1">
        <v>0.76041666666666663</v>
      </c>
      <c r="F873" t="s">
        <v>25</v>
      </c>
      <c r="G873" t="s">
        <v>20</v>
      </c>
      <c r="H873" t="s">
        <v>53</v>
      </c>
      <c r="I873" t="str">
        <f t="shared" si="66"/>
        <v>0-4</v>
      </c>
      <c r="J873" t="str">
        <f t="shared" si="67"/>
        <v>0</v>
      </c>
      <c r="K873" t="str">
        <f t="shared" si="68"/>
        <v>4</v>
      </c>
      <c r="L873" t="str">
        <f t="shared" si="69"/>
        <v>FC Barcelona</v>
      </c>
      <c r="M873" t="str">
        <f>IF(COUNTIF($A$2:A873,A873)=1,
     VLOOKUP(A873,Season_Winners!A:B,2,FALSE),
     "")</f>
        <v/>
      </c>
    </row>
    <row r="874" spans="1:14" x14ac:dyDescent="0.3">
      <c r="A874" t="s">
        <v>335</v>
      </c>
      <c r="B874">
        <v>12</v>
      </c>
      <c r="C874" t="s">
        <v>376</v>
      </c>
      <c r="D874" t="str">
        <f t="shared" si="65"/>
        <v>21.11.2015</v>
      </c>
      <c r="E874" s="1">
        <v>0.85416666666666663</v>
      </c>
      <c r="F874" t="s">
        <v>36</v>
      </c>
      <c r="G874" t="s">
        <v>17</v>
      </c>
      <c r="H874" t="s">
        <v>12</v>
      </c>
      <c r="I874" t="str">
        <f t="shared" si="66"/>
        <v>2-0</v>
      </c>
      <c r="J874" t="str">
        <f t="shared" si="67"/>
        <v>2</v>
      </c>
      <c r="K874" t="str">
        <f t="shared" si="68"/>
        <v>0</v>
      </c>
      <c r="L874" t="str">
        <f t="shared" si="69"/>
        <v>RCD Espanyol de Barcelona</v>
      </c>
      <c r="M874" t="str">
        <f>IF(COUNTIF($A$2:A874,A874)=1,
     VLOOKUP(A874,Season_Winners!A:B,2,FALSE),
     "")</f>
        <v/>
      </c>
    </row>
    <row r="875" spans="1:14" hidden="1" x14ac:dyDescent="0.3">
      <c r="A875" t="s">
        <v>335</v>
      </c>
      <c r="B875">
        <v>12</v>
      </c>
      <c r="C875" t="s">
        <v>376</v>
      </c>
      <c r="D875" t="str">
        <f t="shared" si="65"/>
        <v>21.11.2015</v>
      </c>
      <c r="E875" s="1">
        <v>0.91666666666666663</v>
      </c>
      <c r="F875" t="s">
        <v>16</v>
      </c>
      <c r="G875" t="s">
        <v>338</v>
      </c>
      <c r="H875" s="2">
        <v>46023</v>
      </c>
      <c r="I875" s="3" t="str">
        <f t="shared" si="66"/>
        <v/>
      </c>
      <c r="J875" t="str">
        <f t="shared" si="67"/>
        <v/>
      </c>
      <c r="K875" t="str">
        <f t="shared" si="68"/>
        <v/>
      </c>
      <c r="L875" t="str">
        <f t="shared" si="69"/>
        <v/>
      </c>
      <c r="M875" t="str">
        <f>IF(COUNTIF($A$2:A875,A875)=1,
     VLOOKUP(A875,Season_Winners!A:B,2,FALSE),
     "")</f>
        <v/>
      </c>
      <c r="N875" s="2"/>
    </row>
    <row r="876" spans="1:14" x14ac:dyDescent="0.3">
      <c r="A876" t="s">
        <v>335</v>
      </c>
      <c r="B876">
        <v>12</v>
      </c>
      <c r="C876" t="s">
        <v>376</v>
      </c>
      <c r="D876" t="str">
        <f t="shared" si="65"/>
        <v>21.11.2015</v>
      </c>
      <c r="E876" s="1">
        <v>0.92013888888888884</v>
      </c>
      <c r="F876" t="s">
        <v>182</v>
      </c>
      <c r="G876" t="s">
        <v>35</v>
      </c>
      <c r="H876" t="s">
        <v>12</v>
      </c>
      <c r="I876" t="str">
        <f t="shared" si="66"/>
        <v>2-0</v>
      </c>
      <c r="J876" t="str">
        <f t="shared" si="67"/>
        <v>2</v>
      </c>
      <c r="K876" t="str">
        <f t="shared" si="68"/>
        <v>0</v>
      </c>
      <c r="L876" t="str">
        <f t="shared" si="69"/>
        <v>RC Deportivo</v>
      </c>
      <c r="M876" t="str">
        <f>IF(COUNTIF($A$2:A876,A876)=1,
     VLOOKUP(A876,Season_Winners!A:B,2,FALSE),
     "")</f>
        <v/>
      </c>
    </row>
    <row r="877" spans="1:14" x14ac:dyDescent="0.3">
      <c r="A877" t="s">
        <v>335</v>
      </c>
      <c r="B877">
        <v>12</v>
      </c>
      <c r="C877" t="s">
        <v>377</v>
      </c>
      <c r="D877" t="str">
        <f t="shared" si="65"/>
        <v>22.11.2015</v>
      </c>
      <c r="E877" s="1">
        <v>0.5</v>
      </c>
      <c r="F877" t="s">
        <v>340</v>
      </c>
      <c r="G877" t="s">
        <v>21</v>
      </c>
      <c r="H877" t="s">
        <v>46</v>
      </c>
      <c r="I877" t="str">
        <f t="shared" si="66"/>
        <v>0-3</v>
      </c>
      <c r="J877" t="str">
        <f t="shared" si="67"/>
        <v>0</v>
      </c>
      <c r="K877" t="str">
        <f t="shared" si="68"/>
        <v>3</v>
      </c>
      <c r="L877" t="str">
        <f t="shared" si="69"/>
        <v>Levante UD</v>
      </c>
      <c r="M877" t="str">
        <f>IF(COUNTIF($A$2:A877,A877)=1,
     VLOOKUP(A877,Season_Winners!A:B,2,FALSE),
     "")</f>
        <v/>
      </c>
    </row>
    <row r="878" spans="1:14" hidden="1" x14ac:dyDescent="0.3">
      <c r="A878" t="s">
        <v>335</v>
      </c>
      <c r="B878">
        <v>12</v>
      </c>
      <c r="C878" t="s">
        <v>377</v>
      </c>
      <c r="D878" t="str">
        <f t="shared" si="65"/>
        <v>22.11.2015</v>
      </c>
      <c r="E878" s="1">
        <v>0.66666666666666663</v>
      </c>
      <c r="F878" t="s">
        <v>34</v>
      </c>
      <c r="G878" t="s">
        <v>187</v>
      </c>
      <c r="H878" s="2">
        <v>46023</v>
      </c>
      <c r="I878" s="3" t="str">
        <f t="shared" si="66"/>
        <v/>
      </c>
      <c r="J878" t="str">
        <f t="shared" si="67"/>
        <v/>
      </c>
      <c r="K878" t="str">
        <f t="shared" si="68"/>
        <v/>
      </c>
      <c r="L878" t="str">
        <f t="shared" si="69"/>
        <v/>
      </c>
      <c r="M878" t="str">
        <f>IF(COUNTIF($A$2:A878,A878)=1,
     VLOOKUP(A878,Season_Winners!A:B,2,FALSE),
     "")</f>
        <v/>
      </c>
      <c r="N878" s="2"/>
    </row>
    <row r="879" spans="1:14" x14ac:dyDescent="0.3">
      <c r="A879" t="s">
        <v>335</v>
      </c>
      <c r="B879">
        <v>12</v>
      </c>
      <c r="C879" t="s">
        <v>377</v>
      </c>
      <c r="D879" t="str">
        <f t="shared" si="65"/>
        <v>22.11.2015</v>
      </c>
      <c r="E879" s="1">
        <v>0.76041666666666663</v>
      </c>
      <c r="F879" t="s">
        <v>24</v>
      </c>
      <c r="G879" t="s">
        <v>15</v>
      </c>
      <c r="H879" t="s">
        <v>12</v>
      </c>
      <c r="I879" t="str">
        <f t="shared" si="66"/>
        <v>2-0</v>
      </c>
      <c r="J879" t="str">
        <f t="shared" si="67"/>
        <v>2</v>
      </c>
      <c r="K879" t="str">
        <f t="shared" si="68"/>
        <v>0</v>
      </c>
      <c r="L879" t="str">
        <f t="shared" si="69"/>
        <v>Granada CF</v>
      </c>
      <c r="M879" t="str">
        <f>IF(COUNTIF($A$2:A879,A879)=1,
     VLOOKUP(A879,Season_Winners!A:B,2,FALSE),
     "")</f>
        <v/>
      </c>
    </row>
    <row r="880" spans="1:14" x14ac:dyDescent="0.3">
      <c r="A880" t="s">
        <v>335</v>
      </c>
      <c r="B880">
        <v>12</v>
      </c>
      <c r="C880" t="s">
        <v>377</v>
      </c>
      <c r="D880" t="str">
        <f t="shared" si="65"/>
        <v>22.11.2015</v>
      </c>
      <c r="E880" s="1">
        <v>0.85416666666666663</v>
      </c>
      <c r="F880" t="s">
        <v>26</v>
      </c>
      <c r="G880" t="s">
        <v>1425</v>
      </c>
      <c r="H880" t="s">
        <v>42</v>
      </c>
      <c r="I880" t="str">
        <f t="shared" si="66"/>
        <v>0-1</v>
      </c>
      <c r="J880" t="str">
        <f t="shared" si="67"/>
        <v>0</v>
      </c>
      <c r="K880" t="str">
        <f t="shared" si="68"/>
        <v>1</v>
      </c>
      <c r="L880" t="str">
        <f t="shared" si="69"/>
        <v>Atlético de Madrid</v>
      </c>
      <c r="M880" t="str">
        <f>IF(COUNTIF($A$2:A880,A880)=1,
     VLOOKUP(A880,Season_Winners!A:B,2,FALSE),
     "")</f>
        <v/>
      </c>
    </row>
    <row r="881" spans="1:14" hidden="1" x14ac:dyDescent="0.3">
      <c r="A881" t="s">
        <v>335</v>
      </c>
      <c r="B881">
        <v>12</v>
      </c>
      <c r="C881" t="s">
        <v>378</v>
      </c>
      <c r="D881" t="str">
        <f t="shared" si="65"/>
        <v>23.11.2015</v>
      </c>
      <c r="E881" s="1">
        <v>0.85416666666666663</v>
      </c>
      <c r="F881" t="s">
        <v>11</v>
      </c>
      <c r="G881" t="s">
        <v>30</v>
      </c>
      <c r="H881" s="2">
        <v>46023</v>
      </c>
      <c r="I881" s="3" t="str">
        <f t="shared" si="66"/>
        <v/>
      </c>
      <c r="J881" t="str">
        <f t="shared" si="67"/>
        <v/>
      </c>
      <c r="K881" t="str">
        <f t="shared" si="68"/>
        <v/>
      </c>
      <c r="L881" t="str">
        <f t="shared" si="69"/>
        <v/>
      </c>
      <c r="M881" t="str">
        <f>IF(COUNTIF($A$2:A881,A881)=1,
     VLOOKUP(A881,Season_Winners!A:B,2,FALSE),
     "")</f>
        <v/>
      </c>
      <c r="N881" s="2"/>
    </row>
    <row r="882" spans="1:14" x14ac:dyDescent="0.3">
      <c r="A882" t="s">
        <v>335</v>
      </c>
      <c r="B882">
        <v>13</v>
      </c>
      <c r="C882" t="s">
        <v>379</v>
      </c>
      <c r="D882" t="str">
        <f t="shared" si="65"/>
        <v>27.11.2015</v>
      </c>
      <c r="E882" s="1">
        <v>0.85416666666666663</v>
      </c>
      <c r="F882" t="s">
        <v>21</v>
      </c>
      <c r="G882" t="s">
        <v>26</v>
      </c>
      <c r="H882" t="s">
        <v>42</v>
      </c>
      <c r="I882" t="str">
        <f t="shared" si="66"/>
        <v>0-1</v>
      </c>
      <c r="J882" t="str">
        <f t="shared" si="67"/>
        <v>0</v>
      </c>
      <c r="K882" t="str">
        <f t="shared" si="68"/>
        <v>1</v>
      </c>
      <c r="L882" t="str">
        <f t="shared" si="69"/>
        <v>Real Betis</v>
      </c>
      <c r="M882" t="str">
        <f>IF(COUNTIF($A$2:A882,A882)=1,
     VLOOKUP(A882,Season_Winners!A:B,2,FALSE),
     "")</f>
        <v/>
      </c>
    </row>
    <row r="883" spans="1:14" x14ac:dyDescent="0.3">
      <c r="A883" t="s">
        <v>335</v>
      </c>
      <c r="B883">
        <v>13</v>
      </c>
      <c r="C883" t="s">
        <v>380</v>
      </c>
      <c r="D883" t="str">
        <f t="shared" si="65"/>
        <v>28.11.2015</v>
      </c>
      <c r="E883" s="1">
        <v>0.66666666666666663</v>
      </c>
      <c r="F883" t="s">
        <v>20</v>
      </c>
      <c r="G883" t="s">
        <v>10</v>
      </c>
      <c r="H883" t="s">
        <v>88</v>
      </c>
      <c r="I883" t="str">
        <f t="shared" si="66"/>
        <v>4-0</v>
      </c>
      <c r="J883" t="str">
        <f t="shared" si="67"/>
        <v>4</v>
      </c>
      <c r="K883" t="str">
        <f t="shared" si="68"/>
        <v>0</v>
      </c>
      <c r="L883" t="str">
        <f t="shared" si="69"/>
        <v>FC Barcelona</v>
      </c>
      <c r="M883" t="str">
        <f>IF(COUNTIF($A$2:A883,A883)=1,
     VLOOKUP(A883,Season_Winners!A:B,2,FALSE),
     "")</f>
        <v/>
      </c>
    </row>
    <row r="884" spans="1:14" x14ac:dyDescent="0.3">
      <c r="A884" t="s">
        <v>335</v>
      </c>
      <c r="B884">
        <v>13</v>
      </c>
      <c r="C884" t="s">
        <v>380</v>
      </c>
      <c r="D884" t="str">
        <f t="shared" si="65"/>
        <v>28.11.2015</v>
      </c>
      <c r="E884" s="1">
        <v>0.76041666666666663</v>
      </c>
      <c r="F884" t="s">
        <v>1425</v>
      </c>
      <c r="G884" t="s">
        <v>36</v>
      </c>
      <c r="H884" t="s">
        <v>18</v>
      </c>
      <c r="I884" t="str">
        <f t="shared" si="66"/>
        <v>1-0</v>
      </c>
      <c r="J884" t="str">
        <f t="shared" si="67"/>
        <v>1</v>
      </c>
      <c r="K884" t="str">
        <f t="shared" si="68"/>
        <v>0</v>
      </c>
      <c r="L884" t="str">
        <f t="shared" si="69"/>
        <v>Atlético de Madrid</v>
      </c>
      <c r="M884" t="str">
        <f>IF(COUNTIF($A$2:A884,A884)=1,
     VLOOKUP(A884,Season_Winners!A:B,2,FALSE),
     "")</f>
        <v/>
      </c>
    </row>
    <row r="885" spans="1:14" hidden="1" x14ac:dyDescent="0.3">
      <c r="A885" t="s">
        <v>335</v>
      </c>
      <c r="B885">
        <v>13</v>
      </c>
      <c r="C885" t="s">
        <v>380</v>
      </c>
      <c r="D885" t="str">
        <f t="shared" si="65"/>
        <v>28.11.2015</v>
      </c>
      <c r="E885" s="1">
        <v>0.85416666666666663</v>
      </c>
      <c r="F885" t="s">
        <v>17</v>
      </c>
      <c r="G885" t="s">
        <v>24</v>
      </c>
      <c r="H885" s="2">
        <v>46055</v>
      </c>
      <c r="I885" s="3" t="str">
        <f t="shared" si="66"/>
        <v/>
      </c>
      <c r="J885" t="str">
        <f t="shared" si="67"/>
        <v/>
      </c>
      <c r="K885" t="str">
        <f t="shared" si="68"/>
        <v/>
      </c>
      <c r="L885" t="str">
        <f t="shared" si="69"/>
        <v/>
      </c>
      <c r="M885" t="str">
        <f>IF(COUNTIF($A$2:A885,A885)=1,
     VLOOKUP(A885,Season_Winners!A:B,2,FALSE),
     "")</f>
        <v/>
      </c>
      <c r="N885" s="2"/>
    </row>
    <row r="886" spans="1:14" x14ac:dyDescent="0.3">
      <c r="A886" t="s">
        <v>335</v>
      </c>
      <c r="B886">
        <v>13</v>
      </c>
      <c r="C886" t="s">
        <v>380</v>
      </c>
      <c r="D886" t="str">
        <f t="shared" si="65"/>
        <v>28.11.2015</v>
      </c>
      <c r="E886" s="1">
        <v>0.91666666666666663</v>
      </c>
      <c r="F886" t="s">
        <v>338</v>
      </c>
      <c r="G886" t="s">
        <v>182</v>
      </c>
      <c r="H886" t="s">
        <v>54</v>
      </c>
      <c r="I886" t="str">
        <f t="shared" si="66"/>
        <v>0-2</v>
      </c>
      <c r="J886" t="str">
        <f t="shared" si="67"/>
        <v>0</v>
      </c>
      <c r="K886" t="str">
        <f t="shared" si="68"/>
        <v>2</v>
      </c>
      <c r="L886" t="str">
        <f t="shared" si="69"/>
        <v>RC Deportivo</v>
      </c>
      <c r="M886" t="str">
        <f>IF(COUNTIF($A$2:A886,A886)=1,
     VLOOKUP(A886,Season_Winners!A:B,2,FALSE),
     "")</f>
        <v/>
      </c>
    </row>
    <row r="887" spans="1:14" hidden="1" x14ac:dyDescent="0.3">
      <c r="A887" t="s">
        <v>335</v>
      </c>
      <c r="B887">
        <v>13</v>
      </c>
      <c r="C887" t="s">
        <v>380</v>
      </c>
      <c r="D887" t="str">
        <f t="shared" si="65"/>
        <v>28.11.2015</v>
      </c>
      <c r="E887" s="1">
        <v>0.92013888888888884</v>
      </c>
      <c r="F887" t="s">
        <v>35</v>
      </c>
      <c r="G887" t="s">
        <v>340</v>
      </c>
      <c r="H887" s="2">
        <v>46024</v>
      </c>
      <c r="I887" s="3" t="str">
        <f t="shared" si="66"/>
        <v/>
      </c>
      <c r="J887" t="str">
        <f t="shared" si="67"/>
        <v/>
      </c>
      <c r="K887" t="str">
        <f t="shared" si="68"/>
        <v/>
      </c>
      <c r="L887" t="str">
        <f t="shared" si="69"/>
        <v/>
      </c>
      <c r="M887" t="str">
        <f>IF(COUNTIF($A$2:A887,A887)=1,
     VLOOKUP(A887,Season_Winners!A:B,2,FALSE),
     "")</f>
        <v/>
      </c>
      <c r="N887" s="2"/>
    </row>
    <row r="888" spans="1:14" x14ac:dyDescent="0.3">
      <c r="A888" t="s">
        <v>335</v>
      </c>
      <c r="B888">
        <v>13</v>
      </c>
      <c r="C888" t="s">
        <v>381</v>
      </c>
      <c r="D888" t="str">
        <f t="shared" si="65"/>
        <v>29.11.2015</v>
      </c>
      <c r="E888" s="1">
        <v>0.5</v>
      </c>
      <c r="F888" t="s">
        <v>11</v>
      </c>
      <c r="G888" t="s">
        <v>34</v>
      </c>
      <c r="H888" t="s">
        <v>12</v>
      </c>
      <c r="I888" t="str">
        <f t="shared" si="66"/>
        <v>2-0</v>
      </c>
      <c r="J888" t="str">
        <f t="shared" si="67"/>
        <v>2</v>
      </c>
      <c r="K888" t="str">
        <f t="shared" si="68"/>
        <v>0</v>
      </c>
      <c r="L888" t="str">
        <f t="shared" si="69"/>
        <v>Getafe CF</v>
      </c>
      <c r="M888" t="str">
        <f>IF(COUNTIF($A$2:A888,A888)=1,
     VLOOKUP(A888,Season_Winners!A:B,2,FALSE),
     "")</f>
        <v/>
      </c>
    </row>
    <row r="889" spans="1:14" x14ac:dyDescent="0.3">
      <c r="A889" t="s">
        <v>335</v>
      </c>
      <c r="B889">
        <v>13</v>
      </c>
      <c r="C889" t="s">
        <v>381</v>
      </c>
      <c r="D889" t="str">
        <f t="shared" si="65"/>
        <v>29.11.2015</v>
      </c>
      <c r="E889" s="1">
        <v>0.66666666666666663</v>
      </c>
      <c r="F889" t="s">
        <v>187</v>
      </c>
      <c r="G889" t="s">
        <v>25</v>
      </c>
      <c r="H889" t="s">
        <v>54</v>
      </c>
      <c r="I889" t="str">
        <f t="shared" si="66"/>
        <v>0-2</v>
      </c>
      <c r="J889" t="str">
        <f t="shared" si="67"/>
        <v>0</v>
      </c>
      <c r="K889" t="str">
        <f t="shared" si="68"/>
        <v>2</v>
      </c>
      <c r="L889" t="str">
        <f t="shared" si="69"/>
        <v>Real Madrid</v>
      </c>
      <c r="M889" t="str">
        <f>IF(COUNTIF($A$2:A889,A889)=1,
     VLOOKUP(A889,Season_Winners!A:B,2,FALSE),
     "")</f>
        <v/>
      </c>
    </row>
    <row r="890" spans="1:14" x14ac:dyDescent="0.3">
      <c r="A890" t="s">
        <v>335</v>
      </c>
      <c r="B890">
        <v>13</v>
      </c>
      <c r="C890" t="s">
        <v>381</v>
      </c>
      <c r="D890" t="str">
        <f t="shared" si="65"/>
        <v>29.11.2015</v>
      </c>
      <c r="E890" s="1">
        <v>0.76041666666666663</v>
      </c>
      <c r="F890" t="s">
        <v>30</v>
      </c>
      <c r="G890" t="s">
        <v>15</v>
      </c>
      <c r="H890" t="s">
        <v>46</v>
      </c>
      <c r="I890" t="str">
        <f t="shared" si="66"/>
        <v>0-3</v>
      </c>
      <c r="J890" t="str">
        <f t="shared" si="67"/>
        <v>0</v>
      </c>
      <c r="K890" t="str">
        <f t="shared" si="68"/>
        <v>3</v>
      </c>
      <c r="L890" t="str">
        <f t="shared" si="69"/>
        <v>Athletic Club</v>
      </c>
      <c r="M890" t="str">
        <f>IF(COUNTIF($A$2:A890,A890)=1,
     VLOOKUP(A890,Season_Winners!A:B,2,FALSE),
     "")</f>
        <v/>
      </c>
    </row>
    <row r="891" spans="1:14" x14ac:dyDescent="0.3">
      <c r="A891" t="s">
        <v>335</v>
      </c>
      <c r="B891">
        <v>13</v>
      </c>
      <c r="C891" t="s">
        <v>381</v>
      </c>
      <c r="D891" t="str">
        <f t="shared" si="65"/>
        <v>29.11.2015</v>
      </c>
      <c r="E891" s="1">
        <v>0.85416666666666663</v>
      </c>
      <c r="F891" t="s">
        <v>27</v>
      </c>
      <c r="G891" t="s">
        <v>16</v>
      </c>
      <c r="H891" t="s">
        <v>18</v>
      </c>
      <c r="I891" t="str">
        <f t="shared" si="66"/>
        <v>1-0</v>
      </c>
      <c r="J891" t="str">
        <f t="shared" si="67"/>
        <v>1</v>
      </c>
      <c r="K891" t="str">
        <f t="shared" si="68"/>
        <v>0</v>
      </c>
      <c r="L891" t="str">
        <f t="shared" si="69"/>
        <v>Sevilla FC</v>
      </c>
      <c r="M891" t="str">
        <f>IF(COUNTIF($A$2:A891,A891)=1,
     VLOOKUP(A891,Season_Winners!A:B,2,FALSE),
     "")</f>
        <v/>
      </c>
    </row>
    <row r="892" spans="1:14" hidden="1" x14ac:dyDescent="0.3">
      <c r="A892" t="s">
        <v>335</v>
      </c>
      <c r="B892">
        <v>14</v>
      </c>
      <c r="C892" t="s">
        <v>382</v>
      </c>
      <c r="D892" t="str">
        <f t="shared" si="65"/>
        <v>05.12.2015</v>
      </c>
      <c r="E892" s="1">
        <v>0.66666666666666663</v>
      </c>
      <c r="F892" t="s">
        <v>25</v>
      </c>
      <c r="G892" t="s">
        <v>11</v>
      </c>
      <c r="H892" s="2">
        <v>46026</v>
      </c>
      <c r="I892" s="3" t="str">
        <f t="shared" si="66"/>
        <v/>
      </c>
      <c r="J892" t="str">
        <f t="shared" si="67"/>
        <v/>
      </c>
      <c r="K892" t="str">
        <f t="shared" si="68"/>
        <v/>
      </c>
      <c r="L892" t="str">
        <f t="shared" si="69"/>
        <v/>
      </c>
      <c r="M892" t="str">
        <f>IF(COUNTIF($A$2:A892,A892)=1,
     VLOOKUP(A892,Season_Winners!A:B,2,FALSE),
     "")</f>
        <v/>
      </c>
      <c r="N892" s="2"/>
    </row>
    <row r="893" spans="1:14" x14ac:dyDescent="0.3">
      <c r="A893" t="s">
        <v>335</v>
      </c>
      <c r="B893">
        <v>14</v>
      </c>
      <c r="C893" t="s">
        <v>382</v>
      </c>
      <c r="D893" t="str">
        <f t="shared" si="65"/>
        <v>05.12.2015</v>
      </c>
      <c r="E893" s="1">
        <v>0.76041666666666663</v>
      </c>
      <c r="F893" t="s">
        <v>24</v>
      </c>
      <c r="G893" t="s">
        <v>1425</v>
      </c>
      <c r="H893" t="s">
        <v>54</v>
      </c>
      <c r="I893" t="str">
        <f t="shared" si="66"/>
        <v>0-2</v>
      </c>
      <c r="J893" t="str">
        <f t="shared" si="67"/>
        <v>0</v>
      </c>
      <c r="K893" t="str">
        <f t="shared" si="68"/>
        <v>2</v>
      </c>
      <c r="L893" t="str">
        <f t="shared" si="69"/>
        <v>Atlético de Madrid</v>
      </c>
      <c r="M893" t="str">
        <f>IF(COUNTIF($A$2:A893,A893)=1,
     VLOOKUP(A893,Season_Winners!A:B,2,FALSE),
     "")</f>
        <v/>
      </c>
    </row>
    <row r="894" spans="1:14" hidden="1" x14ac:dyDescent="0.3">
      <c r="A894" t="s">
        <v>335</v>
      </c>
      <c r="B894">
        <v>14</v>
      </c>
      <c r="C894" t="s">
        <v>382</v>
      </c>
      <c r="D894" t="str">
        <f t="shared" si="65"/>
        <v>05.12.2015</v>
      </c>
      <c r="E894" s="1">
        <v>0.85416666666666663</v>
      </c>
      <c r="F894" t="s">
        <v>16</v>
      </c>
      <c r="G894" t="s">
        <v>20</v>
      </c>
      <c r="H894" s="2">
        <v>46023</v>
      </c>
      <c r="I894" s="3" t="str">
        <f t="shared" si="66"/>
        <v/>
      </c>
      <c r="J894" t="str">
        <f t="shared" si="67"/>
        <v/>
      </c>
      <c r="K894" t="str">
        <f t="shared" si="68"/>
        <v/>
      </c>
      <c r="L894" t="str">
        <f t="shared" si="69"/>
        <v/>
      </c>
      <c r="M894" t="str">
        <f>IF(COUNTIF($A$2:A894,A894)=1,
     VLOOKUP(A894,Season_Winners!A:B,2,FALSE),
     "")</f>
        <v/>
      </c>
      <c r="N894" s="2"/>
    </row>
    <row r="895" spans="1:14" hidden="1" x14ac:dyDescent="0.3">
      <c r="A895" t="s">
        <v>335</v>
      </c>
      <c r="B895">
        <v>14</v>
      </c>
      <c r="C895" t="s">
        <v>382</v>
      </c>
      <c r="D895" t="str">
        <f t="shared" si="65"/>
        <v>05.12.2015</v>
      </c>
      <c r="E895" s="1">
        <v>0.91666666666666663</v>
      </c>
      <c r="F895" t="s">
        <v>182</v>
      </c>
      <c r="G895" t="s">
        <v>27</v>
      </c>
      <c r="H895" s="2">
        <v>46023</v>
      </c>
      <c r="I895" s="3" t="str">
        <f t="shared" si="66"/>
        <v/>
      </c>
      <c r="J895" t="str">
        <f t="shared" si="67"/>
        <v/>
      </c>
      <c r="K895" t="str">
        <f t="shared" si="68"/>
        <v/>
      </c>
      <c r="L895" t="str">
        <f t="shared" si="69"/>
        <v/>
      </c>
      <c r="M895" t="str">
        <f>IF(COUNTIF($A$2:A895,A895)=1,
     VLOOKUP(A895,Season_Winners!A:B,2,FALSE),
     "")</f>
        <v/>
      </c>
      <c r="N895" s="2"/>
    </row>
    <row r="896" spans="1:14" hidden="1" x14ac:dyDescent="0.3">
      <c r="A896" t="s">
        <v>335</v>
      </c>
      <c r="B896">
        <v>14</v>
      </c>
      <c r="C896" t="s">
        <v>382</v>
      </c>
      <c r="D896" t="str">
        <f t="shared" si="65"/>
        <v>05.12.2015</v>
      </c>
      <c r="E896" s="1">
        <v>0.92013888888888884</v>
      </c>
      <c r="F896" t="s">
        <v>26</v>
      </c>
      <c r="G896" t="s">
        <v>35</v>
      </c>
      <c r="H896" s="2">
        <v>46023</v>
      </c>
      <c r="I896" s="3" t="str">
        <f t="shared" si="66"/>
        <v/>
      </c>
      <c r="J896" t="str">
        <f t="shared" si="67"/>
        <v/>
      </c>
      <c r="K896" t="str">
        <f t="shared" si="68"/>
        <v/>
      </c>
      <c r="L896" t="str">
        <f t="shared" si="69"/>
        <v/>
      </c>
      <c r="M896" t="str">
        <f>IF(COUNTIF($A$2:A896,A896)=1,
     VLOOKUP(A896,Season_Winners!A:B,2,FALSE),
     "")</f>
        <v/>
      </c>
      <c r="N896" s="2"/>
    </row>
    <row r="897" spans="1:14" hidden="1" x14ac:dyDescent="0.3">
      <c r="A897" t="s">
        <v>335</v>
      </c>
      <c r="B897">
        <v>14</v>
      </c>
      <c r="C897" t="s">
        <v>383</v>
      </c>
      <c r="D897" t="str">
        <f t="shared" si="65"/>
        <v>06.12.2015</v>
      </c>
      <c r="E897" s="1">
        <v>0.5</v>
      </c>
      <c r="F897" t="s">
        <v>10</v>
      </c>
      <c r="G897" t="s">
        <v>187</v>
      </c>
      <c r="H897" s="2">
        <v>46024</v>
      </c>
      <c r="I897" s="3" t="str">
        <f t="shared" si="66"/>
        <v/>
      </c>
      <c r="J897" t="str">
        <f t="shared" si="67"/>
        <v/>
      </c>
      <c r="K897" t="str">
        <f t="shared" si="68"/>
        <v/>
      </c>
      <c r="L897" t="str">
        <f t="shared" si="69"/>
        <v/>
      </c>
      <c r="M897" t="str">
        <f>IF(COUNTIF($A$2:A897,A897)=1,
     VLOOKUP(A897,Season_Winners!A:B,2,FALSE),
     "")</f>
        <v/>
      </c>
      <c r="N897" s="2"/>
    </row>
    <row r="898" spans="1:14" hidden="1" x14ac:dyDescent="0.3">
      <c r="A898" t="s">
        <v>335</v>
      </c>
      <c r="B898">
        <v>14</v>
      </c>
      <c r="C898" t="s">
        <v>383</v>
      </c>
      <c r="D898" t="str">
        <f t="shared" ref="D898:D961" si="70">RIGHT(C898,10)</f>
        <v>06.12.2015</v>
      </c>
      <c r="E898" s="1">
        <v>0.66666666666666663</v>
      </c>
      <c r="F898" t="s">
        <v>34</v>
      </c>
      <c r="G898" t="s">
        <v>30</v>
      </c>
      <c r="H898" s="2">
        <v>46024</v>
      </c>
      <c r="I898" s="3" t="str">
        <f t="shared" ref="I898:I961" si="71">IF(ISNUMBER(SEARCH("-",H898)),H898,"")</f>
        <v/>
      </c>
      <c r="J898" t="str">
        <f t="shared" ref="J898:J961" si="72">IF(I898="","",LEFT(I898,FIND("-",I898)-1))</f>
        <v/>
      </c>
      <c r="K898" t="str">
        <f t="shared" ref="K898:K961" si="73">IF(I898="","",RIGHT(I898,LEN(I898)-FIND("-",I898)))</f>
        <v/>
      </c>
      <c r="L898" t="str">
        <f t="shared" ref="L898:L961" si="74">IF(I898="","",IF(J898&gt;K898,F898,IF(K898&gt;J898,G898,"Draw")))</f>
        <v/>
      </c>
      <c r="M898" t="str">
        <f>IF(COUNTIF($A$2:A898,A898)=1,
     VLOOKUP(A898,Season_Winners!A:B,2,FALSE),
     "")</f>
        <v/>
      </c>
      <c r="N898" s="2"/>
    </row>
    <row r="899" spans="1:14" hidden="1" x14ac:dyDescent="0.3">
      <c r="A899" t="s">
        <v>335</v>
      </c>
      <c r="B899">
        <v>14</v>
      </c>
      <c r="C899" t="s">
        <v>383</v>
      </c>
      <c r="D899" t="str">
        <f t="shared" si="70"/>
        <v>06.12.2015</v>
      </c>
      <c r="E899" s="1">
        <v>0.76041666666666663</v>
      </c>
      <c r="F899" t="s">
        <v>340</v>
      </c>
      <c r="G899" t="s">
        <v>338</v>
      </c>
      <c r="H899" s="2">
        <v>46025</v>
      </c>
      <c r="I899" s="3" t="str">
        <f t="shared" si="71"/>
        <v/>
      </c>
      <c r="J899" t="str">
        <f t="shared" si="72"/>
        <v/>
      </c>
      <c r="K899" t="str">
        <f t="shared" si="73"/>
        <v/>
      </c>
      <c r="L899" t="str">
        <f t="shared" si="74"/>
        <v/>
      </c>
      <c r="M899" t="str">
        <f>IF(COUNTIF($A$2:A899,A899)=1,
     VLOOKUP(A899,Season_Winners!A:B,2,FALSE),
     "")</f>
        <v/>
      </c>
      <c r="N899" s="2"/>
    </row>
    <row r="900" spans="1:14" x14ac:dyDescent="0.3">
      <c r="A900" t="s">
        <v>335</v>
      </c>
      <c r="B900">
        <v>14</v>
      </c>
      <c r="C900" t="s">
        <v>383</v>
      </c>
      <c r="D900" t="str">
        <f t="shared" si="70"/>
        <v>06.12.2015</v>
      </c>
      <c r="E900" s="1">
        <v>0.85416666666666663</v>
      </c>
      <c r="F900" t="s">
        <v>15</v>
      </c>
      <c r="G900" t="s">
        <v>17</v>
      </c>
      <c r="H900" t="s">
        <v>41</v>
      </c>
      <c r="I900" t="str">
        <f t="shared" si="71"/>
        <v>0-0</v>
      </c>
      <c r="J900" t="str">
        <f t="shared" si="72"/>
        <v>0</v>
      </c>
      <c r="K900" t="str">
        <f t="shared" si="73"/>
        <v>0</v>
      </c>
      <c r="L900" t="str">
        <f t="shared" si="74"/>
        <v>Draw</v>
      </c>
      <c r="M900" t="str">
        <f>IF(COUNTIF($A$2:A900,A900)=1,
     VLOOKUP(A900,Season_Winners!A:B,2,FALSE),
     "")</f>
        <v/>
      </c>
    </row>
    <row r="901" spans="1:14" hidden="1" x14ac:dyDescent="0.3">
      <c r="A901" t="s">
        <v>335</v>
      </c>
      <c r="B901">
        <v>14</v>
      </c>
      <c r="C901" t="s">
        <v>384</v>
      </c>
      <c r="D901" t="str">
        <f t="shared" si="70"/>
        <v>07.12.2015</v>
      </c>
      <c r="E901" s="1">
        <v>0.85416666666666663</v>
      </c>
      <c r="F901" t="s">
        <v>36</v>
      </c>
      <c r="G901" t="s">
        <v>21</v>
      </c>
      <c r="H901" s="2">
        <v>46023</v>
      </c>
      <c r="I901" s="3" t="str">
        <f t="shared" si="71"/>
        <v/>
      </c>
      <c r="J901" t="str">
        <f t="shared" si="72"/>
        <v/>
      </c>
      <c r="K901" t="str">
        <f t="shared" si="73"/>
        <v/>
      </c>
      <c r="L901" t="str">
        <f t="shared" si="74"/>
        <v/>
      </c>
      <c r="M901" t="str">
        <f>IF(COUNTIF($A$2:A901,A901)=1,
     VLOOKUP(A901,Season_Winners!A:B,2,FALSE),
     "")</f>
        <v/>
      </c>
      <c r="N901" s="2"/>
    </row>
    <row r="902" spans="1:14" hidden="1" x14ac:dyDescent="0.3">
      <c r="A902" t="s">
        <v>335</v>
      </c>
      <c r="B902">
        <v>15</v>
      </c>
      <c r="C902" t="s">
        <v>385</v>
      </c>
      <c r="D902" t="str">
        <f t="shared" si="70"/>
        <v>11.12.2015</v>
      </c>
      <c r="E902" s="1">
        <v>0.85416666666666663</v>
      </c>
      <c r="F902" t="s">
        <v>11</v>
      </c>
      <c r="G902" t="s">
        <v>10</v>
      </c>
      <c r="H902" s="2">
        <v>46023</v>
      </c>
      <c r="I902" s="3" t="str">
        <f t="shared" si="71"/>
        <v/>
      </c>
      <c r="J902" t="str">
        <f t="shared" si="72"/>
        <v/>
      </c>
      <c r="K902" t="str">
        <f t="shared" si="73"/>
        <v/>
      </c>
      <c r="L902" t="str">
        <f t="shared" si="74"/>
        <v/>
      </c>
      <c r="M902" t="str">
        <f>IF(COUNTIF($A$2:A902,A902)=1,
     VLOOKUP(A902,Season_Winners!A:B,2,FALSE),
     "")</f>
        <v/>
      </c>
      <c r="N902" s="2"/>
    </row>
    <row r="903" spans="1:14" hidden="1" x14ac:dyDescent="0.3">
      <c r="A903" t="s">
        <v>335</v>
      </c>
      <c r="B903">
        <v>15</v>
      </c>
      <c r="C903" t="s">
        <v>386</v>
      </c>
      <c r="D903" t="str">
        <f t="shared" si="70"/>
        <v>12.12.2015</v>
      </c>
      <c r="E903" s="1">
        <v>0.66666666666666663</v>
      </c>
      <c r="F903" t="s">
        <v>20</v>
      </c>
      <c r="G903" t="s">
        <v>182</v>
      </c>
      <c r="H903" s="2">
        <v>46055</v>
      </c>
      <c r="I903" s="3" t="str">
        <f t="shared" si="71"/>
        <v/>
      </c>
      <c r="J903" t="str">
        <f t="shared" si="72"/>
        <v/>
      </c>
      <c r="K903" t="str">
        <f t="shared" si="73"/>
        <v/>
      </c>
      <c r="L903" t="str">
        <f t="shared" si="74"/>
        <v/>
      </c>
      <c r="M903" t="str">
        <f>IF(COUNTIF($A$2:A903,A903)=1,
     VLOOKUP(A903,Season_Winners!A:B,2,FALSE),
     "")</f>
        <v/>
      </c>
      <c r="N903" s="2"/>
    </row>
    <row r="904" spans="1:14" x14ac:dyDescent="0.3">
      <c r="A904" t="s">
        <v>335</v>
      </c>
      <c r="B904">
        <v>15</v>
      </c>
      <c r="C904" t="s">
        <v>386</v>
      </c>
      <c r="D904" t="str">
        <f t="shared" si="70"/>
        <v>12.12.2015</v>
      </c>
      <c r="E904" s="1">
        <v>0.76041666666666663</v>
      </c>
      <c r="F904" t="s">
        <v>35</v>
      </c>
      <c r="G904" t="s">
        <v>36</v>
      </c>
      <c r="H904" t="s">
        <v>18</v>
      </c>
      <c r="I904" t="str">
        <f t="shared" si="71"/>
        <v>1-0</v>
      </c>
      <c r="J904" t="str">
        <f t="shared" si="72"/>
        <v>1</v>
      </c>
      <c r="K904" t="str">
        <f t="shared" si="73"/>
        <v>0</v>
      </c>
      <c r="L904" t="str">
        <f t="shared" si="74"/>
        <v>RC Celta</v>
      </c>
      <c r="M904" t="str">
        <f>IF(COUNTIF($A$2:A904,A904)=1,
     VLOOKUP(A904,Season_Winners!A:B,2,FALSE),
     "")</f>
        <v/>
      </c>
    </row>
    <row r="905" spans="1:14" hidden="1" x14ac:dyDescent="0.3">
      <c r="A905" t="s">
        <v>335</v>
      </c>
      <c r="B905">
        <v>15</v>
      </c>
      <c r="C905" t="s">
        <v>386</v>
      </c>
      <c r="D905" t="str">
        <f t="shared" si="70"/>
        <v>12.12.2015</v>
      </c>
      <c r="E905" s="1">
        <v>0.76041666666666663</v>
      </c>
      <c r="F905" t="s">
        <v>21</v>
      </c>
      <c r="G905" t="s">
        <v>24</v>
      </c>
      <c r="H905" s="2">
        <v>46054</v>
      </c>
      <c r="I905" s="3" t="str">
        <f t="shared" si="71"/>
        <v/>
      </c>
      <c r="J905" t="str">
        <f t="shared" si="72"/>
        <v/>
      </c>
      <c r="K905" t="str">
        <f t="shared" si="73"/>
        <v/>
      </c>
      <c r="L905" t="str">
        <f t="shared" si="74"/>
        <v/>
      </c>
      <c r="M905" t="str">
        <f>IF(COUNTIF($A$2:A905,A905)=1,
     VLOOKUP(A905,Season_Winners!A:B,2,FALSE),
     "")</f>
        <v/>
      </c>
      <c r="N905" s="2"/>
    </row>
    <row r="906" spans="1:14" x14ac:dyDescent="0.3">
      <c r="A906" t="s">
        <v>335</v>
      </c>
      <c r="B906">
        <v>15</v>
      </c>
      <c r="C906" t="s">
        <v>386</v>
      </c>
      <c r="D906" t="str">
        <f t="shared" si="70"/>
        <v>12.12.2015</v>
      </c>
      <c r="E906" s="1">
        <v>0.85416666666666663</v>
      </c>
      <c r="F906" t="s">
        <v>27</v>
      </c>
      <c r="G906" t="s">
        <v>340</v>
      </c>
      <c r="H906" t="s">
        <v>12</v>
      </c>
      <c r="I906" t="str">
        <f t="shared" si="71"/>
        <v>2-0</v>
      </c>
      <c r="J906" t="str">
        <f t="shared" si="72"/>
        <v>2</v>
      </c>
      <c r="K906" t="str">
        <f t="shared" si="73"/>
        <v>0</v>
      </c>
      <c r="L906" t="str">
        <f t="shared" si="74"/>
        <v>Sevilla FC</v>
      </c>
      <c r="M906" t="str">
        <f>IF(COUNTIF($A$2:A906,A906)=1,
     VLOOKUP(A906,Season_Winners!A:B,2,FALSE),
     "")</f>
        <v/>
      </c>
    </row>
    <row r="907" spans="1:14" x14ac:dyDescent="0.3">
      <c r="A907" t="s">
        <v>335</v>
      </c>
      <c r="B907">
        <v>15</v>
      </c>
      <c r="C907" t="s">
        <v>386</v>
      </c>
      <c r="D907" t="str">
        <f t="shared" si="70"/>
        <v>12.12.2015</v>
      </c>
      <c r="E907" s="1">
        <v>0.92013888888888884</v>
      </c>
      <c r="F907" t="s">
        <v>338</v>
      </c>
      <c r="G907" t="s">
        <v>26</v>
      </c>
      <c r="H907" t="s">
        <v>18</v>
      </c>
      <c r="I907" t="str">
        <f t="shared" si="71"/>
        <v>1-0</v>
      </c>
      <c r="J907" t="str">
        <f t="shared" si="72"/>
        <v>1</v>
      </c>
      <c r="K907" t="str">
        <f t="shared" si="73"/>
        <v>0</v>
      </c>
      <c r="L907" t="str">
        <f t="shared" si="74"/>
        <v>UD Las Palmas</v>
      </c>
      <c r="M907" t="str">
        <f>IF(COUNTIF($A$2:A907,A907)=1,
     VLOOKUP(A907,Season_Winners!A:B,2,FALSE),
     "")</f>
        <v/>
      </c>
    </row>
    <row r="908" spans="1:14" hidden="1" x14ac:dyDescent="0.3">
      <c r="A908" t="s">
        <v>335</v>
      </c>
      <c r="B908">
        <v>15</v>
      </c>
      <c r="C908" t="s">
        <v>387</v>
      </c>
      <c r="D908" t="str">
        <f t="shared" si="70"/>
        <v>13.12.2015</v>
      </c>
      <c r="E908" s="1">
        <v>0.5</v>
      </c>
      <c r="F908" t="s">
        <v>30</v>
      </c>
      <c r="G908" t="s">
        <v>17</v>
      </c>
      <c r="H908" s="2">
        <v>46054</v>
      </c>
      <c r="I908" s="3" t="str">
        <f t="shared" si="71"/>
        <v/>
      </c>
      <c r="J908" t="str">
        <f t="shared" si="72"/>
        <v/>
      </c>
      <c r="K908" t="str">
        <f t="shared" si="73"/>
        <v/>
      </c>
      <c r="L908" t="str">
        <f t="shared" si="74"/>
        <v/>
      </c>
      <c r="M908" t="str">
        <f>IF(COUNTIF($A$2:A908,A908)=1,
     VLOOKUP(A908,Season_Winners!A:B,2,FALSE),
     "")</f>
        <v/>
      </c>
      <c r="N908" s="2"/>
    </row>
    <row r="909" spans="1:14" hidden="1" x14ac:dyDescent="0.3">
      <c r="A909" t="s">
        <v>335</v>
      </c>
      <c r="B909">
        <v>15</v>
      </c>
      <c r="C909" t="s">
        <v>387</v>
      </c>
      <c r="D909" t="str">
        <f t="shared" si="70"/>
        <v>13.12.2015</v>
      </c>
      <c r="E909" s="1">
        <v>0.66666666666666663</v>
      </c>
      <c r="F909" t="s">
        <v>187</v>
      </c>
      <c r="G909" t="s">
        <v>16</v>
      </c>
      <c r="H909" s="2">
        <v>46023</v>
      </c>
      <c r="I909" s="3" t="str">
        <f t="shared" si="71"/>
        <v/>
      </c>
      <c r="J909" t="str">
        <f t="shared" si="72"/>
        <v/>
      </c>
      <c r="K909" t="str">
        <f t="shared" si="73"/>
        <v/>
      </c>
      <c r="L909" t="str">
        <f t="shared" si="74"/>
        <v/>
      </c>
      <c r="M909" t="str">
        <f>IF(COUNTIF($A$2:A909,A909)=1,
     VLOOKUP(A909,Season_Winners!A:B,2,FALSE),
     "")</f>
        <v/>
      </c>
      <c r="N909" s="2"/>
    </row>
    <row r="910" spans="1:14" hidden="1" x14ac:dyDescent="0.3">
      <c r="A910" t="s">
        <v>335</v>
      </c>
      <c r="B910">
        <v>15</v>
      </c>
      <c r="C910" t="s">
        <v>387</v>
      </c>
      <c r="D910" t="str">
        <f t="shared" si="70"/>
        <v>13.12.2015</v>
      </c>
      <c r="E910" s="1">
        <v>0.76041666666666663</v>
      </c>
      <c r="F910" t="s">
        <v>28</v>
      </c>
      <c r="G910" t="s">
        <v>15</v>
      </c>
      <c r="H910" s="2">
        <v>46024</v>
      </c>
      <c r="I910" s="3" t="str">
        <f t="shared" si="71"/>
        <v/>
      </c>
      <c r="J910" t="str">
        <f t="shared" si="72"/>
        <v/>
      </c>
      <c r="K910" t="str">
        <f t="shared" si="73"/>
        <v/>
      </c>
      <c r="L910" t="str">
        <f t="shared" si="74"/>
        <v/>
      </c>
      <c r="M910" t="str">
        <f>IF(COUNTIF($A$2:A910,A910)=1,
     VLOOKUP(A910,Season_Winners!A:B,2,FALSE),
     "")</f>
        <v/>
      </c>
      <c r="N910" s="2"/>
    </row>
    <row r="911" spans="1:14" x14ac:dyDescent="0.3">
      <c r="A911" t="s">
        <v>335</v>
      </c>
      <c r="B911">
        <v>15</v>
      </c>
      <c r="C911" t="s">
        <v>387</v>
      </c>
      <c r="D911" t="str">
        <f t="shared" si="70"/>
        <v>13.12.2015</v>
      </c>
      <c r="E911" s="1">
        <v>0.85416666666666663</v>
      </c>
      <c r="F911" t="s">
        <v>34</v>
      </c>
      <c r="G911" t="s">
        <v>25</v>
      </c>
      <c r="H911" t="s">
        <v>18</v>
      </c>
      <c r="I911" t="str">
        <f t="shared" si="71"/>
        <v>1-0</v>
      </c>
      <c r="J911" t="str">
        <f t="shared" si="72"/>
        <v>1</v>
      </c>
      <c r="K911" t="str">
        <f t="shared" si="73"/>
        <v>0</v>
      </c>
      <c r="L911" t="str">
        <f t="shared" si="74"/>
        <v>Villarreal CF</v>
      </c>
      <c r="M911" t="str">
        <f>IF(COUNTIF($A$2:A911,A911)=1,
     VLOOKUP(A911,Season_Winners!A:B,2,FALSE),
     "")</f>
        <v/>
      </c>
    </row>
    <row r="912" spans="1:14" hidden="1" x14ac:dyDescent="0.3">
      <c r="A912" t="s">
        <v>335</v>
      </c>
      <c r="B912">
        <v>16</v>
      </c>
      <c r="C912" t="s">
        <v>388</v>
      </c>
      <c r="D912" t="str">
        <f t="shared" si="70"/>
        <v>19.12.2015</v>
      </c>
      <c r="E912" s="1">
        <v>0.66666666666666663</v>
      </c>
      <c r="F912" t="s">
        <v>16</v>
      </c>
      <c r="G912" t="s">
        <v>11</v>
      </c>
      <c r="H912" s="2">
        <v>46055</v>
      </c>
      <c r="I912" s="3" t="str">
        <f t="shared" si="71"/>
        <v/>
      </c>
      <c r="J912" t="str">
        <f t="shared" si="72"/>
        <v/>
      </c>
      <c r="K912" t="str">
        <f t="shared" si="73"/>
        <v/>
      </c>
      <c r="L912" t="str">
        <f t="shared" si="74"/>
        <v/>
      </c>
      <c r="M912" t="str">
        <f>IF(COUNTIF($A$2:A912,A912)=1,
     VLOOKUP(A912,Season_Winners!A:B,2,FALSE),
     "")</f>
        <v/>
      </c>
      <c r="N912" s="2"/>
    </row>
    <row r="913" spans="1:14" x14ac:dyDescent="0.3">
      <c r="A913" t="s">
        <v>335</v>
      </c>
      <c r="B913">
        <v>16</v>
      </c>
      <c r="C913" t="s">
        <v>388</v>
      </c>
      <c r="D913" t="str">
        <f t="shared" si="70"/>
        <v>19.12.2015</v>
      </c>
      <c r="E913" s="1">
        <v>0.76041666666666663</v>
      </c>
      <c r="F913" t="s">
        <v>36</v>
      </c>
      <c r="G913" t="s">
        <v>338</v>
      </c>
      <c r="H913" t="s">
        <v>18</v>
      </c>
      <c r="I913" t="str">
        <f t="shared" si="71"/>
        <v>1-0</v>
      </c>
      <c r="J913" t="str">
        <f t="shared" si="72"/>
        <v>1</v>
      </c>
      <c r="K913" t="str">
        <f t="shared" si="73"/>
        <v>0</v>
      </c>
      <c r="L913" t="str">
        <f t="shared" si="74"/>
        <v>RCD Espanyol de Barcelona</v>
      </c>
      <c r="M913" t="str">
        <f>IF(COUNTIF($A$2:A913,A913)=1,
     VLOOKUP(A913,Season_Winners!A:B,2,FALSE),
     "")</f>
        <v/>
      </c>
    </row>
    <row r="914" spans="1:14" x14ac:dyDescent="0.3">
      <c r="A914" t="s">
        <v>335</v>
      </c>
      <c r="B914">
        <v>16</v>
      </c>
      <c r="C914" t="s">
        <v>388</v>
      </c>
      <c r="D914" t="str">
        <f t="shared" si="70"/>
        <v>19.12.2015</v>
      </c>
      <c r="E914" s="1">
        <v>0.85416666666666663</v>
      </c>
      <c r="F914" t="s">
        <v>26</v>
      </c>
      <c r="G914" t="s">
        <v>27</v>
      </c>
      <c r="H914" t="s">
        <v>41</v>
      </c>
      <c r="I914" t="str">
        <f t="shared" si="71"/>
        <v>0-0</v>
      </c>
      <c r="J914" t="str">
        <f t="shared" si="72"/>
        <v>0</v>
      </c>
      <c r="K914" t="str">
        <f t="shared" si="73"/>
        <v>0</v>
      </c>
      <c r="L914" t="str">
        <f t="shared" si="74"/>
        <v>Draw</v>
      </c>
      <c r="M914" t="str">
        <f>IF(COUNTIF($A$2:A914,A914)=1,
     VLOOKUP(A914,Season_Winners!A:B,2,FALSE),
     "")</f>
        <v/>
      </c>
    </row>
    <row r="915" spans="1:14" x14ac:dyDescent="0.3">
      <c r="A915" t="s">
        <v>335</v>
      </c>
      <c r="B915">
        <v>16</v>
      </c>
      <c r="C915" t="s">
        <v>388</v>
      </c>
      <c r="D915" t="str">
        <f t="shared" si="70"/>
        <v>19.12.2015</v>
      </c>
      <c r="E915" s="1">
        <v>0.92013888888888884</v>
      </c>
      <c r="F915" t="s">
        <v>182</v>
      </c>
      <c r="G915" t="s">
        <v>187</v>
      </c>
      <c r="H915" t="s">
        <v>12</v>
      </c>
      <c r="I915" t="str">
        <f t="shared" si="71"/>
        <v>2-0</v>
      </c>
      <c r="J915" t="str">
        <f t="shared" si="72"/>
        <v>2</v>
      </c>
      <c r="K915" t="str">
        <f t="shared" si="73"/>
        <v>0</v>
      </c>
      <c r="L915" t="str">
        <f t="shared" si="74"/>
        <v>RC Deportivo</v>
      </c>
      <c r="M915" t="str">
        <f>IF(COUNTIF($A$2:A915,A915)=1,
     VLOOKUP(A915,Season_Winners!A:B,2,FALSE),
     "")</f>
        <v/>
      </c>
    </row>
    <row r="916" spans="1:14" hidden="1" x14ac:dyDescent="0.3">
      <c r="A916" t="s">
        <v>335</v>
      </c>
      <c r="B916">
        <v>16</v>
      </c>
      <c r="C916" t="s">
        <v>389</v>
      </c>
      <c r="D916" t="str">
        <f t="shared" si="70"/>
        <v>20.12.2015</v>
      </c>
      <c r="E916" s="1">
        <v>0.66666666666666663</v>
      </c>
      <c r="F916" t="s">
        <v>25</v>
      </c>
      <c r="G916" t="s">
        <v>30</v>
      </c>
      <c r="H916" s="2">
        <v>46063</v>
      </c>
      <c r="I916" s="3" t="str">
        <f t="shared" si="71"/>
        <v/>
      </c>
      <c r="J916" t="str">
        <f t="shared" si="72"/>
        <v/>
      </c>
      <c r="K916" t="str">
        <f t="shared" si="73"/>
        <v/>
      </c>
      <c r="L916" t="str">
        <f t="shared" si="74"/>
        <v/>
      </c>
      <c r="M916" t="str">
        <f>IF(COUNTIF($A$2:A916,A916)=1,
     VLOOKUP(A916,Season_Winners!A:B,2,FALSE),
     "")</f>
        <v/>
      </c>
      <c r="N916" s="2"/>
    </row>
    <row r="917" spans="1:14" x14ac:dyDescent="0.3">
      <c r="A917" t="s">
        <v>335</v>
      </c>
      <c r="B917">
        <v>16</v>
      </c>
      <c r="C917" t="s">
        <v>389</v>
      </c>
      <c r="D917" t="str">
        <f t="shared" si="70"/>
        <v>20.12.2015</v>
      </c>
      <c r="E917" s="1">
        <v>0.76041666666666663</v>
      </c>
      <c r="F917" t="s">
        <v>15</v>
      </c>
      <c r="G917" t="s">
        <v>21</v>
      </c>
      <c r="H917" t="s">
        <v>12</v>
      </c>
      <c r="I917" t="str">
        <f t="shared" si="71"/>
        <v>2-0</v>
      </c>
      <c r="J917" t="str">
        <f t="shared" si="72"/>
        <v>2</v>
      </c>
      <c r="K917" t="str">
        <f t="shared" si="73"/>
        <v>0</v>
      </c>
      <c r="L917" t="str">
        <f t="shared" si="74"/>
        <v>Athletic Club</v>
      </c>
      <c r="M917" t="str">
        <f>IF(COUNTIF($A$2:A917,A917)=1,
     VLOOKUP(A917,Season_Winners!A:B,2,FALSE),
     "")</f>
        <v/>
      </c>
    </row>
    <row r="918" spans="1:14" x14ac:dyDescent="0.3">
      <c r="A918" t="s">
        <v>335</v>
      </c>
      <c r="B918">
        <v>16</v>
      </c>
      <c r="C918" t="s">
        <v>389</v>
      </c>
      <c r="D918" t="str">
        <f t="shared" si="70"/>
        <v>20.12.2015</v>
      </c>
      <c r="E918" s="1">
        <v>0.76041666666666663</v>
      </c>
      <c r="F918" t="s">
        <v>24</v>
      </c>
      <c r="G918" t="s">
        <v>35</v>
      </c>
      <c r="H918" t="s">
        <v>54</v>
      </c>
      <c r="I918" t="str">
        <f t="shared" si="71"/>
        <v>0-2</v>
      </c>
      <c r="J918" t="str">
        <f t="shared" si="72"/>
        <v>0</v>
      </c>
      <c r="K918" t="str">
        <f t="shared" si="73"/>
        <v>2</v>
      </c>
      <c r="L918" t="str">
        <f t="shared" si="74"/>
        <v>RC Celta</v>
      </c>
      <c r="M918" t="str">
        <f>IF(COUNTIF($A$2:A918,A918)=1,
     VLOOKUP(A918,Season_Winners!A:B,2,FALSE),
     "")</f>
        <v/>
      </c>
    </row>
    <row r="919" spans="1:14" x14ac:dyDescent="0.3">
      <c r="A919" t="s">
        <v>335</v>
      </c>
      <c r="B919">
        <v>16</v>
      </c>
      <c r="C919" t="s">
        <v>389</v>
      </c>
      <c r="D919" t="str">
        <f t="shared" si="70"/>
        <v>20.12.2015</v>
      </c>
      <c r="E919" s="1">
        <v>0.76041666666666663</v>
      </c>
      <c r="F919" t="s">
        <v>10</v>
      </c>
      <c r="G919" t="s">
        <v>34</v>
      </c>
      <c r="H919" t="s">
        <v>54</v>
      </c>
      <c r="I919" t="str">
        <f t="shared" si="71"/>
        <v>0-2</v>
      </c>
      <c r="J919" t="str">
        <f t="shared" si="72"/>
        <v>0</v>
      </c>
      <c r="K919" t="str">
        <f t="shared" si="73"/>
        <v>2</v>
      </c>
      <c r="L919" t="str">
        <f t="shared" si="74"/>
        <v>Villarreal CF</v>
      </c>
      <c r="M919" t="str">
        <f>IF(COUNTIF($A$2:A919,A919)=1,
     VLOOKUP(A919,Season_Winners!A:B,2,FALSE),
     "")</f>
        <v/>
      </c>
    </row>
    <row r="920" spans="1:14" x14ac:dyDescent="0.3">
      <c r="A920" t="s">
        <v>335</v>
      </c>
      <c r="B920">
        <v>16</v>
      </c>
      <c r="C920" t="s">
        <v>389</v>
      </c>
      <c r="D920" t="str">
        <f t="shared" si="70"/>
        <v>20.12.2015</v>
      </c>
      <c r="E920" s="1">
        <v>0.85416666666666663</v>
      </c>
      <c r="F920" t="s">
        <v>17</v>
      </c>
      <c r="G920" t="s">
        <v>1425</v>
      </c>
      <c r="H920" t="s">
        <v>18</v>
      </c>
      <c r="I920" t="str">
        <f t="shared" si="71"/>
        <v>1-0</v>
      </c>
      <c r="J920" t="str">
        <f t="shared" si="72"/>
        <v>1</v>
      </c>
      <c r="K920" t="str">
        <f t="shared" si="73"/>
        <v>0</v>
      </c>
      <c r="L920" t="str">
        <f t="shared" si="74"/>
        <v>MÃ¡laga CF</v>
      </c>
      <c r="M920" t="str">
        <f>IF(COUNTIF($A$2:A920,A920)=1,
     VLOOKUP(A920,Season_Winners!A:B,2,FALSE),
     "")</f>
        <v/>
      </c>
    </row>
    <row r="921" spans="1:14" hidden="1" x14ac:dyDescent="0.3">
      <c r="A921" t="s">
        <v>335</v>
      </c>
      <c r="B921">
        <v>16</v>
      </c>
      <c r="C921" t="s">
        <v>390</v>
      </c>
      <c r="D921" t="str">
        <f t="shared" si="70"/>
        <v>17.02.2016</v>
      </c>
      <c r="E921" s="1">
        <v>0.77083333333333337</v>
      </c>
      <c r="F921" t="s">
        <v>340</v>
      </c>
      <c r="G921" t="s">
        <v>20</v>
      </c>
      <c r="H921" s="2">
        <v>46082</v>
      </c>
      <c r="I921" s="3" t="str">
        <f t="shared" si="71"/>
        <v/>
      </c>
      <c r="J921" t="str">
        <f t="shared" si="72"/>
        <v/>
      </c>
      <c r="K921" t="str">
        <f t="shared" si="73"/>
        <v/>
      </c>
      <c r="L921" t="str">
        <f t="shared" si="74"/>
        <v/>
      </c>
      <c r="M921" t="str">
        <f>IF(COUNTIF($A$2:A921,A921)=1,
     VLOOKUP(A921,Season_Winners!A:B,2,FALSE),
     "")</f>
        <v/>
      </c>
      <c r="N921" s="2"/>
    </row>
    <row r="922" spans="1:14" x14ac:dyDescent="0.3">
      <c r="A922" t="s">
        <v>335</v>
      </c>
      <c r="B922">
        <v>17</v>
      </c>
      <c r="C922" t="s">
        <v>391</v>
      </c>
      <c r="D922" t="str">
        <f t="shared" si="70"/>
        <v>30.12.2015</v>
      </c>
      <c r="E922" s="1">
        <v>0.66666666666666663</v>
      </c>
      <c r="F922" t="s">
        <v>21</v>
      </c>
      <c r="G922" t="s">
        <v>17</v>
      </c>
      <c r="H922" t="s">
        <v>42</v>
      </c>
      <c r="I922" t="str">
        <f t="shared" si="71"/>
        <v>0-1</v>
      </c>
      <c r="J922" t="str">
        <f t="shared" si="72"/>
        <v>0</v>
      </c>
      <c r="K922" t="str">
        <f t="shared" si="73"/>
        <v>1</v>
      </c>
      <c r="L922" t="str">
        <f t="shared" si="74"/>
        <v>MÃ¡laga CF</v>
      </c>
      <c r="M922" t="str">
        <f>IF(COUNTIF($A$2:A922,A922)=1,
     VLOOKUP(A922,Season_Winners!A:B,2,FALSE),
     "")</f>
        <v/>
      </c>
    </row>
    <row r="923" spans="1:14" hidden="1" x14ac:dyDescent="0.3">
      <c r="A923" t="s">
        <v>335</v>
      </c>
      <c r="B923">
        <v>17</v>
      </c>
      <c r="C923" t="s">
        <v>391</v>
      </c>
      <c r="D923" t="str">
        <f t="shared" si="70"/>
        <v>30.12.2015</v>
      </c>
      <c r="E923" s="1">
        <v>0.66666666666666663</v>
      </c>
      <c r="F923" t="s">
        <v>25</v>
      </c>
      <c r="G923" t="s">
        <v>10</v>
      </c>
      <c r="H923" s="2">
        <v>46025</v>
      </c>
      <c r="I923" s="3" t="str">
        <f t="shared" si="71"/>
        <v/>
      </c>
      <c r="J923" t="str">
        <f t="shared" si="72"/>
        <v/>
      </c>
      <c r="K923" t="str">
        <f t="shared" si="73"/>
        <v/>
      </c>
      <c r="L923" t="str">
        <f t="shared" si="74"/>
        <v/>
      </c>
      <c r="M923" t="str">
        <f>IF(COUNTIF($A$2:A923,A923)=1,
     VLOOKUP(A923,Season_Winners!A:B,2,FALSE),
     "")</f>
        <v/>
      </c>
      <c r="N923" s="2"/>
    </row>
    <row r="924" spans="1:14" x14ac:dyDescent="0.3">
      <c r="A924" t="s">
        <v>335</v>
      </c>
      <c r="B924">
        <v>17</v>
      </c>
      <c r="C924" t="s">
        <v>391</v>
      </c>
      <c r="D924" t="str">
        <f t="shared" si="70"/>
        <v>30.12.2015</v>
      </c>
      <c r="E924" s="1">
        <v>0.76041666666666663</v>
      </c>
      <c r="F924" t="s">
        <v>30</v>
      </c>
      <c r="G924" t="s">
        <v>1425</v>
      </c>
      <c r="H924" t="s">
        <v>54</v>
      </c>
      <c r="I924" t="str">
        <f t="shared" si="71"/>
        <v>0-2</v>
      </c>
      <c r="J924" t="str">
        <f t="shared" si="72"/>
        <v>0</v>
      </c>
      <c r="K924" t="str">
        <f t="shared" si="73"/>
        <v>2</v>
      </c>
      <c r="L924" t="str">
        <f t="shared" si="74"/>
        <v>Atlético de Madrid</v>
      </c>
      <c r="M924" t="str">
        <f>IF(COUNTIF($A$2:A924,A924)=1,
     VLOOKUP(A924,Season_Winners!A:B,2,FALSE),
     "")</f>
        <v/>
      </c>
    </row>
    <row r="925" spans="1:14" x14ac:dyDescent="0.3">
      <c r="A925" t="s">
        <v>335</v>
      </c>
      <c r="B925">
        <v>17</v>
      </c>
      <c r="C925" t="s">
        <v>391</v>
      </c>
      <c r="D925" t="str">
        <f t="shared" si="70"/>
        <v>30.12.2015</v>
      </c>
      <c r="E925" s="1">
        <v>0.76041666666666663</v>
      </c>
      <c r="F925" t="s">
        <v>27</v>
      </c>
      <c r="G925" t="s">
        <v>36</v>
      </c>
      <c r="H925" t="s">
        <v>12</v>
      </c>
      <c r="I925" t="str">
        <f t="shared" si="71"/>
        <v>2-0</v>
      </c>
      <c r="J925" t="str">
        <f t="shared" si="72"/>
        <v>2</v>
      </c>
      <c r="K925" t="str">
        <f t="shared" si="73"/>
        <v>0</v>
      </c>
      <c r="L925" t="str">
        <f t="shared" si="74"/>
        <v>Sevilla FC</v>
      </c>
      <c r="M925" t="str">
        <f>IF(COUNTIF($A$2:A925,A925)=1,
     VLOOKUP(A925,Season_Winners!A:B,2,FALSE),
     "")</f>
        <v/>
      </c>
    </row>
    <row r="926" spans="1:14" x14ac:dyDescent="0.3">
      <c r="A926" t="s">
        <v>335</v>
      </c>
      <c r="B926">
        <v>17</v>
      </c>
      <c r="C926" t="s">
        <v>391</v>
      </c>
      <c r="D926" t="str">
        <f t="shared" si="70"/>
        <v>30.12.2015</v>
      </c>
      <c r="E926" s="1">
        <v>0.77083333333333337</v>
      </c>
      <c r="F926" t="s">
        <v>187</v>
      </c>
      <c r="G926" t="s">
        <v>340</v>
      </c>
      <c r="H926" t="s">
        <v>12</v>
      </c>
      <c r="I926" t="str">
        <f t="shared" si="71"/>
        <v>2-0</v>
      </c>
      <c r="J926" t="str">
        <f t="shared" si="72"/>
        <v>2</v>
      </c>
      <c r="K926" t="str">
        <f t="shared" si="73"/>
        <v>0</v>
      </c>
      <c r="L926" t="str">
        <f t="shared" si="74"/>
        <v>SD Eibar</v>
      </c>
      <c r="M926" t="str">
        <f>IF(COUNTIF($A$2:A926,A926)=1,
     VLOOKUP(A926,Season_Winners!A:B,2,FALSE),
     "")</f>
        <v/>
      </c>
    </row>
    <row r="927" spans="1:14" x14ac:dyDescent="0.3">
      <c r="A927" t="s">
        <v>335</v>
      </c>
      <c r="B927">
        <v>17</v>
      </c>
      <c r="C927" t="s">
        <v>391</v>
      </c>
      <c r="D927" t="str">
        <f t="shared" si="70"/>
        <v>30.12.2015</v>
      </c>
      <c r="E927" s="1">
        <v>0.85416666666666663</v>
      </c>
      <c r="F927" t="s">
        <v>20</v>
      </c>
      <c r="G927" t="s">
        <v>26</v>
      </c>
      <c r="H927" t="s">
        <v>88</v>
      </c>
      <c r="I927" t="str">
        <f t="shared" si="71"/>
        <v>4-0</v>
      </c>
      <c r="J927" t="str">
        <f t="shared" si="72"/>
        <v>4</v>
      </c>
      <c r="K927" t="str">
        <f t="shared" si="73"/>
        <v>0</v>
      </c>
      <c r="L927" t="str">
        <f t="shared" si="74"/>
        <v>FC Barcelona</v>
      </c>
      <c r="M927" t="str">
        <f>IF(COUNTIF($A$2:A927,A927)=1,
     VLOOKUP(A927,Season_Winners!A:B,2,FALSE),
     "")</f>
        <v/>
      </c>
    </row>
    <row r="928" spans="1:14" x14ac:dyDescent="0.3">
      <c r="A928" t="s">
        <v>335</v>
      </c>
      <c r="B928">
        <v>17</v>
      </c>
      <c r="C928" t="s">
        <v>391</v>
      </c>
      <c r="D928" t="str">
        <f t="shared" si="70"/>
        <v>30.12.2015</v>
      </c>
      <c r="E928" s="1">
        <v>0.85416666666666663</v>
      </c>
      <c r="F928" t="s">
        <v>35</v>
      </c>
      <c r="G928" t="s">
        <v>15</v>
      </c>
      <c r="H928" t="s">
        <v>42</v>
      </c>
      <c r="I928" t="str">
        <f t="shared" si="71"/>
        <v>0-1</v>
      </c>
      <c r="J928" t="str">
        <f t="shared" si="72"/>
        <v>0</v>
      </c>
      <c r="K928" t="str">
        <f t="shared" si="73"/>
        <v>1</v>
      </c>
      <c r="L928" t="str">
        <f t="shared" si="74"/>
        <v>Athletic Club</v>
      </c>
      <c r="M928" t="str">
        <f>IF(COUNTIF($A$2:A928,A928)=1,
     VLOOKUP(A928,Season_Winners!A:B,2,FALSE),
     "")</f>
        <v/>
      </c>
    </row>
    <row r="929" spans="1:14" x14ac:dyDescent="0.3">
      <c r="A929" t="s">
        <v>335</v>
      </c>
      <c r="B929">
        <v>17</v>
      </c>
      <c r="C929" t="s">
        <v>391</v>
      </c>
      <c r="D929" t="str">
        <f t="shared" si="70"/>
        <v>30.12.2015</v>
      </c>
      <c r="E929" s="1">
        <v>0.85416666666666663</v>
      </c>
      <c r="F929" t="s">
        <v>11</v>
      </c>
      <c r="G929" t="s">
        <v>182</v>
      </c>
      <c r="H929" t="s">
        <v>41</v>
      </c>
      <c r="I929" t="str">
        <f t="shared" si="71"/>
        <v>0-0</v>
      </c>
      <c r="J929" t="str">
        <f t="shared" si="72"/>
        <v>0</v>
      </c>
      <c r="K929" t="str">
        <f t="shared" si="73"/>
        <v>0</v>
      </c>
      <c r="L929" t="str">
        <f t="shared" si="74"/>
        <v>Draw</v>
      </c>
      <c r="M929" t="str">
        <f>IF(COUNTIF($A$2:A929,A929)=1,
     VLOOKUP(A929,Season_Winners!A:B,2,FALSE),
     "")</f>
        <v/>
      </c>
    </row>
    <row r="930" spans="1:14" hidden="1" x14ac:dyDescent="0.3">
      <c r="A930" t="s">
        <v>335</v>
      </c>
      <c r="B930">
        <v>17</v>
      </c>
      <c r="C930" t="s">
        <v>391</v>
      </c>
      <c r="D930" t="str">
        <f t="shared" si="70"/>
        <v>30.12.2015</v>
      </c>
      <c r="E930" s="1">
        <v>0.875</v>
      </c>
      <c r="F930" t="s">
        <v>338</v>
      </c>
      <c r="G930" t="s">
        <v>24</v>
      </c>
      <c r="H930" s="2">
        <v>46026</v>
      </c>
      <c r="I930" s="3" t="str">
        <f t="shared" si="71"/>
        <v/>
      </c>
      <c r="J930" t="str">
        <f t="shared" si="72"/>
        <v/>
      </c>
      <c r="K930" t="str">
        <f t="shared" si="73"/>
        <v/>
      </c>
      <c r="L930" t="str">
        <f t="shared" si="74"/>
        <v/>
      </c>
      <c r="M930" t="str">
        <f>IF(COUNTIF($A$2:A930,A930)=1,
     VLOOKUP(A930,Season_Winners!A:B,2,FALSE),
     "")</f>
        <v/>
      </c>
      <c r="N930" s="2"/>
    </row>
    <row r="931" spans="1:14" x14ac:dyDescent="0.3">
      <c r="A931" t="s">
        <v>335</v>
      </c>
      <c r="B931">
        <v>17</v>
      </c>
      <c r="C931" t="s">
        <v>392</v>
      </c>
      <c r="D931" t="str">
        <f t="shared" si="70"/>
        <v>31.12.2015</v>
      </c>
      <c r="E931" s="1">
        <v>0.66666666666666663</v>
      </c>
      <c r="F931" t="s">
        <v>34</v>
      </c>
      <c r="G931" t="s">
        <v>16</v>
      </c>
      <c r="H931" t="s">
        <v>18</v>
      </c>
      <c r="I931" t="str">
        <f t="shared" si="71"/>
        <v>1-0</v>
      </c>
      <c r="J931" t="str">
        <f t="shared" si="72"/>
        <v>1</v>
      </c>
      <c r="K931" t="str">
        <f t="shared" si="73"/>
        <v>0</v>
      </c>
      <c r="L931" t="str">
        <f t="shared" si="74"/>
        <v>Villarreal CF</v>
      </c>
      <c r="M931" t="str">
        <f>IF(COUNTIF($A$2:A931,A931)=1,
     VLOOKUP(A931,Season_Winners!A:B,2,FALSE),
     "")</f>
        <v/>
      </c>
    </row>
    <row r="932" spans="1:14" x14ac:dyDescent="0.3">
      <c r="A932" t="s">
        <v>335</v>
      </c>
      <c r="B932">
        <v>18</v>
      </c>
      <c r="C932" t="s">
        <v>393</v>
      </c>
      <c r="D932" t="str">
        <f t="shared" si="70"/>
        <v>02.01.2016</v>
      </c>
      <c r="E932" s="1">
        <v>0.66666666666666663</v>
      </c>
      <c r="F932" t="s">
        <v>36</v>
      </c>
      <c r="G932" t="s">
        <v>20</v>
      </c>
      <c r="H932" t="s">
        <v>41</v>
      </c>
      <c r="I932" t="str">
        <f t="shared" si="71"/>
        <v>0-0</v>
      </c>
      <c r="J932" t="str">
        <f t="shared" si="72"/>
        <v>0</v>
      </c>
      <c r="K932" t="str">
        <f t="shared" si="73"/>
        <v>0</v>
      </c>
      <c r="L932" t="str">
        <f t="shared" si="74"/>
        <v>Draw</v>
      </c>
      <c r="M932" t="str">
        <f>IF(COUNTIF($A$2:A932,A932)=1,
     VLOOKUP(A932,Season_Winners!A:B,2,FALSE),
     "")</f>
        <v/>
      </c>
    </row>
    <row r="933" spans="1:14" x14ac:dyDescent="0.3">
      <c r="A933" t="s">
        <v>335</v>
      </c>
      <c r="B933">
        <v>18</v>
      </c>
      <c r="C933" t="s">
        <v>393</v>
      </c>
      <c r="D933" t="str">
        <f t="shared" si="70"/>
        <v>02.01.2016</v>
      </c>
      <c r="E933" s="1">
        <v>0.85416666666666663</v>
      </c>
      <c r="F933" t="s">
        <v>1425</v>
      </c>
      <c r="G933" t="s">
        <v>21</v>
      </c>
      <c r="H933" t="s">
        <v>18</v>
      </c>
      <c r="I933" t="str">
        <f t="shared" si="71"/>
        <v>1-0</v>
      </c>
      <c r="J933" t="str">
        <f t="shared" si="72"/>
        <v>1</v>
      </c>
      <c r="K933" t="str">
        <f t="shared" si="73"/>
        <v>0</v>
      </c>
      <c r="L933" t="str">
        <f t="shared" si="74"/>
        <v>Atlético de Madrid</v>
      </c>
      <c r="M933" t="str">
        <f>IF(COUNTIF($A$2:A933,A933)=1,
     VLOOKUP(A933,Season_Winners!A:B,2,FALSE),
     "")</f>
        <v/>
      </c>
    </row>
    <row r="934" spans="1:14" x14ac:dyDescent="0.3">
      <c r="A934" t="s">
        <v>335</v>
      </c>
      <c r="B934">
        <v>18</v>
      </c>
      <c r="C934" t="s">
        <v>393</v>
      </c>
      <c r="D934" t="str">
        <f t="shared" si="70"/>
        <v>02.01.2016</v>
      </c>
      <c r="E934" s="1">
        <v>0.92013888888888884</v>
      </c>
      <c r="F934" t="s">
        <v>17</v>
      </c>
      <c r="G934" t="s">
        <v>35</v>
      </c>
      <c r="H934" t="s">
        <v>12</v>
      </c>
      <c r="I934" t="str">
        <f t="shared" si="71"/>
        <v>2-0</v>
      </c>
      <c r="J934" t="str">
        <f t="shared" si="72"/>
        <v>2</v>
      </c>
      <c r="K934" t="str">
        <f t="shared" si="73"/>
        <v>0</v>
      </c>
      <c r="L934" t="str">
        <f t="shared" si="74"/>
        <v>MÃ¡laga CF</v>
      </c>
      <c r="M934" t="str">
        <f>IF(COUNTIF($A$2:A934,A934)=1,
     VLOOKUP(A934,Season_Winners!A:B,2,FALSE),
     "")</f>
        <v/>
      </c>
    </row>
    <row r="935" spans="1:14" hidden="1" x14ac:dyDescent="0.3">
      <c r="A935" t="s">
        <v>335</v>
      </c>
      <c r="B935">
        <v>18</v>
      </c>
      <c r="C935" t="s">
        <v>394</v>
      </c>
      <c r="D935" t="str">
        <f t="shared" si="70"/>
        <v>03.01.2016</v>
      </c>
      <c r="E935" s="1">
        <v>0.5</v>
      </c>
      <c r="F935" t="s">
        <v>30</v>
      </c>
      <c r="G935" t="s">
        <v>10</v>
      </c>
      <c r="H935" s="2">
        <v>46055</v>
      </c>
      <c r="I935" s="3" t="str">
        <f t="shared" si="71"/>
        <v/>
      </c>
      <c r="J935" t="str">
        <f t="shared" si="72"/>
        <v/>
      </c>
      <c r="K935" t="str">
        <f t="shared" si="73"/>
        <v/>
      </c>
      <c r="L935" t="str">
        <f t="shared" si="74"/>
        <v/>
      </c>
      <c r="M935" t="str">
        <f>IF(COUNTIF($A$2:A935,A935)=1,
     VLOOKUP(A935,Season_Winners!A:B,2,FALSE),
     "")</f>
        <v/>
      </c>
      <c r="N935" s="2"/>
    </row>
    <row r="936" spans="1:14" x14ac:dyDescent="0.3">
      <c r="A936" t="s">
        <v>335</v>
      </c>
      <c r="B936">
        <v>18</v>
      </c>
      <c r="C936" t="s">
        <v>394</v>
      </c>
      <c r="D936" t="str">
        <f t="shared" si="70"/>
        <v>03.01.2016</v>
      </c>
      <c r="E936" s="1">
        <v>0.66666666666666663</v>
      </c>
      <c r="F936" t="s">
        <v>26</v>
      </c>
      <c r="G936" t="s">
        <v>187</v>
      </c>
      <c r="H936" t="s">
        <v>53</v>
      </c>
      <c r="I936" t="str">
        <f t="shared" si="71"/>
        <v>0-4</v>
      </c>
      <c r="J936" t="str">
        <f t="shared" si="72"/>
        <v>0</v>
      </c>
      <c r="K936" t="str">
        <f t="shared" si="73"/>
        <v>4</v>
      </c>
      <c r="L936" t="str">
        <f t="shared" si="74"/>
        <v>SD Eibar</v>
      </c>
      <c r="M936" t="str">
        <f>IF(COUNTIF($A$2:A936,A936)=1,
     VLOOKUP(A936,Season_Winners!A:B,2,FALSE),
     "")</f>
        <v/>
      </c>
    </row>
    <row r="937" spans="1:14" hidden="1" x14ac:dyDescent="0.3">
      <c r="A937" t="s">
        <v>335</v>
      </c>
      <c r="B937">
        <v>18</v>
      </c>
      <c r="C937" t="s">
        <v>394</v>
      </c>
      <c r="D937" t="str">
        <f t="shared" si="70"/>
        <v>03.01.2016</v>
      </c>
      <c r="E937" s="1">
        <v>0.66666666666666663</v>
      </c>
      <c r="F937" t="s">
        <v>24</v>
      </c>
      <c r="G937" t="s">
        <v>27</v>
      </c>
      <c r="H937" s="2">
        <v>46024</v>
      </c>
      <c r="I937" s="3" t="str">
        <f t="shared" si="71"/>
        <v/>
      </c>
      <c r="J937" t="str">
        <f t="shared" si="72"/>
        <v/>
      </c>
      <c r="K937" t="str">
        <f t="shared" si="73"/>
        <v/>
      </c>
      <c r="L937" t="str">
        <f t="shared" si="74"/>
        <v/>
      </c>
      <c r="M937" t="str">
        <f>IF(COUNTIF($A$2:A937,A937)=1,
     VLOOKUP(A937,Season_Winners!A:B,2,FALSE),
     "")</f>
        <v/>
      </c>
      <c r="N937" s="2"/>
    </row>
    <row r="938" spans="1:14" hidden="1" x14ac:dyDescent="0.3">
      <c r="A938" t="s">
        <v>335</v>
      </c>
      <c r="B938">
        <v>18</v>
      </c>
      <c r="C938" t="s">
        <v>394</v>
      </c>
      <c r="D938" t="str">
        <f t="shared" si="70"/>
        <v>03.01.2016</v>
      </c>
      <c r="E938" s="1">
        <v>0.76041666666666663</v>
      </c>
      <c r="F938" t="s">
        <v>15</v>
      </c>
      <c r="G938" t="s">
        <v>338</v>
      </c>
      <c r="H938" s="2">
        <v>46055</v>
      </c>
      <c r="I938" s="3" t="str">
        <f t="shared" si="71"/>
        <v/>
      </c>
      <c r="J938" t="str">
        <f t="shared" si="72"/>
        <v/>
      </c>
      <c r="K938" t="str">
        <f t="shared" si="73"/>
        <v/>
      </c>
      <c r="L938" t="str">
        <f t="shared" si="74"/>
        <v/>
      </c>
      <c r="M938" t="str">
        <f>IF(COUNTIF($A$2:A938,A938)=1,
     VLOOKUP(A938,Season_Winners!A:B,2,FALSE),
     "")</f>
        <v/>
      </c>
      <c r="N938" s="2"/>
    </row>
    <row r="939" spans="1:14" hidden="1" x14ac:dyDescent="0.3">
      <c r="A939" t="s">
        <v>335</v>
      </c>
      <c r="B939">
        <v>18</v>
      </c>
      <c r="C939" t="s">
        <v>394</v>
      </c>
      <c r="D939" t="str">
        <f t="shared" si="70"/>
        <v>03.01.2016</v>
      </c>
      <c r="E939" s="1">
        <v>0.76041666666666663</v>
      </c>
      <c r="F939" t="s">
        <v>182</v>
      </c>
      <c r="G939" t="s">
        <v>34</v>
      </c>
      <c r="H939" s="2">
        <v>46054</v>
      </c>
      <c r="I939" s="3" t="str">
        <f t="shared" si="71"/>
        <v/>
      </c>
      <c r="J939" t="str">
        <f t="shared" si="72"/>
        <v/>
      </c>
      <c r="K939" t="str">
        <f t="shared" si="73"/>
        <v/>
      </c>
      <c r="L939" t="str">
        <f t="shared" si="74"/>
        <v/>
      </c>
      <c r="M939" t="str">
        <f>IF(COUNTIF($A$2:A939,A939)=1,
     VLOOKUP(A939,Season_Winners!A:B,2,FALSE),
     "")</f>
        <v/>
      </c>
      <c r="N939" s="2"/>
    </row>
    <row r="940" spans="1:14" hidden="1" x14ac:dyDescent="0.3">
      <c r="A940" t="s">
        <v>335</v>
      </c>
      <c r="B940">
        <v>18</v>
      </c>
      <c r="C940" t="s">
        <v>394</v>
      </c>
      <c r="D940" t="str">
        <f t="shared" si="70"/>
        <v>03.01.2016</v>
      </c>
      <c r="E940" s="1">
        <v>0.85416666666666663</v>
      </c>
      <c r="F940" t="s">
        <v>16</v>
      </c>
      <c r="G940" t="s">
        <v>25</v>
      </c>
      <c r="H940" s="2">
        <v>46055</v>
      </c>
      <c r="I940" s="3" t="str">
        <f t="shared" si="71"/>
        <v/>
      </c>
      <c r="J940" t="str">
        <f t="shared" si="72"/>
        <v/>
      </c>
      <c r="K940" t="str">
        <f t="shared" si="73"/>
        <v/>
      </c>
      <c r="L940" t="str">
        <f t="shared" si="74"/>
        <v/>
      </c>
      <c r="M940" t="str">
        <f>IF(COUNTIF($A$2:A940,A940)=1,
     VLOOKUP(A940,Season_Winners!A:B,2,FALSE),
     "")</f>
        <v/>
      </c>
      <c r="N940" s="2"/>
    </row>
    <row r="941" spans="1:14" hidden="1" x14ac:dyDescent="0.3">
      <c r="A941" t="s">
        <v>335</v>
      </c>
      <c r="B941">
        <v>18</v>
      </c>
      <c r="C941" t="s">
        <v>395</v>
      </c>
      <c r="D941" t="str">
        <f t="shared" si="70"/>
        <v>04.01.2016</v>
      </c>
      <c r="E941" s="1">
        <v>0.85416666666666663</v>
      </c>
      <c r="F941" t="s">
        <v>340</v>
      </c>
      <c r="G941" t="s">
        <v>11</v>
      </c>
      <c r="H941" s="2">
        <v>46054</v>
      </c>
      <c r="I941" s="3" t="str">
        <f t="shared" si="71"/>
        <v/>
      </c>
      <c r="J941" t="str">
        <f t="shared" si="72"/>
        <v/>
      </c>
      <c r="K941" t="str">
        <f t="shared" si="73"/>
        <v/>
      </c>
      <c r="L941" t="str">
        <f t="shared" si="74"/>
        <v/>
      </c>
      <c r="M941" t="str">
        <f>IF(COUNTIF($A$2:A941,A941)=1,
     VLOOKUP(A941,Season_Winners!A:B,2,FALSE),
     "")</f>
        <v/>
      </c>
      <c r="N941" s="2"/>
    </row>
    <row r="942" spans="1:14" x14ac:dyDescent="0.3">
      <c r="A942" t="s">
        <v>335</v>
      </c>
      <c r="B942">
        <v>19</v>
      </c>
      <c r="C942" t="s">
        <v>396</v>
      </c>
      <c r="D942" t="str">
        <f t="shared" si="70"/>
        <v>09.01.2016</v>
      </c>
      <c r="E942" s="1">
        <v>0.66666666666666663</v>
      </c>
      <c r="F942" t="s">
        <v>20</v>
      </c>
      <c r="G942" t="s">
        <v>24</v>
      </c>
      <c r="H942" t="s">
        <v>88</v>
      </c>
      <c r="I942" t="str">
        <f t="shared" si="71"/>
        <v>4-0</v>
      </c>
      <c r="J942" t="str">
        <f t="shared" si="72"/>
        <v>4</v>
      </c>
      <c r="K942" t="str">
        <f t="shared" si="73"/>
        <v>0</v>
      </c>
      <c r="L942" t="str">
        <f t="shared" si="74"/>
        <v>FC Barcelona</v>
      </c>
      <c r="M942" t="str">
        <f>IF(COUNTIF($A$2:A942,A942)=1,
     VLOOKUP(A942,Season_Winners!A:B,2,FALSE),
     "")</f>
        <v/>
      </c>
    </row>
    <row r="943" spans="1:14" x14ac:dyDescent="0.3">
      <c r="A943" t="s">
        <v>335</v>
      </c>
      <c r="B943">
        <v>19</v>
      </c>
      <c r="C943" t="s">
        <v>396</v>
      </c>
      <c r="D943" t="str">
        <f t="shared" si="70"/>
        <v>09.01.2016</v>
      </c>
      <c r="E943" s="1">
        <v>0.76041666666666663</v>
      </c>
      <c r="F943" t="s">
        <v>11</v>
      </c>
      <c r="G943" t="s">
        <v>26</v>
      </c>
      <c r="H943" t="s">
        <v>18</v>
      </c>
      <c r="I943" t="str">
        <f t="shared" si="71"/>
        <v>1-0</v>
      </c>
      <c r="J943" t="str">
        <f t="shared" si="72"/>
        <v>1</v>
      </c>
      <c r="K943" t="str">
        <f t="shared" si="73"/>
        <v>0</v>
      </c>
      <c r="L943" t="str">
        <f t="shared" si="74"/>
        <v>Getafe CF</v>
      </c>
      <c r="M943" t="str">
        <f>IF(COUNTIF($A$2:A943,A943)=1,
     VLOOKUP(A943,Season_Winners!A:B,2,FALSE),
     "")</f>
        <v/>
      </c>
    </row>
    <row r="944" spans="1:14" x14ac:dyDescent="0.3">
      <c r="A944" t="s">
        <v>335</v>
      </c>
      <c r="B944">
        <v>19</v>
      </c>
      <c r="C944" t="s">
        <v>396</v>
      </c>
      <c r="D944" t="str">
        <f t="shared" si="70"/>
        <v>09.01.2016</v>
      </c>
      <c r="E944" s="1">
        <v>0.76041666666666663</v>
      </c>
      <c r="F944" t="s">
        <v>27</v>
      </c>
      <c r="G944" t="s">
        <v>15</v>
      </c>
      <c r="H944" t="s">
        <v>12</v>
      </c>
      <c r="I944" t="str">
        <f t="shared" si="71"/>
        <v>2-0</v>
      </c>
      <c r="J944" t="str">
        <f t="shared" si="72"/>
        <v>2</v>
      </c>
      <c r="K944" t="str">
        <f t="shared" si="73"/>
        <v>0</v>
      </c>
      <c r="L944" t="str">
        <f t="shared" si="74"/>
        <v>Sevilla FC</v>
      </c>
      <c r="M944" t="str">
        <f>IF(COUNTIF($A$2:A944,A944)=1,
     VLOOKUP(A944,Season_Winners!A:B,2,FALSE),
     "")</f>
        <v/>
      </c>
    </row>
    <row r="945" spans="1:14" x14ac:dyDescent="0.3">
      <c r="A945" t="s">
        <v>335</v>
      </c>
      <c r="B945">
        <v>19</v>
      </c>
      <c r="C945" t="s">
        <v>396</v>
      </c>
      <c r="D945" t="str">
        <f t="shared" si="70"/>
        <v>09.01.2016</v>
      </c>
      <c r="E945" s="1">
        <v>0.85416666666666663</v>
      </c>
      <c r="F945" t="s">
        <v>25</v>
      </c>
      <c r="G945" t="s">
        <v>182</v>
      </c>
      <c r="H945" t="s">
        <v>40</v>
      </c>
      <c r="I945" t="str">
        <f t="shared" si="71"/>
        <v>5-0</v>
      </c>
      <c r="J945" t="str">
        <f t="shared" si="72"/>
        <v>5</v>
      </c>
      <c r="K945" t="str">
        <f t="shared" si="73"/>
        <v>0</v>
      </c>
      <c r="L945" t="str">
        <f t="shared" si="74"/>
        <v>Real Madrid</v>
      </c>
      <c r="M945" t="str">
        <f>IF(COUNTIF($A$2:A945,A945)=1,
     VLOOKUP(A945,Season_Winners!A:B,2,FALSE),
     "")</f>
        <v/>
      </c>
    </row>
    <row r="946" spans="1:14" hidden="1" x14ac:dyDescent="0.3">
      <c r="A946" t="s">
        <v>335</v>
      </c>
      <c r="B946">
        <v>19</v>
      </c>
      <c r="C946" t="s">
        <v>396</v>
      </c>
      <c r="D946" t="str">
        <f t="shared" si="70"/>
        <v>09.01.2016</v>
      </c>
      <c r="E946" s="1">
        <v>0.92013888888888884</v>
      </c>
      <c r="F946" t="s">
        <v>21</v>
      </c>
      <c r="G946" t="s">
        <v>30</v>
      </c>
      <c r="H946" s="2">
        <v>46024</v>
      </c>
      <c r="I946" s="3" t="str">
        <f t="shared" si="71"/>
        <v/>
      </c>
      <c r="J946" t="str">
        <f t="shared" si="72"/>
        <v/>
      </c>
      <c r="K946" t="str">
        <f t="shared" si="73"/>
        <v/>
      </c>
      <c r="L946" t="str">
        <f t="shared" si="74"/>
        <v/>
      </c>
      <c r="M946" t="str">
        <f>IF(COUNTIF($A$2:A946,A946)=1,
     VLOOKUP(A946,Season_Winners!A:B,2,FALSE),
     "")</f>
        <v/>
      </c>
      <c r="N946" s="2"/>
    </row>
    <row r="947" spans="1:14" x14ac:dyDescent="0.3">
      <c r="A947" t="s">
        <v>335</v>
      </c>
      <c r="B947">
        <v>19</v>
      </c>
      <c r="C947" t="s">
        <v>397</v>
      </c>
      <c r="D947" t="str">
        <f t="shared" si="70"/>
        <v>10.01.2016</v>
      </c>
      <c r="E947" s="1">
        <v>0.5</v>
      </c>
      <c r="F947" t="s">
        <v>34</v>
      </c>
      <c r="G947" t="s">
        <v>340</v>
      </c>
      <c r="H947" t="s">
        <v>12</v>
      </c>
      <c r="I947" t="str">
        <f t="shared" si="71"/>
        <v>2-0</v>
      </c>
      <c r="J947" t="str">
        <f t="shared" si="72"/>
        <v>2</v>
      </c>
      <c r="K947" t="str">
        <f t="shared" si="73"/>
        <v>0</v>
      </c>
      <c r="L947" t="str">
        <f t="shared" si="74"/>
        <v>Villarreal CF</v>
      </c>
      <c r="M947" t="str">
        <f>IF(COUNTIF($A$2:A947,A947)=1,
     VLOOKUP(A947,Season_Winners!A:B,2,FALSE),
     "")</f>
        <v/>
      </c>
    </row>
    <row r="948" spans="1:14" x14ac:dyDescent="0.3">
      <c r="A948" t="s">
        <v>335</v>
      </c>
      <c r="B948">
        <v>19</v>
      </c>
      <c r="C948" t="s">
        <v>397</v>
      </c>
      <c r="D948" t="str">
        <f t="shared" si="70"/>
        <v>10.01.2016</v>
      </c>
      <c r="E948" s="1">
        <v>0.66666666666666663</v>
      </c>
      <c r="F948" t="s">
        <v>10</v>
      </c>
      <c r="G948" t="s">
        <v>16</v>
      </c>
      <c r="H948" t="s">
        <v>12</v>
      </c>
      <c r="I948" t="str">
        <f t="shared" si="71"/>
        <v>2-0</v>
      </c>
      <c r="J948" t="str">
        <f t="shared" si="72"/>
        <v>2</v>
      </c>
      <c r="K948" t="str">
        <f t="shared" si="73"/>
        <v>0</v>
      </c>
      <c r="L948" t="str">
        <f t="shared" si="74"/>
        <v>Real Sociedad</v>
      </c>
      <c r="M948" t="str">
        <f>IF(COUNTIF($A$2:A948,A948)=1,
     VLOOKUP(A948,Season_Winners!A:B,2,FALSE),
     "")</f>
        <v/>
      </c>
    </row>
    <row r="949" spans="1:14" hidden="1" x14ac:dyDescent="0.3">
      <c r="A949" t="s">
        <v>335</v>
      </c>
      <c r="B949">
        <v>19</v>
      </c>
      <c r="C949" t="s">
        <v>397</v>
      </c>
      <c r="D949" t="str">
        <f t="shared" si="70"/>
        <v>10.01.2016</v>
      </c>
      <c r="E949" s="1">
        <v>0.76041666666666663</v>
      </c>
      <c r="F949" t="s">
        <v>187</v>
      </c>
      <c r="G949" t="s">
        <v>36</v>
      </c>
      <c r="H949" s="2">
        <v>46024</v>
      </c>
      <c r="I949" s="3" t="str">
        <f t="shared" si="71"/>
        <v/>
      </c>
      <c r="J949" t="str">
        <f t="shared" si="72"/>
        <v/>
      </c>
      <c r="K949" t="str">
        <f t="shared" si="73"/>
        <v/>
      </c>
      <c r="L949" t="str">
        <f t="shared" si="74"/>
        <v/>
      </c>
      <c r="M949" t="str">
        <f>IF(COUNTIF($A$2:A949,A949)=1,
     VLOOKUP(A949,Season_Winners!A:B,2,FALSE),
     "")</f>
        <v/>
      </c>
      <c r="N949" s="2"/>
    </row>
    <row r="950" spans="1:14" hidden="1" x14ac:dyDescent="0.3">
      <c r="A950" t="s">
        <v>335</v>
      </c>
      <c r="B950">
        <v>19</v>
      </c>
      <c r="C950" t="s">
        <v>397</v>
      </c>
      <c r="D950" t="str">
        <f t="shared" si="70"/>
        <v>10.01.2016</v>
      </c>
      <c r="E950" s="1">
        <v>0.76041666666666663</v>
      </c>
      <c r="F950" t="s">
        <v>338</v>
      </c>
      <c r="G950" t="s">
        <v>17</v>
      </c>
      <c r="H950" s="2">
        <v>46023</v>
      </c>
      <c r="I950" s="3" t="str">
        <f t="shared" si="71"/>
        <v/>
      </c>
      <c r="J950" t="str">
        <f t="shared" si="72"/>
        <v/>
      </c>
      <c r="K950" t="str">
        <f t="shared" si="73"/>
        <v/>
      </c>
      <c r="L950" t="str">
        <f t="shared" si="74"/>
        <v/>
      </c>
      <c r="M950" t="str">
        <f>IF(COUNTIF($A$2:A950,A950)=1,
     VLOOKUP(A950,Season_Winners!A:B,2,FALSE),
     "")</f>
        <v/>
      </c>
      <c r="N950" s="2"/>
    </row>
    <row r="951" spans="1:14" x14ac:dyDescent="0.3">
      <c r="A951" t="s">
        <v>335</v>
      </c>
      <c r="B951">
        <v>19</v>
      </c>
      <c r="C951" t="s">
        <v>397</v>
      </c>
      <c r="D951" t="str">
        <f t="shared" si="70"/>
        <v>10.01.2016</v>
      </c>
      <c r="E951" s="1">
        <v>0.85416666666666663</v>
      </c>
      <c r="F951" t="s">
        <v>35</v>
      </c>
      <c r="G951" t="s">
        <v>1425</v>
      </c>
      <c r="H951" t="s">
        <v>54</v>
      </c>
      <c r="I951" t="str">
        <f t="shared" si="71"/>
        <v>0-2</v>
      </c>
      <c r="J951" t="str">
        <f t="shared" si="72"/>
        <v>0</v>
      </c>
      <c r="K951" t="str">
        <f t="shared" si="73"/>
        <v>2</v>
      </c>
      <c r="L951" t="str">
        <f t="shared" si="74"/>
        <v>Atlético de Madrid</v>
      </c>
      <c r="M951" t="str">
        <f>IF(COUNTIF($A$2:A951,A951)=1,
     VLOOKUP(A951,Season_Winners!A:B,2,FALSE),
     "")</f>
        <v/>
      </c>
    </row>
    <row r="952" spans="1:14" hidden="1" x14ac:dyDescent="0.3">
      <c r="A952" t="s">
        <v>335</v>
      </c>
      <c r="B952">
        <v>20</v>
      </c>
      <c r="C952" t="s">
        <v>398</v>
      </c>
      <c r="D952" t="str">
        <f t="shared" si="70"/>
        <v>16.01.2016</v>
      </c>
      <c r="E952" s="1">
        <v>0.66666666666666663</v>
      </c>
      <c r="F952" t="s">
        <v>27</v>
      </c>
      <c r="G952" t="s">
        <v>17</v>
      </c>
      <c r="H952" s="2">
        <v>46024</v>
      </c>
      <c r="I952" s="3" t="str">
        <f t="shared" si="71"/>
        <v/>
      </c>
      <c r="J952" t="str">
        <f t="shared" si="72"/>
        <v/>
      </c>
      <c r="K952" t="str">
        <f t="shared" si="73"/>
        <v/>
      </c>
      <c r="L952" t="str">
        <f t="shared" si="74"/>
        <v/>
      </c>
      <c r="M952" t="str">
        <f>IF(COUNTIF($A$2:A952,A952)=1,
     VLOOKUP(A952,Season_Winners!A:B,2,FALSE),
     "")</f>
        <v/>
      </c>
      <c r="N952" s="2"/>
    </row>
    <row r="953" spans="1:14" hidden="1" x14ac:dyDescent="0.3">
      <c r="A953" t="s">
        <v>335</v>
      </c>
      <c r="B953">
        <v>20</v>
      </c>
      <c r="C953" t="s">
        <v>398</v>
      </c>
      <c r="D953" t="str">
        <f t="shared" si="70"/>
        <v>16.01.2016</v>
      </c>
      <c r="E953" s="1">
        <v>0.76041666666666663</v>
      </c>
      <c r="F953" t="s">
        <v>35</v>
      </c>
      <c r="G953" t="s">
        <v>21</v>
      </c>
      <c r="H953" s="2">
        <v>46085</v>
      </c>
      <c r="I953" s="3" t="str">
        <f t="shared" si="71"/>
        <v/>
      </c>
      <c r="J953" t="str">
        <f t="shared" si="72"/>
        <v/>
      </c>
      <c r="K953" t="str">
        <f t="shared" si="73"/>
        <v/>
      </c>
      <c r="L953" t="str">
        <f t="shared" si="74"/>
        <v/>
      </c>
      <c r="M953" t="str">
        <f>IF(COUNTIF($A$2:A953,A953)=1,
     VLOOKUP(A953,Season_Winners!A:B,2,FALSE),
     "")</f>
        <v/>
      </c>
      <c r="N953" s="2"/>
    </row>
    <row r="954" spans="1:14" x14ac:dyDescent="0.3">
      <c r="A954" t="s">
        <v>335</v>
      </c>
      <c r="B954">
        <v>20</v>
      </c>
      <c r="C954" t="s">
        <v>398</v>
      </c>
      <c r="D954" t="str">
        <f t="shared" si="70"/>
        <v>16.01.2016</v>
      </c>
      <c r="E954" s="1">
        <v>0.85416666666666663</v>
      </c>
      <c r="F954" t="s">
        <v>34</v>
      </c>
      <c r="G954" t="s">
        <v>26</v>
      </c>
      <c r="H954" t="s">
        <v>41</v>
      </c>
      <c r="I954" t="str">
        <f t="shared" si="71"/>
        <v>0-0</v>
      </c>
      <c r="J954" t="str">
        <f t="shared" si="72"/>
        <v>0</v>
      </c>
      <c r="K954" t="str">
        <f t="shared" si="73"/>
        <v>0</v>
      </c>
      <c r="L954" t="str">
        <f t="shared" si="74"/>
        <v>Draw</v>
      </c>
      <c r="M954" t="str">
        <f>IF(COUNTIF($A$2:A954,A954)=1,
     VLOOKUP(A954,Season_Winners!A:B,2,FALSE),
     "")</f>
        <v/>
      </c>
    </row>
    <row r="955" spans="1:14" hidden="1" x14ac:dyDescent="0.3">
      <c r="A955" t="s">
        <v>335</v>
      </c>
      <c r="B955">
        <v>20</v>
      </c>
      <c r="C955" t="s">
        <v>398</v>
      </c>
      <c r="D955" t="str">
        <f t="shared" si="70"/>
        <v>16.01.2016</v>
      </c>
      <c r="E955" s="1">
        <v>0.92013888888888884</v>
      </c>
      <c r="F955" t="s">
        <v>10</v>
      </c>
      <c r="G955" t="s">
        <v>182</v>
      </c>
      <c r="H955" s="2">
        <v>46023</v>
      </c>
      <c r="I955" s="3" t="str">
        <f t="shared" si="71"/>
        <v/>
      </c>
      <c r="J955" t="str">
        <f t="shared" si="72"/>
        <v/>
      </c>
      <c r="K955" t="str">
        <f t="shared" si="73"/>
        <v/>
      </c>
      <c r="L955" t="str">
        <f t="shared" si="74"/>
        <v/>
      </c>
      <c r="M955" t="str">
        <f>IF(COUNTIF($A$2:A955,A955)=1,
     VLOOKUP(A955,Season_Winners!A:B,2,FALSE),
     "")</f>
        <v/>
      </c>
      <c r="N955" s="2"/>
    </row>
    <row r="956" spans="1:14" hidden="1" x14ac:dyDescent="0.3">
      <c r="A956" t="s">
        <v>335</v>
      </c>
      <c r="B956">
        <v>20</v>
      </c>
      <c r="C956" t="s">
        <v>399</v>
      </c>
      <c r="D956" t="str">
        <f t="shared" si="70"/>
        <v>17.01.2016</v>
      </c>
      <c r="E956" s="1">
        <v>0.5</v>
      </c>
      <c r="F956" t="s">
        <v>16</v>
      </c>
      <c r="G956" t="s">
        <v>30</v>
      </c>
      <c r="H956" s="2">
        <v>46055</v>
      </c>
      <c r="I956" s="3" t="str">
        <f t="shared" si="71"/>
        <v/>
      </c>
      <c r="J956" t="str">
        <f t="shared" si="72"/>
        <v/>
      </c>
      <c r="K956" t="str">
        <f t="shared" si="73"/>
        <v/>
      </c>
      <c r="L956" t="str">
        <f t="shared" si="74"/>
        <v/>
      </c>
      <c r="M956" t="str">
        <f>IF(COUNTIF($A$2:A956,A956)=1,
     VLOOKUP(A956,Season_Winners!A:B,2,FALSE),
     "")</f>
        <v/>
      </c>
      <c r="N956" s="2"/>
    </row>
    <row r="957" spans="1:14" hidden="1" x14ac:dyDescent="0.3">
      <c r="A957" t="s">
        <v>335</v>
      </c>
      <c r="B957">
        <v>20</v>
      </c>
      <c r="C957" t="s">
        <v>399</v>
      </c>
      <c r="D957" t="str">
        <f t="shared" si="70"/>
        <v>17.01.2016</v>
      </c>
      <c r="E957" s="1">
        <v>0.66666666666666663</v>
      </c>
      <c r="F957" t="s">
        <v>25</v>
      </c>
      <c r="G957" t="s">
        <v>340</v>
      </c>
      <c r="H957" s="2">
        <v>46027</v>
      </c>
      <c r="I957" s="3" t="str">
        <f t="shared" si="71"/>
        <v/>
      </c>
      <c r="J957" t="str">
        <f t="shared" si="72"/>
        <v/>
      </c>
      <c r="K957" t="str">
        <f t="shared" si="73"/>
        <v/>
      </c>
      <c r="L957" t="str">
        <f t="shared" si="74"/>
        <v/>
      </c>
      <c r="M957" t="str">
        <f>IF(COUNTIF($A$2:A957,A957)=1,
     VLOOKUP(A957,Season_Winners!A:B,2,FALSE),
     "")</f>
        <v/>
      </c>
      <c r="N957" s="2"/>
    </row>
    <row r="958" spans="1:14" hidden="1" x14ac:dyDescent="0.3">
      <c r="A958" t="s">
        <v>335</v>
      </c>
      <c r="B958">
        <v>20</v>
      </c>
      <c r="C958" t="s">
        <v>399</v>
      </c>
      <c r="D958" t="str">
        <f t="shared" si="70"/>
        <v>17.01.2016</v>
      </c>
      <c r="E958" s="1">
        <v>0.76041666666666663</v>
      </c>
      <c r="F958" t="s">
        <v>11</v>
      </c>
      <c r="G958" t="s">
        <v>36</v>
      </c>
      <c r="H958" s="2">
        <v>46025</v>
      </c>
      <c r="I958" s="3" t="str">
        <f t="shared" si="71"/>
        <v/>
      </c>
      <c r="J958" t="str">
        <f t="shared" si="72"/>
        <v/>
      </c>
      <c r="K958" t="str">
        <f t="shared" si="73"/>
        <v/>
      </c>
      <c r="L958" t="str">
        <f t="shared" si="74"/>
        <v/>
      </c>
      <c r="M958" t="str">
        <f>IF(COUNTIF($A$2:A958,A958)=1,
     VLOOKUP(A958,Season_Winners!A:B,2,FALSE),
     "")</f>
        <v/>
      </c>
      <c r="N958" s="2"/>
    </row>
    <row r="959" spans="1:14" x14ac:dyDescent="0.3">
      <c r="A959" t="s">
        <v>335</v>
      </c>
      <c r="B959">
        <v>20</v>
      </c>
      <c r="C959" t="s">
        <v>399</v>
      </c>
      <c r="D959" t="str">
        <f t="shared" si="70"/>
        <v>17.01.2016</v>
      </c>
      <c r="E959" s="1">
        <v>0.76041666666666663</v>
      </c>
      <c r="F959" t="s">
        <v>338</v>
      </c>
      <c r="G959" t="s">
        <v>1425</v>
      </c>
      <c r="H959" t="s">
        <v>46</v>
      </c>
      <c r="I959" t="str">
        <f t="shared" si="71"/>
        <v>0-3</v>
      </c>
      <c r="J959" t="str">
        <f t="shared" si="72"/>
        <v>0</v>
      </c>
      <c r="K959" t="str">
        <f t="shared" si="73"/>
        <v>3</v>
      </c>
      <c r="L959" t="str">
        <f t="shared" si="74"/>
        <v>Atlético de Madrid</v>
      </c>
      <c r="M959" t="str">
        <f>IF(COUNTIF($A$2:A959,A959)=1,
     VLOOKUP(A959,Season_Winners!A:B,2,FALSE),
     "")</f>
        <v/>
      </c>
    </row>
    <row r="960" spans="1:14" x14ac:dyDescent="0.3">
      <c r="A960" t="s">
        <v>335</v>
      </c>
      <c r="B960">
        <v>20</v>
      </c>
      <c r="C960" t="s">
        <v>399</v>
      </c>
      <c r="D960" t="str">
        <f t="shared" si="70"/>
        <v>17.01.2016</v>
      </c>
      <c r="E960" s="1">
        <v>0.85416666666666663</v>
      </c>
      <c r="F960" t="s">
        <v>20</v>
      </c>
      <c r="G960" t="s">
        <v>15</v>
      </c>
      <c r="H960" t="s">
        <v>126</v>
      </c>
      <c r="I960" t="str">
        <f t="shared" si="71"/>
        <v>6-0</v>
      </c>
      <c r="J960" t="str">
        <f t="shared" si="72"/>
        <v>6</v>
      </c>
      <c r="K960" t="str">
        <f t="shared" si="73"/>
        <v>0</v>
      </c>
      <c r="L960" t="str">
        <f t="shared" si="74"/>
        <v>FC Barcelona</v>
      </c>
      <c r="M960" t="str">
        <f>IF(COUNTIF($A$2:A960,A960)=1,
     VLOOKUP(A960,Season_Winners!A:B,2,FALSE),
     "")</f>
        <v/>
      </c>
    </row>
    <row r="961" spans="1:14" hidden="1" x14ac:dyDescent="0.3">
      <c r="A961" t="s">
        <v>335</v>
      </c>
      <c r="B961">
        <v>20</v>
      </c>
      <c r="C961" t="s">
        <v>400</v>
      </c>
      <c r="D961" t="str">
        <f t="shared" si="70"/>
        <v>18.01.2016</v>
      </c>
      <c r="E961" s="1">
        <v>0.85416666666666663</v>
      </c>
      <c r="F961" t="s">
        <v>187</v>
      </c>
      <c r="G961" t="s">
        <v>24</v>
      </c>
      <c r="H961" s="2">
        <v>46027</v>
      </c>
      <c r="I961" s="3" t="str">
        <f t="shared" si="71"/>
        <v/>
      </c>
      <c r="J961" t="str">
        <f t="shared" si="72"/>
        <v/>
      </c>
      <c r="K961" t="str">
        <f t="shared" si="73"/>
        <v/>
      </c>
      <c r="L961" t="str">
        <f t="shared" si="74"/>
        <v/>
      </c>
      <c r="M961" t="str">
        <f>IF(COUNTIF($A$2:A961,A961)=1,
     VLOOKUP(A961,Season_Winners!A:B,2,FALSE),
     "")</f>
        <v/>
      </c>
      <c r="N961" s="2"/>
    </row>
    <row r="962" spans="1:14" hidden="1" x14ac:dyDescent="0.3">
      <c r="A962" t="s">
        <v>335</v>
      </c>
      <c r="B962">
        <v>21</v>
      </c>
      <c r="C962" t="s">
        <v>401</v>
      </c>
      <c r="D962" t="str">
        <f t="shared" ref="D962:D1025" si="75">RIGHT(C962,10)</f>
        <v>22.01.2016</v>
      </c>
      <c r="E962" s="1">
        <v>0.85416666666666663</v>
      </c>
      <c r="F962" t="s">
        <v>340</v>
      </c>
      <c r="G962" t="s">
        <v>10</v>
      </c>
      <c r="H962" s="2">
        <v>46027</v>
      </c>
      <c r="I962" s="3" t="str">
        <f t="shared" ref="I962:I1025" si="76">IF(ISNUMBER(SEARCH("-",H962)),H962,"")</f>
        <v/>
      </c>
      <c r="J962" t="str">
        <f t="shared" ref="J962:J1025" si="77">IF(I962="","",LEFT(I962,FIND("-",I962)-1))</f>
        <v/>
      </c>
      <c r="K962" t="str">
        <f t="shared" ref="K962:K1025" si="78">IF(I962="","",RIGHT(I962,LEN(I962)-FIND("-",I962)))</f>
        <v/>
      </c>
      <c r="L962" t="str">
        <f t="shared" ref="L962:L1025" si="79">IF(I962="","",IF(J962&gt;K962,F962,IF(K962&gt;J962,G962,"Draw")))</f>
        <v/>
      </c>
      <c r="M962" t="str">
        <f>IF(COUNTIF($A$2:A962,A962)=1,
     VLOOKUP(A962,Season_Winners!A:B,2,FALSE),
     "")</f>
        <v/>
      </c>
      <c r="N962" s="2"/>
    </row>
    <row r="963" spans="1:14" hidden="1" x14ac:dyDescent="0.3">
      <c r="A963" t="s">
        <v>335</v>
      </c>
      <c r="B963">
        <v>21</v>
      </c>
      <c r="C963" t="s">
        <v>402</v>
      </c>
      <c r="D963" t="str">
        <f t="shared" si="75"/>
        <v>23.01.2016</v>
      </c>
      <c r="E963" s="1">
        <v>0.66666666666666663</v>
      </c>
      <c r="F963" t="s">
        <v>17</v>
      </c>
      <c r="G963" t="s">
        <v>20</v>
      </c>
      <c r="H963" s="2">
        <v>46054</v>
      </c>
      <c r="I963" s="3" t="str">
        <f t="shared" si="76"/>
        <v/>
      </c>
      <c r="J963" t="str">
        <f t="shared" si="77"/>
        <v/>
      </c>
      <c r="K963" t="str">
        <f t="shared" si="78"/>
        <v/>
      </c>
      <c r="L963" t="str">
        <f t="shared" si="79"/>
        <v/>
      </c>
      <c r="M963" t="str">
        <f>IF(COUNTIF($A$2:A963,A963)=1,
     VLOOKUP(A963,Season_Winners!A:B,2,FALSE),
     "")</f>
        <v/>
      </c>
      <c r="N963" s="2"/>
    </row>
    <row r="964" spans="1:14" hidden="1" x14ac:dyDescent="0.3">
      <c r="A964" t="s">
        <v>335</v>
      </c>
      <c r="B964">
        <v>21</v>
      </c>
      <c r="C964" t="s">
        <v>402</v>
      </c>
      <c r="D964" t="str">
        <f t="shared" si="75"/>
        <v>23.01.2016</v>
      </c>
      <c r="E964" s="1">
        <v>0.76041666666666663</v>
      </c>
      <c r="F964" t="s">
        <v>36</v>
      </c>
      <c r="G964" t="s">
        <v>34</v>
      </c>
      <c r="H964" s="2">
        <v>46055</v>
      </c>
      <c r="I964" s="3" t="str">
        <f t="shared" si="76"/>
        <v/>
      </c>
      <c r="J964" t="str">
        <f t="shared" si="77"/>
        <v/>
      </c>
      <c r="K964" t="str">
        <f t="shared" si="78"/>
        <v/>
      </c>
      <c r="L964" t="str">
        <f t="shared" si="79"/>
        <v/>
      </c>
      <c r="M964" t="str">
        <f>IF(COUNTIF($A$2:A964,A964)=1,
     VLOOKUP(A964,Season_Winners!A:B,2,FALSE),
     "")</f>
        <v/>
      </c>
      <c r="N964" s="2"/>
    </row>
    <row r="965" spans="1:14" hidden="1" x14ac:dyDescent="0.3">
      <c r="A965" t="s">
        <v>335</v>
      </c>
      <c r="B965">
        <v>21</v>
      </c>
      <c r="C965" t="s">
        <v>402</v>
      </c>
      <c r="D965" t="str">
        <f t="shared" si="75"/>
        <v>23.01.2016</v>
      </c>
      <c r="E965" s="1">
        <v>0.85416666666666663</v>
      </c>
      <c r="F965" t="s">
        <v>24</v>
      </c>
      <c r="G965" t="s">
        <v>11</v>
      </c>
      <c r="H965" s="2">
        <v>46056</v>
      </c>
      <c r="I965" s="3" t="str">
        <f t="shared" si="76"/>
        <v/>
      </c>
      <c r="J965" t="str">
        <f t="shared" si="77"/>
        <v/>
      </c>
      <c r="K965" t="str">
        <f t="shared" si="78"/>
        <v/>
      </c>
      <c r="L965" t="str">
        <f t="shared" si="79"/>
        <v/>
      </c>
      <c r="M965" t="str">
        <f>IF(COUNTIF($A$2:A965,A965)=1,
     VLOOKUP(A965,Season_Winners!A:B,2,FALSE),
     "")</f>
        <v/>
      </c>
      <c r="N965" s="2"/>
    </row>
    <row r="966" spans="1:14" x14ac:dyDescent="0.3">
      <c r="A966" t="s">
        <v>335</v>
      </c>
      <c r="B966">
        <v>21</v>
      </c>
      <c r="C966" t="s">
        <v>402</v>
      </c>
      <c r="D966" t="str">
        <f t="shared" si="75"/>
        <v>23.01.2016</v>
      </c>
      <c r="E966" s="1">
        <v>0.92013888888888884</v>
      </c>
      <c r="F966" t="s">
        <v>30</v>
      </c>
      <c r="G966" t="s">
        <v>35</v>
      </c>
      <c r="H966" t="s">
        <v>32</v>
      </c>
      <c r="I966" t="str">
        <f t="shared" si="76"/>
        <v>3-0</v>
      </c>
      <c r="J966" t="str">
        <f t="shared" si="77"/>
        <v>3</v>
      </c>
      <c r="K966" t="str">
        <f t="shared" si="78"/>
        <v>0</v>
      </c>
      <c r="L966" t="str">
        <f t="shared" si="79"/>
        <v>Rayo Vallecano</v>
      </c>
      <c r="M966" t="str">
        <f>IF(COUNTIF($A$2:A966,A966)=1,
     VLOOKUP(A966,Season_Winners!A:B,2,FALSE),
     "")</f>
        <v/>
      </c>
    </row>
    <row r="967" spans="1:14" hidden="1" x14ac:dyDescent="0.3">
      <c r="A967" t="s">
        <v>335</v>
      </c>
      <c r="B967">
        <v>21</v>
      </c>
      <c r="C967" t="s">
        <v>403</v>
      </c>
      <c r="D967" t="str">
        <f t="shared" si="75"/>
        <v>24.01.2016</v>
      </c>
      <c r="E967" s="1">
        <v>0.5</v>
      </c>
      <c r="F967" t="s">
        <v>15</v>
      </c>
      <c r="G967" t="s">
        <v>187</v>
      </c>
      <c r="H967" s="2">
        <v>46058</v>
      </c>
      <c r="I967" s="3" t="str">
        <f t="shared" si="76"/>
        <v/>
      </c>
      <c r="J967" t="str">
        <f t="shared" si="77"/>
        <v/>
      </c>
      <c r="K967" t="str">
        <f t="shared" si="78"/>
        <v/>
      </c>
      <c r="L967" t="str">
        <f t="shared" si="79"/>
        <v/>
      </c>
      <c r="M967" t="str">
        <f>IF(COUNTIF($A$2:A967,A967)=1,
     VLOOKUP(A967,Season_Winners!A:B,2,FALSE),
     "")</f>
        <v/>
      </c>
      <c r="N967" s="2"/>
    </row>
    <row r="968" spans="1:14" x14ac:dyDescent="0.3">
      <c r="A968" t="s">
        <v>335</v>
      </c>
      <c r="B968">
        <v>21</v>
      </c>
      <c r="C968" t="s">
        <v>403</v>
      </c>
      <c r="D968" t="str">
        <f t="shared" si="75"/>
        <v>24.01.2016</v>
      </c>
      <c r="E968" s="1">
        <v>0.66666666666666663</v>
      </c>
      <c r="F968" t="s">
        <v>1425</v>
      </c>
      <c r="G968" t="s">
        <v>27</v>
      </c>
      <c r="H968" t="s">
        <v>41</v>
      </c>
      <c r="I968" t="str">
        <f t="shared" si="76"/>
        <v>0-0</v>
      </c>
      <c r="J968" t="str">
        <f t="shared" si="77"/>
        <v>0</v>
      </c>
      <c r="K968" t="str">
        <f t="shared" si="78"/>
        <v>0</v>
      </c>
      <c r="L968" t="str">
        <f t="shared" si="79"/>
        <v>Draw</v>
      </c>
      <c r="M968" t="str">
        <f>IF(COUNTIF($A$2:A968,A968)=1,
     VLOOKUP(A968,Season_Winners!A:B,2,FALSE),
     "")</f>
        <v/>
      </c>
    </row>
    <row r="969" spans="1:14" hidden="1" x14ac:dyDescent="0.3">
      <c r="A969" t="s">
        <v>335</v>
      </c>
      <c r="B969">
        <v>21</v>
      </c>
      <c r="C969" t="s">
        <v>403</v>
      </c>
      <c r="D969" t="str">
        <f t="shared" si="75"/>
        <v>24.01.2016</v>
      </c>
      <c r="E969" s="1">
        <v>0.76041666666666663</v>
      </c>
      <c r="F969" t="s">
        <v>182</v>
      </c>
      <c r="G969" t="s">
        <v>16</v>
      </c>
      <c r="H969" s="2">
        <v>46023</v>
      </c>
      <c r="I969" s="3" t="str">
        <f t="shared" si="76"/>
        <v/>
      </c>
      <c r="J969" t="str">
        <f t="shared" si="77"/>
        <v/>
      </c>
      <c r="K969" t="str">
        <f t="shared" si="78"/>
        <v/>
      </c>
      <c r="L969" t="str">
        <f t="shared" si="79"/>
        <v/>
      </c>
      <c r="M969" t="str">
        <f>IF(COUNTIF($A$2:A969,A969)=1,
     VLOOKUP(A969,Season_Winners!A:B,2,FALSE),
     "")</f>
        <v/>
      </c>
      <c r="N969" s="2"/>
    </row>
    <row r="970" spans="1:14" hidden="1" x14ac:dyDescent="0.3">
      <c r="A970" t="s">
        <v>335</v>
      </c>
      <c r="B970">
        <v>21</v>
      </c>
      <c r="C970" t="s">
        <v>403</v>
      </c>
      <c r="D970" t="str">
        <f t="shared" si="75"/>
        <v>24.01.2016</v>
      </c>
      <c r="E970" s="1">
        <v>0.85416666666666663</v>
      </c>
      <c r="F970" t="s">
        <v>26</v>
      </c>
      <c r="G970" t="s">
        <v>25</v>
      </c>
      <c r="H970" s="2">
        <v>46023</v>
      </c>
      <c r="I970" s="3" t="str">
        <f t="shared" si="76"/>
        <v/>
      </c>
      <c r="J970" t="str">
        <f t="shared" si="77"/>
        <v/>
      </c>
      <c r="K970" t="str">
        <f t="shared" si="78"/>
        <v/>
      </c>
      <c r="L970" t="str">
        <f t="shared" si="79"/>
        <v/>
      </c>
      <c r="M970" t="str">
        <f>IF(COUNTIF($A$2:A970,A970)=1,
     VLOOKUP(A970,Season_Winners!A:B,2,FALSE),
     "")</f>
        <v/>
      </c>
      <c r="N970" s="2"/>
    </row>
    <row r="971" spans="1:14" hidden="1" x14ac:dyDescent="0.3">
      <c r="A971" t="s">
        <v>335</v>
      </c>
      <c r="B971">
        <v>21</v>
      </c>
      <c r="C971" t="s">
        <v>404</v>
      </c>
      <c r="D971" t="str">
        <f t="shared" si="75"/>
        <v>25.01.2016</v>
      </c>
      <c r="E971" s="1">
        <v>0.85416666666666663</v>
      </c>
      <c r="F971" t="s">
        <v>21</v>
      </c>
      <c r="G971" t="s">
        <v>338</v>
      </c>
      <c r="H971" s="2">
        <v>46056</v>
      </c>
      <c r="I971" s="3" t="str">
        <f t="shared" si="76"/>
        <v/>
      </c>
      <c r="J971" t="str">
        <f t="shared" si="77"/>
        <v/>
      </c>
      <c r="K971" t="str">
        <f t="shared" si="78"/>
        <v/>
      </c>
      <c r="L971" t="str">
        <f t="shared" si="79"/>
        <v/>
      </c>
      <c r="M971" t="str">
        <f>IF(COUNTIF($A$2:A971,A971)=1,
     VLOOKUP(A971,Season_Winners!A:B,2,FALSE),
     "")</f>
        <v/>
      </c>
      <c r="N971" s="2"/>
    </row>
    <row r="972" spans="1:14" hidden="1" x14ac:dyDescent="0.3">
      <c r="A972" t="s">
        <v>335</v>
      </c>
      <c r="B972">
        <v>22</v>
      </c>
      <c r="C972" t="s">
        <v>405</v>
      </c>
      <c r="D972" t="str">
        <f t="shared" si="75"/>
        <v>30.01.2016</v>
      </c>
      <c r="E972" s="1">
        <v>0.66666666666666663</v>
      </c>
      <c r="F972" t="s">
        <v>20</v>
      </c>
      <c r="G972" t="s">
        <v>28</v>
      </c>
      <c r="H972" s="2">
        <v>46024</v>
      </c>
      <c r="I972" s="3" t="str">
        <f t="shared" si="76"/>
        <v/>
      </c>
      <c r="J972" t="str">
        <f t="shared" si="77"/>
        <v/>
      </c>
      <c r="K972" t="str">
        <f t="shared" si="78"/>
        <v/>
      </c>
      <c r="L972" t="str">
        <f t="shared" si="79"/>
        <v/>
      </c>
      <c r="M972" t="str">
        <f>IF(COUNTIF($A$2:A972,A972)=1,
     VLOOKUP(A972,Season_Winners!A:B,2,FALSE),
     "")</f>
        <v/>
      </c>
      <c r="N972" s="2"/>
    </row>
    <row r="973" spans="1:14" x14ac:dyDescent="0.3">
      <c r="A973" t="s">
        <v>335</v>
      </c>
      <c r="B973">
        <v>22</v>
      </c>
      <c r="C973" t="s">
        <v>405</v>
      </c>
      <c r="D973" t="str">
        <f t="shared" si="75"/>
        <v>30.01.2016</v>
      </c>
      <c r="E973" s="1">
        <v>0.76041666666666663</v>
      </c>
      <c r="F973" t="s">
        <v>11</v>
      </c>
      <c r="G973" t="s">
        <v>15</v>
      </c>
      <c r="H973" t="s">
        <v>42</v>
      </c>
      <c r="I973" t="str">
        <f t="shared" si="76"/>
        <v>0-1</v>
      </c>
      <c r="J973" t="str">
        <f t="shared" si="77"/>
        <v>0</v>
      </c>
      <c r="K973" t="str">
        <f t="shared" si="78"/>
        <v>1</v>
      </c>
      <c r="L973" t="str">
        <f t="shared" si="79"/>
        <v>Athletic Club</v>
      </c>
      <c r="M973" t="str">
        <f>IF(COUNTIF($A$2:A973,A973)=1,
     VLOOKUP(A973,Season_Winners!A:B,2,FALSE),
     "")</f>
        <v/>
      </c>
    </row>
    <row r="974" spans="1:14" hidden="1" x14ac:dyDescent="0.3">
      <c r="A974" t="s">
        <v>335</v>
      </c>
      <c r="B974">
        <v>22</v>
      </c>
      <c r="C974" t="s">
        <v>405</v>
      </c>
      <c r="D974" t="str">
        <f t="shared" si="75"/>
        <v>30.01.2016</v>
      </c>
      <c r="E974" s="1">
        <v>0.76041666666666663</v>
      </c>
      <c r="F974" t="s">
        <v>187</v>
      </c>
      <c r="G974" t="s">
        <v>17</v>
      </c>
      <c r="H974" s="2">
        <v>46054</v>
      </c>
      <c r="I974" s="3" t="str">
        <f t="shared" si="76"/>
        <v/>
      </c>
      <c r="J974" t="str">
        <f t="shared" si="77"/>
        <v/>
      </c>
      <c r="K974" t="str">
        <f t="shared" si="78"/>
        <v/>
      </c>
      <c r="L974" t="str">
        <f t="shared" si="79"/>
        <v/>
      </c>
      <c r="M974" t="str">
        <f>IF(COUNTIF($A$2:A974,A974)=1,
     VLOOKUP(A974,Season_Winners!A:B,2,FALSE),
     "")</f>
        <v/>
      </c>
      <c r="N974" s="2"/>
    </row>
    <row r="975" spans="1:14" x14ac:dyDescent="0.3">
      <c r="A975" t="s">
        <v>335</v>
      </c>
      <c r="B975">
        <v>22</v>
      </c>
      <c r="C975" t="s">
        <v>405</v>
      </c>
      <c r="D975" t="str">
        <f t="shared" si="75"/>
        <v>30.01.2016</v>
      </c>
      <c r="E975" s="1">
        <v>0.85416666666666663</v>
      </c>
      <c r="F975" t="s">
        <v>34</v>
      </c>
      <c r="G975" t="s">
        <v>24</v>
      </c>
      <c r="H975" t="s">
        <v>18</v>
      </c>
      <c r="I975" t="str">
        <f t="shared" si="76"/>
        <v>1-0</v>
      </c>
      <c r="J975" t="str">
        <f t="shared" si="77"/>
        <v>1</v>
      </c>
      <c r="K975" t="str">
        <f t="shared" si="78"/>
        <v>0</v>
      </c>
      <c r="L975" t="str">
        <f t="shared" si="79"/>
        <v>Villarreal CF</v>
      </c>
      <c r="M975" t="str">
        <f>IF(COUNTIF($A$2:A975,A975)=1,
     VLOOKUP(A975,Season_Winners!A:B,2,FALSE),
     "")</f>
        <v/>
      </c>
    </row>
    <row r="976" spans="1:14" hidden="1" x14ac:dyDescent="0.3">
      <c r="A976" t="s">
        <v>335</v>
      </c>
      <c r="B976">
        <v>22</v>
      </c>
      <c r="C976" t="s">
        <v>405</v>
      </c>
      <c r="D976" t="str">
        <f t="shared" si="75"/>
        <v>30.01.2016</v>
      </c>
      <c r="E976" s="1">
        <v>0.92013888888888884</v>
      </c>
      <c r="F976" t="s">
        <v>10</v>
      </c>
      <c r="G976" t="s">
        <v>26</v>
      </c>
      <c r="H976" s="2">
        <v>46024</v>
      </c>
      <c r="I976" s="3" t="str">
        <f t="shared" si="76"/>
        <v/>
      </c>
      <c r="J976" t="str">
        <f t="shared" si="77"/>
        <v/>
      </c>
      <c r="K976" t="str">
        <f t="shared" si="78"/>
        <v/>
      </c>
      <c r="L976" t="str">
        <f t="shared" si="79"/>
        <v/>
      </c>
      <c r="M976" t="str">
        <f>IF(COUNTIF($A$2:A976,A976)=1,
     VLOOKUP(A976,Season_Winners!A:B,2,FALSE),
     "")</f>
        <v/>
      </c>
      <c r="N976" s="2"/>
    </row>
    <row r="977" spans="1:14" hidden="1" x14ac:dyDescent="0.3">
      <c r="A977" t="s">
        <v>335</v>
      </c>
      <c r="B977">
        <v>22</v>
      </c>
      <c r="C977" t="s">
        <v>406</v>
      </c>
      <c r="D977" t="str">
        <f t="shared" si="75"/>
        <v>31.01.2016</v>
      </c>
      <c r="E977" s="1">
        <v>0.5</v>
      </c>
      <c r="F977" t="s">
        <v>27</v>
      </c>
      <c r="G977" t="s">
        <v>21</v>
      </c>
      <c r="H977" s="2">
        <v>46025</v>
      </c>
      <c r="I977" s="3" t="str">
        <f t="shared" si="76"/>
        <v/>
      </c>
      <c r="J977" t="str">
        <f t="shared" si="77"/>
        <v/>
      </c>
      <c r="K977" t="str">
        <f t="shared" si="78"/>
        <v/>
      </c>
      <c r="L977" t="str">
        <f t="shared" si="79"/>
        <v/>
      </c>
      <c r="M977" t="str">
        <f>IF(COUNTIF($A$2:A977,A977)=1,
     VLOOKUP(A977,Season_Winners!A:B,2,FALSE),
     "")</f>
        <v/>
      </c>
      <c r="N977" s="2"/>
    </row>
    <row r="978" spans="1:14" x14ac:dyDescent="0.3">
      <c r="A978" t="s">
        <v>335</v>
      </c>
      <c r="B978">
        <v>22</v>
      </c>
      <c r="C978" t="s">
        <v>406</v>
      </c>
      <c r="D978" t="str">
        <f t="shared" si="75"/>
        <v>31.01.2016</v>
      </c>
      <c r="E978" s="1">
        <v>0.66666666666666663</v>
      </c>
      <c r="F978" t="s">
        <v>16</v>
      </c>
      <c r="G978" t="s">
        <v>340</v>
      </c>
      <c r="H978" t="s">
        <v>42</v>
      </c>
      <c r="I978" t="str">
        <f t="shared" si="76"/>
        <v>0-1</v>
      </c>
      <c r="J978" t="str">
        <f t="shared" si="77"/>
        <v>0</v>
      </c>
      <c r="K978" t="str">
        <f t="shared" si="78"/>
        <v>1</v>
      </c>
      <c r="L978" t="str">
        <f t="shared" si="79"/>
        <v>Real Sporting</v>
      </c>
      <c r="M978" t="str">
        <f>IF(COUNTIF($A$2:A978,A978)=1,
     VLOOKUP(A978,Season_Winners!A:B,2,FALSE),
     "")</f>
        <v/>
      </c>
    </row>
    <row r="979" spans="1:14" hidden="1" x14ac:dyDescent="0.3">
      <c r="A979" t="s">
        <v>335</v>
      </c>
      <c r="B979">
        <v>22</v>
      </c>
      <c r="C979" t="s">
        <v>406</v>
      </c>
      <c r="D979" t="str">
        <f t="shared" si="75"/>
        <v>31.01.2016</v>
      </c>
      <c r="E979" s="1">
        <v>0.76041666666666663</v>
      </c>
      <c r="F979" t="s">
        <v>338</v>
      </c>
      <c r="G979" t="s">
        <v>35</v>
      </c>
      <c r="H979" s="2">
        <v>46024</v>
      </c>
      <c r="I979" s="3" t="str">
        <f t="shared" si="76"/>
        <v/>
      </c>
      <c r="J979" t="str">
        <f t="shared" si="77"/>
        <v/>
      </c>
      <c r="K979" t="str">
        <f t="shared" si="78"/>
        <v/>
      </c>
      <c r="L979" t="str">
        <f t="shared" si="79"/>
        <v/>
      </c>
      <c r="M979" t="str">
        <f>IF(COUNTIF($A$2:A979,A979)=1,
     VLOOKUP(A979,Season_Winners!A:B,2,FALSE),
     "")</f>
        <v/>
      </c>
      <c r="N979" s="2"/>
    </row>
    <row r="980" spans="1:14" x14ac:dyDescent="0.3">
      <c r="A980" t="s">
        <v>335</v>
      </c>
      <c r="B980">
        <v>22</v>
      </c>
      <c r="C980" t="s">
        <v>406</v>
      </c>
      <c r="D980" t="str">
        <f t="shared" si="75"/>
        <v>31.01.2016</v>
      </c>
      <c r="E980" s="1">
        <v>0.85416666666666663</v>
      </c>
      <c r="F980" t="s">
        <v>25</v>
      </c>
      <c r="G980" t="s">
        <v>36</v>
      </c>
      <c r="H980" t="s">
        <v>126</v>
      </c>
      <c r="I980" t="str">
        <f t="shared" si="76"/>
        <v>6-0</v>
      </c>
      <c r="J980" t="str">
        <f t="shared" si="77"/>
        <v>6</v>
      </c>
      <c r="K980" t="str">
        <f t="shared" si="78"/>
        <v>0</v>
      </c>
      <c r="L980" t="str">
        <f t="shared" si="79"/>
        <v>Real Madrid</v>
      </c>
      <c r="M980" t="str">
        <f>IF(COUNTIF($A$2:A980,A980)=1,
     VLOOKUP(A980,Season_Winners!A:B,2,FALSE),
     "")</f>
        <v/>
      </c>
    </row>
    <row r="981" spans="1:14" hidden="1" x14ac:dyDescent="0.3">
      <c r="A981" t="s">
        <v>335</v>
      </c>
      <c r="B981">
        <v>22</v>
      </c>
      <c r="C981" t="s">
        <v>407</v>
      </c>
      <c r="D981" t="str">
        <f t="shared" si="75"/>
        <v>01.02.2016</v>
      </c>
      <c r="E981" s="1">
        <v>0.85416666666666663</v>
      </c>
      <c r="F981" t="s">
        <v>182</v>
      </c>
      <c r="G981" t="s">
        <v>30</v>
      </c>
      <c r="H981" s="2">
        <v>46055</v>
      </c>
      <c r="I981" s="3" t="str">
        <f t="shared" si="76"/>
        <v/>
      </c>
      <c r="J981" t="str">
        <f t="shared" si="77"/>
        <v/>
      </c>
      <c r="K981" t="str">
        <f t="shared" si="78"/>
        <v/>
      </c>
      <c r="L981" t="str">
        <f t="shared" si="79"/>
        <v/>
      </c>
      <c r="M981" t="str">
        <f>IF(COUNTIF($A$2:A981,A981)=1,
     VLOOKUP(A981,Season_Winners!A:B,2,FALSE),
     "")</f>
        <v/>
      </c>
      <c r="N981" s="2"/>
    </row>
    <row r="982" spans="1:14" x14ac:dyDescent="0.3">
      <c r="A982" t="s">
        <v>335</v>
      </c>
      <c r="B982">
        <v>23</v>
      </c>
      <c r="C982" t="s">
        <v>408</v>
      </c>
      <c r="D982" t="str">
        <f t="shared" si="75"/>
        <v>05.02.2016</v>
      </c>
      <c r="E982" s="1">
        <v>0.85416666666666663</v>
      </c>
      <c r="F982" t="s">
        <v>17</v>
      </c>
      <c r="G982" t="s">
        <v>11</v>
      </c>
      <c r="H982" t="s">
        <v>32</v>
      </c>
      <c r="I982" t="str">
        <f t="shared" si="76"/>
        <v>3-0</v>
      </c>
      <c r="J982" t="str">
        <f t="shared" si="77"/>
        <v>3</v>
      </c>
      <c r="K982" t="str">
        <f t="shared" si="78"/>
        <v>0</v>
      </c>
      <c r="L982" t="str">
        <f t="shared" si="79"/>
        <v>MÃ¡laga CF</v>
      </c>
      <c r="M982" t="str">
        <f>IF(COUNTIF($A$2:A982,A982)=1,
     VLOOKUP(A982,Season_Winners!A:B,2,FALSE),
     "")</f>
        <v/>
      </c>
    </row>
    <row r="983" spans="1:14" hidden="1" x14ac:dyDescent="0.3">
      <c r="A983" t="s">
        <v>335</v>
      </c>
      <c r="B983">
        <v>23</v>
      </c>
      <c r="C983" t="s">
        <v>409</v>
      </c>
      <c r="D983" t="str">
        <f t="shared" si="75"/>
        <v>06.02.2016</v>
      </c>
      <c r="E983" s="1">
        <v>0.66666666666666663</v>
      </c>
      <c r="F983" t="s">
        <v>28</v>
      </c>
      <c r="G983" t="s">
        <v>187</v>
      </c>
      <c r="H983" s="2">
        <v>46025</v>
      </c>
      <c r="I983" s="3" t="str">
        <f t="shared" si="76"/>
        <v/>
      </c>
      <c r="J983" t="str">
        <f t="shared" si="77"/>
        <v/>
      </c>
      <c r="K983" t="str">
        <f t="shared" si="78"/>
        <v/>
      </c>
      <c r="L983" t="str">
        <f t="shared" si="79"/>
        <v/>
      </c>
      <c r="M983" t="str">
        <f>IF(COUNTIF($A$2:A983,A983)=1,
     VLOOKUP(A983,Season_Winners!A:B,2,FALSE),
     "")</f>
        <v/>
      </c>
      <c r="N983" s="2"/>
    </row>
    <row r="984" spans="1:14" x14ac:dyDescent="0.3">
      <c r="A984" t="s">
        <v>335</v>
      </c>
      <c r="B984">
        <v>23</v>
      </c>
      <c r="C984" t="s">
        <v>409</v>
      </c>
      <c r="D984" t="str">
        <f t="shared" si="75"/>
        <v>06.02.2016</v>
      </c>
      <c r="E984" s="1">
        <v>0.76041666666666663</v>
      </c>
      <c r="F984" t="s">
        <v>30</v>
      </c>
      <c r="G984" t="s">
        <v>338</v>
      </c>
      <c r="H984" t="s">
        <v>12</v>
      </c>
      <c r="I984" t="str">
        <f t="shared" si="76"/>
        <v>2-0</v>
      </c>
      <c r="J984" t="str">
        <f t="shared" si="77"/>
        <v>2</v>
      </c>
      <c r="K984" t="str">
        <f t="shared" si="78"/>
        <v>0</v>
      </c>
      <c r="L984" t="str">
        <f t="shared" si="79"/>
        <v>Rayo Vallecano</v>
      </c>
      <c r="M984" t="str">
        <f>IF(COUNTIF($A$2:A984,A984)=1,
     VLOOKUP(A984,Season_Winners!A:B,2,FALSE),
     "")</f>
        <v/>
      </c>
    </row>
    <row r="985" spans="1:14" x14ac:dyDescent="0.3">
      <c r="A985" t="s">
        <v>335</v>
      </c>
      <c r="B985">
        <v>23</v>
      </c>
      <c r="C985" t="s">
        <v>409</v>
      </c>
      <c r="D985" t="str">
        <f t="shared" si="75"/>
        <v>06.02.2016</v>
      </c>
      <c r="E985" s="1">
        <v>0.85416666666666663</v>
      </c>
      <c r="F985" t="s">
        <v>15</v>
      </c>
      <c r="G985" t="s">
        <v>34</v>
      </c>
      <c r="H985" t="s">
        <v>41</v>
      </c>
      <c r="I985" t="str">
        <f t="shared" si="76"/>
        <v>0-0</v>
      </c>
      <c r="J985" t="str">
        <f t="shared" si="77"/>
        <v>0</v>
      </c>
      <c r="K985" t="str">
        <f t="shared" si="78"/>
        <v>0</v>
      </c>
      <c r="L985" t="str">
        <f t="shared" si="79"/>
        <v>Draw</v>
      </c>
      <c r="M985" t="str">
        <f>IF(COUNTIF($A$2:A985,A985)=1,
     VLOOKUP(A985,Season_Winners!A:B,2,FALSE),
     "")</f>
        <v/>
      </c>
    </row>
    <row r="986" spans="1:14" hidden="1" x14ac:dyDescent="0.3">
      <c r="A986" t="s">
        <v>335</v>
      </c>
      <c r="B986">
        <v>23</v>
      </c>
      <c r="C986" t="s">
        <v>409</v>
      </c>
      <c r="D986" t="str">
        <f t="shared" si="75"/>
        <v>06.02.2016</v>
      </c>
      <c r="E986" s="1">
        <v>0.92013888888888884</v>
      </c>
      <c r="F986" t="s">
        <v>340</v>
      </c>
      <c r="G986" t="s">
        <v>182</v>
      </c>
      <c r="H986" s="2">
        <v>46023</v>
      </c>
      <c r="I986" s="3" t="str">
        <f t="shared" si="76"/>
        <v/>
      </c>
      <c r="J986" t="str">
        <f t="shared" si="77"/>
        <v/>
      </c>
      <c r="K986" t="str">
        <f t="shared" si="78"/>
        <v/>
      </c>
      <c r="L986" t="str">
        <f t="shared" si="79"/>
        <v/>
      </c>
      <c r="M986" t="str">
        <f>IF(COUNTIF($A$2:A986,A986)=1,
     VLOOKUP(A986,Season_Winners!A:B,2,FALSE),
     "")</f>
        <v/>
      </c>
      <c r="N986" s="2"/>
    </row>
    <row r="987" spans="1:14" x14ac:dyDescent="0.3">
      <c r="A987" t="s">
        <v>335</v>
      </c>
      <c r="B987">
        <v>23</v>
      </c>
      <c r="C987" t="s">
        <v>410</v>
      </c>
      <c r="D987" t="str">
        <f t="shared" si="75"/>
        <v>07.02.2016</v>
      </c>
      <c r="E987" s="1">
        <v>0.5</v>
      </c>
      <c r="F987" t="s">
        <v>21</v>
      </c>
      <c r="G987" t="s">
        <v>20</v>
      </c>
      <c r="H987" t="s">
        <v>54</v>
      </c>
      <c r="I987" t="str">
        <f t="shared" si="76"/>
        <v>0-2</v>
      </c>
      <c r="J987" t="str">
        <f t="shared" si="77"/>
        <v>0</v>
      </c>
      <c r="K987" t="str">
        <f t="shared" si="78"/>
        <v>2</v>
      </c>
      <c r="L987" t="str">
        <f t="shared" si="79"/>
        <v>FC Barcelona</v>
      </c>
      <c r="M987" t="str">
        <f>IF(COUNTIF($A$2:A987,A987)=1,
     VLOOKUP(A987,Season_Winners!A:B,2,FALSE),
     "")</f>
        <v/>
      </c>
    </row>
    <row r="988" spans="1:14" x14ac:dyDescent="0.3">
      <c r="A988" t="s">
        <v>335</v>
      </c>
      <c r="B988">
        <v>23</v>
      </c>
      <c r="C988" t="s">
        <v>410</v>
      </c>
      <c r="D988" t="str">
        <f t="shared" si="75"/>
        <v>07.02.2016</v>
      </c>
      <c r="E988" s="1">
        <v>0.66666666666666663</v>
      </c>
      <c r="F988" t="s">
        <v>26</v>
      </c>
      <c r="G988" t="s">
        <v>16</v>
      </c>
      <c r="H988" t="s">
        <v>18</v>
      </c>
      <c r="I988" t="str">
        <f t="shared" si="76"/>
        <v>1-0</v>
      </c>
      <c r="J988" t="str">
        <f t="shared" si="77"/>
        <v>1</v>
      </c>
      <c r="K988" t="str">
        <f t="shared" si="78"/>
        <v>0</v>
      </c>
      <c r="L988" t="str">
        <f t="shared" si="79"/>
        <v>Real Betis</v>
      </c>
      <c r="M988" t="str">
        <f>IF(COUNTIF($A$2:A988,A988)=1,
     VLOOKUP(A988,Season_Winners!A:B,2,FALSE),
     "")</f>
        <v/>
      </c>
    </row>
    <row r="989" spans="1:14" hidden="1" x14ac:dyDescent="0.3">
      <c r="A989" t="s">
        <v>335</v>
      </c>
      <c r="B989">
        <v>23</v>
      </c>
      <c r="C989" t="s">
        <v>410</v>
      </c>
      <c r="D989" t="str">
        <f t="shared" si="75"/>
        <v>07.02.2016</v>
      </c>
      <c r="E989" s="1">
        <v>0.76041666666666663</v>
      </c>
      <c r="F989" t="s">
        <v>35</v>
      </c>
      <c r="G989" t="s">
        <v>27</v>
      </c>
      <c r="H989" s="2">
        <v>46023</v>
      </c>
      <c r="I989" s="3" t="str">
        <f t="shared" si="76"/>
        <v/>
      </c>
      <c r="J989" t="str">
        <f t="shared" si="77"/>
        <v/>
      </c>
      <c r="K989" t="str">
        <f t="shared" si="78"/>
        <v/>
      </c>
      <c r="L989" t="str">
        <f t="shared" si="79"/>
        <v/>
      </c>
      <c r="M989" t="str">
        <f>IF(COUNTIF($A$2:A989,A989)=1,
     VLOOKUP(A989,Season_Winners!A:B,2,FALSE),
     "")</f>
        <v/>
      </c>
      <c r="N989" s="2"/>
    </row>
    <row r="990" spans="1:14" hidden="1" x14ac:dyDescent="0.3">
      <c r="A990" t="s">
        <v>335</v>
      </c>
      <c r="B990">
        <v>23</v>
      </c>
      <c r="C990" t="s">
        <v>410</v>
      </c>
      <c r="D990" t="str">
        <f t="shared" si="75"/>
        <v>07.02.2016</v>
      </c>
      <c r="E990" s="1">
        <v>0.85416666666666663</v>
      </c>
      <c r="F990" t="s">
        <v>24</v>
      </c>
      <c r="G990" t="s">
        <v>25</v>
      </c>
      <c r="H990" s="2">
        <v>46054</v>
      </c>
      <c r="I990" s="3" t="str">
        <f t="shared" si="76"/>
        <v/>
      </c>
      <c r="J990" t="str">
        <f t="shared" si="77"/>
        <v/>
      </c>
      <c r="K990" t="str">
        <f t="shared" si="78"/>
        <v/>
      </c>
      <c r="L990" t="str">
        <f t="shared" si="79"/>
        <v/>
      </c>
      <c r="M990" t="str">
        <f>IF(COUNTIF($A$2:A990,A990)=1,
     VLOOKUP(A990,Season_Winners!A:B,2,FALSE),
     "")</f>
        <v/>
      </c>
      <c r="N990" s="2"/>
    </row>
    <row r="991" spans="1:14" x14ac:dyDescent="0.3">
      <c r="A991" t="s">
        <v>335</v>
      </c>
      <c r="B991">
        <v>23</v>
      </c>
      <c r="C991" t="s">
        <v>411</v>
      </c>
      <c r="D991" t="str">
        <f t="shared" si="75"/>
        <v>08.02.2016</v>
      </c>
      <c r="E991" s="1">
        <v>0.85416666666666663</v>
      </c>
      <c r="F991" t="s">
        <v>36</v>
      </c>
      <c r="G991" t="s">
        <v>10</v>
      </c>
      <c r="H991" t="s">
        <v>72</v>
      </c>
      <c r="I991" t="str">
        <f t="shared" si="76"/>
        <v>0-5</v>
      </c>
      <c r="J991" t="str">
        <f t="shared" si="77"/>
        <v>0</v>
      </c>
      <c r="K991" t="str">
        <f t="shared" si="78"/>
        <v>5</v>
      </c>
      <c r="L991" t="str">
        <f t="shared" si="79"/>
        <v>Real Sociedad</v>
      </c>
      <c r="M991" t="str">
        <f>IF(COUNTIF($A$2:A991,A991)=1,
     VLOOKUP(A991,Season_Winners!A:B,2,FALSE),
     "")</f>
        <v/>
      </c>
    </row>
    <row r="992" spans="1:14" hidden="1" x14ac:dyDescent="0.3">
      <c r="A992" t="s">
        <v>335</v>
      </c>
      <c r="B992">
        <v>24</v>
      </c>
      <c r="C992" t="s">
        <v>412</v>
      </c>
      <c r="D992" t="str">
        <f t="shared" si="75"/>
        <v>12.02.2016</v>
      </c>
      <c r="E992" s="1">
        <v>0.85416666666666663</v>
      </c>
      <c r="F992" t="s">
        <v>340</v>
      </c>
      <c r="G992" t="s">
        <v>30</v>
      </c>
      <c r="H992" s="2">
        <v>46055</v>
      </c>
      <c r="I992" s="3" t="str">
        <f t="shared" si="76"/>
        <v/>
      </c>
      <c r="J992" t="str">
        <f t="shared" si="77"/>
        <v/>
      </c>
      <c r="K992" t="str">
        <f t="shared" si="78"/>
        <v/>
      </c>
      <c r="L992" t="str">
        <f t="shared" si="79"/>
        <v/>
      </c>
      <c r="M992" t="str">
        <f>IF(COUNTIF($A$2:A992,A992)=1,
     VLOOKUP(A992,Season_Winners!A:B,2,FALSE),
     "")</f>
        <v/>
      </c>
      <c r="N992" s="2"/>
    </row>
    <row r="993" spans="1:14" hidden="1" x14ac:dyDescent="0.3">
      <c r="A993" t="s">
        <v>335</v>
      </c>
      <c r="B993">
        <v>24</v>
      </c>
      <c r="C993" t="s">
        <v>413</v>
      </c>
      <c r="D993" t="str">
        <f t="shared" si="75"/>
        <v>13.02.2016</v>
      </c>
      <c r="E993" s="1">
        <v>0.66666666666666663</v>
      </c>
      <c r="F993" t="s">
        <v>25</v>
      </c>
      <c r="G993" t="s">
        <v>15</v>
      </c>
      <c r="H993" s="2">
        <v>46057</v>
      </c>
      <c r="I993" s="3" t="str">
        <f t="shared" si="76"/>
        <v/>
      </c>
      <c r="J993" t="str">
        <f t="shared" si="77"/>
        <v/>
      </c>
      <c r="K993" t="str">
        <f t="shared" si="78"/>
        <v/>
      </c>
      <c r="L993" t="str">
        <f t="shared" si="79"/>
        <v/>
      </c>
      <c r="M993" t="str">
        <f>IF(COUNTIF($A$2:A993,A993)=1,
     VLOOKUP(A993,Season_Winners!A:B,2,FALSE),
     "")</f>
        <v/>
      </c>
      <c r="N993" s="2"/>
    </row>
    <row r="994" spans="1:14" x14ac:dyDescent="0.3">
      <c r="A994" t="s">
        <v>335</v>
      </c>
      <c r="B994">
        <v>24</v>
      </c>
      <c r="C994" t="s">
        <v>413</v>
      </c>
      <c r="D994" t="str">
        <f t="shared" si="75"/>
        <v>13.02.2016</v>
      </c>
      <c r="E994" s="1">
        <v>0.76041666666666663</v>
      </c>
      <c r="F994" t="s">
        <v>34</v>
      </c>
      <c r="G994" t="s">
        <v>17</v>
      </c>
      <c r="H994" t="s">
        <v>18</v>
      </c>
      <c r="I994" t="str">
        <f t="shared" si="76"/>
        <v>1-0</v>
      </c>
      <c r="J994" t="str">
        <f t="shared" si="77"/>
        <v>1</v>
      </c>
      <c r="K994" t="str">
        <f t="shared" si="78"/>
        <v>0</v>
      </c>
      <c r="L994" t="str">
        <f t="shared" si="79"/>
        <v>Villarreal CF</v>
      </c>
      <c r="M994" t="str">
        <f>IF(COUNTIF($A$2:A994,A994)=1,
     VLOOKUP(A994,Season_Winners!A:B,2,FALSE),
     "")</f>
        <v/>
      </c>
    </row>
    <row r="995" spans="1:14" hidden="1" x14ac:dyDescent="0.3">
      <c r="A995" t="s">
        <v>335</v>
      </c>
      <c r="B995">
        <v>24</v>
      </c>
      <c r="C995" t="s">
        <v>413</v>
      </c>
      <c r="D995" t="str">
        <f t="shared" si="75"/>
        <v>13.02.2016</v>
      </c>
      <c r="E995" s="1">
        <v>0.85416666666666663</v>
      </c>
      <c r="F995" t="s">
        <v>16</v>
      </c>
      <c r="G995" t="s">
        <v>36</v>
      </c>
      <c r="H995" s="2">
        <v>46024</v>
      </c>
      <c r="I995" s="3" t="str">
        <f t="shared" si="76"/>
        <v/>
      </c>
      <c r="J995" t="str">
        <f t="shared" si="77"/>
        <v/>
      </c>
      <c r="K995" t="str">
        <f t="shared" si="78"/>
        <v/>
      </c>
      <c r="L995" t="str">
        <f t="shared" si="79"/>
        <v/>
      </c>
      <c r="M995" t="str">
        <f>IF(COUNTIF($A$2:A995,A995)=1,
     VLOOKUP(A995,Season_Winners!A:B,2,FALSE),
     "")</f>
        <v/>
      </c>
      <c r="N995" s="2"/>
    </row>
    <row r="996" spans="1:14" hidden="1" x14ac:dyDescent="0.3">
      <c r="A996" t="s">
        <v>335</v>
      </c>
      <c r="B996">
        <v>24</v>
      </c>
      <c r="C996" t="s">
        <v>413</v>
      </c>
      <c r="D996" t="str">
        <f t="shared" si="75"/>
        <v>13.02.2016</v>
      </c>
      <c r="E996" s="1">
        <v>0.92013888888888884</v>
      </c>
      <c r="F996" t="s">
        <v>182</v>
      </c>
      <c r="G996" t="s">
        <v>26</v>
      </c>
      <c r="H996" s="2">
        <v>46055</v>
      </c>
      <c r="I996" s="3" t="str">
        <f t="shared" si="76"/>
        <v/>
      </c>
      <c r="J996" t="str">
        <f t="shared" si="77"/>
        <v/>
      </c>
      <c r="K996" t="str">
        <f t="shared" si="78"/>
        <v/>
      </c>
      <c r="L996" t="str">
        <f t="shared" si="79"/>
        <v/>
      </c>
      <c r="M996" t="str">
        <f>IF(COUNTIF($A$2:A996,A996)=1,
     VLOOKUP(A996,Season_Winners!A:B,2,FALSE),
     "")</f>
        <v/>
      </c>
      <c r="N996" s="2"/>
    </row>
    <row r="997" spans="1:14" x14ac:dyDescent="0.3">
      <c r="A997" t="s">
        <v>335</v>
      </c>
      <c r="B997">
        <v>24</v>
      </c>
      <c r="C997" t="s">
        <v>414</v>
      </c>
      <c r="D997" t="str">
        <f t="shared" si="75"/>
        <v>14.02.2016</v>
      </c>
      <c r="E997" s="1">
        <v>0.5</v>
      </c>
      <c r="F997" t="s">
        <v>10</v>
      </c>
      <c r="G997" t="s">
        <v>24</v>
      </c>
      <c r="H997" t="s">
        <v>32</v>
      </c>
      <c r="I997" t="str">
        <f t="shared" si="76"/>
        <v>3-0</v>
      </c>
      <c r="J997" t="str">
        <f t="shared" si="77"/>
        <v>3</v>
      </c>
      <c r="K997" t="str">
        <f t="shared" si="78"/>
        <v>0</v>
      </c>
      <c r="L997" t="str">
        <f t="shared" si="79"/>
        <v>Real Sociedad</v>
      </c>
      <c r="M997" t="str">
        <f>IF(COUNTIF($A$2:A997,A997)=1,
     VLOOKUP(A997,Season_Winners!A:B,2,FALSE),
     "")</f>
        <v/>
      </c>
    </row>
    <row r="998" spans="1:14" x14ac:dyDescent="0.3">
      <c r="A998" t="s">
        <v>335</v>
      </c>
      <c r="B998">
        <v>24</v>
      </c>
      <c r="C998" t="s">
        <v>414</v>
      </c>
      <c r="D998" t="str">
        <f t="shared" si="75"/>
        <v>14.02.2016</v>
      </c>
      <c r="E998" s="1">
        <v>0.66666666666666663</v>
      </c>
      <c r="F998" t="s">
        <v>27</v>
      </c>
      <c r="G998" t="s">
        <v>338</v>
      </c>
      <c r="H998" t="s">
        <v>12</v>
      </c>
      <c r="I998" t="str">
        <f t="shared" si="76"/>
        <v>2-0</v>
      </c>
      <c r="J998" t="str">
        <f t="shared" si="77"/>
        <v>2</v>
      </c>
      <c r="K998" t="str">
        <f t="shared" si="78"/>
        <v>0</v>
      </c>
      <c r="L998" t="str">
        <f t="shared" si="79"/>
        <v>Sevilla FC</v>
      </c>
      <c r="M998" t="str">
        <f>IF(COUNTIF($A$2:A998,A998)=1,
     VLOOKUP(A998,Season_Winners!A:B,2,FALSE),
     "")</f>
        <v/>
      </c>
    </row>
    <row r="999" spans="1:14" x14ac:dyDescent="0.3">
      <c r="A999" t="s">
        <v>335</v>
      </c>
      <c r="B999">
        <v>24</v>
      </c>
      <c r="C999" t="s">
        <v>414</v>
      </c>
      <c r="D999" t="str">
        <f t="shared" si="75"/>
        <v>14.02.2016</v>
      </c>
      <c r="E999" s="1">
        <v>0.76041666666666663</v>
      </c>
      <c r="F999" t="s">
        <v>11</v>
      </c>
      <c r="G999" t="s">
        <v>1425</v>
      </c>
      <c r="H999" t="s">
        <v>42</v>
      </c>
      <c r="I999" t="str">
        <f t="shared" si="76"/>
        <v>0-1</v>
      </c>
      <c r="J999" t="str">
        <f t="shared" si="77"/>
        <v>0</v>
      </c>
      <c r="K999" t="str">
        <f t="shared" si="78"/>
        <v>1</v>
      </c>
      <c r="L999" t="str">
        <f t="shared" si="79"/>
        <v>Atlético de Madrid</v>
      </c>
      <c r="M999" t="str">
        <f>IF(COUNTIF($A$2:A999,A999)=1,
     VLOOKUP(A999,Season_Winners!A:B,2,FALSE),
     "")</f>
        <v/>
      </c>
    </row>
    <row r="1000" spans="1:14" x14ac:dyDescent="0.3">
      <c r="A1000" t="s">
        <v>335</v>
      </c>
      <c r="B1000">
        <v>24</v>
      </c>
      <c r="C1000" t="s">
        <v>414</v>
      </c>
      <c r="D1000" t="str">
        <f t="shared" si="75"/>
        <v>14.02.2016</v>
      </c>
      <c r="E1000" s="1">
        <v>0.76041666666666663</v>
      </c>
      <c r="F1000" t="s">
        <v>187</v>
      </c>
      <c r="G1000" t="s">
        <v>21</v>
      </c>
      <c r="H1000" t="s">
        <v>12</v>
      </c>
      <c r="I1000" t="str">
        <f t="shared" si="76"/>
        <v>2-0</v>
      </c>
      <c r="J1000" t="str">
        <f t="shared" si="77"/>
        <v>2</v>
      </c>
      <c r="K1000" t="str">
        <f t="shared" si="78"/>
        <v>0</v>
      </c>
      <c r="L1000" t="str">
        <f t="shared" si="79"/>
        <v>SD Eibar</v>
      </c>
      <c r="M1000" t="str">
        <f>IF(COUNTIF($A$2:A1000,A1000)=1,
     VLOOKUP(A1000,Season_Winners!A:B,2,FALSE),
     "")</f>
        <v/>
      </c>
    </row>
    <row r="1001" spans="1:14" hidden="1" x14ac:dyDescent="0.3">
      <c r="A1001" t="s">
        <v>335</v>
      </c>
      <c r="B1001">
        <v>24</v>
      </c>
      <c r="C1001" t="s">
        <v>414</v>
      </c>
      <c r="D1001" t="str">
        <f t="shared" si="75"/>
        <v>14.02.2016</v>
      </c>
      <c r="E1001" s="1">
        <v>0.85416666666666663</v>
      </c>
      <c r="F1001" t="s">
        <v>20</v>
      </c>
      <c r="G1001" t="s">
        <v>35</v>
      </c>
      <c r="H1001" s="2">
        <v>46028</v>
      </c>
      <c r="I1001" s="3" t="str">
        <f t="shared" si="76"/>
        <v/>
      </c>
      <c r="J1001" t="str">
        <f t="shared" si="77"/>
        <v/>
      </c>
      <c r="K1001" t="str">
        <f t="shared" si="78"/>
        <v/>
      </c>
      <c r="L1001" t="str">
        <f t="shared" si="79"/>
        <v/>
      </c>
      <c r="M1001" t="str">
        <f>IF(COUNTIF($A$2:A1001,A1001)=1,
     VLOOKUP(A1001,Season_Winners!A:B,2,FALSE),
     "")</f>
        <v/>
      </c>
      <c r="N1001" s="2"/>
    </row>
    <row r="1002" spans="1:14" x14ac:dyDescent="0.3">
      <c r="A1002" t="s">
        <v>335</v>
      </c>
      <c r="B1002">
        <v>25</v>
      </c>
      <c r="C1002" t="s">
        <v>415</v>
      </c>
      <c r="D1002" t="str">
        <f t="shared" si="75"/>
        <v>19.02.2016</v>
      </c>
      <c r="E1002" s="1">
        <v>0.85416666666666663</v>
      </c>
      <c r="F1002" t="s">
        <v>21</v>
      </c>
      <c r="G1002" t="s">
        <v>11</v>
      </c>
      <c r="H1002" t="s">
        <v>32</v>
      </c>
      <c r="I1002" t="str">
        <f t="shared" si="76"/>
        <v>3-0</v>
      </c>
      <c r="J1002" t="str">
        <f t="shared" si="77"/>
        <v>3</v>
      </c>
      <c r="K1002" t="str">
        <f t="shared" si="78"/>
        <v>0</v>
      </c>
      <c r="L1002" t="str">
        <f t="shared" si="79"/>
        <v>Levante UD</v>
      </c>
      <c r="M1002" t="str">
        <f>IF(COUNTIF($A$2:A1002,A1002)=1,
     VLOOKUP(A1002,Season_Winners!A:B,2,FALSE),
     "")</f>
        <v/>
      </c>
    </row>
    <row r="1003" spans="1:14" hidden="1" x14ac:dyDescent="0.3">
      <c r="A1003" t="s">
        <v>335</v>
      </c>
      <c r="B1003">
        <v>25</v>
      </c>
      <c r="C1003" t="s">
        <v>416</v>
      </c>
      <c r="D1003" t="str">
        <f t="shared" si="75"/>
        <v>20.02.2016</v>
      </c>
      <c r="E1003" s="1">
        <v>0.66666666666666663</v>
      </c>
      <c r="F1003" t="s">
        <v>338</v>
      </c>
      <c r="G1003" t="s">
        <v>20</v>
      </c>
      <c r="H1003" s="2">
        <v>46054</v>
      </c>
      <c r="I1003" s="3" t="str">
        <f t="shared" si="76"/>
        <v/>
      </c>
      <c r="J1003" t="str">
        <f t="shared" si="77"/>
        <v/>
      </c>
      <c r="K1003" t="str">
        <f t="shared" si="78"/>
        <v/>
      </c>
      <c r="L1003" t="str">
        <f t="shared" si="79"/>
        <v/>
      </c>
      <c r="M1003" t="str">
        <f>IF(COUNTIF($A$2:A1003,A1003)=1,
     VLOOKUP(A1003,Season_Winners!A:B,2,FALSE),
     "")</f>
        <v/>
      </c>
      <c r="N1003" s="2"/>
    </row>
    <row r="1004" spans="1:14" x14ac:dyDescent="0.3">
      <c r="A1004" t="s">
        <v>335</v>
      </c>
      <c r="B1004">
        <v>25</v>
      </c>
      <c r="C1004" t="s">
        <v>416</v>
      </c>
      <c r="D1004" t="str">
        <f t="shared" si="75"/>
        <v>20.02.2016</v>
      </c>
      <c r="E1004" s="1">
        <v>0.76041666666666663</v>
      </c>
      <c r="F1004" t="s">
        <v>36</v>
      </c>
      <c r="G1004" t="s">
        <v>182</v>
      </c>
      <c r="H1004" t="s">
        <v>18</v>
      </c>
      <c r="I1004" t="str">
        <f t="shared" si="76"/>
        <v>1-0</v>
      </c>
      <c r="J1004" t="str">
        <f t="shared" si="77"/>
        <v>1</v>
      </c>
      <c r="K1004" t="str">
        <f t="shared" si="78"/>
        <v>0</v>
      </c>
      <c r="L1004" t="str">
        <f t="shared" si="79"/>
        <v>RCD Espanyol de Barcelona</v>
      </c>
      <c r="M1004" t="str">
        <f>IF(COUNTIF($A$2:A1004,A1004)=1,
     VLOOKUP(A1004,Season_Winners!A:B,2,FALSE),
     "")</f>
        <v/>
      </c>
    </row>
    <row r="1005" spans="1:14" hidden="1" x14ac:dyDescent="0.3">
      <c r="A1005" t="s">
        <v>335</v>
      </c>
      <c r="B1005">
        <v>25</v>
      </c>
      <c r="C1005" t="s">
        <v>416</v>
      </c>
      <c r="D1005" t="str">
        <f t="shared" si="75"/>
        <v>20.02.2016</v>
      </c>
      <c r="E1005" s="1">
        <v>0.85416666666666663</v>
      </c>
      <c r="F1005" t="s">
        <v>26</v>
      </c>
      <c r="G1005" t="s">
        <v>340</v>
      </c>
      <c r="H1005" s="2">
        <v>46023</v>
      </c>
      <c r="I1005" s="3" t="str">
        <f t="shared" si="76"/>
        <v/>
      </c>
      <c r="J1005" t="str">
        <f t="shared" si="77"/>
        <v/>
      </c>
      <c r="K1005" t="str">
        <f t="shared" si="78"/>
        <v/>
      </c>
      <c r="L1005" t="str">
        <f t="shared" si="79"/>
        <v/>
      </c>
      <c r="M1005" t="str">
        <f>IF(COUNTIF($A$2:A1005,A1005)=1,
     VLOOKUP(A1005,Season_Winners!A:B,2,FALSE),
     "")</f>
        <v/>
      </c>
      <c r="N1005" s="2"/>
    </row>
    <row r="1006" spans="1:14" hidden="1" x14ac:dyDescent="0.3">
      <c r="A1006" t="s">
        <v>335</v>
      </c>
      <c r="B1006">
        <v>25</v>
      </c>
      <c r="C1006" t="s">
        <v>416</v>
      </c>
      <c r="D1006" t="str">
        <f t="shared" si="75"/>
        <v>20.02.2016</v>
      </c>
      <c r="E1006" s="1">
        <v>0.92013888888888884</v>
      </c>
      <c r="F1006" t="s">
        <v>35</v>
      </c>
      <c r="G1006" t="s">
        <v>187</v>
      </c>
      <c r="H1006" s="2">
        <v>46056</v>
      </c>
      <c r="I1006" s="3" t="str">
        <f t="shared" si="76"/>
        <v/>
      </c>
      <c r="J1006" t="str">
        <f t="shared" si="77"/>
        <v/>
      </c>
      <c r="K1006" t="str">
        <f t="shared" si="78"/>
        <v/>
      </c>
      <c r="L1006" t="str">
        <f t="shared" si="79"/>
        <v/>
      </c>
      <c r="M1006" t="str">
        <f>IF(COUNTIF($A$2:A1006,A1006)=1,
     VLOOKUP(A1006,Season_Winners!A:B,2,FALSE),
     "")</f>
        <v/>
      </c>
      <c r="N1006" s="2"/>
    </row>
    <row r="1007" spans="1:14" hidden="1" x14ac:dyDescent="0.3">
      <c r="A1007" t="s">
        <v>335</v>
      </c>
      <c r="B1007">
        <v>25</v>
      </c>
      <c r="C1007" t="s">
        <v>417</v>
      </c>
      <c r="D1007" t="str">
        <f t="shared" si="75"/>
        <v>21.02.2016</v>
      </c>
      <c r="E1007" s="1">
        <v>0.5</v>
      </c>
      <c r="F1007" t="s">
        <v>30</v>
      </c>
      <c r="G1007" t="s">
        <v>27</v>
      </c>
      <c r="H1007" s="2">
        <v>46055</v>
      </c>
      <c r="I1007" s="3" t="str">
        <f t="shared" si="76"/>
        <v/>
      </c>
      <c r="J1007" t="str">
        <f t="shared" si="77"/>
        <v/>
      </c>
      <c r="K1007" t="str">
        <f t="shared" si="78"/>
        <v/>
      </c>
      <c r="L1007" t="str">
        <f t="shared" si="79"/>
        <v/>
      </c>
      <c r="M1007" t="str">
        <f>IF(COUNTIF($A$2:A1007,A1007)=1,
     VLOOKUP(A1007,Season_Winners!A:B,2,FALSE),
     "")</f>
        <v/>
      </c>
      <c r="N1007" s="2"/>
    </row>
    <row r="1008" spans="1:14" hidden="1" x14ac:dyDescent="0.3">
      <c r="A1008" t="s">
        <v>335</v>
      </c>
      <c r="B1008">
        <v>25</v>
      </c>
      <c r="C1008" t="s">
        <v>417</v>
      </c>
      <c r="D1008" t="str">
        <f t="shared" si="75"/>
        <v>21.02.2016</v>
      </c>
      <c r="E1008" s="1">
        <v>0.66666666666666663</v>
      </c>
      <c r="F1008" t="s">
        <v>17</v>
      </c>
      <c r="G1008" t="s">
        <v>25</v>
      </c>
      <c r="H1008" s="2">
        <v>46023</v>
      </c>
      <c r="I1008" s="3" t="str">
        <f t="shared" si="76"/>
        <v/>
      </c>
      <c r="J1008" t="str">
        <f t="shared" si="77"/>
        <v/>
      </c>
      <c r="K1008" t="str">
        <f t="shared" si="78"/>
        <v/>
      </c>
      <c r="L1008" t="str">
        <f t="shared" si="79"/>
        <v/>
      </c>
      <c r="M1008" t="str">
        <f>IF(COUNTIF($A$2:A1008,A1008)=1,
     VLOOKUP(A1008,Season_Winners!A:B,2,FALSE),
     "")</f>
        <v/>
      </c>
      <c r="N1008" s="2"/>
    </row>
    <row r="1009" spans="1:14" x14ac:dyDescent="0.3">
      <c r="A1009" t="s">
        <v>335</v>
      </c>
      <c r="B1009">
        <v>25</v>
      </c>
      <c r="C1009" t="s">
        <v>417</v>
      </c>
      <c r="D1009" t="str">
        <f t="shared" si="75"/>
        <v>21.02.2016</v>
      </c>
      <c r="E1009" s="1">
        <v>0.76041666666666663</v>
      </c>
      <c r="F1009" t="s">
        <v>15</v>
      </c>
      <c r="G1009" t="s">
        <v>10</v>
      </c>
      <c r="H1009" t="s">
        <v>42</v>
      </c>
      <c r="I1009" t="str">
        <f t="shared" si="76"/>
        <v>0-1</v>
      </c>
      <c r="J1009" t="str">
        <f t="shared" si="77"/>
        <v>0</v>
      </c>
      <c r="K1009" t="str">
        <f t="shared" si="78"/>
        <v>1</v>
      </c>
      <c r="L1009" t="str">
        <f t="shared" si="79"/>
        <v>Real Sociedad</v>
      </c>
      <c r="M1009" t="str">
        <f>IF(COUNTIF($A$2:A1009,A1009)=1,
     VLOOKUP(A1009,Season_Winners!A:B,2,FALSE),
     "")</f>
        <v/>
      </c>
    </row>
    <row r="1010" spans="1:14" hidden="1" x14ac:dyDescent="0.3">
      <c r="A1010" t="s">
        <v>335</v>
      </c>
      <c r="B1010">
        <v>25</v>
      </c>
      <c r="C1010" t="s">
        <v>417</v>
      </c>
      <c r="D1010" t="str">
        <f t="shared" si="75"/>
        <v>21.02.2016</v>
      </c>
      <c r="E1010" s="1">
        <v>0.76041666666666663</v>
      </c>
      <c r="F1010" t="s">
        <v>24</v>
      </c>
      <c r="G1010" t="s">
        <v>16</v>
      </c>
      <c r="H1010" s="2">
        <v>46054</v>
      </c>
      <c r="I1010" s="3" t="str">
        <f t="shared" si="76"/>
        <v/>
      </c>
      <c r="J1010" t="str">
        <f t="shared" si="77"/>
        <v/>
      </c>
      <c r="K1010" t="str">
        <f t="shared" si="78"/>
        <v/>
      </c>
      <c r="L1010" t="str">
        <f t="shared" si="79"/>
        <v/>
      </c>
      <c r="M1010" t="str">
        <f>IF(COUNTIF($A$2:A1010,A1010)=1,
     VLOOKUP(A1010,Season_Winners!A:B,2,FALSE),
     "")</f>
        <v/>
      </c>
      <c r="N1010" s="2"/>
    </row>
    <row r="1011" spans="1:14" x14ac:dyDescent="0.3">
      <c r="A1011" t="s">
        <v>335</v>
      </c>
      <c r="B1011">
        <v>25</v>
      </c>
      <c r="C1011" t="s">
        <v>417</v>
      </c>
      <c r="D1011" t="str">
        <f t="shared" si="75"/>
        <v>21.02.2016</v>
      </c>
      <c r="E1011" s="1">
        <v>0.85416666666666663</v>
      </c>
      <c r="F1011" t="s">
        <v>1425</v>
      </c>
      <c r="G1011" t="s">
        <v>34</v>
      </c>
      <c r="H1011" t="s">
        <v>41</v>
      </c>
      <c r="I1011" t="str">
        <f t="shared" si="76"/>
        <v>0-0</v>
      </c>
      <c r="J1011" t="str">
        <f t="shared" si="77"/>
        <v>0</v>
      </c>
      <c r="K1011" t="str">
        <f t="shared" si="78"/>
        <v>0</v>
      </c>
      <c r="L1011" t="str">
        <f t="shared" si="79"/>
        <v>Draw</v>
      </c>
      <c r="M1011" t="str">
        <f>IF(COUNTIF($A$2:A1011,A1011)=1,
     VLOOKUP(A1011,Season_Winners!A:B,2,FALSE),
     "")</f>
        <v/>
      </c>
    </row>
    <row r="1012" spans="1:14" x14ac:dyDescent="0.3">
      <c r="A1012" t="s">
        <v>335</v>
      </c>
      <c r="B1012">
        <v>26</v>
      </c>
      <c r="C1012" t="s">
        <v>418</v>
      </c>
      <c r="D1012" t="str">
        <f t="shared" si="75"/>
        <v>26.02.2016</v>
      </c>
      <c r="E1012" s="1">
        <v>0.85416666666666663</v>
      </c>
      <c r="F1012" t="s">
        <v>187</v>
      </c>
      <c r="G1012" t="s">
        <v>338</v>
      </c>
      <c r="H1012" t="s">
        <v>42</v>
      </c>
      <c r="I1012" t="str">
        <f t="shared" si="76"/>
        <v>0-1</v>
      </c>
      <c r="J1012" t="str">
        <f t="shared" si="77"/>
        <v>0</v>
      </c>
      <c r="K1012" t="str">
        <f t="shared" si="78"/>
        <v>1</v>
      </c>
      <c r="L1012" t="str">
        <f t="shared" si="79"/>
        <v>UD Las Palmas</v>
      </c>
      <c r="M1012" t="str">
        <f>IF(COUNTIF($A$2:A1012,A1012)=1,
     VLOOKUP(A1012,Season_Winners!A:B,2,FALSE),
     "")</f>
        <v/>
      </c>
    </row>
    <row r="1013" spans="1:14" x14ac:dyDescent="0.3">
      <c r="A1013" t="s">
        <v>335</v>
      </c>
      <c r="B1013">
        <v>26</v>
      </c>
      <c r="C1013" t="s">
        <v>419</v>
      </c>
      <c r="D1013" t="str">
        <f t="shared" si="75"/>
        <v>27.02.2016</v>
      </c>
      <c r="E1013" s="1">
        <v>0.66666666666666663</v>
      </c>
      <c r="F1013" t="s">
        <v>25</v>
      </c>
      <c r="G1013" t="s">
        <v>1425</v>
      </c>
      <c r="H1013" t="s">
        <v>42</v>
      </c>
      <c r="I1013" t="str">
        <f t="shared" si="76"/>
        <v>0-1</v>
      </c>
      <c r="J1013" t="str">
        <f t="shared" si="77"/>
        <v>0</v>
      </c>
      <c r="K1013" t="str">
        <f t="shared" si="78"/>
        <v>1</v>
      </c>
      <c r="L1013" t="str">
        <f t="shared" si="79"/>
        <v>Atlético de Madrid</v>
      </c>
      <c r="M1013" t="str">
        <f>IF(COUNTIF($A$2:A1013,A1013)=1,
     VLOOKUP(A1013,Season_Winners!A:B,2,FALSE),
     "")</f>
        <v/>
      </c>
    </row>
    <row r="1014" spans="1:14" x14ac:dyDescent="0.3">
      <c r="A1014" t="s">
        <v>335</v>
      </c>
      <c r="B1014">
        <v>26</v>
      </c>
      <c r="C1014" t="s">
        <v>419</v>
      </c>
      <c r="D1014" t="str">
        <f t="shared" si="75"/>
        <v>27.02.2016</v>
      </c>
      <c r="E1014" s="1">
        <v>0.76041666666666663</v>
      </c>
      <c r="F1014" t="s">
        <v>11</v>
      </c>
      <c r="G1014" t="s">
        <v>35</v>
      </c>
      <c r="H1014" t="s">
        <v>42</v>
      </c>
      <c r="I1014" t="str">
        <f t="shared" si="76"/>
        <v>0-1</v>
      </c>
      <c r="J1014" t="str">
        <f t="shared" si="77"/>
        <v>0</v>
      </c>
      <c r="K1014" t="str">
        <f t="shared" si="78"/>
        <v>1</v>
      </c>
      <c r="L1014" t="str">
        <f t="shared" si="79"/>
        <v>RC Celta</v>
      </c>
      <c r="M1014" t="str">
        <f>IF(COUNTIF($A$2:A1014,A1014)=1,
     VLOOKUP(A1014,Season_Winners!A:B,2,FALSE),
     "")</f>
        <v/>
      </c>
    </row>
    <row r="1015" spans="1:14" hidden="1" x14ac:dyDescent="0.3">
      <c r="A1015" t="s">
        <v>335</v>
      </c>
      <c r="B1015">
        <v>26</v>
      </c>
      <c r="C1015" t="s">
        <v>419</v>
      </c>
      <c r="D1015" t="str">
        <f t="shared" si="75"/>
        <v>27.02.2016</v>
      </c>
      <c r="E1015" s="1">
        <v>0.76041666666666663</v>
      </c>
      <c r="F1015" t="s">
        <v>340</v>
      </c>
      <c r="G1015" t="s">
        <v>36</v>
      </c>
      <c r="H1015" s="2">
        <v>46114</v>
      </c>
      <c r="I1015" s="3" t="str">
        <f t="shared" si="76"/>
        <v/>
      </c>
      <c r="J1015" t="str">
        <f t="shared" si="77"/>
        <v/>
      </c>
      <c r="K1015" t="str">
        <f t="shared" si="78"/>
        <v/>
      </c>
      <c r="L1015" t="str">
        <f t="shared" si="79"/>
        <v/>
      </c>
      <c r="M1015" t="str">
        <f>IF(COUNTIF($A$2:A1015,A1015)=1,
     VLOOKUP(A1015,Season_Winners!A:B,2,FALSE),
     "")</f>
        <v/>
      </c>
      <c r="N1015" s="2"/>
    </row>
    <row r="1016" spans="1:14" hidden="1" x14ac:dyDescent="0.3">
      <c r="A1016" t="s">
        <v>335</v>
      </c>
      <c r="B1016">
        <v>26</v>
      </c>
      <c r="C1016" t="s">
        <v>419</v>
      </c>
      <c r="D1016" t="str">
        <f t="shared" si="75"/>
        <v>27.02.2016</v>
      </c>
      <c r="E1016" s="1">
        <v>0.85416666666666663</v>
      </c>
      <c r="F1016" t="s">
        <v>26</v>
      </c>
      <c r="G1016" t="s">
        <v>30</v>
      </c>
      <c r="H1016" s="2">
        <v>46055</v>
      </c>
      <c r="I1016" s="3" t="str">
        <f t="shared" si="76"/>
        <v/>
      </c>
      <c r="J1016" t="str">
        <f t="shared" si="77"/>
        <v/>
      </c>
      <c r="K1016" t="str">
        <f t="shared" si="78"/>
        <v/>
      </c>
      <c r="L1016" t="str">
        <f t="shared" si="79"/>
        <v/>
      </c>
      <c r="M1016" t="str">
        <f>IF(COUNTIF($A$2:A1016,A1016)=1,
     VLOOKUP(A1016,Season_Winners!A:B,2,FALSE),
     "")</f>
        <v/>
      </c>
      <c r="N1016" s="2"/>
    </row>
    <row r="1017" spans="1:14" hidden="1" x14ac:dyDescent="0.3">
      <c r="A1017" t="s">
        <v>335</v>
      </c>
      <c r="B1017">
        <v>26</v>
      </c>
      <c r="C1017" t="s">
        <v>419</v>
      </c>
      <c r="D1017" t="str">
        <f t="shared" si="75"/>
        <v>27.02.2016</v>
      </c>
      <c r="E1017" s="1">
        <v>0.92013888888888884</v>
      </c>
      <c r="F1017" t="s">
        <v>10</v>
      </c>
      <c r="G1017" t="s">
        <v>17</v>
      </c>
      <c r="H1017" s="2">
        <v>46023</v>
      </c>
      <c r="I1017" s="3" t="str">
        <f t="shared" si="76"/>
        <v/>
      </c>
      <c r="J1017" t="str">
        <f t="shared" si="77"/>
        <v/>
      </c>
      <c r="K1017" t="str">
        <f t="shared" si="78"/>
        <v/>
      </c>
      <c r="L1017" t="str">
        <f t="shared" si="79"/>
        <v/>
      </c>
      <c r="M1017" t="str">
        <f>IF(COUNTIF($A$2:A1017,A1017)=1,
     VLOOKUP(A1017,Season_Winners!A:B,2,FALSE),
     "")</f>
        <v/>
      </c>
      <c r="N1017" s="2"/>
    </row>
    <row r="1018" spans="1:14" x14ac:dyDescent="0.3">
      <c r="A1018" t="s">
        <v>335</v>
      </c>
      <c r="B1018">
        <v>26</v>
      </c>
      <c r="C1018" t="s">
        <v>420</v>
      </c>
      <c r="D1018" t="str">
        <f t="shared" si="75"/>
        <v>28.02.2016</v>
      </c>
      <c r="E1018" s="1">
        <v>0.5</v>
      </c>
      <c r="F1018" t="s">
        <v>34</v>
      </c>
      <c r="G1018" t="s">
        <v>21</v>
      </c>
      <c r="H1018" t="s">
        <v>32</v>
      </c>
      <c r="I1018" t="str">
        <f t="shared" si="76"/>
        <v>3-0</v>
      </c>
      <c r="J1018" t="str">
        <f t="shared" si="77"/>
        <v>3</v>
      </c>
      <c r="K1018" t="str">
        <f t="shared" si="78"/>
        <v>0</v>
      </c>
      <c r="L1018" t="str">
        <f t="shared" si="79"/>
        <v>Villarreal CF</v>
      </c>
      <c r="M1018" t="str">
        <f>IF(COUNTIF($A$2:A1018,A1018)=1,
     VLOOKUP(A1018,Season_Winners!A:B,2,FALSE),
     "")</f>
        <v/>
      </c>
    </row>
    <row r="1019" spans="1:14" x14ac:dyDescent="0.3">
      <c r="A1019" t="s">
        <v>335</v>
      </c>
      <c r="B1019">
        <v>26</v>
      </c>
      <c r="C1019" t="s">
        <v>420</v>
      </c>
      <c r="D1019" t="str">
        <f t="shared" si="75"/>
        <v>28.02.2016</v>
      </c>
      <c r="E1019" s="1">
        <v>0.66666666666666663</v>
      </c>
      <c r="F1019" t="s">
        <v>16</v>
      </c>
      <c r="G1019" t="s">
        <v>15</v>
      </c>
      <c r="H1019" t="s">
        <v>46</v>
      </c>
      <c r="I1019" t="str">
        <f t="shared" si="76"/>
        <v>0-3</v>
      </c>
      <c r="J1019" t="str">
        <f t="shared" si="77"/>
        <v>0</v>
      </c>
      <c r="K1019" t="str">
        <f t="shared" si="78"/>
        <v>3</v>
      </c>
      <c r="L1019" t="str">
        <f t="shared" si="79"/>
        <v>Athletic Club</v>
      </c>
      <c r="M1019" t="str">
        <f>IF(COUNTIF($A$2:A1019,A1019)=1,
     VLOOKUP(A1019,Season_Winners!A:B,2,FALSE),
     "")</f>
        <v/>
      </c>
    </row>
    <row r="1020" spans="1:14" x14ac:dyDescent="0.3">
      <c r="A1020" t="s">
        <v>335</v>
      </c>
      <c r="B1020">
        <v>26</v>
      </c>
      <c r="C1020" t="s">
        <v>420</v>
      </c>
      <c r="D1020" t="str">
        <f t="shared" si="75"/>
        <v>28.02.2016</v>
      </c>
      <c r="E1020" s="1">
        <v>0.76041666666666663</v>
      </c>
      <c r="F1020" t="s">
        <v>182</v>
      </c>
      <c r="G1020" t="s">
        <v>24</v>
      </c>
      <c r="H1020" t="s">
        <v>42</v>
      </c>
      <c r="I1020" t="str">
        <f t="shared" si="76"/>
        <v>0-1</v>
      </c>
      <c r="J1020" t="str">
        <f t="shared" si="77"/>
        <v>0</v>
      </c>
      <c r="K1020" t="str">
        <f t="shared" si="78"/>
        <v>1</v>
      </c>
      <c r="L1020" t="str">
        <f t="shared" si="79"/>
        <v>Granada CF</v>
      </c>
      <c r="M1020" t="str">
        <f>IF(COUNTIF($A$2:A1020,A1020)=1,
     VLOOKUP(A1020,Season_Winners!A:B,2,FALSE),
     "")</f>
        <v/>
      </c>
    </row>
    <row r="1021" spans="1:14" hidden="1" x14ac:dyDescent="0.3">
      <c r="A1021" t="s">
        <v>335</v>
      </c>
      <c r="B1021">
        <v>26</v>
      </c>
      <c r="C1021" t="s">
        <v>420</v>
      </c>
      <c r="D1021" t="str">
        <f t="shared" si="75"/>
        <v>28.02.2016</v>
      </c>
      <c r="E1021" s="1">
        <v>0.85416666666666663</v>
      </c>
      <c r="F1021" t="s">
        <v>20</v>
      </c>
      <c r="G1021" t="s">
        <v>27</v>
      </c>
      <c r="H1021" s="2">
        <v>46024</v>
      </c>
      <c r="I1021" s="3" t="str">
        <f t="shared" si="76"/>
        <v/>
      </c>
      <c r="J1021" t="str">
        <f t="shared" si="77"/>
        <v/>
      </c>
      <c r="K1021" t="str">
        <f t="shared" si="78"/>
        <v/>
      </c>
      <c r="L1021" t="str">
        <f t="shared" si="79"/>
        <v/>
      </c>
      <c r="M1021" t="str">
        <f>IF(COUNTIF($A$2:A1021,A1021)=1,
     VLOOKUP(A1021,Season_Winners!A:B,2,FALSE),
     "")</f>
        <v/>
      </c>
      <c r="N1021" s="2"/>
    </row>
    <row r="1022" spans="1:14" x14ac:dyDescent="0.3">
      <c r="A1022" t="s">
        <v>335</v>
      </c>
      <c r="B1022">
        <v>27</v>
      </c>
      <c r="C1022" t="s">
        <v>421</v>
      </c>
      <c r="D1022" t="str">
        <f t="shared" si="75"/>
        <v>01.03.2016</v>
      </c>
      <c r="E1022" s="1">
        <v>0.875</v>
      </c>
      <c r="F1022" t="s">
        <v>1425</v>
      </c>
      <c r="G1022" t="s">
        <v>10</v>
      </c>
      <c r="H1022" t="s">
        <v>32</v>
      </c>
      <c r="I1022" t="str">
        <f t="shared" si="76"/>
        <v>3-0</v>
      </c>
      <c r="J1022" t="str">
        <f t="shared" si="77"/>
        <v>3</v>
      </c>
      <c r="K1022" t="str">
        <f t="shared" si="78"/>
        <v>0</v>
      </c>
      <c r="L1022" t="str">
        <f t="shared" si="79"/>
        <v>Atlético de Madrid</v>
      </c>
      <c r="M1022" t="str">
        <f>IF(COUNTIF($A$2:A1022,A1022)=1,
     VLOOKUP(A1022,Season_Winners!A:B,2,FALSE),
     "")</f>
        <v/>
      </c>
    </row>
    <row r="1023" spans="1:14" x14ac:dyDescent="0.3">
      <c r="A1023" t="s">
        <v>335</v>
      </c>
      <c r="B1023">
        <v>27</v>
      </c>
      <c r="C1023" t="s">
        <v>421</v>
      </c>
      <c r="D1023" t="str">
        <f t="shared" si="75"/>
        <v>01.03.2016</v>
      </c>
      <c r="E1023" s="1">
        <v>0.91666666666666663</v>
      </c>
      <c r="F1023" t="s">
        <v>338</v>
      </c>
      <c r="G1023" t="s">
        <v>11</v>
      </c>
      <c r="H1023" t="s">
        <v>88</v>
      </c>
      <c r="I1023" t="str">
        <f t="shared" si="76"/>
        <v>4-0</v>
      </c>
      <c r="J1023" t="str">
        <f t="shared" si="77"/>
        <v>4</v>
      </c>
      <c r="K1023" t="str">
        <f t="shared" si="78"/>
        <v>0</v>
      </c>
      <c r="L1023" t="str">
        <f t="shared" si="79"/>
        <v>UD Las Palmas</v>
      </c>
      <c r="M1023" t="str">
        <f>IF(COUNTIF($A$2:A1023,A1023)=1,
     VLOOKUP(A1023,Season_Winners!A:B,2,FALSE),
     "")</f>
        <v/>
      </c>
    </row>
    <row r="1024" spans="1:14" hidden="1" x14ac:dyDescent="0.3">
      <c r="A1024" t="s">
        <v>335</v>
      </c>
      <c r="B1024">
        <v>27</v>
      </c>
      <c r="C1024" t="s">
        <v>422</v>
      </c>
      <c r="D1024" t="str">
        <f t="shared" si="75"/>
        <v>02.03.2016</v>
      </c>
      <c r="E1024" s="1">
        <v>0.83333333333333337</v>
      </c>
      <c r="F1024" t="s">
        <v>15</v>
      </c>
      <c r="G1024" t="s">
        <v>182</v>
      </c>
      <c r="H1024" s="2">
        <v>46026</v>
      </c>
      <c r="I1024" s="3" t="str">
        <f t="shared" si="76"/>
        <v/>
      </c>
      <c r="J1024" t="str">
        <f t="shared" si="77"/>
        <v/>
      </c>
      <c r="K1024" t="str">
        <f t="shared" si="78"/>
        <v/>
      </c>
      <c r="L1024" t="str">
        <f t="shared" si="79"/>
        <v/>
      </c>
      <c r="M1024" t="str">
        <f>IF(COUNTIF($A$2:A1024,A1024)=1,
     VLOOKUP(A1024,Season_Winners!A:B,2,FALSE),
     "")</f>
        <v/>
      </c>
      <c r="N1024" s="2"/>
    </row>
    <row r="1025" spans="1:14" x14ac:dyDescent="0.3">
      <c r="A1025" t="s">
        <v>335</v>
      </c>
      <c r="B1025">
        <v>27</v>
      </c>
      <c r="C1025" t="s">
        <v>422</v>
      </c>
      <c r="D1025" t="str">
        <f t="shared" si="75"/>
        <v>02.03.2016</v>
      </c>
      <c r="E1025" s="1">
        <v>0.83333333333333337</v>
      </c>
      <c r="F1025" t="s">
        <v>35</v>
      </c>
      <c r="G1025" t="s">
        <v>34</v>
      </c>
      <c r="H1025" t="s">
        <v>41</v>
      </c>
      <c r="I1025" t="str">
        <f t="shared" si="76"/>
        <v>0-0</v>
      </c>
      <c r="J1025" t="str">
        <f t="shared" si="77"/>
        <v>0</v>
      </c>
      <c r="K1025" t="str">
        <f t="shared" si="78"/>
        <v>0</v>
      </c>
      <c r="L1025" t="str">
        <f t="shared" si="79"/>
        <v>Draw</v>
      </c>
      <c r="M1025" t="str">
        <f>IF(COUNTIF($A$2:A1025,A1025)=1,
     VLOOKUP(A1025,Season_Winners!A:B,2,FALSE),
     "")</f>
        <v/>
      </c>
    </row>
    <row r="1026" spans="1:14" hidden="1" x14ac:dyDescent="0.3">
      <c r="A1026" t="s">
        <v>335</v>
      </c>
      <c r="B1026">
        <v>27</v>
      </c>
      <c r="C1026" t="s">
        <v>422</v>
      </c>
      <c r="D1026" t="str">
        <f t="shared" ref="D1026:D1089" si="80">RIGHT(C1026,10)</f>
        <v>02.03.2016</v>
      </c>
      <c r="E1026" s="1">
        <v>0.83333333333333337</v>
      </c>
      <c r="F1026" t="s">
        <v>17</v>
      </c>
      <c r="G1026" t="s">
        <v>16</v>
      </c>
      <c r="H1026" s="2">
        <v>46054</v>
      </c>
      <c r="I1026" s="3" t="str">
        <f t="shared" ref="I1026:I1089" si="81">IF(ISNUMBER(SEARCH("-",H1026)),H1026,"")</f>
        <v/>
      </c>
      <c r="J1026" t="str">
        <f t="shared" ref="J1026:J1089" si="82">IF(I1026="","",LEFT(I1026,FIND("-",I1026)-1))</f>
        <v/>
      </c>
      <c r="K1026" t="str">
        <f t="shared" ref="K1026:K1089" si="83">IF(I1026="","",RIGHT(I1026,LEN(I1026)-FIND("-",I1026)))</f>
        <v/>
      </c>
      <c r="L1026" t="str">
        <f t="shared" ref="L1026:L1089" si="84">IF(I1026="","",IF(J1026&gt;K1026,F1026,IF(K1026&gt;J1026,G1026,"Draw")))</f>
        <v/>
      </c>
      <c r="M1026" t="str">
        <f>IF(COUNTIF($A$2:A1026,A1026)=1,
     VLOOKUP(A1026,Season_Winners!A:B,2,FALSE),
     "")</f>
        <v/>
      </c>
      <c r="N1026" s="2"/>
    </row>
    <row r="1027" spans="1:14" x14ac:dyDescent="0.3">
      <c r="A1027" t="s">
        <v>335</v>
      </c>
      <c r="B1027">
        <v>27</v>
      </c>
      <c r="C1027" t="s">
        <v>422</v>
      </c>
      <c r="D1027" t="str">
        <f t="shared" si="80"/>
        <v>02.03.2016</v>
      </c>
      <c r="E1027" s="1">
        <v>0.83333333333333337</v>
      </c>
      <c r="F1027" t="s">
        <v>27</v>
      </c>
      <c r="G1027" t="s">
        <v>187</v>
      </c>
      <c r="H1027" t="s">
        <v>18</v>
      </c>
      <c r="I1027" t="str">
        <f t="shared" si="81"/>
        <v>1-0</v>
      </c>
      <c r="J1027" t="str">
        <f t="shared" si="82"/>
        <v>1</v>
      </c>
      <c r="K1027" t="str">
        <f t="shared" si="83"/>
        <v>0</v>
      </c>
      <c r="L1027" t="str">
        <f t="shared" si="84"/>
        <v>Sevilla FC</v>
      </c>
      <c r="M1027" t="str">
        <f>IF(COUNTIF($A$2:A1027,A1027)=1,
     VLOOKUP(A1027,Season_Winners!A:B,2,FALSE),
     "")</f>
        <v/>
      </c>
    </row>
    <row r="1028" spans="1:14" hidden="1" x14ac:dyDescent="0.3">
      <c r="A1028" t="s">
        <v>335</v>
      </c>
      <c r="B1028">
        <v>27</v>
      </c>
      <c r="C1028" t="s">
        <v>422</v>
      </c>
      <c r="D1028" t="str">
        <f t="shared" si="80"/>
        <v>02.03.2016</v>
      </c>
      <c r="E1028" s="1">
        <v>0.875</v>
      </c>
      <c r="F1028" t="s">
        <v>21</v>
      </c>
      <c r="G1028" t="s">
        <v>25</v>
      </c>
      <c r="H1028" s="2">
        <v>46082</v>
      </c>
      <c r="I1028" s="3" t="str">
        <f t="shared" si="81"/>
        <v/>
      </c>
      <c r="J1028" t="str">
        <f t="shared" si="82"/>
        <v/>
      </c>
      <c r="K1028" t="str">
        <f t="shared" si="83"/>
        <v/>
      </c>
      <c r="L1028" t="str">
        <f t="shared" si="84"/>
        <v/>
      </c>
      <c r="M1028" t="str">
        <f>IF(COUNTIF($A$2:A1028,A1028)=1,
     VLOOKUP(A1028,Season_Winners!A:B,2,FALSE),
     "")</f>
        <v/>
      </c>
      <c r="N1028" s="2"/>
    </row>
    <row r="1029" spans="1:14" x14ac:dyDescent="0.3">
      <c r="A1029" t="s">
        <v>335</v>
      </c>
      <c r="B1029">
        <v>27</v>
      </c>
      <c r="C1029" t="s">
        <v>423</v>
      </c>
      <c r="D1029" t="str">
        <f t="shared" si="80"/>
        <v>03.03.2016</v>
      </c>
      <c r="E1029" s="1">
        <v>0.83333333333333337</v>
      </c>
      <c r="F1029" t="s">
        <v>24</v>
      </c>
      <c r="G1029" t="s">
        <v>340</v>
      </c>
      <c r="H1029" t="s">
        <v>12</v>
      </c>
      <c r="I1029" t="str">
        <f t="shared" si="81"/>
        <v>2-0</v>
      </c>
      <c r="J1029" t="str">
        <f t="shared" si="82"/>
        <v>2</v>
      </c>
      <c r="K1029" t="str">
        <f t="shared" si="83"/>
        <v>0</v>
      </c>
      <c r="L1029" t="str">
        <f t="shared" si="84"/>
        <v>Granada CF</v>
      </c>
      <c r="M1029" t="str">
        <f>IF(COUNTIF($A$2:A1029,A1029)=1,
     VLOOKUP(A1029,Season_Winners!A:B,2,FALSE),
     "")</f>
        <v/>
      </c>
    </row>
    <row r="1030" spans="1:14" x14ac:dyDescent="0.3">
      <c r="A1030" t="s">
        <v>335</v>
      </c>
      <c r="B1030">
        <v>27</v>
      </c>
      <c r="C1030" t="s">
        <v>423</v>
      </c>
      <c r="D1030" t="str">
        <f t="shared" si="80"/>
        <v>03.03.2016</v>
      </c>
      <c r="E1030" s="1">
        <v>0.85416666666666663</v>
      </c>
      <c r="F1030" t="s">
        <v>36</v>
      </c>
      <c r="G1030" t="s">
        <v>26</v>
      </c>
      <c r="H1030" t="s">
        <v>46</v>
      </c>
      <c r="I1030" t="str">
        <f t="shared" si="81"/>
        <v>0-3</v>
      </c>
      <c r="J1030" t="str">
        <f t="shared" si="82"/>
        <v>0</v>
      </c>
      <c r="K1030" t="str">
        <f t="shared" si="83"/>
        <v>3</v>
      </c>
      <c r="L1030" t="str">
        <f t="shared" si="84"/>
        <v>Real Betis</v>
      </c>
      <c r="M1030" t="str">
        <f>IF(COUNTIF($A$2:A1030,A1030)=1,
     VLOOKUP(A1030,Season_Winners!A:B,2,FALSE),
     "")</f>
        <v/>
      </c>
    </row>
    <row r="1031" spans="1:14" hidden="1" x14ac:dyDescent="0.3">
      <c r="A1031" t="s">
        <v>335</v>
      </c>
      <c r="B1031">
        <v>27</v>
      </c>
      <c r="C1031" t="s">
        <v>423</v>
      </c>
      <c r="D1031" t="str">
        <f t="shared" si="80"/>
        <v>03.03.2016</v>
      </c>
      <c r="E1031" s="1">
        <v>0.875</v>
      </c>
      <c r="F1031" t="s">
        <v>30</v>
      </c>
      <c r="G1031" t="s">
        <v>20</v>
      </c>
      <c r="H1031" s="2">
        <v>46143</v>
      </c>
      <c r="I1031" s="3" t="str">
        <f t="shared" si="81"/>
        <v/>
      </c>
      <c r="J1031" t="str">
        <f t="shared" si="82"/>
        <v/>
      </c>
      <c r="K1031" t="str">
        <f t="shared" si="83"/>
        <v/>
      </c>
      <c r="L1031" t="str">
        <f t="shared" si="84"/>
        <v/>
      </c>
      <c r="M1031" t="str">
        <f>IF(COUNTIF($A$2:A1031,A1031)=1,
     VLOOKUP(A1031,Season_Winners!A:B,2,FALSE),
     "")</f>
        <v/>
      </c>
      <c r="N1031" s="2"/>
    </row>
    <row r="1032" spans="1:14" hidden="1" x14ac:dyDescent="0.3">
      <c r="A1032" t="s">
        <v>335</v>
      </c>
      <c r="B1032">
        <v>28</v>
      </c>
      <c r="C1032" t="s">
        <v>424</v>
      </c>
      <c r="D1032" t="str">
        <f t="shared" si="80"/>
        <v>05.03.2016</v>
      </c>
      <c r="E1032" s="1">
        <v>0.66666666666666663</v>
      </c>
      <c r="F1032" t="s">
        <v>25</v>
      </c>
      <c r="G1032" t="s">
        <v>35</v>
      </c>
      <c r="H1032" s="2">
        <v>46029</v>
      </c>
      <c r="I1032" s="3" t="str">
        <f t="shared" si="81"/>
        <v/>
      </c>
      <c r="J1032" t="str">
        <f t="shared" si="82"/>
        <v/>
      </c>
      <c r="K1032" t="str">
        <f t="shared" si="83"/>
        <v/>
      </c>
      <c r="L1032" t="str">
        <f t="shared" si="84"/>
        <v/>
      </c>
      <c r="M1032" t="str">
        <f>IF(COUNTIF($A$2:A1032,A1032)=1,
     VLOOKUP(A1032,Season_Winners!A:B,2,FALSE),
     "")</f>
        <v/>
      </c>
      <c r="N1032" s="2"/>
    </row>
    <row r="1033" spans="1:14" x14ac:dyDescent="0.3">
      <c r="A1033" t="s">
        <v>335</v>
      </c>
      <c r="B1033">
        <v>28</v>
      </c>
      <c r="C1033" t="s">
        <v>424</v>
      </c>
      <c r="D1033" t="str">
        <f t="shared" si="80"/>
        <v>05.03.2016</v>
      </c>
      <c r="E1033" s="1">
        <v>0.76041666666666663</v>
      </c>
      <c r="F1033" t="s">
        <v>34</v>
      </c>
      <c r="G1033" t="s">
        <v>338</v>
      </c>
      <c r="H1033" t="s">
        <v>42</v>
      </c>
      <c r="I1033" t="str">
        <f t="shared" si="81"/>
        <v>0-1</v>
      </c>
      <c r="J1033" t="str">
        <f t="shared" si="82"/>
        <v>0</v>
      </c>
      <c r="K1033" t="str">
        <f t="shared" si="83"/>
        <v>1</v>
      </c>
      <c r="L1033" t="str">
        <f t="shared" si="84"/>
        <v>UD Las Palmas</v>
      </c>
      <c r="M1033" t="str">
        <f>IF(COUNTIF($A$2:A1033,A1033)=1,
     VLOOKUP(A1033,Season_Winners!A:B,2,FALSE),
     "")</f>
        <v/>
      </c>
    </row>
    <row r="1034" spans="1:14" hidden="1" x14ac:dyDescent="0.3">
      <c r="A1034" t="s">
        <v>335</v>
      </c>
      <c r="B1034">
        <v>28</v>
      </c>
      <c r="C1034" t="s">
        <v>424</v>
      </c>
      <c r="D1034" t="str">
        <f t="shared" si="80"/>
        <v>05.03.2016</v>
      </c>
      <c r="E1034" s="1">
        <v>0.85416666666666663</v>
      </c>
      <c r="F1034" t="s">
        <v>11</v>
      </c>
      <c r="G1034" t="s">
        <v>27</v>
      </c>
      <c r="H1034" s="2">
        <v>46023</v>
      </c>
      <c r="I1034" s="3" t="str">
        <f t="shared" si="81"/>
        <v/>
      </c>
      <c r="J1034" t="str">
        <f t="shared" si="82"/>
        <v/>
      </c>
      <c r="K1034" t="str">
        <f t="shared" si="83"/>
        <v/>
      </c>
      <c r="L1034" t="str">
        <f t="shared" si="84"/>
        <v/>
      </c>
      <c r="M1034" t="str">
        <f>IF(COUNTIF($A$2:A1034,A1034)=1,
     VLOOKUP(A1034,Season_Winners!A:B,2,FALSE),
     "")</f>
        <v/>
      </c>
      <c r="N1034" s="2"/>
    </row>
    <row r="1035" spans="1:14" hidden="1" x14ac:dyDescent="0.3">
      <c r="A1035" t="s">
        <v>335</v>
      </c>
      <c r="B1035">
        <v>28</v>
      </c>
      <c r="C1035" t="s">
        <v>424</v>
      </c>
      <c r="D1035" t="str">
        <f t="shared" si="80"/>
        <v>05.03.2016</v>
      </c>
      <c r="E1035" s="1">
        <v>0.92013888888888884</v>
      </c>
      <c r="F1035" t="s">
        <v>182</v>
      </c>
      <c r="G1035" t="s">
        <v>17</v>
      </c>
      <c r="H1035" s="2">
        <v>46084</v>
      </c>
      <c r="I1035" s="3" t="str">
        <f t="shared" si="81"/>
        <v/>
      </c>
      <c r="J1035" t="str">
        <f t="shared" si="82"/>
        <v/>
      </c>
      <c r="K1035" t="str">
        <f t="shared" si="83"/>
        <v/>
      </c>
      <c r="L1035" t="str">
        <f t="shared" si="84"/>
        <v/>
      </c>
      <c r="M1035" t="str">
        <f>IF(COUNTIF($A$2:A1035,A1035)=1,
     VLOOKUP(A1035,Season_Winners!A:B,2,FALSE),
     "")</f>
        <v/>
      </c>
      <c r="N1035" s="2"/>
    </row>
    <row r="1036" spans="1:14" x14ac:dyDescent="0.3">
      <c r="A1036" t="s">
        <v>335</v>
      </c>
      <c r="B1036">
        <v>28</v>
      </c>
      <c r="C1036" t="s">
        <v>425</v>
      </c>
      <c r="D1036" t="str">
        <f t="shared" si="80"/>
        <v>06.03.2016</v>
      </c>
      <c r="E1036" s="1">
        <v>0.5</v>
      </c>
      <c r="F1036" t="s">
        <v>26</v>
      </c>
      <c r="G1036" t="s">
        <v>24</v>
      </c>
      <c r="H1036" t="s">
        <v>12</v>
      </c>
      <c r="I1036" t="str">
        <f t="shared" si="81"/>
        <v>2-0</v>
      </c>
      <c r="J1036" t="str">
        <f t="shared" si="82"/>
        <v>2</v>
      </c>
      <c r="K1036" t="str">
        <f t="shared" si="83"/>
        <v>0</v>
      </c>
      <c r="L1036" t="str">
        <f t="shared" si="84"/>
        <v>Real Betis</v>
      </c>
      <c r="M1036" t="str">
        <f>IF(COUNTIF($A$2:A1036,A1036)=1,
     VLOOKUP(A1036,Season_Winners!A:B,2,FALSE),
     "")</f>
        <v/>
      </c>
    </row>
    <row r="1037" spans="1:14" x14ac:dyDescent="0.3">
      <c r="A1037" t="s">
        <v>335</v>
      </c>
      <c r="B1037">
        <v>28</v>
      </c>
      <c r="C1037" t="s">
        <v>425</v>
      </c>
      <c r="D1037" t="str">
        <f t="shared" si="80"/>
        <v>06.03.2016</v>
      </c>
      <c r="E1037" s="1">
        <v>0.66666666666666663</v>
      </c>
      <c r="F1037" t="s">
        <v>187</v>
      </c>
      <c r="G1037" t="s">
        <v>20</v>
      </c>
      <c r="H1037" t="s">
        <v>53</v>
      </c>
      <c r="I1037" t="str">
        <f t="shared" si="81"/>
        <v>0-4</v>
      </c>
      <c r="J1037" t="str">
        <f t="shared" si="82"/>
        <v>0</v>
      </c>
      <c r="K1037" t="str">
        <f t="shared" si="83"/>
        <v>4</v>
      </c>
      <c r="L1037" t="str">
        <f t="shared" si="84"/>
        <v>FC Barcelona</v>
      </c>
      <c r="M1037" t="str">
        <f>IF(COUNTIF($A$2:A1037,A1037)=1,
     VLOOKUP(A1037,Season_Winners!A:B,2,FALSE),
     "")</f>
        <v/>
      </c>
    </row>
    <row r="1038" spans="1:14" hidden="1" x14ac:dyDescent="0.3">
      <c r="A1038" t="s">
        <v>335</v>
      </c>
      <c r="B1038">
        <v>28</v>
      </c>
      <c r="C1038" t="s">
        <v>425</v>
      </c>
      <c r="D1038" t="str">
        <f t="shared" si="80"/>
        <v>06.03.2016</v>
      </c>
      <c r="E1038" s="1">
        <v>0.76041666666666663</v>
      </c>
      <c r="F1038" t="s">
        <v>10</v>
      </c>
      <c r="G1038" t="s">
        <v>21</v>
      </c>
      <c r="H1038" s="2">
        <v>46023</v>
      </c>
      <c r="I1038" s="3" t="str">
        <f t="shared" si="81"/>
        <v/>
      </c>
      <c r="J1038" t="str">
        <f t="shared" si="82"/>
        <v/>
      </c>
      <c r="K1038" t="str">
        <f t="shared" si="83"/>
        <v/>
      </c>
      <c r="L1038" t="str">
        <f t="shared" si="84"/>
        <v/>
      </c>
      <c r="M1038" t="str">
        <f>IF(COUNTIF($A$2:A1038,A1038)=1,
     VLOOKUP(A1038,Season_Winners!A:B,2,FALSE),
     "")</f>
        <v/>
      </c>
      <c r="N1038" s="2"/>
    </row>
    <row r="1039" spans="1:14" x14ac:dyDescent="0.3">
      <c r="A1039" t="s">
        <v>335</v>
      </c>
      <c r="B1039">
        <v>28</v>
      </c>
      <c r="C1039" t="s">
        <v>425</v>
      </c>
      <c r="D1039" t="str">
        <f t="shared" si="80"/>
        <v>06.03.2016</v>
      </c>
      <c r="E1039" s="1">
        <v>0.76041666666666663</v>
      </c>
      <c r="F1039" t="s">
        <v>340</v>
      </c>
      <c r="G1039" t="s">
        <v>15</v>
      </c>
      <c r="H1039" t="s">
        <v>54</v>
      </c>
      <c r="I1039" t="str">
        <f t="shared" si="81"/>
        <v>0-2</v>
      </c>
      <c r="J1039" t="str">
        <f t="shared" si="82"/>
        <v>0</v>
      </c>
      <c r="K1039" t="str">
        <f t="shared" si="83"/>
        <v>2</v>
      </c>
      <c r="L1039" t="str">
        <f t="shared" si="84"/>
        <v>Athletic Club</v>
      </c>
      <c r="M1039" t="str">
        <f>IF(COUNTIF($A$2:A1039,A1039)=1,
     VLOOKUP(A1039,Season_Winners!A:B,2,FALSE),
     "")</f>
        <v/>
      </c>
    </row>
    <row r="1040" spans="1:14" hidden="1" x14ac:dyDescent="0.3">
      <c r="A1040" t="s">
        <v>335</v>
      </c>
      <c r="B1040">
        <v>28</v>
      </c>
      <c r="C1040" t="s">
        <v>425</v>
      </c>
      <c r="D1040" t="str">
        <f t="shared" si="80"/>
        <v>06.03.2016</v>
      </c>
      <c r="E1040" s="1">
        <v>0.85416666666666663</v>
      </c>
      <c r="F1040" t="s">
        <v>16</v>
      </c>
      <c r="G1040" t="s">
        <v>28</v>
      </c>
      <c r="H1040" s="2">
        <v>46082</v>
      </c>
      <c r="I1040" s="3" t="str">
        <f t="shared" si="81"/>
        <v/>
      </c>
      <c r="J1040" t="str">
        <f t="shared" si="82"/>
        <v/>
      </c>
      <c r="K1040" t="str">
        <f t="shared" si="83"/>
        <v/>
      </c>
      <c r="L1040" t="str">
        <f t="shared" si="84"/>
        <v/>
      </c>
      <c r="M1040" t="str">
        <f>IF(COUNTIF($A$2:A1040,A1040)=1,
     VLOOKUP(A1040,Season_Winners!A:B,2,FALSE),
     "")</f>
        <v/>
      </c>
      <c r="N1040" s="2"/>
    </row>
    <row r="1041" spans="1:14" hidden="1" x14ac:dyDescent="0.3">
      <c r="A1041" t="s">
        <v>335</v>
      </c>
      <c r="B1041">
        <v>28</v>
      </c>
      <c r="C1041" t="s">
        <v>426</v>
      </c>
      <c r="D1041" t="str">
        <f t="shared" si="80"/>
        <v>07.03.2016</v>
      </c>
      <c r="E1041" s="1">
        <v>0.85416666666666663</v>
      </c>
      <c r="F1041" t="s">
        <v>36</v>
      </c>
      <c r="G1041" t="s">
        <v>30</v>
      </c>
      <c r="H1041" s="2">
        <v>46024</v>
      </c>
      <c r="I1041" s="3" t="str">
        <f t="shared" si="81"/>
        <v/>
      </c>
      <c r="J1041" t="str">
        <f t="shared" si="82"/>
        <v/>
      </c>
      <c r="K1041" t="str">
        <f t="shared" si="83"/>
        <v/>
      </c>
      <c r="L1041" t="str">
        <f t="shared" si="84"/>
        <v/>
      </c>
      <c r="M1041" t="str">
        <f>IF(COUNTIF($A$2:A1041,A1041)=1,
     VLOOKUP(A1041,Season_Winners!A:B,2,FALSE),
     "")</f>
        <v/>
      </c>
      <c r="N1041" s="2"/>
    </row>
    <row r="1042" spans="1:14" x14ac:dyDescent="0.3">
      <c r="A1042" t="s">
        <v>335</v>
      </c>
      <c r="B1042">
        <v>29</v>
      </c>
      <c r="C1042" t="s">
        <v>427</v>
      </c>
      <c r="D1042" t="str">
        <f t="shared" si="80"/>
        <v>11.03.2016</v>
      </c>
      <c r="E1042" s="1">
        <v>0.85416666666666663</v>
      </c>
      <c r="F1042" t="s">
        <v>17</v>
      </c>
      <c r="G1042" t="s">
        <v>340</v>
      </c>
      <c r="H1042" t="s">
        <v>18</v>
      </c>
      <c r="I1042" t="str">
        <f t="shared" si="81"/>
        <v>1-0</v>
      </c>
      <c r="J1042" t="str">
        <f t="shared" si="82"/>
        <v>1</v>
      </c>
      <c r="K1042" t="str">
        <f t="shared" si="83"/>
        <v>0</v>
      </c>
      <c r="L1042" t="str">
        <f t="shared" si="84"/>
        <v>MÃ¡laga CF</v>
      </c>
      <c r="M1042" t="str">
        <f>IF(COUNTIF($A$2:A1042,A1042)=1,
     VLOOKUP(A1042,Season_Winners!A:B,2,FALSE),
     "")</f>
        <v/>
      </c>
    </row>
    <row r="1043" spans="1:14" x14ac:dyDescent="0.3">
      <c r="A1043" t="s">
        <v>335</v>
      </c>
      <c r="B1043">
        <v>29</v>
      </c>
      <c r="C1043" t="s">
        <v>428</v>
      </c>
      <c r="D1043" t="str">
        <f t="shared" si="80"/>
        <v>12.03.2016</v>
      </c>
      <c r="E1043" s="1">
        <v>0.66666666666666663</v>
      </c>
      <c r="F1043" t="s">
        <v>20</v>
      </c>
      <c r="G1043" t="s">
        <v>11</v>
      </c>
      <c r="H1043" t="s">
        <v>126</v>
      </c>
      <c r="I1043" t="str">
        <f t="shared" si="81"/>
        <v>6-0</v>
      </c>
      <c r="J1043" t="str">
        <f t="shared" si="82"/>
        <v>6</v>
      </c>
      <c r="K1043" t="str">
        <f t="shared" si="83"/>
        <v>0</v>
      </c>
      <c r="L1043" t="str">
        <f t="shared" si="84"/>
        <v>FC Barcelona</v>
      </c>
      <c r="M1043" t="str">
        <f>IF(COUNTIF($A$2:A1043,A1043)=1,
     VLOOKUP(A1043,Season_Winners!A:B,2,FALSE),
     "")</f>
        <v/>
      </c>
    </row>
    <row r="1044" spans="1:14" x14ac:dyDescent="0.3">
      <c r="A1044" t="s">
        <v>335</v>
      </c>
      <c r="B1044">
        <v>29</v>
      </c>
      <c r="C1044" t="s">
        <v>428</v>
      </c>
      <c r="D1044" t="str">
        <f t="shared" si="80"/>
        <v>12.03.2016</v>
      </c>
      <c r="E1044" s="1">
        <v>0.76041666666666663</v>
      </c>
      <c r="F1044" t="s">
        <v>35</v>
      </c>
      <c r="G1044" t="s">
        <v>10</v>
      </c>
      <c r="H1044" t="s">
        <v>18</v>
      </c>
      <c r="I1044" t="str">
        <f t="shared" si="81"/>
        <v>1-0</v>
      </c>
      <c r="J1044" t="str">
        <f t="shared" si="82"/>
        <v>1</v>
      </c>
      <c r="K1044" t="str">
        <f t="shared" si="83"/>
        <v>0</v>
      </c>
      <c r="L1044" t="str">
        <f t="shared" si="84"/>
        <v>RC Celta</v>
      </c>
      <c r="M1044" t="str">
        <f>IF(COUNTIF($A$2:A1044,A1044)=1,
     VLOOKUP(A1044,Season_Winners!A:B,2,FALSE),
     "")</f>
        <v/>
      </c>
    </row>
    <row r="1045" spans="1:14" x14ac:dyDescent="0.3">
      <c r="A1045" t="s">
        <v>335</v>
      </c>
      <c r="B1045">
        <v>29</v>
      </c>
      <c r="C1045" t="s">
        <v>428</v>
      </c>
      <c r="D1045" t="str">
        <f t="shared" si="80"/>
        <v>12.03.2016</v>
      </c>
      <c r="E1045" s="1">
        <v>0.85416666666666663</v>
      </c>
      <c r="F1045" t="s">
        <v>1425</v>
      </c>
      <c r="G1045" t="s">
        <v>182</v>
      </c>
      <c r="H1045" t="s">
        <v>32</v>
      </c>
      <c r="I1045" t="str">
        <f t="shared" si="81"/>
        <v>3-0</v>
      </c>
      <c r="J1045" t="str">
        <f t="shared" si="82"/>
        <v>3</v>
      </c>
      <c r="K1045" t="str">
        <f t="shared" si="83"/>
        <v>0</v>
      </c>
      <c r="L1045" t="str">
        <f t="shared" si="84"/>
        <v>Atlético de Madrid</v>
      </c>
      <c r="M1045" t="str">
        <f>IF(COUNTIF($A$2:A1045,A1045)=1,
     VLOOKUP(A1045,Season_Winners!A:B,2,FALSE),
     "")</f>
        <v/>
      </c>
    </row>
    <row r="1046" spans="1:14" hidden="1" x14ac:dyDescent="0.3">
      <c r="A1046" t="s">
        <v>335</v>
      </c>
      <c r="B1046">
        <v>29</v>
      </c>
      <c r="C1046" t="s">
        <v>428</v>
      </c>
      <c r="D1046" t="str">
        <f t="shared" si="80"/>
        <v>12.03.2016</v>
      </c>
      <c r="E1046" s="1">
        <v>0.92013888888888884</v>
      </c>
      <c r="F1046" t="s">
        <v>30</v>
      </c>
      <c r="G1046" t="s">
        <v>187</v>
      </c>
      <c r="H1046" s="2">
        <v>46023</v>
      </c>
      <c r="I1046" s="3" t="str">
        <f t="shared" si="81"/>
        <v/>
      </c>
      <c r="J1046" t="str">
        <f t="shared" si="82"/>
        <v/>
      </c>
      <c r="K1046" t="str">
        <f t="shared" si="83"/>
        <v/>
      </c>
      <c r="L1046" t="str">
        <f t="shared" si="84"/>
        <v/>
      </c>
      <c r="M1046" t="str">
        <f>IF(COUNTIF($A$2:A1046,A1046)=1,
     VLOOKUP(A1046,Season_Winners!A:B,2,FALSE),
     "")</f>
        <v/>
      </c>
      <c r="N1046" s="2"/>
    </row>
    <row r="1047" spans="1:14" x14ac:dyDescent="0.3">
      <c r="A1047" t="s">
        <v>335</v>
      </c>
      <c r="B1047">
        <v>29</v>
      </c>
      <c r="C1047" t="s">
        <v>429</v>
      </c>
      <c r="D1047" t="str">
        <f t="shared" si="80"/>
        <v>13.03.2016</v>
      </c>
      <c r="E1047" s="1">
        <v>0.5</v>
      </c>
      <c r="F1047" t="s">
        <v>21</v>
      </c>
      <c r="G1047" t="s">
        <v>16</v>
      </c>
      <c r="H1047" t="s">
        <v>18</v>
      </c>
      <c r="I1047" t="str">
        <f t="shared" si="81"/>
        <v>1-0</v>
      </c>
      <c r="J1047" t="str">
        <f t="shared" si="82"/>
        <v>1</v>
      </c>
      <c r="K1047" t="str">
        <f t="shared" si="83"/>
        <v>0</v>
      </c>
      <c r="L1047" t="str">
        <f t="shared" si="84"/>
        <v>Levante UD</v>
      </c>
      <c r="M1047" t="str">
        <f>IF(COUNTIF($A$2:A1047,A1047)=1,
     VLOOKUP(A1047,Season_Winners!A:B,2,FALSE),
     "")</f>
        <v/>
      </c>
    </row>
    <row r="1048" spans="1:14" hidden="1" x14ac:dyDescent="0.3">
      <c r="A1048" t="s">
        <v>335</v>
      </c>
      <c r="B1048">
        <v>29</v>
      </c>
      <c r="C1048" t="s">
        <v>429</v>
      </c>
      <c r="D1048" t="str">
        <f t="shared" si="80"/>
        <v>13.03.2016</v>
      </c>
      <c r="E1048" s="1">
        <v>0.66666666666666663</v>
      </c>
      <c r="F1048" t="s">
        <v>27</v>
      </c>
      <c r="G1048" t="s">
        <v>34</v>
      </c>
      <c r="H1048" s="2">
        <v>46057</v>
      </c>
      <c r="I1048" s="3" t="str">
        <f t="shared" si="81"/>
        <v/>
      </c>
      <c r="J1048" t="str">
        <f t="shared" si="82"/>
        <v/>
      </c>
      <c r="K1048" t="str">
        <f t="shared" si="83"/>
        <v/>
      </c>
      <c r="L1048" t="str">
        <f t="shared" si="84"/>
        <v/>
      </c>
      <c r="M1048" t="str">
        <f>IF(COUNTIF($A$2:A1048,A1048)=1,
     VLOOKUP(A1048,Season_Winners!A:B,2,FALSE),
     "")</f>
        <v/>
      </c>
      <c r="N1048" s="2"/>
    </row>
    <row r="1049" spans="1:14" hidden="1" x14ac:dyDescent="0.3">
      <c r="A1049" t="s">
        <v>335</v>
      </c>
      <c r="B1049">
        <v>29</v>
      </c>
      <c r="C1049" t="s">
        <v>429</v>
      </c>
      <c r="D1049" t="str">
        <f t="shared" si="80"/>
        <v>13.03.2016</v>
      </c>
      <c r="E1049" s="1">
        <v>0.76041666666666663</v>
      </c>
      <c r="F1049" t="s">
        <v>15</v>
      </c>
      <c r="G1049" t="s">
        <v>26</v>
      </c>
      <c r="H1049" s="2">
        <v>46025</v>
      </c>
      <c r="I1049" s="3" t="str">
        <f t="shared" si="81"/>
        <v/>
      </c>
      <c r="J1049" t="str">
        <f t="shared" si="82"/>
        <v/>
      </c>
      <c r="K1049" t="str">
        <f t="shared" si="83"/>
        <v/>
      </c>
      <c r="L1049" t="str">
        <f t="shared" si="84"/>
        <v/>
      </c>
      <c r="M1049" t="str">
        <f>IF(COUNTIF($A$2:A1049,A1049)=1,
     VLOOKUP(A1049,Season_Winners!A:B,2,FALSE),
     "")</f>
        <v/>
      </c>
      <c r="N1049" s="2"/>
    </row>
    <row r="1050" spans="1:14" hidden="1" x14ac:dyDescent="0.3">
      <c r="A1050" t="s">
        <v>335</v>
      </c>
      <c r="B1050">
        <v>29</v>
      </c>
      <c r="C1050" t="s">
        <v>429</v>
      </c>
      <c r="D1050" t="str">
        <f t="shared" si="80"/>
        <v>13.03.2016</v>
      </c>
      <c r="E1050" s="1">
        <v>0.85416666666666663</v>
      </c>
      <c r="F1050" t="s">
        <v>338</v>
      </c>
      <c r="G1050" t="s">
        <v>25</v>
      </c>
      <c r="H1050" s="2">
        <v>46054</v>
      </c>
      <c r="I1050" s="3" t="str">
        <f t="shared" si="81"/>
        <v/>
      </c>
      <c r="J1050" t="str">
        <f t="shared" si="82"/>
        <v/>
      </c>
      <c r="K1050" t="str">
        <f t="shared" si="83"/>
        <v/>
      </c>
      <c r="L1050" t="str">
        <f t="shared" si="84"/>
        <v/>
      </c>
      <c r="M1050" t="str">
        <f>IF(COUNTIF($A$2:A1050,A1050)=1,
     VLOOKUP(A1050,Season_Winners!A:B,2,FALSE),
     "")</f>
        <v/>
      </c>
      <c r="N1050" s="2"/>
    </row>
    <row r="1051" spans="1:14" hidden="1" x14ac:dyDescent="0.3">
      <c r="A1051" t="s">
        <v>335</v>
      </c>
      <c r="B1051">
        <v>29</v>
      </c>
      <c r="C1051" t="s">
        <v>430</v>
      </c>
      <c r="D1051" t="str">
        <f t="shared" si="80"/>
        <v>14.03.2016</v>
      </c>
      <c r="E1051" s="1">
        <v>0.85416666666666663</v>
      </c>
      <c r="F1051" t="s">
        <v>24</v>
      </c>
      <c r="G1051" t="s">
        <v>36</v>
      </c>
      <c r="H1051" s="2">
        <v>46023</v>
      </c>
      <c r="I1051" s="3" t="str">
        <f t="shared" si="81"/>
        <v/>
      </c>
      <c r="J1051" t="str">
        <f t="shared" si="82"/>
        <v/>
      </c>
      <c r="K1051" t="str">
        <f t="shared" si="83"/>
        <v/>
      </c>
      <c r="L1051" t="str">
        <f t="shared" si="84"/>
        <v/>
      </c>
      <c r="M1051" t="str">
        <f>IF(COUNTIF($A$2:A1051,A1051)=1,
     VLOOKUP(A1051,Season_Winners!A:B,2,FALSE),
     "")</f>
        <v/>
      </c>
      <c r="N1051" s="2"/>
    </row>
    <row r="1052" spans="1:14" hidden="1" x14ac:dyDescent="0.3">
      <c r="A1052" t="s">
        <v>335</v>
      </c>
      <c r="B1052">
        <v>30</v>
      </c>
      <c r="C1052" t="s">
        <v>431</v>
      </c>
      <c r="D1052" t="str">
        <f t="shared" si="80"/>
        <v>18.03.2016</v>
      </c>
      <c r="E1052" s="1">
        <v>0.85416666666666663</v>
      </c>
      <c r="F1052" t="s">
        <v>11</v>
      </c>
      <c r="G1052" t="s">
        <v>187</v>
      </c>
      <c r="H1052" s="2">
        <v>46023</v>
      </c>
      <c r="I1052" s="3" t="str">
        <f t="shared" si="81"/>
        <v/>
      </c>
      <c r="J1052" t="str">
        <f t="shared" si="82"/>
        <v/>
      </c>
      <c r="K1052" t="str">
        <f t="shared" si="83"/>
        <v/>
      </c>
      <c r="L1052" t="str">
        <f t="shared" si="84"/>
        <v/>
      </c>
      <c r="M1052" t="str">
        <f>IF(COUNTIF($A$2:A1052,A1052)=1,
     VLOOKUP(A1052,Season_Winners!A:B,2,FALSE),
     "")</f>
        <v/>
      </c>
      <c r="N1052" s="2"/>
    </row>
    <row r="1053" spans="1:14" hidden="1" x14ac:dyDescent="0.3">
      <c r="A1053" t="s">
        <v>335</v>
      </c>
      <c r="B1053">
        <v>30</v>
      </c>
      <c r="C1053" t="s">
        <v>432</v>
      </c>
      <c r="D1053" t="str">
        <f t="shared" si="80"/>
        <v>19.03.2016</v>
      </c>
      <c r="E1053" s="1">
        <v>0.66666666666666663</v>
      </c>
      <c r="F1053" t="s">
        <v>340</v>
      </c>
      <c r="G1053" t="s">
        <v>28</v>
      </c>
      <c r="H1053" s="2">
        <v>46024</v>
      </c>
      <c r="I1053" s="3" t="str">
        <f t="shared" si="81"/>
        <v/>
      </c>
      <c r="J1053" t="str">
        <f t="shared" si="82"/>
        <v/>
      </c>
      <c r="K1053" t="str">
        <f t="shared" si="83"/>
        <v/>
      </c>
      <c r="L1053" t="str">
        <f t="shared" si="84"/>
        <v/>
      </c>
      <c r="M1053" t="str">
        <f>IF(COUNTIF($A$2:A1053,A1053)=1,
     VLOOKUP(A1053,Season_Winners!A:B,2,FALSE),
     "")</f>
        <v/>
      </c>
      <c r="N1053" s="2"/>
    </row>
    <row r="1054" spans="1:14" hidden="1" x14ac:dyDescent="0.3">
      <c r="A1054" t="s">
        <v>335</v>
      </c>
      <c r="B1054">
        <v>30</v>
      </c>
      <c r="C1054" t="s">
        <v>432</v>
      </c>
      <c r="D1054" t="str">
        <f t="shared" si="80"/>
        <v>19.03.2016</v>
      </c>
      <c r="E1054" s="1">
        <v>0.76041666666666663</v>
      </c>
      <c r="F1054" t="s">
        <v>24</v>
      </c>
      <c r="G1054" t="s">
        <v>30</v>
      </c>
      <c r="H1054" s="2">
        <v>46055</v>
      </c>
      <c r="I1054" s="3" t="str">
        <f t="shared" si="81"/>
        <v/>
      </c>
      <c r="J1054" t="str">
        <f t="shared" si="82"/>
        <v/>
      </c>
      <c r="K1054" t="str">
        <f t="shared" si="83"/>
        <v/>
      </c>
      <c r="L1054" t="str">
        <f t="shared" si="84"/>
        <v/>
      </c>
      <c r="M1054" t="str">
        <f>IF(COUNTIF($A$2:A1054,A1054)=1,
     VLOOKUP(A1054,Season_Winners!A:B,2,FALSE),
     "")</f>
        <v/>
      </c>
      <c r="N1054" s="2"/>
    </row>
    <row r="1055" spans="1:14" x14ac:dyDescent="0.3">
      <c r="A1055" t="s">
        <v>335</v>
      </c>
      <c r="B1055">
        <v>30</v>
      </c>
      <c r="C1055" t="s">
        <v>432</v>
      </c>
      <c r="D1055" t="str">
        <f t="shared" si="80"/>
        <v>19.03.2016</v>
      </c>
      <c r="E1055" s="1">
        <v>0.76041666666666663</v>
      </c>
      <c r="F1055" t="s">
        <v>10</v>
      </c>
      <c r="G1055" t="s">
        <v>338</v>
      </c>
      <c r="H1055" t="s">
        <v>42</v>
      </c>
      <c r="I1055" t="str">
        <f t="shared" si="81"/>
        <v>0-1</v>
      </c>
      <c r="J1055" t="str">
        <f t="shared" si="82"/>
        <v>0</v>
      </c>
      <c r="K1055" t="str">
        <f t="shared" si="83"/>
        <v>1</v>
      </c>
      <c r="L1055" t="str">
        <f t="shared" si="84"/>
        <v>UD Las Palmas</v>
      </c>
      <c r="M1055" t="str">
        <f>IF(COUNTIF($A$2:A1055,A1055)=1,
     VLOOKUP(A1055,Season_Winners!A:B,2,FALSE),
     "")</f>
        <v/>
      </c>
    </row>
    <row r="1056" spans="1:14" hidden="1" x14ac:dyDescent="0.3">
      <c r="A1056" t="s">
        <v>335</v>
      </c>
      <c r="B1056">
        <v>30</v>
      </c>
      <c r="C1056" t="s">
        <v>432</v>
      </c>
      <c r="D1056" t="str">
        <f t="shared" si="80"/>
        <v>19.03.2016</v>
      </c>
      <c r="E1056" s="1">
        <v>0.85416666666666663</v>
      </c>
      <c r="F1056" t="s">
        <v>182</v>
      </c>
      <c r="G1056" t="s">
        <v>21</v>
      </c>
      <c r="H1056" s="2">
        <v>46024</v>
      </c>
      <c r="I1056" s="3" t="str">
        <f t="shared" si="81"/>
        <v/>
      </c>
      <c r="J1056" t="str">
        <f t="shared" si="82"/>
        <v/>
      </c>
      <c r="K1056" t="str">
        <f t="shared" si="83"/>
        <v/>
      </c>
      <c r="L1056" t="str">
        <f t="shared" si="84"/>
        <v/>
      </c>
      <c r="M1056" t="str">
        <f>IF(COUNTIF($A$2:A1056,A1056)=1,
     VLOOKUP(A1056,Season_Winners!A:B,2,FALSE),
     "")</f>
        <v/>
      </c>
      <c r="N1056" s="2"/>
    </row>
    <row r="1057" spans="1:14" x14ac:dyDescent="0.3">
      <c r="A1057" t="s">
        <v>335</v>
      </c>
      <c r="B1057">
        <v>30</v>
      </c>
      <c r="C1057" t="s">
        <v>432</v>
      </c>
      <c r="D1057" t="str">
        <f t="shared" si="80"/>
        <v>19.03.2016</v>
      </c>
      <c r="E1057" s="1">
        <v>0.92013888888888884</v>
      </c>
      <c r="F1057" t="s">
        <v>26</v>
      </c>
      <c r="G1057" t="s">
        <v>17</v>
      </c>
      <c r="H1057" t="s">
        <v>42</v>
      </c>
      <c r="I1057" t="str">
        <f t="shared" si="81"/>
        <v>0-1</v>
      </c>
      <c r="J1057" t="str">
        <f t="shared" si="82"/>
        <v>0</v>
      </c>
      <c r="K1057" t="str">
        <f t="shared" si="83"/>
        <v>1</v>
      </c>
      <c r="L1057" t="str">
        <f t="shared" si="84"/>
        <v>MÃ¡laga CF</v>
      </c>
      <c r="M1057" t="str">
        <f>IF(COUNTIF($A$2:A1057,A1057)=1,
     VLOOKUP(A1057,Season_Winners!A:B,2,FALSE),
     "")</f>
        <v/>
      </c>
    </row>
    <row r="1058" spans="1:14" hidden="1" x14ac:dyDescent="0.3">
      <c r="A1058" t="s">
        <v>335</v>
      </c>
      <c r="B1058">
        <v>30</v>
      </c>
      <c r="C1058" t="s">
        <v>433</v>
      </c>
      <c r="D1058" t="str">
        <f t="shared" si="80"/>
        <v>20.03.2016</v>
      </c>
      <c r="E1058" s="1">
        <v>0.5</v>
      </c>
      <c r="F1058" t="s">
        <v>36</v>
      </c>
      <c r="G1058" t="s">
        <v>15</v>
      </c>
      <c r="H1058" s="2">
        <v>46024</v>
      </c>
      <c r="I1058" s="3" t="str">
        <f t="shared" si="81"/>
        <v/>
      </c>
      <c r="J1058" t="str">
        <f t="shared" si="82"/>
        <v/>
      </c>
      <c r="K1058" t="str">
        <f t="shared" si="83"/>
        <v/>
      </c>
      <c r="L1058" t="str">
        <f t="shared" si="84"/>
        <v/>
      </c>
      <c r="M1058" t="str">
        <f>IF(COUNTIF($A$2:A1058,A1058)=1,
     VLOOKUP(A1058,Season_Winners!A:B,2,FALSE),
     "")</f>
        <v/>
      </c>
      <c r="N1058" s="2"/>
    </row>
    <row r="1059" spans="1:14" hidden="1" x14ac:dyDescent="0.3">
      <c r="A1059" t="s">
        <v>335</v>
      </c>
      <c r="B1059">
        <v>30</v>
      </c>
      <c r="C1059" t="s">
        <v>433</v>
      </c>
      <c r="D1059" t="str">
        <f t="shared" si="80"/>
        <v>20.03.2016</v>
      </c>
      <c r="E1059" s="1">
        <v>0.66666666666666663</v>
      </c>
      <c r="F1059" t="s">
        <v>34</v>
      </c>
      <c r="G1059" t="s">
        <v>20</v>
      </c>
      <c r="H1059" s="2">
        <v>46055</v>
      </c>
      <c r="I1059" s="3" t="str">
        <f t="shared" si="81"/>
        <v/>
      </c>
      <c r="J1059" t="str">
        <f t="shared" si="82"/>
        <v/>
      </c>
      <c r="K1059" t="str">
        <f t="shared" si="83"/>
        <v/>
      </c>
      <c r="L1059" t="str">
        <f t="shared" si="84"/>
        <v/>
      </c>
      <c r="M1059" t="str">
        <f>IF(COUNTIF($A$2:A1059,A1059)=1,
     VLOOKUP(A1059,Season_Winners!A:B,2,FALSE),
     "")</f>
        <v/>
      </c>
      <c r="N1059" s="2"/>
    </row>
    <row r="1060" spans="1:14" x14ac:dyDescent="0.3">
      <c r="A1060" t="s">
        <v>335</v>
      </c>
      <c r="B1060">
        <v>30</v>
      </c>
      <c r="C1060" t="s">
        <v>433</v>
      </c>
      <c r="D1060" t="str">
        <f t="shared" si="80"/>
        <v>20.03.2016</v>
      </c>
      <c r="E1060" s="1">
        <v>0.76041666666666663</v>
      </c>
      <c r="F1060" t="s">
        <v>16</v>
      </c>
      <c r="G1060" t="s">
        <v>35</v>
      </c>
      <c r="H1060" t="s">
        <v>54</v>
      </c>
      <c r="I1060" t="str">
        <f t="shared" si="81"/>
        <v>0-2</v>
      </c>
      <c r="J1060" t="str">
        <f t="shared" si="82"/>
        <v>0</v>
      </c>
      <c r="K1060" t="str">
        <f t="shared" si="83"/>
        <v>2</v>
      </c>
      <c r="L1060" t="str">
        <f t="shared" si="84"/>
        <v>RC Celta</v>
      </c>
      <c r="M1060" t="str">
        <f>IF(COUNTIF($A$2:A1060,A1060)=1,
     VLOOKUP(A1060,Season_Winners!A:B,2,FALSE),
     "")</f>
        <v/>
      </c>
    </row>
    <row r="1061" spans="1:14" x14ac:dyDescent="0.3">
      <c r="A1061" t="s">
        <v>335</v>
      </c>
      <c r="B1061">
        <v>30</v>
      </c>
      <c r="C1061" t="s">
        <v>433</v>
      </c>
      <c r="D1061" t="str">
        <f t="shared" si="80"/>
        <v>20.03.2016</v>
      </c>
      <c r="E1061" s="1">
        <v>0.85416666666666663</v>
      </c>
      <c r="F1061" t="s">
        <v>25</v>
      </c>
      <c r="G1061" t="s">
        <v>27</v>
      </c>
      <c r="H1061" t="s">
        <v>88</v>
      </c>
      <c r="I1061" t="str">
        <f t="shared" si="81"/>
        <v>4-0</v>
      </c>
      <c r="J1061" t="str">
        <f t="shared" si="82"/>
        <v>4</v>
      </c>
      <c r="K1061" t="str">
        <f t="shared" si="83"/>
        <v>0</v>
      </c>
      <c r="L1061" t="str">
        <f t="shared" si="84"/>
        <v>Real Madrid</v>
      </c>
      <c r="M1061" t="str">
        <f>IF(COUNTIF($A$2:A1061,A1061)=1,
     VLOOKUP(A1061,Season_Winners!A:B,2,FALSE),
     "")</f>
        <v/>
      </c>
    </row>
    <row r="1062" spans="1:14" x14ac:dyDescent="0.3">
      <c r="A1062" t="s">
        <v>335</v>
      </c>
      <c r="B1062">
        <v>31</v>
      </c>
      <c r="C1062" t="s">
        <v>434</v>
      </c>
      <c r="D1062" t="str">
        <f t="shared" si="80"/>
        <v>01.04.2016</v>
      </c>
      <c r="E1062" s="1">
        <v>0.85416666666666663</v>
      </c>
      <c r="F1062" t="s">
        <v>30</v>
      </c>
      <c r="G1062" t="s">
        <v>11</v>
      </c>
      <c r="H1062" t="s">
        <v>12</v>
      </c>
      <c r="I1062" t="str">
        <f t="shared" si="81"/>
        <v>2-0</v>
      </c>
      <c r="J1062" t="str">
        <f t="shared" si="82"/>
        <v>2</v>
      </c>
      <c r="K1062" t="str">
        <f t="shared" si="83"/>
        <v>0</v>
      </c>
      <c r="L1062" t="str">
        <f t="shared" si="84"/>
        <v>Rayo Vallecano</v>
      </c>
      <c r="M1062" t="str">
        <f>IF(COUNTIF($A$2:A1062,A1062)=1,
     VLOOKUP(A1062,Season_Winners!A:B,2,FALSE),
     "")</f>
        <v/>
      </c>
    </row>
    <row r="1063" spans="1:14" hidden="1" x14ac:dyDescent="0.3">
      <c r="A1063" t="s">
        <v>335</v>
      </c>
      <c r="B1063">
        <v>31</v>
      </c>
      <c r="C1063" t="s">
        <v>435</v>
      </c>
      <c r="D1063" t="str">
        <f t="shared" si="80"/>
        <v>02.04.2016</v>
      </c>
      <c r="E1063" s="1">
        <v>0.66666666666666663</v>
      </c>
      <c r="F1063" t="s">
        <v>28</v>
      </c>
      <c r="G1063" t="s">
        <v>26</v>
      </c>
      <c r="H1063" s="2">
        <v>46027</v>
      </c>
      <c r="I1063" s="3" t="str">
        <f t="shared" si="81"/>
        <v/>
      </c>
      <c r="J1063" t="str">
        <f t="shared" si="82"/>
        <v/>
      </c>
      <c r="K1063" t="str">
        <f t="shared" si="83"/>
        <v/>
      </c>
      <c r="L1063" t="str">
        <f t="shared" si="84"/>
        <v/>
      </c>
      <c r="M1063" t="str">
        <f>IF(COUNTIF($A$2:A1063,A1063)=1,
     VLOOKUP(A1063,Season_Winners!A:B,2,FALSE),
     "")</f>
        <v/>
      </c>
      <c r="N1063" s="2"/>
    </row>
    <row r="1064" spans="1:14" hidden="1" x14ac:dyDescent="0.3">
      <c r="A1064" t="s">
        <v>335</v>
      </c>
      <c r="B1064">
        <v>31</v>
      </c>
      <c r="C1064" t="s">
        <v>435</v>
      </c>
      <c r="D1064" t="str">
        <f t="shared" si="80"/>
        <v>02.04.2016</v>
      </c>
      <c r="E1064" s="1">
        <v>0.76041666666666663</v>
      </c>
      <c r="F1064" t="s">
        <v>338</v>
      </c>
      <c r="G1064" t="s">
        <v>16</v>
      </c>
      <c r="H1064" s="2">
        <v>46024</v>
      </c>
      <c r="I1064" s="3" t="str">
        <f t="shared" si="81"/>
        <v/>
      </c>
      <c r="J1064" t="str">
        <f t="shared" si="82"/>
        <v/>
      </c>
      <c r="K1064" t="str">
        <f t="shared" si="83"/>
        <v/>
      </c>
      <c r="L1064" t="str">
        <f t="shared" si="84"/>
        <v/>
      </c>
      <c r="M1064" t="str">
        <f>IF(COUNTIF($A$2:A1064,A1064)=1,
     VLOOKUP(A1064,Season_Winners!A:B,2,FALSE),
     "")</f>
        <v/>
      </c>
      <c r="N1064" s="2"/>
    </row>
    <row r="1065" spans="1:14" hidden="1" x14ac:dyDescent="0.3">
      <c r="A1065" t="s">
        <v>335</v>
      </c>
      <c r="B1065">
        <v>31</v>
      </c>
      <c r="C1065" t="s">
        <v>435</v>
      </c>
      <c r="D1065" t="str">
        <f t="shared" si="80"/>
        <v>02.04.2016</v>
      </c>
      <c r="E1065" s="1">
        <v>0.85416666666666663</v>
      </c>
      <c r="F1065" t="s">
        <v>20</v>
      </c>
      <c r="G1065" t="s">
        <v>25</v>
      </c>
      <c r="H1065" s="2">
        <v>46054</v>
      </c>
      <c r="I1065" s="3" t="str">
        <f t="shared" si="81"/>
        <v/>
      </c>
      <c r="J1065" t="str">
        <f t="shared" si="82"/>
        <v/>
      </c>
      <c r="K1065" t="str">
        <f t="shared" si="83"/>
        <v/>
      </c>
      <c r="L1065" t="str">
        <f t="shared" si="84"/>
        <v/>
      </c>
      <c r="M1065" t="str">
        <f>IF(COUNTIF($A$2:A1065,A1065)=1,
     VLOOKUP(A1065,Season_Winners!A:B,2,FALSE),
     "")</f>
        <v/>
      </c>
      <c r="N1065" s="2"/>
    </row>
    <row r="1066" spans="1:14" hidden="1" x14ac:dyDescent="0.3">
      <c r="A1066" t="s">
        <v>335</v>
      </c>
      <c r="B1066">
        <v>31</v>
      </c>
      <c r="C1066" t="s">
        <v>435</v>
      </c>
      <c r="D1066" t="str">
        <f t="shared" si="80"/>
        <v>02.04.2016</v>
      </c>
      <c r="E1066" s="1">
        <v>0.92013888888888884</v>
      </c>
      <c r="F1066" t="s">
        <v>35</v>
      </c>
      <c r="G1066" t="s">
        <v>182</v>
      </c>
      <c r="H1066" s="2">
        <v>46023</v>
      </c>
      <c r="I1066" s="3" t="str">
        <f t="shared" si="81"/>
        <v/>
      </c>
      <c r="J1066" t="str">
        <f t="shared" si="82"/>
        <v/>
      </c>
      <c r="K1066" t="str">
        <f t="shared" si="83"/>
        <v/>
      </c>
      <c r="L1066" t="str">
        <f t="shared" si="84"/>
        <v/>
      </c>
      <c r="M1066" t="str">
        <f>IF(COUNTIF($A$2:A1066,A1066)=1,
     VLOOKUP(A1066,Season_Winners!A:B,2,FALSE),
     "")</f>
        <v/>
      </c>
      <c r="N1066" s="2"/>
    </row>
    <row r="1067" spans="1:14" hidden="1" x14ac:dyDescent="0.3">
      <c r="A1067" t="s">
        <v>335</v>
      </c>
      <c r="B1067">
        <v>31</v>
      </c>
      <c r="C1067" t="s">
        <v>436</v>
      </c>
      <c r="D1067" t="str">
        <f t="shared" si="80"/>
        <v>03.04.2016</v>
      </c>
      <c r="E1067" s="1">
        <v>0.5</v>
      </c>
      <c r="F1067" t="s">
        <v>15</v>
      </c>
      <c r="G1067" t="s">
        <v>24</v>
      </c>
      <c r="H1067" s="2">
        <v>46023</v>
      </c>
      <c r="I1067" s="3" t="str">
        <f t="shared" si="81"/>
        <v/>
      </c>
      <c r="J1067" t="str">
        <f t="shared" si="82"/>
        <v/>
      </c>
      <c r="K1067" t="str">
        <f t="shared" si="83"/>
        <v/>
      </c>
      <c r="L1067" t="str">
        <f t="shared" si="84"/>
        <v/>
      </c>
      <c r="M1067" t="str">
        <f>IF(COUNTIF($A$2:A1067,A1067)=1,
     VLOOKUP(A1067,Season_Winners!A:B,2,FALSE),
     "")</f>
        <v/>
      </c>
      <c r="N1067" s="2"/>
    </row>
    <row r="1068" spans="1:14" hidden="1" x14ac:dyDescent="0.3">
      <c r="A1068" t="s">
        <v>335</v>
      </c>
      <c r="B1068">
        <v>31</v>
      </c>
      <c r="C1068" t="s">
        <v>436</v>
      </c>
      <c r="D1068" t="str">
        <f t="shared" si="80"/>
        <v>03.04.2016</v>
      </c>
      <c r="E1068" s="1">
        <v>0.66666666666666663</v>
      </c>
      <c r="F1068" t="s">
        <v>17</v>
      </c>
      <c r="G1068" t="s">
        <v>36</v>
      </c>
      <c r="H1068" s="2">
        <v>46023</v>
      </c>
      <c r="I1068" s="3" t="str">
        <f t="shared" si="81"/>
        <v/>
      </c>
      <c r="J1068" t="str">
        <f t="shared" si="82"/>
        <v/>
      </c>
      <c r="K1068" t="str">
        <f t="shared" si="83"/>
        <v/>
      </c>
      <c r="L1068" t="str">
        <f t="shared" si="84"/>
        <v/>
      </c>
      <c r="M1068" t="str">
        <f>IF(COUNTIF($A$2:A1068,A1068)=1,
     VLOOKUP(A1068,Season_Winners!A:B,2,FALSE),
     "")</f>
        <v/>
      </c>
      <c r="N1068" s="2"/>
    </row>
    <row r="1069" spans="1:14" hidden="1" x14ac:dyDescent="0.3">
      <c r="A1069" t="s">
        <v>335</v>
      </c>
      <c r="B1069">
        <v>31</v>
      </c>
      <c r="C1069" t="s">
        <v>436</v>
      </c>
      <c r="D1069" t="str">
        <f t="shared" si="80"/>
        <v>03.04.2016</v>
      </c>
      <c r="E1069" s="1">
        <v>0.76041666666666663</v>
      </c>
      <c r="F1069" t="s">
        <v>187</v>
      </c>
      <c r="G1069" t="s">
        <v>34</v>
      </c>
      <c r="H1069" s="2">
        <v>46054</v>
      </c>
      <c r="I1069" s="3" t="str">
        <f t="shared" si="81"/>
        <v/>
      </c>
      <c r="J1069" t="str">
        <f t="shared" si="82"/>
        <v/>
      </c>
      <c r="K1069" t="str">
        <f t="shared" si="83"/>
        <v/>
      </c>
      <c r="L1069" t="str">
        <f t="shared" si="84"/>
        <v/>
      </c>
      <c r="M1069" t="str">
        <f>IF(COUNTIF($A$2:A1069,A1069)=1,
     VLOOKUP(A1069,Season_Winners!A:B,2,FALSE),
     "")</f>
        <v/>
      </c>
      <c r="N1069" s="2"/>
    </row>
    <row r="1070" spans="1:14" hidden="1" x14ac:dyDescent="0.3">
      <c r="A1070" t="s">
        <v>335</v>
      </c>
      <c r="B1070">
        <v>31</v>
      </c>
      <c r="C1070" t="s">
        <v>436</v>
      </c>
      <c r="D1070" t="str">
        <f t="shared" si="80"/>
        <v>03.04.2016</v>
      </c>
      <c r="E1070" s="1">
        <v>0.85416666666666663</v>
      </c>
      <c r="F1070" t="s">
        <v>27</v>
      </c>
      <c r="G1070" t="s">
        <v>10</v>
      </c>
      <c r="H1070" s="2">
        <v>46054</v>
      </c>
      <c r="I1070" s="3" t="str">
        <f t="shared" si="81"/>
        <v/>
      </c>
      <c r="J1070" t="str">
        <f t="shared" si="82"/>
        <v/>
      </c>
      <c r="K1070" t="str">
        <f t="shared" si="83"/>
        <v/>
      </c>
      <c r="L1070" t="str">
        <f t="shared" si="84"/>
        <v/>
      </c>
      <c r="M1070" t="str">
        <f>IF(COUNTIF($A$2:A1070,A1070)=1,
     VLOOKUP(A1070,Season_Winners!A:B,2,FALSE),
     "")</f>
        <v/>
      </c>
      <c r="N1070" s="2"/>
    </row>
    <row r="1071" spans="1:14" x14ac:dyDescent="0.3">
      <c r="A1071" t="s">
        <v>335</v>
      </c>
      <c r="B1071">
        <v>31</v>
      </c>
      <c r="C1071" t="s">
        <v>437</v>
      </c>
      <c r="D1071" t="str">
        <f t="shared" si="80"/>
        <v>04.04.2016</v>
      </c>
      <c r="E1071" s="1">
        <v>0.85416666666666663</v>
      </c>
      <c r="F1071" t="s">
        <v>21</v>
      </c>
      <c r="G1071" t="s">
        <v>340</v>
      </c>
      <c r="H1071" t="s">
        <v>41</v>
      </c>
      <c r="I1071" t="str">
        <f t="shared" si="81"/>
        <v>0-0</v>
      </c>
      <c r="J1071" t="str">
        <f t="shared" si="82"/>
        <v>0</v>
      </c>
      <c r="K1071" t="str">
        <f t="shared" si="83"/>
        <v>0</v>
      </c>
      <c r="L1071" t="str">
        <f t="shared" si="84"/>
        <v>Draw</v>
      </c>
      <c r="M1071" t="str">
        <f>IF(COUNTIF($A$2:A1071,A1071)=1,
     VLOOKUP(A1071,Season_Winners!A:B,2,FALSE),
     "")</f>
        <v/>
      </c>
    </row>
    <row r="1072" spans="1:14" x14ac:dyDescent="0.3">
      <c r="A1072" t="s">
        <v>335</v>
      </c>
      <c r="B1072">
        <v>32</v>
      </c>
      <c r="C1072" t="s">
        <v>438</v>
      </c>
      <c r="D1072" t="str">
        <f t="shared" si="80"/>
        <v>08.04.2016</v>
      </c>
      <c r="E1072" s="1">
        <v>0.85416666666666663</v>
      </c>
      <c r="F1072" t="s">
        <v>24</v>
      </c>
      <c r="G1072" t="s">
        <v>17</v>
      </c>
      <c r="H1072" t="s">
        <v>41</v>
      </c>
      <c r="I1072" t="str">
        <f t="shared" si="81"/>
        <v>0-0</v>
      </c>
      <c r="J1072" t="str">
        <f t="shared" si="82"/>
        <v>0</v>
      </c>
      <c r="K1072" t="str">
        <f t="shared" si="83"/>
        <v>0</v>
      </c>
      <c r="L1072" t="str">
        <f t="shared" si="84"/>
        <v>Draw</v>
      </c>
      <c r="M1072" t="str">
        <f>IF(COUNTIF($A$2:A1072,A1072)=1,
     VLOOKUP(A1072,Season_Winners!A:B,2,FALSE),
     "")</f>
        <v/>
      </c>
    </row>
    <row r="1073" spans="1:14" x14ac:dyDescent="0.3">
      <c r="A1073" t="s">
        <v>335</v>
      </c>
      <c r="B1073">
        <v>32</v>
      </c>
      <c r="C1073" t="s">
        <v>439</v>
      </c>
      <c r="D1073" t="str">
        <f t="shared" si="80"/>
        <v>09.04.2016</v>
      </c>
      <c r="E1073" s="1">
        <v>0.66666666666666663</v>
      </c>
      <c r="F1073" t="s">
        <v>25</v>
      </c>
      <c r="G1073" t="s">
        <v>187</v>
      </c>
      <c r="H1073" t="s">
        <v>88</v>
      </c>
      <c r="I1073" t="str">
        <f t="shared" si="81"/>
        <v>4-0</v>
      </c>
      <c r="J1073" t="str">
        <f t="shared" si="82"/>
        <v>4</v>
      </c>
      <c r="K1073" t="str">
        <f t="shared" si="83"/>
        <v>0</v>
      </c>
      <c r="L1073" t="str">
        <f t="shared" si="84"/>
        <v>Real Madrid</v>
      </c>
      <c r="M1073" t="str">
        <f>IF(COUNTIF($A$2:A1073,A1073)=1,
     VLOOKUP(A1073,Season_Winners!A:B,2,FALSE),
     "")</f>
        <v/>
      </c>
    </row>
    <row r="1074" spans="1:14" hidden="1" x14ac:dyDescent="0.3">
      <c r="A1074" t="s">
        <v>335</v>
      </c>
      <c r="B1074">
        <v>32</v>
      </c>
      <c r="C1074" t="s">
        <v>439</v>
      </c>
      <c r="D1074" t="str">
        <f t="shared" si="80"/>
        <v>09.04.2016</v>
      </c>
      <c r="E1074" s="1">
        <v>0.76041666666666663</v>
      </c>
      <c r="F1074" t="s">
        <v>36</v>
      </c>
      <c r="G1074" t="s">
        <v>28</v>
      </c>
      <c r="H1074" s="2">
        <v>46082</v>
      </c>
      <c r="I1074" s="3" t="str">
        <f t="shared" si="81"/>
        <v/>
      </c>
      <c r="J1074" t="str">
        <f t="shared" si="82"/>
        <v/>
      </c>
      <c r="K1074" t="str">
        <f t="shared" si="83"/>
        <v/>
      </c>
      <c r="L1074" t="str">
        <f t="shared" si="84"/>
        <v/>
      </c>
      <c r="M1074" t="str">
        <f>IF(COUNTIF($A$2:A1074,A1074)=1,
     VLOOKUP(A1074,Season_Winners!A:B,2,FALSE),
     "")</f>
        <v/>
      </c>
      <c r="N1074" s="2"/>
    </row>
    <row r="1075" spans="1:14" x14ac:dyDescent="0.3">
      <c r="A1075" t="s">
        <v>335</v>
      </c>
      <c r="B1075">
        <v>32</v>
      </c>
      <c r="C1075" t="s">
        <v>439</v>
      </c>
      <c r="D1075" t="str">
        <f t="shared" si="80"/>
        <v>09.04.2016</v>
      </c>
      <c r="E1075" s="1">
        <v>0.85416666666666663</v>
      </c>
      <c r="F1075" t="s">
        <v>10</v>
      </c>
      <c r="G1075" t="s">
        <v>20</v>
      </c>
      <c r="H1075" t="s">
        <v>18</v>
      </c>
      <c r="I1075" t="str">
        <f t="shared" si="81"/>
        <v>1-0</v>
      </c>
      <c r="J1075" t="str">
        <f t="shared" si="82"/>
        <v>1</v>
      </c>
      <c r="K1075" t="str">
        <f t="shared" si="83"/>
        <v>0</v>
      </c>
      <c r="L1075" t="str">
        <f t="shared" si="84"/>
        <v>Real Sociedad</v>
      </c>
      <c r="M1075" t="str">
        <f>IF(COUNTIF($A$2:A1075,A1075)=1,
     VLOOKUP(A1075,Season_Winners!A:B,2,FALSE),
     "")</f>
        <v/>
      </c>
    </row>
    <row r="1076" spans="1:14" x14ac:dyDescent="0.3">
      <c r="A1076" t="s">
        <v>335</v>
      </c>
      <c r="B1076">
        <v>32</v>
      </c>
      <c r="C1076" t="s">
        <v>439</v>
      </c>
      <c r="D1076" t="str">
        <f t="shared" si="80"/>
        <v>09.04.2016</v>
      </c>
      <c r="E1076" s="1">
        <v>0.92013888888888884</v>
      </c>
      <c r="F1076" t="s">
        <v>26</v>
      </c>
      <c r="G1076" t="s">
        <v>21</v>
      </c>
      <c r="H1076" t="s">
        <v>18</v>
      </c>
      <c r="I1076" t="str">
        <f t="shared" si="81"/>
        <v>1-0</v>
      </c>
      <c r="J1076" t="str">
        <f t="shared" si="82"/>
        <v>1</v>
      </c>
      <c r="K1076" t="str">
        <f t="shared" si="83"/>
        <v>0</v>
      </c>
      <c r="L1076" t="str">
        <f t="shared" si="84"/>
        <v>Real Betis</v>
      </c>
      <c r="M1076" t="str">
        <f>IF(COUNTIF($A$2:A1076,A1076)=1,
     VLOOKUP(A1076,Season_Winners!A:B,2,FALSE),
     "")</f>
        <v/>
      </c>
    </row>
    <row r="1077" spans="1:14" x14ac:dyDescent="0.3">
      <c r="A1077" t="s">
        <v>335</v>
      </c>
      <c r="B1077">
        <v>32</v>
      </c>
      <c r="C1077" t="s">
        <v>440</v>
      </c>
      <c r="D1077" t="str">
        <f t="shared" si="80"/>
        <v>10.04.2016</v>
      </c>
      <c r="E1077" s="1">
        <v>0.5</v>
      </c>
      <c r="F1077" t="s">
        <v>340</v>
      </c>
      <c r="G1077" t="s">
        <v>35</v>
      </c>
      <c r="H1077" t="s">
        <v>42</v>
      </c>
      <c r="I1077" t="str">
        <f t="shared" si="81"/>
        <v>0-1</v>
      </c>
      <c r="J1077" t="str">
        <f t="shared" si="82"/>
        <v>0</v>
      </c>
      <c r="K1077" t="str">
        <f t="shared" si="83"/>
        <v>1</v>
      </c>
      <c r="L1077" t="str">
        <f t="shared" si="84"/>
        <v>RC Celta</v>
      </c>
      <c r="M1077" t="str">
        <f>IF(COUNTIF($A$2:A1077,A1077)=1,
     VLOOKUP(A1077,Season_Winners!A:B,2,FALSE),
     "")</f>
        <v/>
      </c>
    </row>
    <row r="1078" spans="1:14" hidden="1" x14ac:dyDescent="0.3">
      <c r="A1078" t="s">
        <v>335</v>
      </c>
      <c r="B1078">
        <v>32</v>
      </c>
      <c r="C1078" t="s">
        <v>440</v>
      </c>
      <c r="D1078" t="str">
        <f t="shared" si="80"/>
        <v>10.04.2016</v>
      </c>
      <c r="E1078" s="1">
        <v>0.66666666666666663</v>
      </c>
      <c r="F1078" t="s">
        <v>16</v>
      </c>
      <c r="G1078" t="s">
        <v>27</v>
      </c>
      <c r="H1078" s="2">
        <v>46024</v>
      </c>
      <c r="I1078" s="3" t="str">
        <f t="shared" si="81"/>
        <v/>
      </c>
      <c r="J1078" t="str">
        <f t="shared" si="82"/>
        <v/>
      </c>
      <c r="K1078" t="str">
        <f t="shared" si="83"/>
        <v/>
      </c>
      <c r="L1078" t="str">
        <f t="shared" si="84"/>
        <v/>
      </c>
      <c r="M1078" t="str">
        <f>IF(COUNTIF($A$2:A1078,A1078)=1,
     VLOOKUP(A1078,Season_Winners!A:B,2,FALSE),
     "")</f>
        <v/>
      </c>
      <c r="N1078" s="2"/>
    </row>
    <row r="1079" spans="1:14" x14ac:dyDescent="0.3">
      <c r="A1079" t="s">
        <v>335</v>
      </c>
      <c r="B1079">
        <v>32</v>
      </c>
      <c r="C1079" t="s">
        <v>440</v>
      </c>
      <c r="D1079" t="str">
        <f t="shared" si="80"/>
        <v>10.04.2016</v>
      </c>
      <c r="E1079" s="1">
        <v>0.76041666666666663</v>
      </c>
      <c r="F1079" t="s">
        <v>34</v>
      </c>
      <c r="G1079" t="s">
        <v>11</v>
      </c>
      <c r="H1079" t="s">
        <v>12</v>
      </c>
      <c r="I1079" t="str">
        <f t="shared" si="81"/>
        <v>2-0</v>
      </c>
      <c r="J1079" t="str">
        <f t="shared" si="82"/>
        <v>2</v>
      </c>
      <c r="K1079" t="str">
        <f t="shared" si="83"/>
        <v>0</v>
      </c>
      <c r="L1079" t="str">
        <f t="shared" si="84"/>
        <v>Villarreal CF</v>
      </c>
      <c r="M1079" t="str">
        <f>IF(COUNTIF($A$2:A1079,A1079)=1,
     VLOOKUP(A1079,Season_Winners!A:B,2,FALSE),
     "")</f>
        <v/>
      </c>
    </row>
    <row r="1080" spans="1:14" x14ac:dyDescent="0.3">
      <c r="A1080" t="s">
        <v>335</v>
      </c>
      <c r="B1080">
        <v>32</v>
      </c>
      <c r="C1080" t="s">
        <v>440</v>
      </c>
      <c r="D1080" t="str">
        <f t="shared" si="80"/>
        <v>10.04.2016</v>
      </c>
      <c r="E1080" s="1">
        <v>0.85416666666666663</v>
      </c>
      <c r="F1080" t="s">
        <v>15</v>
      </c>
      <c r="G1080" t="s">
        <v>30</v>
      </c>
      <c r="H1080" t="s">
        <v>18</v>
      </c>
      <c r="I1080" t="str">
        <f t="shared" si="81"/>
        <v>1-0</v>
      </c>
      <c r="J1080" t="str">
        <f t="shared" si="82"/>
        <v>1</v>
      </c>
      <c r="K1080" t="str">
        <f t="shared" si="83"/>
        <v>0</v>
      </c>
      <c r="L1080" t="str">
        <f t="shared" si="84"/>
        <v>Athletic Club</v>
      </c>
      <c r="M1080" t="str">
        <f>IF(COUNTIF($A$2:A1080,A1080)=1,
     VLOOKUP(A1080,Season_Winners!A:B,2,FALSE),
     "")</f>
        <v/>
      </c>
    </row>
    <row r="1081" spans="1:14" hidden="1" x14ac:dyDescent="0.3">
      <c r="A1081" t="s">
        <v>335</v>
      </c>
      <c r="B1081">
        <v>32</v>
      </c>
      <c r="C1081" t="s">
        <v>441</v>
      </c>
      <c r="D1081" t="str">
        <f t="shared" si="80"/>
        <v>11.04.2016</v>
      </c>
      <c r="E1081" s="1">
        <v>0.85416666666666663</v>
      </c>
      <c r="F1081" t="s">
        <v>182</v>
      </c>
      <c r="G1081" t="s">
        <v>338</v>
      </c>
      <c r="H1081" s="2">
        <v>46082</v>
      </c>
      <c r="I1081" s="3" t="str">
        <f t="shared" si="81"/>
        <v/>
      </c>
      <c r="J1081" t="str">
        <f t="shared" si="82"/>
        <v/>
      </c>
      <c r="K1081" t="str">
        <f t="shared" si="83"/>
        <v/>
      </c>
      <c r="L1081" t="str">
        <f t="shared" si="84"/>
        <v/>
      </c>
      <c r="M1081" t="str">
        <f>IF(COUNTIF($A$2:A1081,A1081)=1,
     VLOOKUP(A1081,Season_Winners!A:B,2,FALSE),
     "")</f>
        <v/>
      </c>
      <c r="N1081" s="2"/>
    </row>
    <row r="1082" spans="1:14" hidden="1" x14ac:dyDescent="0.3">
      <c r="A1082" t="s">
        <v>335</v>
      </c>
      <c r="B1082">
        <v>33</v>
      </c>
      <c r="C1082" t="s">
        <v>442</v>
      </c>
      <c r="D1082" t="str">
        <f t="shared" si="80"/>
        <v>15.04.2016</v>
      </c>
      <c r="E1082" s="1">
        <v>0.85416666666666663</v>
      </c>
      <c r="F1082" t="s">
        <v>21</v>
      </c>
      <c r="G1082" t="s">
        <v>36</v>
      </c>
      <c r="H1082" s="2">
        <v>46024</v>
      </c>
      <c r="I1082" s="3" t="str">
        <f t="shared" si="81"/>
        <v/>
      </c>
      <c r="J1082" t="str">
        <f t="shared" si="82"/>
        <v/>
      </c>
      <c r="K1082" t="str">
        <f t="shared" si="83"/>
        <v/>
      </c>
      <c r="L1082" t="str">
        <f t="shared" si="84"/>
        <v/>
      </c>
      <c r="M1082" t="str">
        <f>IF(COUNTIF($A$2:A1082,A1082)=1,
     VLOOKUP(A1082,Season_Winners!A:B,2,FALSE),
     "")</f>
        <v/>
      </c>
      <c r="N1082" s="2"/>
    </row>
    <row r="1083" spans="1:14" hidden="1" x14ac:dyDescent="0.3">
      <c r="A1083" t="s">
        <v>335</v>
      </c>
      <c r="B1083">
        <v>33</v>
      </c>
      <c r="C1083" t="s">
        <v>443</v>
      </c>
      <c r="D1083" t="str">
        <f t="shared" si="80"/>
        <v>16.04.2016</v>
      </c>
      <c r="E1083" s="1">
        <v>0.66666666666666663</v>
      </c>
      <c r="F1083" t="s">
        <v>11</v>
      </c>
      <c r="G1083" t="s">
        <v>25</v>
      </c>
      <c r="H1083" s="2">
        <v>46143</v>
      </c>
      <c r="I1083" s="3" t="str">
        <f t="shared" si="81"/>
        <v/>
      </c>
      <c r="J1083" t="str">
        <f t="shared" si="82"/>
        <v/>
      </c>
      <c r="K1083" t="str">
        <f t="shared" si="83"/>
        <v/>
      </c>
      <c r="L1083" t="str">
        <f t="shared" si="84"/>
        <v/>
      </c>
      <c r="M1083" t="str">
        <f>IF(COUNTIF($A$2:A1083,A1083)=1,
     VLOOKUP(A1083,Season_Winners!A:B,2,FALSE),
     "")</f>
        <v/>
      </c>
      <c r="N1083" s="2"/>
    </row>
    <row r="1084" spans="1:14" hidden="1" x14ac:dyDescent="0.3">
      <c r="A1084" t="s">
        <v>335</v>
      </c>
      <c r="B1084">
        <v>33</v>
      </c>
      <c r="C1084" t="s">
        <v>443</v>
      </c>
      <c r="D1084" t="str">
        <f t="shared" si="80"/>
        <v>16.04.2016</v>
      </c>
      <c r="E1084" s="1">
        <v>0.76041666666666663</v>
      </c>
      <c r="F1084" t="s">
        <v>338</v>
      </c>
      <c r="G1084" t="s">
        <v>340</v>
      </c>
      <c r="H1084" s="2">
        <v>46023</v>
      </c>
      <c r="I1084" s="3" t="str">
        <f t="shared" si="81"/>
        <v/>
      </c>
      <c r="J1084" t="str">
        <f t="shared" si="82"/>
        <v/>
      </c>
      <c r="K1084" t="str">
        <f t="shared" si="83"/>
        <v/>
      </c>
      <c r="L1084" t="str">
        <f t="shared" si="84"/>
        <v/>
      </c>
      <c r="M1084" t="str">
        <f>IF(COUNTIF($A$2:A1084,A1084)=1,
     VLOOKUP(A1084,Season_Winners!A:B,2,FALSE),
     "")</f>
        <v/>
      </c>
      <c r="N1084" s="2"/>
    </row>
    <row r="1085" spans="1:14" hidden="1" x14ac:dyDescent="0.3">
      <c r="A1085" t="s">
        <v>335</v>
      </c>
      <c r="B1085">
        <v>33</v>
      </c>
      <c r="C1085" t="s">
        <v>443</v>
      </c>
      <c r="D1085" t="str">
        <f t="shared" si="80"/>
        <v>16.04.2016</v>
      </c>
      <c r="E1085" s="1">
        <v>0.85416666666666663</v>
      </c>
      <c r="F1085" t="s">
        <v>187</v>
      </c>
      <c r="G1085" t="s">
        <v>10</v>
      </c>
      <c r="H1085" s="2">
        <v>46024</v>
      </c>
      <c r="I1085" s="3" t="str">
        <f t="shared" si="81"/>
        <v/>
      </c>
      <c r="J1085" t="str">
        <f t="shared" si="82"/>
        <v/>
      </c>
      <c r="K1085" t="str">
        <f t="shared" si="83"/>
        <v/>
      </c>
      <c r="L1085" t="str">
        <f t="shared" si="84"/>
        <v/>
      </c>
      <c r="M1085" t="str">
        <f>IF(COUNTIF($A$2:A1085,A1085)=1,
     VLOOKUP(A1085,Season_Winners!A:B,2,FALSE),
     "")</f>
        <v/>
      </c>
      <c r="N1085" s="2"/>
    </row>
    <row r="1086" spans="1:14" hidden="1" x14ac:dyDescent="0.3">
      <c r="A1086" t="s">
        <v>335</v>
      </c>
      <c r="B1086">
        <v>33</v>
      </c>
      <c r="C1086" t="s">
        <v>443</v>
      </c>
      <c r="D1086" t="str">
        <f t="shared" si="80"/>
        <v>16.04.2016</v>
      </c>
      <c r="E1086" s="1">
        <v>0.92013888888888884</v>
      </c>
      <c r="F1086" t="s">
        <v>35</v>
      </c>
      <c r="G1086" t="s">
        <v>26</v>
      </c>
      <c r="H1086" s="2">
        <v>46023</v>
      </c>
      <c r="I1086" s="3" t="str">
        <f t="shared" si="81"/>
        <v/>
      </c>
      <c r="J1086" t="str">
        <f t="shared" si="82"/>
        <v/>
      </c>
      <c r="K1086" t="str">
        <f t="shared" si="83"/>
        <v/>
      </c>
      <c r="L1086" t="str">
        <f t="shared" si="84"/>
        <v/>
      </c>
      <c r="M1086" t="str">
        <f>IF(COUNTIF($A$2:A1086,A1086)=1,
     VLOOKUP(A1086,Season_Winners!A:B,2,FALSE),
     "")</f>
        <v/>
      </c>
      <c r="N1086" s="2"/>
    </row>
    <row r="1087" spans="1:14" x14ac:dyDescent="0.3">
      <c r="A1087" t="s">
        <v>335</v>
      </c>
      <c r="B1087">
        <v>33</v>
      </c>
      <c r="C1087" t="s">
        <v>444</v>
      </c>
      <c r="D1087" t="str">
        <f t="shared" si="80"/>
        <v>17.04.2016</v>
      </c>
      <c r="E1087" s="1">
        <v>0.5</v>
      </c>
      <c r="F1087" t="s">
        <v>17</v>
      </c>
      <c r="G1087" t="s">
        <v>15</v>
      </c>
      <c r="H1087" t="s">
        <v>42</v>
      </c>
      <c r="I1087" t="str">
        <f t="shared" si="81"/>
        <v>0-1</v>
      </c>
      <c r="J1087" t="str">
        <f t="shared" si="82"/>
        <v>0</v>
      </c>
      <c r="K1087" t="str">
        <f t="shared" si="83"/>
        <v>1</v>
      </c>
      <c r="L1087" t="str">
        <f t="shared" si="84"/>
        <v>Athletic Club</v>
      </c>
      <c r="M1087" t="str">
        <f>IF(COUNTIF($A$2:A1087,A1087)=1,
     VLOOKUP(A1087,Season_Winners!A:B,2,FALSE),
     "")</f>
        <v/>
      </c>
    </row>
    <row r="1088" spans="1:14" hidden="1" x14ac:dyDescent="0.3">
      <c r="A1088" t="s">
        <v>335</v>
      </c>
      <c r="B1088">
        <v>33</v>
      </c>
      <c r="C1088" t="s">
        <v>444</v>
      </c>
      <c r="D1088" t="str">
        <f t="shared" si="80"/>
        <v>17.04.2016</v>
      </c>
      <c r="E1088" s="1">
        <v>0.66666666666666663</v>
      </c>
      <c r="F1088" t="s">
        <v>27</v>
      </c>
      <c r="G1088" t="s">
        <v>182</v>
      </c>
      <c r="H1088" s="2">
        <v>46023</v>
      </c>
      <c r="I1088" s="3" t="str">
        <f t="shared" si="81"/>
        <v/>
      </c>
      <c r="J1088" t="str">
        <f t="shared" si="82"/>
        <v/>
      </c>
      <c r="K1088" t="str">
        <f t="shared" si="83"/>
        <v/>
      </c>
      <c r="L1088" t="str">
        <f t="shared" si="84"/>
        <v/>
      </c>
      <c r="M1088" t="str">
        <f>IF(COUNTIF($A$2:A1088,A1088)=1,
     VLOOKUP(A1088,Season_Winners!A:B,2,FALSE),
     "")</f>
        <v/>
      </c>
      <c r="N1088" s="2"/>
    </row>
    <row r="1089" spans="1:14" x14ac:dyDescent="0.3">
      <c r="A1089" t="s">
        <v>335</v>
      </c>
      <c r="B1089">
        <v>33</v>
      </c>
      <c r="C1089" t="s">
        <v>444</v>
      </c>
      <c r="D1089" t="str">
        <f t="shared" si="80"/>
        <v>17.04.2016</v>
      </c>
      <c r="E1089" s="1">
        <v>0.76041666666666663</v>
      </c>
      <c r="F1089" t="s">
        <v>1425</v>
      </c>
      <c r="G1089" t="s">
        <v>24</v>
      </c>
      <c r="H1089" t="s">
        <v>32</v>
      </c>
      <c r="I1089" t="str">
        <f t="shared" si="81"/>
        <v>3-0</v>
      </c>
      <c r="J1089" t="str">
        <f t="shared" si="82"/>
        <v>3</v>
      </c>
      <c r="K1089" t="str">
        <f t="shared" si="83"/>
        <v>0</v>
      </c>
      <c r="L1089" t="str">
        <f t="shared" si="84"/>
        <v>Atlético de Madrid</v>
      </c>
      <c r="M1089" t="str">
        <f>IF(COUNTIF($A$2:A1089,A1089)=1,
     VLOOKUP(A1089,Season_Winners!A:B,2,FALSE),
     "")</f>
        <v/>
      </c>
    </row>
    <row r="1090" spans="1:14" hidden="1" x14ac:dyDescent="0.3">
      <c r="A1090" t="s">
        <v>335</v>
      </c>
      <c r="B1090">
        <v>33</v>
      </c>
      <c r="C1090" t="s">
        <v>444</v>
      </c>
      <c r="D1090" t="str">
        <f t="shared" ref="D1090:D1153" si="85">RIGHT(C1090,10)</f>
        <v>17.04.2016</v>
      </c>
      <c r="E1090" s="1">
        <v>0.76041666666666663</v>
      </c>
      <c r="F1090" t="s">
        <v>30</v>
      </c>
      <c r="G1090" t="s">
        <v>34</v>
      </c>
      <c r="H1090" s="2">
        <v>46024</v>
      </c>
      <c r="I1090" s="3" t="str">
        <f t="shared" ref="I1090:I1153" si="86">IF(ISNUMBER(SEARCH("-",H1090)),H1090,"")</f>
        <v/>
      </c>
      <c r="J1090" t="str">
        <f t="shared" ref="J1090:J1153" si="87">IF(I1090="","",LEFT(I1090,FIND("-",I1090)-1))</f>
        <v/>
      </c>
      <c r="K1090" t="str">
        <f t="shared" ref="K1090:K1153" si="88">IF(I1090="","",RIGHT(I1090,LEN(I1090)-FIND("-",I1090)))</f>
        <v/>
      </c>
      <c r="L1090" t="str">
        <f t="shared" ref="L1090:L1153" si="89">IF(I1090="","",IF(J1090&gt;K1090,F1090,IF(K1090&gt;J1090,G1090,"Draw")))</f>
        <v/>
      </c>
      <c r="M1090" t="str">
        <f>IF(COUNTIF($A$2:A1090,A1090)=1,
     VLOOKUP(A1090,Season_Winners!A:B,2,FALSE),
     "")</f>
        <v/>
      </c>
      <c r="N1090" s="2"/>
    </row>
    <row r="1091" spans="1:14" hidden="1" x14ac:dyDescent="0.3">
      <c r="A1091" t="s">
        <v>335</v>
      </c>
      <c r="B1091">
        <v>33</v>
      </c>
      <c r="C1091" t="s">
        <v>444</v>
      </c>
      <c r="D1091" t="str">
        <f t="shared" si="85"/>
        <v>17.04.2016</v>
      </c>
      <c r="E1091" s="1">
        <v>0.85416666666666663</v>
      </c>
      <c r="F1091" t="s">
        <v>20</v>
      </c>
      <c r="G1091" t="s">
        <v>16</v>
      </c>
      <c r="H1091" s="2">
        <v>46054</v>
      </c>
      <c r="I1091" s="3" t="str">
        <f t="shared" si="86"/>
        <v/>
      </c>
      <c r="J1091" t="str">
        <f t="shared" si="87"/>
        <v/>
      </c>
      <c r="K1091" t="str">
        <f t="shared" si="88"/>
        <v/>
      </c>
      <c r="L1091" t="str">
        <f t="shared" si="89"/>
        <v/>
      </c>
      <c r="M1091" t="str">
        <f>IF(COUNTIF($A$2:A1091,A1091)=1,
     VLOOKUP(A1091,Season_Winners!A:B,2,FALSE),
     "")</f>
        <v/>
      </c>
      <c r="N1091" s="2"/>
    </row>
    <row r="1092" spans="1:14" hidden="1" x14ac:dyDescent="0.3">
      <c r="A1092" t="s">
        <v>335</v>
      </c>
      <c r="B1092">
        <v>34</v>
      </c>
      <c r="C1092" t="s">
        <v>445</v>
      </c>
      <c r="D1092" t="str">
        <f t="shared" si="85"/>
        <v>19.04.2016</v>
      </c>
      <c r="E1092" s="1">
        <v>0.83333333333333337</v>
      </c>
      <c r="F1092" t="s">
        <v>36</v>
      </c>
      <c r="G1092" t="s">
        <v>35</v>
      </c>
      <c r="H1092" s="2">
        <v>46023</v>
      </c>
      <c r="I1092" s="3" t="str">
        <f t="shared" si="86"/>
        <v/>
      </c>
      <c r="J1092" t="str">
        <f t="shared" si="87"/>
        <v/>
      </c>
      <c r="K1092" t="str">
        <f t="shared" si="88"/>
        <v/>
      </c>
      <c r="L1092" t="str">
        <f t="shared" si="89"/>
        <v/>
      </c>
      <c r="M1092" t="str">
        <f>IF(COUNTIF($A$2:A1092,A1092)=1,
     VLOOKUP(A1092,Season_Winners!A:B,2,FALSE),
     "")</f>
        <v/>
      </c>
      <c r="N1092" s="2"/>
    </row>
    <row r="1093" spans="1:14" x14ac:dyDescent="0.3">
      <c r="A1093" t="s">
        <v>335</v>
      </c>
      <c r="B1093">
        <v>34</v>
      </c>
      <c r="C1093" t="s">
        <v>445</v>
      </c>
      <c r="D1093" t="str">
        <f t="shared" si="85"/>
        <v>19.04.2016</v>
      </c>
      <c r="E1093" s="1">
        <v>0.875</v>
      </c>
      <c r="F1093" t="s">
        <v>26</v>
      </c>
      <c r="G1093" t="s">
        <v>338</v>
      </c>
      <c r="H1093" t="s">
        <v>18</v>
      </c>
      <c r="I1093" t="str">
        <f t="shared" si="86"/>
        <v>1-0</v>
      </c>
      <c r="J1093" t="str">
        <f t="shared" si="87"/>
        <v>1</v>
      </c>
      <c r="K1093" t="str">
        <f t="shared" si="88"/>
        <v>0</v>
      </c>
      <c r="L1093" t="str">
        <f t="shared" si="89"/>
        <v>Real Betis</v>
      </c>
      <c r="M1093" t="str">
        <f>IF(COUNTIF($A$2:A1093,A1093)=1,
     VLOOKUP(A1093,Season_Winners!A:B,2,FALSE),
     "")</f>
        <v/>
      </c>
    </row>
    <row r="1094" spans="1:14" x14ac:dyDescent="0.3">
      <c r="A1094" t="s">
        <v>335</v>
      </c>
      <c r="B1094">
        <v>34</v>
      </c>
      <c r="C1094" t="s">
        <v>446</v>
      </c>
      <c r="D1094" t="str">
        <f t="shared" si="85"/>
        <v>20.04.2016</v>
      </c>
      <c r="E1094" s="1">
        <v>0.83333333333333337</v>
      </c>
      <c r="F1094" t="s">
        <v>182</v>
      </c>
      <c r="G1094" t="s">
        <v>20</v>
      </c>
      <c r="H1094" t="s">
        <v>326</v>
      </c>
      <c r="I1094" t="str">
        <f t="shared" si="86"/>
        <v>0-8</v>
      </c>
      <c r="J1094" t="str">
        <f t="shared" si="87"/>
        <v>0</v>
      </c>
      <c r="K1094" t="str">
        <f t="shared" si="88"/>
        <v>8</v>
      </c>
      <c r="L1094" t="str">
        <f t="shared" si="89"/>
        <v>FC Barcelona</v>
      </c>
      <c r="M1094" t="str">
        <f>IF(COUNTIF($A$2:A1094,A1094)=1,
     VLOOKUP(A1094,Season_Winners!A:B,2,FALSE),
     "")</f>
        <v/>
      </c>
    </row>
    <row r="1095" spans="1:14" x14ac:dyDescent="0.3">
      <c r="A1095" t="s">
        <v>335</v>
      </c>
      <c r="B1095">
        <v>34</v>
      </c>
      <c r="C1095" t="s">
        <v>446</v>
      </c>
      <c r="D1095" t="str">
        <f t="shared" si="85"/>
        <v>20.04.2016</v>
      </c>
      <c r="E1095" s="1">
        <v>0.86458333333333337</v>
      </c>
      <c r="F1095" t="s">
        <v>15</v>
      </c>
      <c r="G1095" t="s">
        <v>1425</v>
      </c>
      <c r="H1095" t="s">
        <v>42</v>
      </c>
      <c r="I1095" t="str">
        <f t="shared" si="86"/>
        <v>0-1</v>
      </c>
      <c r="J1095" t="str">
        <f t="shared" si="87"/>
        <v>0</v>
      </c>
      <c r="K1095" t="str">
        <f t="shared" si="88"/>
        <v>1</v>
      </c>
      <c r="L1095" t="str">
        <f t="shared" si="89"/>
        <v>Atlético de Madrid</v>
      </c>
      <c r="M1095" t="str">
        <f>IF(COUNTIF($A$2:A1095,A1095)=1,
     VLOOKUP(A1095,Season_Winners!A:B,2,FALSE),
     "")</f>
        <v/>
      </c>
    </row>
    <row r="1096" spans="1:14" hidden="1" x14ac:dyDescent="0.3">
      <c r="A1096" t="s">
        <v>335</v>
      </c>
      <c r="B1096">
        <v>34</v>
      </c>
      <c r="C1096" t="s">
        <v>446</v>
      </c>
      <c r="D1096" t="str">
        <f t="shared" si="85"/>
        <v>20.04.2016</v>
      </c>
      <c r="E1096" s="1">
        <v>0.86458333333333337</v>
      </c>
      <c r="F1096" t="s">
        <v>17</v>
      </c>
      <c r="G1096" t="s">
        <v>30</v>
      </c>
      <c r="H1096" s="2">
        <v>46023</v>
      </c>
      <c r="I1096" s="3" t="str">
        <f t="shared" si="86"/>
        <v/>
      </c>
      <c r="J1096" t="str">
        <f t="shared" si="87"/>
        <v/>
      </c>
      <c r="K1096" t="str">
        <f t="shared" si="88"/>
        <v/>
      </c>
      <c r="L1096" t="str">
        <f t="shared" si="89"/>
        <v/>
      </c>
      <c r="M1096" t="str">
        <f>IF(COUNTIF($A$2:A1096,A1096)=1,
     VLOOKUP(A1096,Season_Winners!A:B,2,FALSE),
     "")</f>
        <v/>
      </c>
      <c r="N1096" s="2"/>
    </row>
    <row r="1097" spans="1:14" x14ac:dyDescent="0.3">
      <c r="A1097" t="s">
        <v>335</v>
      </c>
      <c r="B1097">
        <v>34</v>
      </c>
      <c r="C1097" t="s">
        <v>446</v>
      </c>
      <c r="D1097" t="str">
        <f t="shared" si="85"/>
        <v>20.04.2016</v>
      </c>
      <c r="E1097" s="1">
        <v>0.86458333333333337</v>
      </c>
      <c r="F1097" t="s">
        <v>16</v>
      </c>
      <c r="G1097" t="s">
        <v>187</v>
      </c>
      <c r="H1097" t="s">
        <v>88</v>
      </c>
      <c r="I1097" t="str">
        <f t="shared" si="86"/>
        <v>4-0</v>
      </c>
      <c r="J1097" t="str">
        <f t="shared" si="87"/>
        <v>4</v>
      </c>
      <c r="K1097" t="str">
        <f t="shared" si="88"/>
        <v>0</v>
      </c>
      <c r="L1097" t="str">
        <f t="shared" si="89"/>
        <v>Valencia CF</v>
      </c>
      <c r="M1097" t="str">
        <f>IF(COUNTIF($A$2:A1097,A1097)=1,
     VLOOKUP(A1097,Season_Winners!A:B,2,FALSE),
     "")</f>
        <v/>
      </c>
    </row>
    <row r="1098" spans="1:14" hidden="1" x14ac:dyDescent="0.3">
      <c r="A1098" t="s">
        <v>335</v>
      </c>
      <c r="B1098">
        <v>34</v>
      </c>
      <c r="C1098" t="s">
        <v>446</v>
      </c>
      <c r="D1098" t="str">
        <f t="shared" si="85"/>
        <v>20.04.2016</v>
      </c>
      <c r="E1098" s="1">
        <v>0.86458333333333337</v>
      </c>
      <c r="F1098" t="s">
        <v>340</v>
      </c>
      <c r="G1098" t="s">
        <v>27</v>
      </c>
      <c r="H1098" s="2">
        <v>46024</v>
      </c>
      <c r="I1098" s="3" t="str">
        <f t="shared" si="86"/>
        <v/>
      </c>
      <c r="J1098" t="str">
        <f t="shared" si="87"/>
        <v/>
      </c>
      <c r="K1098" t="str">
        <f t="shared" si="88"/>
        <v/>
      </c>
      <c r="L1098" t="str">
        <f t="shared" si="89"/>
        <v/>
      </c>
      <c r="M1098" t="str">
        <f>IF(COUNTIF($A$2:A1098,A1098)=1,
     VLOOKUP(A1098,Season_Winners!A:B,2,FALSE),
     "")</f>
        <v/>
      </c>
      <c r="N1098" s="2"/>
    </row>
    <row r="1099" spans="1:14" x14ac:dyDescent="0.3">
      <c r="A1099" t="s">
        <v>335</v>
      </c>
      <c r="B1099">
        <v>34</v>
      </c>
      <c r="C1099" t="s">
        <v>446</v>
      </c>
      <c r="D1099" t="str">
        <f t="shared" si="85"/>
        <v>20.04.2016</v>
      </c>
      <c r="E1099" s="1">
        <v>0.91666666666666663</v>
      </c>
      <c r="F1099" t="s">
        <v>25</v>
      </c>
      <c r="G1099" t="s">
        <v>34</v>
      </c>
      <c r="H1099" t="s">
        <v>32</v>
      </c>
      <c r="I1099" t="str">
        <f t="shared" si="86"/>
        <v>3-0</v>
      </c>
      <c r="J1099" t="str">
        <f t="shared" si="87"/>
        <v>3</v>
      </c>
      <c r="K1099" t="str">
        <f t="shared" si="88"/>
        <v>0</v>
      </c>
      <c r="L1099" t="str">
        <f t="shared" si="89"/>
        <v>Real Madrid</v>
      </c>
      <c r="M1099" t="str">
        <f>IF(COUNTIF($A$2:A1099,A1099)=1,
     VLOOKUP(A1099,Season_Winners!A:B,2,FALSE),
     "")</f>
        <v/>
      </c>
    </row>
    <row r="1100" spans="1:14" hidden="1" x14ac:dyDescent="0.3">
      <c r="A1100" t="s">
        <v>335</v>
      </c>
      <c r="B1100">
        <v>34</v>
      </c>
      <c r="C1100" t="s">
        <v>447</v>
      </c>
      <c r="D1100" t="str">
        <f t="shared" si="85"/>
        <v>21.04.2016</v>
      </c>
      <c r="E1100" s="1">
        <v>0.85416666666666663</v>
      </c>
      <c r="F1100" t="s">
        <v>10</v>
      </c>
      <c r="G1100" t="s">
        <v>11</v>
      </c>
      <c r="H1100" s="2">
        <v>46054</v>
      </c>
      <c r="I1100" s="3" t="str">
        <f t="shared" si="86"/>
        <v/>
      </c>
      <c r="J1100" t="str">
        <f t="shared" si="87"/>
        <v/>
      </c>
      <c r="K1100" t="str">
        <f t="shared" si="88"/>
        <v/>
      </c>
      <c r="L1100" t="str">
        <f t="shared" si="89"/>
        <v/>
      </c>
      <c r="M1100" t="str">
        <f>IF(COUNTIF($A$2:A1100,A1100)=1,
     VLOOKUP(A1100,Season_Winners!A:B,2,FALSE),
     "")</f>
        <v/>
      </c>
      <c r="N1100" s="2"/>
    </row>
    <row r="1101" spans="1:14" hidden="1" x14ac:dyDescent="0.3">
      <c r="A1101" t="s">
        <v>335</v>
      </c>
      <c r="B1101">
        <v>34</v>
      </c>
      <c r="C1101" t="s">
        <v>447</v>
      </c>
      <c r="D1101" t="str">
        <f t="shared" si="85"/>
        <v>21.04.2016</v>
      </c>
      <c r="E1101" s="1">
        <v>0.875</v>
      </c>
      <c r="F1101" t="s">
        <v>24</v>
      </c>
      <c r="G1101" t="s">
        <v>21</v>
      </c>
      <c r="H1101" s="2">
        <v>46027</v>
      </c>
      <c r="I1101" s="3" t="str">
        <f t="shared" si="86"/>
        <v/>
      </c>
      <c r="J1101" t="str">
        <f t="shared" si="87"/>
        <v/>
      </c>
      <c r="K1101" t="str">
        <f t="shared" si="88"/>
        <v/>
      </c>
      <c r="L1101" t="str">
        <f t="shared" si="89"/>
        <v/>
      </c>
      <c r="M1101" t="str">
        <f>IF(COUNTIF($A$2:A1101,A1101)=1,
     VLOOKUP(A1101,Season_Winners!A:B,2,FALSE),
     "")</f>
        <v/>
      </c>
      <c r="N1101" s="2"/>
    </row>
    <row r="1102" spans="1:14" x14ac:dyDescent="0.3">
      <c r="A1102" t="s">
        <v>335</v>
      </c>
      <c r="B1102">
        <v>35</v>
      </c>
      <c r="C1102" t="s">
        <v>448</v>
      </c>
      <c r="D1102" t="str">
        <f t="shared" si="85"/>
        <v>22.04.2016</v>
      </c>
      <c r="E1102" s="1">
        <v>0.875</v>
      </c>
      <c r="F1102" t="s">
        <v>338</v>
      </c>
      <c r="G1102" t="s">
        <v>36</v>
      </c>
      <c r="H1102" t="s">
        <v>88</v>
      </c>
      <c r="I1102" t="str">
        <f t="shared" si="86"/>
        <v>4-0</v>
      </c>
      <c r="J1102" t="str">
        <f t="shared" si="87"/>
        <v>4</v>
      </c>
      <c r="K1102" t="str">
        <f t="shared" si="88"/>
        <v>0</v>
      </c>
      <c r="L1102" t="str">
        <f t="shared" si="89"/>
        <v>UD Las Palmas</v>
      </c>
      <c r="M1102" t="str">
        <f>IF(COUNTIF($A$2:A1102,A1102)=1,
     VLOOKUP(A1102,Season_Winners!A:B,2,FALSE),
     "")</f>
        <v/>
      </c>
    </row>
    <row r="1103" spans="1:14" hidden="1" x14ac:dyDescent="0.3">
      <c r="A1103" t="s">
        <v>335</v>
      </c>
      <c r="B1103">
        <v>35</v>
      </c>
      <c r="C1103" t="s">
        <v>449</v>
      </c>
      <c r="D1103" t="str">
        <f t="shared" si="85"/>
        <v>23.04.2016</v>
      </c>
      <c r="E1103" s="1">
        <v>0.66666666666666663</v>
      </c>
      <c r="F1103" t="s">
        <v>30</v>
      </c>
      <c r="G1103" t="s">
        <v>25</v>
      </c>
      <c r="H1103" s="2">
        <v>46083</v>
      </c>
      <c r="I1103" s="3" t="str">
        <f t="shared" si="86"/>
        <v/>
      </c>
      <c r="J1103" t="str">
        <f t="shared" si="87"/>
        <v/>
      </c>
      <c r="K1103" t="str">
        <f t="shared" si="88"/>
        <v/>
      </c>
      <c r="L1103" t="str">
        <f t="shared" si="89"/>
        <v/>
      </c>
      <c r="M1103" t="str">
        <f>IF(COUNTIF($A$2:A1103,A1103)=1,
     VLOOKUP(A1103,Season_Winners!A:B,2,FALSE),
     "")</f>
        <v/>
      </c>
      <c r="N1103" s="2"/>
    </row>
    <row r="1104" spans="1:14" x14ac:dyDescent="0.3">
      <c r="A1104" t="s">
        <v>335</v>
      </c>
      <c r="B1104">
        <v>35</v>
      </c>
      <c r="C1104" t="s">
        <v>449</v>
      </c>
      <c r="D1104" t="str">
        <f t="shared" si="85"/>
        <v>23.04.2016</v>
      </c>
      <c r="E1104" s="1">
        <v>0.76041666666666663</v>
      </c>
      <c r="F1104" t="s">
        <v>1425</v>
      </c>
      <c r="G1104" t="s">
        <v>17</v>
      </c>
      <c r="H1104" t="s">
        <v>18</v>
      </c>
      <c r="I1104" t="str">
        <f t="shared" si="86"/>
        <v>1-0</v>
      </c>
      <c r="J1104" t="str">
        <f t="shared" si="87"/>
        <v>1</v>
      </c>
      <c r="K1104" t="str">
        <f t="shared" si="88"/>
        <v>0</v>
      </c>
      <c r="L1104" t="str">
        <f t="shared" si="89"/>
        <v>Atlético de Madrid</v>
      </c>
      <c r="M1104" t="str">
        <f>IF(COUNTIF($A$2:A1104,A1104)=1,
     VLOOKUP(A1104,Season_Winners!A:B,2,FALSE),
     "")</f>
        <v/>
      </c>
    </row>
    <row r="1105" spans="1:14" x14ac:dyDescent="0.3">
      <c r="A1105" t="s">
        <v>335</v>
      </c>
      <c r="B1105">
        <v>35</v>
      </c>
      <c r="C1105" t="s">
        <v>449</v>
      </c>
      <c r="D1105" t="str">
        <f t="shared" si="85"/>
        <v>23.04.2016</v>
      </c>
      <c r="E1105" s="1">
        <v>0.85416666666666663</v>
      </c>
      <c r="F1105" t="s">
        <v>20</v>
      </c>
      <c r="G1105" t="s">
        <v>340</v>
      </c>
      <c r="H1105" t="s">
        <v>126</v>
      </c>
      <c r="I1105" t="str">
        <f t="shared" si="86"/>
        <v>6-0</v>
      </c>
      <c r="J1105" t="str">
        <f t="shared" si="87"/>
        <v>6</v>
      </c>
      <c r="K1105" t="str">
        <f t="shared" si="88"/>
        <v>0</v>
      </c>
      <c r="L1105" t="str">
        <f t="shared" si="89"/>
        <v>FC Barcelona</v>
      </c>
      <c r="M1105" t="str">
        <f>IF(COUNTIF($A$2:A1105,A1105)=1,
     VLOOKUP(A1105,Season_Winners!A:B,2,FALSE),
     "")</f>
        <v/>
      </c>
    </row>
    <row r="1106" spans="1:14" hidden="1" x14ac:dyDescent="0.3">
      <c r="A1106" t="s">
        <v>335</v>
      </c>
      <c r="B1106">
        <v>35</v>
      </c>
      <c r="C1106" t="s">
        <v>449</v>
      </c>
      <c r="D1106" t="str">
        <f t="shared" si="85"/>
        <v>23.04.2016</v>
      </c>
      <c r="E1106" s="1">
        <v>0.92013888888888884</v>
      </c>
      <c r="F1106" t="s">
        <v>187</v>
      </c>
      <c r="G1106" t="s">
        <v>182</v>
      </c>
      <c r="H1106" s="2">
        <v>46023</v>
      </c>
      <c r="I1106" s="3" t="str">
        <f t="shared" si="86"/>
        <v/>
      </c>
      <c r="J1106" t="str">
        <f t="shared" si="87"/>
        <v/>
      </c>
      <c r="K1106" t="str">
        <f t="shared" si="88"/>
        <v/>
      </c>
      <c r="L1106" t="str">
        <f t="shared" si="89"/>
        <v/>
      </c>
      <c r="M1106" t="str">
        <f>IF(COUNTIF($A$2:A1106,A1106)=1,
     VLOOKUP(A1106,Season_Winners!A:B,2,FALSE),
     "")</f>
        <v/>
      </c>
      <c r="N1106" s="2"/>
    </row>
    <row r="1107" spans="1:14" hidden="1" x14ac:dyDescent="0.3">
      <c r="A1107" t="s">
        <v>335</v>
      </c>
      <c r="B1107">
        <v>35</v>
      </c>
      <c r="C1107" t="s">
        <v>450</v>
      </c>
      <c r="D1107" t="str">
        <f t="shared" si="85"/>
        <v>24.04.2016</v>
      </c>
      <c r="E1107" s="1">
        <v>0.5</v>
      </c>
      <c r="F1107" t="s">
        <v>21</v>
      </c>
      <c r="G1107" t="s">
        <v>15</v>
      </c>
      <c r="H1107" s="2">
        <v>46055</v>
      </c>
      <c r="I1107" s="3" t="str">
        <f t="shared" si="86"/>
        <v/>
      </c>
      <c r="J1107" t="str">
        <f t="shared" si="87"/>
        <v/>
      </c>
      <c r="K1107" t="str">
        <f t="shared" si="88"/>
        <v/>
      </c>
      <c r="L1107" t="str">
        <f t="shared" si="89"/>
        <v/>
      </c>
      <c r="M1107" t="str">
        <f>IF(COUNTIF($A$2:A1107,A1107)=1,
     VLOOKUP(A1107,Season_Winners!A:B,2,FALSE),
     "")</f>
        <v/>
      </c>
      <c r="N1107" s="2"/>
    </row>
    <row r="1108" spans="1:14" x14ac:dyDescent="0.3">
      <c r="A1108" t="s">
        <v>335</v>
      </c>
      <c r="B1108">
        <v>35</v>
      </c>
      <c r="C1108" t="s">
        <v>450</v>
      </c>
      <c r="D1108" t="str">
        <f t="shared" si="85"/>
        <v>24.04.2016</v>
      </c>
      <c r="E1108" s="1">
        <v>0.66666666666666663</v>
      </c>
      <c r="F1108" t="s">
        <v>27</v>
      </c>
      <c r="G1108" t="s">
        <v>26</v>
      </c>
      <c r="H1108" t="s">
        <v>12</v>
      </c>
      <c r="I1108" t="str">
        <f t="shared" si="86"/>
        <v>2-0</v>
      </c>
      <c r="J1108" t="str">
        <f t="shared" si="87"/>
        <v>2</v>
      </c>
      <c r="K1108" t="str">
        <f t="shared" si="88"/>
        <v>0</v>
      </c>
      <c r="L1108" t="str">
        <f t="shared" si="89"/>
        <v>Sevilla FC</v>
      </c>
      <c r="M1108" t="str">
        <f>IF(COUNTIF($A$2:A1108,A1108)=1,
     VLOOKUP(A1108,Season_Winners!A:B,2,FALSE),
     "")</f>
        <v/>
      </c>
    </row>
    <row r="1109" spans="1:14" hidden="1" x14ac:dyDescent="0.3">
      <c r="A1109" t="s">
        <v>335</v>
      </c>
      <c r="B1109">
        <v>35</v>
      </c>
      <c r="C1109" t="s">
        <v>450</v>
      </c>
      <c r="D1109" t="str">
        <f t="shared" si="85"/>
        <v>24.04.2016</v>
      </c>
      <c r="E1109" s="1">
        <v>0.76041666666666663</v>
      </c>
      <c r="F1109" t="s">
        <v>11</v>
      </c>
      <c r="G1109" t="s">
        <v>16</v>
      </c>
      <c r="H1109" s="2">
        <v>46055</v>
      </c>
      <c r="I1109" s="3" t="str">
        <f t="shared" si="86"/>
        <v/>
      </c>
      <c r="J1109" t="str">
        <f t="shared" si="87"/>
        <v/>
      </c>
      <c r="K1109" t="str">
        <f t="shared" si="88"/>
        <v/>
      </c>
      <c r="L1109" t="str">
        <f t="shared" si="89"/>
        <v/>
      </c>
      <c r="M1109" t="str">
        <f>IF(COUNTIF($A$2:A1109,A1109)=1,
     VLOOKUP(A1109,Season_Winners!A:B,2,FALSE),
     "")</f>
        <v/>
      </c>
      <c r="N1109" s="2"/>
    </row>
    <row r="1110" spans="1:14" x14ac:dyDescent="0.3">
      <c r="A1110" t="s">
        <v>335</v>
      </c>
      <c r="B1110">
        <v>35</v>
      </c>
      <c r="C1110" t="s">
        <v>450</v>
      </c>
      <c r="D1110" t="str">
        <f t="shared" si="85"/>
        <v>24.04.2016</v>
      </c>
      <c r="E1110" s="1">
        <v>0.85416666666666663</v>
      </c>
      <c r="F1110" t="s">
        <v>34</v>
      </c>
      <c r="G1110" t="s">
        <v>10</v>
      </c>
      <c r="H1110" t="s">
        <v>41</v>
      </c>
      <c r="I1110" t="str">
        <f t="shared" si="86"/>
        <v>0-0</v>
      </c>
      <c r="J1110" t="str">
        <f t="shared" si="87"/>
        <v>0</v>
      </c>
      <c r="K1110" t="str">
        <f t="shared" si="88"/>
        <v>0</v>
      </c>
      <c r="L1110" t="str">
        <f t="shared" si="89"/>
        <v>Draw</v>
      </c>
      <c r="M1110" t="str">
        <f>IF(COUNTIF($A$2:A1110,A1110)=1,
     VLOOKUP(A1110,Season_Winners!A:B,2,FALSE),
     "")</f>
        <v/>
      </c>
    </row>
    <row r="1111" spans="1:14" hidden="1" x14ac:dyDescent="0.3">
      <c r="A1111" t="s">
        <v>335</v>
      </c>
      <c r="B1111">
        <v>35</v>
      </c>
      <c r="C1111" t="s">
        <v>451</v>
      </c>
      <c r="D1111" t="str">
        <f t="shared" si="85"/>
        <v>25.04.2016</v>
      </c>
      <c r="E1111" s="1">
        <v>0.85416666666666663</v>
      </c>
      <c r="F1111" t="s">
        <v>35</v>
      </c>
      <c r="G1111" t="s">
        <v>24</v>
      </c>
      <c r="H1111" s="2">
        <v>46024</v>
      </c>
      <c r="I1111" s="3" t="str">
        <f t="shared" si="86"/>
        <v/>
      </c>
      <c r="J1111" t="str">
        <f t="shared" si="87"/>
        <v/>
      </c>
      <c r="K1111" t="str">
        <f t="shared" si="88"/>
        <v/>
      </c>
      <c r="L1111" t="str">
        <f t="shared" si="89"/>
        <v/>
      </c>
      <c r="M1111" t="str">
        <f>IF(COUNTIF($A$2:A1111,A1111)=1,
     VLOOKUP(A1111,Season_Winners!A:B,2,FALSE),
     "")</f>
        <v/>
      </c>
      <c r="N1111" s="2"/>
    </row>
    <row r="1112" spans="1:14" x14ac:dyDescent="0.3">
      <c r="A1112" t="s">
        <v>335</v>
      </c>
      <c r="B1112">
        <v>36</v>
      </c>
      <c r="C1112" t="s">
        <v>452</v>
      </c>
      <c r="D1112" t="str">
        <f t="shared" si="85"/>
        <v>29.04.2016</v>
      </c>
      <c r="E1112" s="1">
        <v>0.85416666666666663</v>
      </c>
      <c r="F1112" t="s">
        <v>340</v>
      </c>
      <c r="G1112" t="s">
        <v>187</v>
      </c>
      <c r="H1112" t="s">
        <v>12</v>
      </c>
      <c r="I1112" t="str">
        <f t="shared" si="86"/>
        <v>2-0</v>
      </c>
      <c r="J1112" t="str">
        <f t="shared" si="87"/>
        <v>2</v>
      </c>
      <c r="K1112" t="str">
        <f t="shared" si="88"/>
        <v>0</v>
      </c>
      <c r="L1112" t="str">
        <f t="shared" si="89"/>
        <v>Real Sporting</v>
      </c>
      <c r="M1112" t="str">
        <f>IF(COUNTIF($A$2:A1112,A1112)=1,
     VLOOKUP(A1112,Season_Winners!A:B,2,FALSE),
     "")</f>
        <v/>
      </c>
    </row>
    <row r="1113" spans="1:14" x14ac:dyDescent="0.3">
      <c r="A1113" t="s">
        <v>335</v>
      </c>
      <c r="B1113">
        <v>36</v>
      </c>
      <c r="C1113" t="s">
        <v>453</v>
      </c>
      <c r="D1113" t="str">
        <f t="shared" si="85"/>
        <v>30.04.2016</v>
      </c>
      <c r="E1113" s="1">
        <v>0.66666666666666663</v>
      </c>
      <c r="F1113" t="s">
        <v>10</v>
      </c>
      <c r="G1113" t="s">
        <v>25</v>
      </c>
      <c r="H1113" t="s">
        <v>42</v>
      </c>
      <c r="I1113" t="str">
        <f t="shared" si="86"/>
        <v>0-1</v>
      </c>
      <c r="J1113" t="str">
        <f t="shared" si="87"/>
        <v>0</v>
      </c>
      <c r="K1113" t="str">
        <f t="shared" si="88"/>
        <v>1</v>
      </c>
      <c r="L1113" t="str">
        <f t="shared" si="89"/>
        <v>Real Madrid</v>
      </c>
      <c r="M1113" t="str">
        <f>IF(COUNTIF($A$2:A1113,A1113)=1,
     VLOOKUP(A1113,Season_Winners!A:B,2,FALSE),
     "")</f>
        <v/>
      </c>
    </row>
    <row r="1114" spans="1:14" x14ac:dyDescent="0.3">
      <c r="A1114" t="s">
        <v>335</v>
      </c>
      <c r="B1114">
        <v>36</v>
      </c>
      <c r="C1114" t="s">
        <v>453</v>
      </c>
      <c r="D1114" t="str">
        <f t="shared" si="85"/>
        <v>30.04.2016</v>
      </c>
      <c r="E1114" s="1">
        <v>0.76041666666666663</v>
      </c>
      <c r="F1114" t="s">
        <v>1425</v>
      </c>
      <c r="G1114" t="s">
        <v>30</v>
      </c>
      <c r="H1114" t="s">
        <v>18</v>
      </c>
      <c r="I1114" t="str">
        <f t="shared" si="86"/>
        <v>1-0</v>
      </c>
      <c r="J1114" t="str">
        <f t="shared" si="87"/>
        <v>1</v>
      </c>
      <c r="K1114" t="str">
        <f t="shared" si="88"/>
        <v>0</v>
      </c>
      <c r="L1114" t="str">
        <f t="shared" si="89"/>
        <v>Atlético de Madrid</v>
      </c>
      <c r="M1114" t="str">
        <f>IF(COUNTIF($A$2:A1114,A1114)=1,
     VLOOKUP(A1114,Season_Winners!A:B,2,FALSE),
     "")</f>
        <v/>
      </c>
    </row>
    <row r="1115" spans="1:14" x14ac:dyDescent="0.3">
      <c r="A1115" t="s">
        <v>335</v>
      </c>
      <c r="B1115">
        <v>36</v>
      </c>
      <c r="C1115" t="s">
        <v>453</v>
      </c>
      <c r="D1115" t="str">
        <f t="shared" si="85"/>
        <v>30.04.2016</v>
      </c>
      <c r="E1115" s="1">
        <v>0.85416666666666663</v>
      </c>
      <c r="F1115" t="s">
        <v>26</v>
      </c>
      <c r="G1115" t="s">
        <v>20</v>
      </c>
      <c r="H1115" t="s">
        <v>54</v>
      </c>
      <c r="I1115" t="str">
        <f t="shared" si="86"/>
        <v>0-2</v>
      </c>
      <c r="J1115" t="str">
        <f t="shared" si="87"/>
        <v>0</v>
      </c>
      <c r="K1115" t="str">
        <f t="shared" si="88"/>
        <v>2</v>
      </c>
      <c r="L1115" t="str">
        <f t="shared" si="89"/>
        <v>FC Barcelona</v>
      </c>
      <c r="M1115" t="str">
        <f>IF(COUNTIF($A$2:A1115,A1115)=1,
     VLOOKUP(A1115,Season_Winners!A:B,2,FALSE),
     "")</f>
        <v/>
      </c>
    </row>
    <row r="1116" spans="1:14" hidden="1" x14ac:dyDescent="0.3">
      <c r="A1116" t="s">
        <v>335</v>
      </c>
      <c r="B1116">
        <v>36</v>
      </c>
      <c r="C1116" t="s">
        <v>453</v>
      </c>
      <c r="D1116" t="str">
        <f t="shared" si="85"/>
        <v>30.04.2016</v>
      </c>
      <c r="E1116" s="1">
        <v>0.92013888888888884</v>
      </c>
      <c r="F1116" t="s">
        <v>24</v>
      </c>
      <c r="G1116" t="s">
        <v>338</v>
      </c>
      <c r="H1116" s="2">
        <v>46056</v>
      </c>
      <c r="I1116" s="3" t="str">
        <f t="shared" si="86"/>
        <v/>
      </c>
      <c r="J1116" t="str">
        <f t="shared" si="87"/>
        <v/>
      </c>
      <c r="K1116" t="str">
        <f t="shared" si="88"/>
        <v/>
      </c>
      <c r="L1116" t="str">
        <f t="shared" si="89"/>
        <v/>
      </c>
      <c r="M1116" t="str">
        <f>IF(COUNTIF($A$2:A1116,A1116)=1,
     VLOOKUP(A1116,Season_Winners!A:B,2,FALSE),
     "")</f>
        <v/>
      </c>
      <c r="N1116" s="2"/>
    </row>
    <row r="1117" spans="1:14" hidden="1" x14ac:dyDescent="0.3">
      <c r="A1117" t="s">
        <v>335</v>
      </c>
      <c r="B1117">
        <v>36</v>
      </c>
      <c r="C1117" t="s">
        <v>454</v>
      </c>
      <c r="D1117" t="str">
        <f t="shared" si="85"/>
        <v>01.05.2016</v>
      </c>
      <c r="E1117" s="1">
        <v>0.5</v>
      </c>
      <c r="F1117" t="s">
        <v>15</v>
      </c>
      <c r="G1117" t="s">
        <v>35</v>
      </c>
      <c r="H1117" s="2">
        <v>46024</v>
      </c>
      <c r="I1117" s="3" t="str">
        <f t="shared" si="86"/>
        <v/>
      </c>
      <c r="J1117" t="str">
        <f t="shared" si="87"/>
        <v/>
      </c>
      <c r="K1117" t="str">
        <f t="shared" si="88"/>
        <v/>
      </c>
      <c r="L1117" t="str">
        <f t="shared" si="89"/>
        <v/>
      </c>
      <c r="M1117" t="str">
        <f>IF(COUNTIF($A$2:A1117,A1117)=1,
     VLOOKUP(A1117,Season_Winners!A:B,2,FALSE),
     "")</f>
        <v/>
      </c>
      <c r="N1117" s="2"/>
    </row>
    <row r="1118" spans="1:14" x14ac:dyDescent="0.3">
      <c r="A1118" t="s">
        <v>335</v>
      </c>
      <c r="B1118">
        <v>36</v>
      </c>
      <c r="C1118" t="s">
        <v>454</v>
      </c>
      <c r="D1118" t="str">
        <f t="shared" si="85"/>
        <v>01.05.2016</v>
      </c>
      <c r="E1118" s="1">
        <v>0.66666666666666663</v>
      </c>
      <c r="F1118" t="s">
        <v>36</v>
      </c>
      <c r="G1118" t="s">
        <v>27</v>
      </c>
      <c r="H1118" t="s">
        <v>18</v>
      </c>
      <c r="I1118" t="str">
        <f t="shared" si="86"/>
        <v>1-0</v>
      </c>
      <c r="J1118" t="str">
        <f t="shared" si="87"/>
        <v>1</v>
      </c>
      <c r="K1118" t="str">
        <f t="shared" si="88"/>
        <v>0</v>
      </c>
      <c r="L1118" t="str">
        <f t="shared" si="89"/>
        <v>RCD Espanyol de Barcelona</v>
      </c>
      <c r="M1118" t="str">
        <f>IF(COUNTIF($A$2:A1118,A1118)=1,
     VLOOKUP(A1118,Season_Winners!A:B,2,FALSE),
     "")</f>
        <v/>
      </c>
    </row>
    <row r="1119" spans="1:14" x14ac:dyDescent="0.3">
      <c r="A1119" t="s">
        <v>335</v>
      </c>
      <c r="B1119">
        <v>36</v>
      </c>
      <c r="C1119" t="s">
        <v>454</v>
      </c>
      <c r="D1119" t="str">
        <f t="shared" si="85"/>
        <v>01.05.2016</v>
      </c>
      <c r="E1119" s="1">
        <v>0.76041666666666663</v>
      </c>
      <c r="F1119" t="s">
        <v>182</v>
      </c>
      <c r="G1119" t="s">
        <v>11</v>
      </c>
      <c r="H1119" t="s">
        <v>54</v>
      </c>
      <c r="I1119" t="str">
        <f t="shared" si="86"/>
        <v>0-2</v>
      </c>
      <c r="J1119" t="str">
        <f t="shared" si="87"/>
        <v>0</v>
      </c>
      <c r="K1119" t="str">
        <f t="shared" si="88"/>
        <v>2</v>
      </c>
      <c r="L1119" t="str">
        <f t="shared" si="89"/>
        <v>Getafe CF</v>
      </c>
      <c r="M1119" t="str">
        <f>IF(COUNTIF($A$2:A1119,A1119)=1,
     VLOOKUP(A1119,Season_Winners!A:B,2,FALSE),
     "")</f>
        <v/>
      </c>
    </row>
    <row r="1120" spans="1:14" x14ac:dyDescent="0.3">
      <c r="A1120" t="s">
        <v>335</v>
      </c>
      <c r="B1120">
        <v>36</v>
      </c>
      <c r="C1120" t="s">
        <v>454</v>
      </c>
      <c r="D1120" t="str">
        <f t="shared" si="85"/>
        <v>01.05.2016</v>
      </c>
      <c r="E1120" s="1">
        <v>0.85416666666666663</v>
      </c>
      <c r="F1120" t="s">
        <v>16</v>
      </c>
      <c r="G1120" t="s">
        <v>34</v>
      </c>
      <c r="H1120" t="s">
        <v>54</v>
      </c>
      <c r="I1120" t="str">
        <f t="shared" si="86"/>
        <v>0-2</v>
      </c>
      <c r="J1120" t="str">
        <f t="shared" si="87"/>
        <v>0</v>
      </c>
      <c r="K1120" t="str">
        <f t="shared" si="88"/>
        <v>2</v>
      </c>
      <c r="L1120" t="str">
        <f t="shared" si="89"/>
        <v>Villarreal CF</v>
      </c>
      <c r="M1120" t="str">
        <f>IF(COUNTIF($A$2:A1120,A1120)=1,
     VLOOKUP(A1120,Season_Winners!A:B,2,FALSE),
     "")</f>
        <v/>
      </c>
    </row>
    <row r="1121" spans="1:14" hidden="1" x14ac:dyDescent="0.3">
      <c r="A1121" t="s">
        <v>335</v>
      </c>
      <c r="B1121">
        <v>36</v>
      </c>
      <c r="C1121" t="s">
        <v>455</v>
      </c>
      <c r="D1121" t="str">
        <f t="shared" si="85"/>
        <v>02.05.2016</v>
      </c>
      <c r="E1121" s="1">
        <v>0.85416666666666663</v>
      </c>
      <c r="F1121" t="s">
        <v>17</v>
      </c>
      <c r="G1121" t="s">
        <v>21</v>
      </c>
      <c r="H1121" s="2">
        <v>46025</v>
      </c>
      <c r="I1121" s="3" t="str">
        <f t="shared" si="86"/>
        <v/>
      </c>
      <c r="J1121" t="str">
        <f t="shared" si="87"/>
        <v/>
      </c>
      <c r="K1121" t="str">
        <f t="shared" si="88"/>
        <v/>
      </c>
      <c r="L1121" t="str">
        <f t="shared" si="89"/>
        <v/>
      </c>
      <c r="M1121" t="str">
        <f>IF(COUNTIF($A$2:A1121,A1121)=1,
     VLOOKUP(A1121,Season_Winners!A:B,2,FALSE),
     "")</f>
        <v/>
      </c>
      <c r="N1121" s="2"/>
    </row>
    <row r="1122" spans="1:14" x14ac:dyDescent="0.3">
      <c r="A1122" t="s">
        <v>335</v>
      </c>
      <c r="B1122">
        <v>37</v>
      </c>
      <c r="C1122" t="s">
        <v>456</v>
      </c>
      <c r="D1122" t="str">
        <f t="shared" si="85"/>
        <v>08.05.2016</v>
      </c>
      <c r="E1122" s="1">
        <v>0.70833333333333337</v>
      </c>
      <c r="F1122" t="s">
        <v>20</v>
      </c>
      <c r="G1122" t="s">
        <v>36</v>
      </c>
      <c r="H1122" t="s">
        <v>40</v>
      </c>
      <c r="I1122" t="str">
        <f t="shared" si="86"/>
        <v>5-0</v>
      </c>
      <c r="J1122" t="str">
        <f t="shared" si="87"/>
        <v>5</v>
      </c>
      <c r="K1122" t="str">
        <f t="shared" si="88"/>
        <v>0</v>
      </c>
      <c r="L1122" t="str">
        <f t="shared" si="89"/>
        <v>FC Barcelona</v>
      </c>
      <c r="M1122" t="str">
        <f>IF(COUNTIF($A$2:A1122,A1122)=1,
     VLOOKUP(A1122,Season_Winners!A:B,2,FALSE),
     "")</f>
        <v/>
      </c>
    </row>
    <row r="1123" spans="1:14" x14ac:dyDescent="0.3">
      <c r="A1123" t="s">
        <v>335</v>
      </c>
      <c r="B1123">
        <v>37</v>
      </c>
      <c r="C1123" t="s">
        <v>456</v>
      </c>
      <c r="D1123" t="str">
        <f t="shared" si="85"/>
        <v>08.05.2016</v>
      </c>
      <c r="E1123" s="1">
        <v>0.70833333333333337</v>
      </c>
      <c r="F1123" t="s">
        <v>35</v>
      </c>
      <c r="G1123" t="s">
        <v>17</v>
      </c>
      <c r="H1123" t="s">
        <v>18</v>
      </c>
      <c r="I1123" t="str">
        <f t="shared" si="86"/>
        <v>1-0</v>
      </c>
      <c r="J1123" t="str">
        <f t="shared" si="87"/>
        <v>1</v>
      </c>
      <c r="K1123" t="str">
        <f t="shared" si="88"/>
        <v>0</v>
      </c>
      <c r="L1123" t="str">
        <f t="shared" si="89"/>
        <v>RC Celta</v>
      </c>
      <c r="M1123" t="str">
        <f>IF(COUNTIF($A$2:A1123,A1123)=1,
     VLOOKUP(A1123,Season_Winners!A:B,2,FALSE),
     "")</f>
        <v/>
      </c>
    </row>
    <row r="1124" spans="1:14" hidden="1" x14ac:dyDescent="0.3">
      <c r="A1124" t="s">
        <v>335</v>
      </c>
      <c r="B1124">
        <v>37</v>
      </c>
      <c r="C1124" t="s">
        <v>456</v>
      </c>
      <c r="D1124" t="str">
        <f t="shared" si="85"/>
        <v>08.05.2016</v>
      </c>
      <c r="E1124" s="1">
        <v>0.70833333333333337</v>
      </c>
      <c r="F1124" t="s">
        <v>11</v>
      </c>
      <c r="G1124" t="s">
        <v>340</v>
      </c>
      <c r="H1124" s="2">
        <v>46023</v>
      </c>
      <c r="I1124" s="3" t="str">
        <f t="shared" si="86"/>
        <v/>
      </c>
      <c r="J1124" t="str">
        <f t="shared" si="87"/>
        <v/>
      </c>
      <c r="K1124" t="str">
        <f t="shared" si="88"/>
        <v/>
      </c>
      <c r="L1124" t="str">
        <f t="shared" si="89"/>
        <v/>
      </c>
      <c r="M1124" t="str">
        <f>IF(COUNTIF($A$2:A1124,A1124)=1,
     VLOOKUP(A1124,Season_Winners!A:B,2,FALSE),
     "")</f>
        <v/>
      </c>
      <c r="N1124" s="2"/>
    </row>
    <row r="1125" spans="1:14" hidden="1" x14ac:dyDescent="0.3">
      <c r="A1125" t="s">
        <v>335</v>
      </c>
      <c r="B1125">
        <v>37</v>
      </c>
      <c r="C1125" t="s">
        <v>456</v>
      </c>
      <c r="D1125" t="str">
        <f t="shared" si="85"/>
        <v>08.05.2016</v>
      </c>
      <c r="E1125" s="1">
        <v>0.70833333333333337</v>
      </c>
      <c r="F1125" t="s">
        <v>21</v>
      </c>
      <c r="G1125" t="s">
        <v>28</v>
      </c>
      <c r="H1125" s="2">
        <v>46024</v>
      </c>
      <c r="I1125" s="3" t="str">
        <f t="shared" si="86"/>
        <v/>
      </c>
      <c r="J1125" t="str">
        <f t="shared" si="87"/>
        <v/>
      </c>
      <c r="K1125" t="str">
        <f t="shared" si="88"/>
        <v/>
      </c>
      <c r="L1125" t="str">
        <f t="shared" si="89"/>
        <v/>
      </c>
      <c r="M1125" t="str">
        <f>IF(COUNTIF($A$2:A1125,A1125)=1,
     VLOOKUP(A1125,Season_Winners!A:B,2,FALSE),
     "")</f>
        <v/>
      </c>
      <c r="N1125" s="2"/>
    </row>
    <row r="1126" spans="1:14" hidden="1" x14ac:dyDescent="0.3">
      <c r="A1126" t="s">
        <v>335</v>
      </c>
      <c r="B1126">
        <v>37</v>
      </c>
      <c r="C1126" t="s">
        <v>456</v>
      </c>
      <c r="D1126" t="str">
        <f t="shared" si="85"/>
        <v>08.05.2016</v>
      </c>
      <c r="E1126" s="1">
        <v>0.70833333333333337</v>
      </c>
      <c r="F1126" t="s">
        <v>25</v>
      </c>
      <c r="G1126" t="s">
        <v>16</v>
      </c>
      <c r="H1126" s="2">
        <v>46056</v>
      </c>
      <c r="I1126" s="3" t="str">
        <f t="shared" si="86"/>
        <v/>
      </c>
      <c r="J1126" t="str">
        <f t="shared" si="87"/>
        <v/>
      </c>
      <c r="K1126" t="str">
        <f t="shared" si="88"/>
        <v/>
      </c>
      <c r="L1126" t="str">
        <f t="shared" si="89"/>
        <v/>
      </c>
      <c r="M1126" t="str">
        <f>IF(COUNTIF($A$2:A1126,A1126)=1,
     VLOOKUP(A1126,Season_Winners!A:B,2,FALSE),
     "")</f>
        <v/>
      </c>
      <c r="N1126" s="2"/>
    </row>
    <row r="1127" spans="1:14" hidden="1" x14ac:dyDescent="0.3">
      <c r="A1127" t="s">
        <v>335</v>
      </c>
      <c r="B1127">
        <v>37</v>
      </c>
      <c r="C1127" t="s">
        <v>456</v>
      </c>
      <c r="D1127" t="str">
        <f t="shared" si="85"/>
        <v>08.05.2016</v>
      </c>
      <c r="E1127" s="1">
        <v>0.70833333333333337</v>
      </c>
      <c r="F1127" t="s">
        <v>10</v>
      </c>
      <c r="G1127" t="s">
        <v>30</v>
      </c>
      <c r="H1127" s="2">
        <v>46024</v>
      </c>
      <c r="I1127" s="3" t="str">
        <f t="shared" si="86"/>
        <v/>
      </c>
      <c r="J1127" t="str">
        <f t="shared" si="87"/>
        <v/>
      </c>
      <c r="K1127" t="str">
        <f t="shared" si="88"/>
        <v/>
      </c>
      <c r="L1127" t="str">
        <f t="shared" si="89"/>
        <v/>
      </c>
      <c r="M1127" t="str">
        <f>IF(COUNTIF($A$2:A1127,A1127)=1,
     VLOOKUP(A1127,Season_Winners!A:B,2,FALSE),
     "")</f>
        <v/>
      </c>
      <c r="N1127" s="2"/>
    </row>
    <row r="1128" spans="1:14" hidden="1" x14ac:dyDescent="0.3">
      <c r="A1128" t="s">
        <v>335</v>
      </c>
      <c r="B1128">
        <v>37</v>
      </c>
      <c r="C1128" t="s">
        <v>456</v>
      </c>
      <c r="D1128" t="str">
        <f t="shared" si="85"/>
        <v>08.05.2016</v>
      </c>
      <c r="E1128" s="1">
        <v>0.70833333333333337</v>
      </c>
      <c r="F1128" t="s">
        <v>27</v>
      </c>
      <c r="G1128" t="s">
        <v>24</v>
      </c>
      <c r="H1128" s="2">
        <v>46113</v>
      </c>
      <c r="I1128" s="3" t="str">
        <f t="shared" si="86"/>
        <v/>
      </c>
      <c r="J1128" t="str">
        <f t="shared" si="87"/>
        <v/>
      </c>
      <c r="K1128" t="str">
        <f t="shared" si="88"/>
        <v/>
      </c>
      <c r="L1128" t="str">
        <f t="shared" si="89"/>
        <v/>
      </c>
      <c r="M1128" t="str">
        <f>IF(COUNTIF($A$2:A1128,A1128)=1,
     VLOOKUP(A1128,Season_Winners!A:B,2,FALSE),
     "")</f>
        <v/>
      </c>
      <c r="N1128" s="2"/>
    </row>
    <row r="1129" spans="1:14" x14ac:dyDescent="0.3">
      <c r="A1129" t="s">
        <v>335</v>
      </c>
      <c r="B1129">
        <v>37</v>
      </c>
      <c r="C1129" t="s">
        <v>456</v>
      </c>
      <c r="D1129" t="str">
        <f t="shared" si="85"/>
        <v>08.05.2016</v>
      </c>
      <c r="E1129" s="1">
        <v>0.70833333333333337</v>
      </c>
      <c r="F1129" t="s">
        <v>34</v>
      </c>
      <c r="G1129" t="s">
        <v>182</v>
      </c>
      <c r="H1129" t="s">
        <v>54</v>
      </c>
      <c r="I1129" t="str">
        <f t="shared" si="86"/>
        <v>0-2</v>
      </c>
      <c r="J1129" t="str">
        <f t="shared" si="87"/>
        <v>0</v>
      </c>
      <c r="K1129" t="str">
        <f t="shared" si="88"/>
        <v>2</v>
      </c>
      <c r="L1129" t="str">
        <f t="shared" si="89"/>
        <v>RC Deportivo</v>
      </c>
      <c r="M1129" t="str">
        <f>IF(COUNTIF($A$2:A1129,A1129)=1,
     VLOOKUP(A1129,Season_Winners!A:B,2,FALSE),
     "")</f>
        <v/>
      </c>
    </row>
    <row r="1130" spans="1:14" hidden="1" x14ac:dyDescent="0.3">
      <c r="A1130" t="s">
        <v>335</v>
      </c>
      <c r="B1130">
        <v>37</v>
      </c>
      <c r="C1130" t="s">
        <v>456</v>
      </c>
      <c r="D1130" t="str">
        <f t="shared" si="85"/>
        <v>08.05.2016</v>
      </c>
      <c r="E1130" s="1">
        <v>0.70833333333333337</v>
      </c>
      <c r="F1130" t="s">
        <v>187</v>
      </c>
      <c r="G1130" t="s">
        <v>26</v>
      </c>
      <c r="H1130" s="2">
        <v>46023</v>
      </c>
      <c r="I1130" s="3" t="str">
        <f t="shared" si="86"/>
        <v/>
      </c>
      <c r="J1130" t="str">
        <f t="shared" si="87"/>
        <v/>
      </c>
      <c r="K1130" t="str">
        <f t="shared" si="88"/>
        <v/>
      </c>
      <c r="L1130" t="str">
        <f t="shared" si="89"/>
        <v/>
      </c>
      <c r="M1130" t="str">
        <f>IF(COUNTIF($A$2:A1130,A1130)=1,
     VLOOKUP(A1130,Season_Winners!A:B,2,FALSE),
     "")</f>
        <v/>
      </c>
      <c r="N1130" s="2"/>
    </row>
    <row r="1131" spans="1:14" x14ac:dyDescent="0.3">
      <c r="A1131" t="s">
        <v>335</v>
      </c>
      <c r="B1131">
        <v>37</v>
      </c>
      <c r="C1131" t="s">
        <v>456</v>
      </c>
      <c r="D1131" t="str">
        <f t="shared" si="85"/>
        <v>08.05.2016</v>
      </c>
      <c r="E1131" s="1">
        <v>0.70833333333333337</v>
      </c>
      <c r="F1131" t="s">
        <v>338</v>
      </c>
      <c r="G1131" t="s">
        <v>15</v>
      </c>
      <c r="H1131" t="s">
        <v>41</v>
      </c>
      <c r="I1131" t="str">
        <f t="shared" si="86"/>
        <v>0-0</v>
      </c>
      <c r="J1131" t="str">
        <f t="shared" si="87"/>
        <v>0</v>
      </c>
      <c r="K1131" t="str">
        <f t="shared" si="88"/>
        <v>0</v>
      </c>
      <c r="L1131" t="str">
        <f t="shared" si="89"/>
        <v>Draw</v>
      </c>
      <c r="M1131" t="str">
        <f>IF(COUNTIF($A$2:A1131,A1131)=1,
     VLOOKUP(A1131,Season_Winners!A:B,2,FALSE),
     "")</f>
        <v/>
      </c>
    </row>
    <row r="1132" spans="1:14" x14ac:dyDescent="0.3">
      <c r="A1132" t="s">
        <v>335</v>
      </c>
      <c r="B1132">
        <v>38</v>
      </c>
      <c r="C1132" t="s">
        <v>457</v>
      </c>
      <c r="D1132" t="str">
        <f t="shared" si="85"/>
        <v>13.05.2016</v>
      </c>
      <c r="E1132" s="1">
        <v>0.85416666666666663</v>
      </c>
      <c r="F1132" t="s">
        <v>16</v>
      </c>
      <c r="G1132" t="s">
        <v>10</v>
      </c>
      <c r="H1132" t="s">
        <v>42</v>
      </c>
      <c r="I1132" t="str">
        <f t="shared" si="86"/>
        <v>0-1</v>
      </c>
      <c r="J1132" t="str">
        <f t="shared" si="87"/>
        <v>0</v>
      </c>
      <c r="K1132" t="str">
        <f t="shared" si="88"/>
        <v>1</v>
      </c>
      <c r="L1132" t="str">
        <f t="shared" si="89"/>
        <v>Real Sociedad</v>
      </c>
      <c r="M1132" t="str">
        <f>IF(COUNTIF($A$2:A1132,A1132)=1,
     VLOOKUP(A1132,Season_Winners!A:B,2,FALSE),
     "")</f>
        <v/>
      </c>
    </row>
    <row r="1133" spans="1:14" x14ac:dyDescent="0.3">
      <c r="A1133" t="s">
        <v>335</v>
      </c>
      <c r="B1133">
        <v>38</v>
      </c>
      <c r="C1133" t="s">
        <v>458</v>
      </c>
      <c r="D1133" t="str">
        <f t="shared" si="85"/>
        <v>14.05.2016</v>
      </c>
      <c r="E1133" s="1">
        <v>0.70833333333333337</v>
      </c>
      <c r="F1133" t="s">
        <v>24</v>
      </c>
      <c r="G1133" t="s">
        <v>20</v>
      </c>
      <c r="H1133" t="s">
        <v>46</v>
      </c>
      <c r="I1133" t="str">
        <f t="shared" si="86"/>
        <v>0-3</v>
      </c>
      <c r="J1133" t="str">
        <f t="shared" si="87"/>
        <v>0</v>
      </c>
      <c r="K1133" t="str">
        <f t="shared" si="88"/>
        <v>3</v>
      </c>
      <c r="L1133" t="str">
        <f t="shared" si="89"/>
        <v>FC Barcelona</v>
      </c>
      <c r="M1133" t="str">
        <f>IF(COUNTIF($A$2:A1133,A1133)=1,
     VLOOKUP(A1133,Season_Winners!A:B,2,FALSE),
     "")</f>
        <v/>
      </c>
    </row>
    <row r="1134" spans="1:14" x14ac:dyDescent="0.3">
      <c r="A1134" t="s">
        <v>335</v>
      </c>
      <c r="B1134">
        <v>38</v>
      </c>
      <c r="C1134" t="s">
        <v>458</v>
      </c>
      <c r="D1134" t="str">
        <f t="shared" si="85"/>
        <v>14.05.2016</v>
      </c>
      <c r="E1134" s="1">
        <v>0.70833333333333337</v>
      </c>
      <c r="F1134" t="s">
        <v>182</v>
      </c>
      <c r="G1134" t="s">
        <v>25</v>
      </c>
      <c r="H1134" t="s">
        <v>54</v>
      </c>
      <c r="I1134" t="str">
        <f t="shared" si="86"/>
        <v>0-2</v>
      </c>
      <c r="J1134" t="str">
        <f t="shared" si="87"/>
        <v>0</v>
      </c>
      <c r="K1134" t="str">
        <f t="shared" si="88"/>
        <v>2</v>
      </c>
      <c r="L1134" t="str">
        <f t="shared" si="89"/>
        <v>Real Madrid</v>
      </c>
      <c r="M1134" t="str">
        <f>IF(COUNTIF($A$2:A1134,A1134)=1,
     VLOOKUP(A1134,Season_Winners!A:B,2,FALSE),
     "")</f>
        <v/>
      </c>
    </row>
    <row r="1135" spans="1:14" x14ac:dyDescent="0.3">
      <c r="A1135" t="s">
        <v>335</v>
      </c>
      <c r="B1135">
        <v>38</v>
      </c>
      <c r="C1135" t="s">
        <v>458</v>
      </c>
      <c r="D1135" t="str">
        <f t="shared" si="85"/>
        <v>14.05.2016</v>
      </c>
      <c r="E1135" s="1">
        <v>0.8125</v>
      </c>
      <c r="F1135" t="s">
        <v>1425</v>
      </c>
      <c r="G1135" t="s">
        <v>35</v>
      </c>
      <c r="H1135" t="s">
        <v>12</v>
      </c>
      <c r="I1135" t="str">
        <f t="shared" si="86"/>
        <v>2-0</v>
      </c>
      <c r="J1135" t="str">
        <f t="shared" si="87"/>
        <v>2</v>
      </c>
      <c r="K1135" t="str">
        <f t="shared" si="88"/>
        <v>0</v>
      </c>
      <c r="L1135" t="str">
        <f t="shared" si="89"/>
        <v>Atlético de Madrid</v>
      </c>
      <c r="M1135" t="str">
        <f>IF(COUNTIF($A$2:A1135,A1135)=1,
     VLOOKUP(A1135,Season_Winners!A:B,2,FALSE),
     "")</f>
        <v/>
      </c>
    </row>
    <row r="1136" spans="1:14" hidden="1" x14ac:dyDescent="0.3">
      <c r="A1136" t="s">
        <v>335</v>
      </c>
      <c r="B1136">
        <v>38</v>
      </c>
      <c r="C1136" t="s">
        <v>458</v>
      </c>
      <c r="D1136" t="str">
        <f t="shared" si="85"/>
        <v>14.05.2016</v>
      </c>
      <c r="E1136" s="1">
        <v>0.8125</v>
      </c>
      <c r="F1136" t="s">
        <v>15</v>
      </c>
      <c r="G1136" t="s">
        <v>27</v>
      </c>
      <c r="H1136" s="2">
        <v>46025</v>
      </c>
      <c r="I1136" s="3" t="str">
        <f t="shared" si="86"/>
        <v/>
      </c>
      <c r="J1136" t="str">
        <f t="shared" si="87"/>
        <v/>
      </c>
      <c r="K1136" t="str">
        <f t="shared" si="88"/>
        <v/>
      </c>
      <c r="L1136" t="str">
        <f t="shared" si="89"/>
        <v/>
      </c>
      <c r="M1136" t="str">
        <f>IF(COUNTIF($A$2:A1136,A1136)=1,
     VLOOKUP(A1136,Season_Winners!A:B,2,FALSE),
     "")</f>
        <v/>
      </c>
      <c r="N1136" s="2"/>
    </row>
    <row r="1137" spans="1:14" hidden="1" x14ac:dyDescent="0.3">
      <c r="A1137" t="s">
        <v>335</v>
      </c>
      <c r="B1137">
        <v>38</v>
      </c>
      <c r="C1137" t="s">
        <v>459</v>
      </c>
      <c r="D1137" t="str">
        <f t="shared" si="85"/>
        <v>15.05.2016</v>
      </c>
      <c r="E1137" s="1">
        <v>0.5</v>
      </c>
      <c r="F1137" t="s">
        <v>17</v>
      </c>
      <c r="G1137" t="s">
        <v>338</v>
      </c>
      <c r="H1137" s="2">
        <v>46026</v>
      </c>
      <c r="I1137" s="3" t="str">
        <f t="shared" si="86"/>
        <v/>
      </c>
      <c r="J1137" t="str">
        <f t="shared" si="87"/>
        <v/>
      </c>
      <c r="K1137" t="str">
        <f t="shared" si="88"/>
        <v/>
      </c>
      <c r="L1137" t="str">
        <f t="shared" si="89"/>
        <v/>
      </c>
      <c r="M1137" t="str">
        <f>IF(COUNTIF($A$2:A1137,A1137)=1,
     VLOOKUP(A1137,Season_Winners!A:B,2,FALSE),
     "")</f>
        <v/>
      </c>
      <c r="N1137" s="2"/>
    </row>
    <row r="1138" spans="1:14" hidden="1" x14ac:dyDescent="0.3">
      <c r="A1138" t="s">
        <v>335</v>
      </c>
      <c r="B1138">
        <v>38</v>
      </c>
      <c r="C1138" t="s">
        <v>459</v>
      </c>
      <c r="D1138" t="str">
        <f t="shared" si="85"/>
        <v>15.05.2016</v>
      </c>
      <c r="E1138" s="1">
        <v>0.79166666666666663</v>
      </c>
      <c r="F1138" t="s">
        <v>36</v>
      </c>
      <c r="G1138" t="s">
        <v>187</v>
      </c>
      <c r="H1138" s="2">
        <v>46057</v>
      </c>
      <c r="I1138" s="3" t="str">
        <f t="shared" si="86"/>
        <v/>
      </c>
      <c r="J1138" t="str">
        <f t="shared" si="87"/>
        <v/>
      </c>
      <c r="K1138" t="str">
        <f t="shared" si="88"/>
        <v/>
      </c>
      <c r="L1138" t="str">
        <f t="shared" si="89"/>
        <v/>
      </c>
      <c r="M1138" t="str">
        <f>IF(COUNTIF($A$2:A1138,A1138)=1,
     VLOOKUP(A1138,Season_Winners!A:B,2,FALSE),
     "")</f>
        <v/>
      </c>
      <c r="N1138" s="2"/>
    </row>
    <row r="1139" spans="1:14" hidden="1" x14ac:dyDescent="0.3">
      <c r="A1139" t="s">
        <v>335</v>
      </c>
      <c r="B1139">
        <v>38</v>
      </c>
      <c r="C1139" t="s">
        <v>459</v>
      </c>
      <c r="D1139" t="str">
        <f t="shared" si="85"/>
        <v>15.05.2016</v>
      </c>
      <c r="E1139" s="1">
        <v>0.8125</v>
      </c>
      <c r="F1139" t="s">
        <v>26</v>
      </c>
      <c r="G1139" t="s">
        <v>11</v>
      </c>
      <c r="H1139" s="2">
        <v>46024</v>
      </c>
      <c r="I1139" s="3" t="str">
        <f t="shared" si="86"/>
        <v/>
      </c>
      <c r="J1139" t="str">
        <f t="shared" si="87"/>
        <v/>
      </c>
      <c r="K1139" t="str">
        <f t="shared" si="88"/>
        <v/>
      </c>
      <c r="L1139" t="str">
        <f t="shared" si="89"/>
        <v/>
      </c>
      <c r="M1139" t="str">
        <f>IF(COUNTIF($A$2:A1139,A1139)=1,
     VLOOKUP(A1139,Season_Winners!A:B,2,FALSE),
     "")</f>
        <v/>
      </c>
      <c r="N1139" s="2"/>
    </row>
    <row r="1140" spans="1:14" hidden="1" x14ac:dyDescent="0.3">
      <c r="A1140" t="s">
        <v>335</v>
      </c>
      <c r="B1140">
        <v>38</v>
      </c>
      <c r="C1140" t="s">
        <v>459</v>
      </c>
      <c r="D1140" t="str">
        <f t="shared" si="85"/>
        <v>15.05.2016</v>
      </c>
      <c r="E1140" s="1">
        <v>0.8125</v>
      </c>
      <c r="F1140" t="s">
        <v>30</v>
      </c>
      <c r="G1140" t="s">
        <v>21</v>
      </c>
      <c r="H1140" s="2">
        <v>46025</v>
      </c>
      <c r="I1140" s="3" t="str">
        <f t="shared" si="86"/>
        <v/>
      </c>
      <c r="J1140" t="str">
        <f t="shared" si="87"/>
        <v/>
      </c>
      <c r="K1140" t="str">
        <f t="shared" si="88"/>
        <v/>
      </c>
      <c r="L1140" t="str">
        <f t="shared" si="89"/>
        <v/>
      </c>
      <c r="M1140" t="str">
        <f>IF(COUNTIF($A$2:A1140,A1140)=1,
     VLOOKUP(A1140,Season_Winners!A:B,2,FALSE),
     "")</f>
        <v/>
      </c>
      <c r="N1140" s="2"/>
    </row>
    <row r="1141" spans="1:14" x14ac:dyDescent="0.3">
      <c r="A1141" t="s">
        <v>335</v>
      </c>
      <c r="B1141">
        <v>38</v>
      </c>
      <c r="C1141" t="s">
        <v>459</v>
      </c>
      <c r="D1141" t="str">
        <f t="shared" si="85"/>
        <v>15.05.2016</v>
      </c>
      <c r="E1141" s="1">
        <v>0.8125</v>
      </c>
      <c r="F1141" t="s">
        <v>340</v>
      </c>
      <c r="G1141" t="s">
        <v>34</v>
      </c>
      <c r="H1141" t="s">
        <v>12</v>
      </c>
      <c r="I1141" t="str">
        <f t="shared" si="86"/>
        <v>2-0</v>
      </c>
      <c r="J1141" t="str">
        <f t="shared" si="87"/>
        <v>2</v>
      </c>
      <c r="K1141" t="str">
        <f t="shared" si="88"/>
        <v>0</v>
      </c>
      <c r="L1141" t="str">
        <f t="shared" si="89"/>
        <v>Real Sporting</v>
      </c>
      <c r="M1141" t="str">
        <f>IF(COUNTIF($A$2:A1141,A1141)=1,
     VLOOKUP(A1141,Season_Winners!A:B,2,FALSE),
     "")</f>
        <v/>
      </c>
    </row>
    <row r="1142" spans="1:14" hidden="1" x14ac:dyDescent="0.3">
      <c r="A1142" t="s">
        <v>460</v>
      </c>
      <c r="B1142">
        <v>1</v>
      </c>
      <c r="C1142" t="s">
        <v>461</v>
      </c>
      <c r="D1142" t="str">
        <f t="shared" si="85"/>
        <v>19.08.2016</v>
      </c>
      <c r="E1142" s="1">
        <v>0.86458333333333337</v>
      </c>
      <c r="F1142" t="s">
        <v>17</v>
      </c>
      <c r="G1142" t="s">
        <v>23</v>
      </c>
      <c r="H1142" s="2">
        <v>46023</v>
      </c>
      <c r="I1142" s="3" t="str">
        <f t="shared" si="86"/>
        <v/>
      </c>
      <c r="J1142" t="str">
        <f t="shared" si="87"/>
        <v/>
      </c>
      <c r="K1142" t="str">
        <f t="shared" si="88"/>
        <v/>
      </c>
      <c r="L1142" t="str">
        <f t="shared" si="89"/>
        <v/>
      </c>
      <c r="M1142" t="str">
        <f>IF(COUNTIF($A$2:A1142,A1142)=1,
     VLOOKUP(A1142,Season_Winners!A:B,2,FALSE),
     "")</f>
        <v>Real Madrid</v>
      </c>
      <c r="N1142" s="2"/>
    </row>
    <row r="1143" spans="1:14" hidden="1" x14ac:dyDescent="0.3">
      <c r="A1143" t="s">
        <v>460</v>
      </c>
      <c r="B1143">
        <v>1</v>
      </c>
      <c r="C1143" t="s">
        <v>461</v>
      </c>
      <c r="D1143" t="str">
        <f t="shared" si="85"/>
        <v>19.08.2016</v>
      </c>
      <c r="E1143" s="1">
        <v>0.91666666666666663</v>
      </c>
      <c r="F1143" t="s">
        <v>182</v>
      </c>
      <c r="G1143" t="s">
        <v>187</v>
      </c>
      <c r="H1143" s="2">
        <v>46024</v>
      </c>
      <c r="I1143" s="3" t="str">
        <f t="shared" si="86"/>
        <v/>
      </c>
      <c r="J1143" t="str">
        <f t="shared" si="87"/>
        <v/>
      </c>
      <c r="K1143" t="str">
        <f t="shared" si="88"/>
        <v/>
      </c>
      <c r="L1143" t="str">
        <f t="shared" si="89"/>
        <v/>
      </c>
      <c r="M1143" t="str">
        <f>IF(COUNTIF($A$2:A1143,A1143)=1,
     VLOOKUP(A1143,Season_Winners!A:B,2,FALSE),
     "")</f>
        <v/>
      </c>
      <c r="N1143" s="2"/>
    </row>
    <row r="1144" spans="1:14" hidden="1" x14ac:dyDescent="0.3">
      <c r="A1144" t="s">
        <v>460</v>
      </c>
      <c r="B1144">
        <v>1</v>
      </c>
      <c r="C1144" t="s">
        <v>462</v>
      </c>
      <c r="D1144" t="str">
        <f t="shared" si="85"/>
        <v>20.08.2016</v>
      </c>
      <c r="E1144" s="1">
        <v>0.76041666666666663</v>
      </c>
      <c r="F1144" t="s">
        <v>20</v>
      </c>
      <c r="G1144" t="s">
        <v>26</v>
      </c>
      <c r="H1144" s="2">
        <v>46059</v>
      </c>
      <c r="I1144" s="3" t="str">
        <f t="shared" si="86"/>
        <v/>
      </c>
      <c r="J1144" t="str">
        <f t="shared" si="87"/>
        <v/>
      </c>
      <c r="K1144" t="str">
        <f t="shared" si="88"/>
        <v/>
      </c>
      <c r="L1144" t="str">
        <f t="shared" si="89"/>
        <v/>
      </c>
      <c r="M1144" t="str">
        <f>IF(COUNTIF($A$2:A1144,A1144)=1,
     VLOOKUP(A1144,Season_Winners!A:B,2,FALSE),
     "")</f>
        <v/>
      </c>
      <c r="N1144" s="2"/>
    </row>
    <row r="1145" spans="1:14" hidden="1" x14ac:dyDescent="0.3">
      <c r="A1145" t="s">
        <v>460</v>
      </c>
      <c r="B1145">
        <v>1</v>
      </c>
      <c r="C1145" t="s">
        <v>462</v>
      </c>
      <c r="D1145" t="str">
        <f t="shared" si="85"/>
        <v>20.08.2016</v>
      </c>
      <c r="E1145" s="1">
        <v>0.84375</v>
      </c>
      <c r="F1145" t="s">
        <v>24</v>
      </c>
      <c r="G1145" t="s">
        <v>34</v>
      </c>
      <c r="H1145" s="2">
        <v>46023</v>
      </c>
      <c r="I1145" s="3" t="str">
        <f t="shared" si="86"/>
        <v/>
      </c>
      <c r="J1145" t="str">
        <f t="shared" si="87"/>
        <v/>
      </c>
      <c r="K1145" t="str">
        <f t="shared" si="88"/>
        <v/>
      </c>
      <c r="L1145" t="str">
        <f t="shared" si="89"/>
        <v/>
      </c>
      <c r="M1145" t="str">
        <f>IF(COUNTIF($A$2:A1145,A1145)=1,
     VLOOKUP(A1145,Season_Winners!A:B,2,FALSE),
     "")</f>
        <v/>
      </c>
      <c r="N1145" s="2"/>
    </row>
    <row r="1146" spans="1:14" hidden="1" x14ac:dyDescent="0.3">
      <c r="A1146" t="s">
        <v>460</v>
      </c>
      <c r="B1146">
        <v>1</v>
      </c>
      <c r="C1146" t="s">
        <v>462</v>
      </c>
      <c r="D1146" t="str">
        <f t="shared" si="85"/>
        <v>20.08.2016</v>
      </c>
      <c r="E1146" s="1">
        <v>0.92708333333333337</v>
      </c>
      <c r="F1146" t="s">
        <v>27</v>
      </c>
      <c r="G1146" t="s">
        <v>36</v>
      </c>
      <c r="H1146" s="2">
        <v>46118</v>
      </c>
      <c r="I1146" s="3" t="str">
        <f t="shared" si="86"/>
        <v/>
      </c>
      <c r="J1146" t="str">
        <f t="shared" si="87"/>
        <v/>
      </c>
      <c r="K1146" t="str">
        <f t="shared" si="88"/>
        <v/>
      </c>
      <c r="L1146" t="str">
        <f t="shared" si="89"/>
        <v/>
      </c>
      <c r="M1146" t="str">
        <f>IF(COUNTIF($A$2:A1146,A1146)=1,
     VLOOKUP(A1146,Season_Winners!A:B,2,FALSE),
     "")</f>
        <v/>
      </c>
      <c r="N1146" s="2"/>
    </row>
    <row r="1147" spans="1:14" hidden="1" x14ac:dyDescent="0.3">
      <c r="A1147" t="s">
        <v>460</v>
      </c>
      <c r="B1147">
        <v>1</v>
      </c>
      <c r="C1147" t="s">
        <v>463</v>
      </c>
      <c r="D1147" t="str">
        <f t="shared" si="85"/>
        <v>21.08.2016</v>
      </c>
      <c r="E1147" s="1">
        <v>0.76041666666666663</v>
      </c>
      <c r="F1147" t="s">
        <v>340</v>
      </c>
      <c r="G1147" t="s">
        <v>15</v>
      </c>
      <c r="H1147" s="2">
        <v>46024</v>
      </c>
      <c r="I1147" s="3" t="str">
        <f t="shared" si="86"/>
        <v/>
      </c>
      <c r="J1147" t="str">
        <f t="shared" si="87"/>
        <v/>
      </c>
      <c r="K1147" t="str">
        <f t="shared" si="88"/>
        <v/>
      </c>
      <c r="L1147" t="str">
        <f t="shared" si="89"/>
        <v/>
      </c>
      <c r="M1147" t="str">
        <f>IF(COUNTIF($A$2:A1147,A1147)=1,
     VLOOKUP(A1147,Season_Winners!A:B,2,FALSE),
     "")</f>
        <v/>
      </c>
      <c r="N1147" s="2"/>
    </row>
    <row r="1148" spans="1:14" x14ac:dyDescent="0.3">
      <c r="A1148" t="s">
        <v>460</v>
      </c>
      <c r="B1148">
        <v>1</v>
      </c>
      <c r="C1148" t="s">
        <v>463</v>
      </c>
      <c r="D1148" t="str">
        <f t="shared" si="85"/>
        <v>21.08.2016</v>
      </c>
      <c r="E1148" s="1">
        <v>0.84375</v>
      </c>
      <c r="F1148" t="s">
        <v>10</v>
      </c>
      <c r="G1148" t="s">
        <v>25</v>
      </c>
      <c r="H1148" t="s">
        <v>46</v>
      </c>
      <c r="I1148" t="str">
        <f t="shared" si="86"/>
        <v>0-3</v>
      </c>
      <c r="J1148" t="str">
        <f t="shared" si="87"/>
        <v>0</v>
      </c>
      <c r="K1148" t="str">
        <f t="shared" si="88"/>
        <v>3</v>
      </c>
      <c r="L1148" t="str">
        <f t="shared" si="89"/>
        <v>Real Madrid</v>
      </c>
      <c r="M1148" t="s">
        <v>25</v>
      </c>
    </row>
    <row r="1149" spans="1:14" hidden="1" x14ac:dyDescent="0.3">
      <c r="A1149" t="s">
        <v>460</v>
      </c>
      <c r="B1149">
        <v>1</v>
      </c>
      <c r="C1149" t="s">
        <v>463</v>
      </c>
      <c r="D1149" t="str">
        <f t="shared" si="85"/>
        <v>21.08.2016</v>
      </c>
      <c r="E1149" s="1">
        <v>0.92708333333333337</v>
      </c>
      <c r="F1149" t="s">
        <v>28</v>
      </c>
      <c r="G1149" t="s">
        <v>464</v>
      </c>
      <c r="H1149" s="2">
        <v>46023</v>
      </c>
      <c r="I1149" s="3" t="str">
        <f t="shared" si="86"/>
        <v/>
      </c>
      <c r="J1149" t="str">
        <f t="shared" si="87"/>
        <v/>
      </c>
      <c r="K1149" t="str">
        <f t="shared" si="88"/>
        <v/>
      </c>
      <c r="L1149" t="str">
        <f t="shared" si="89"/>
        <v/>
      </c>
      <c r="M1149" t="str">
        <f>IF(COUNTIF($A$2:A1149,A1149)=1,
     VLOOKUP(A1149,Season_Winners!A:B,2,FALSE),
     "")</f>
        <v/>
      </c>
      <c r="N1149" s="2"/>
    </row>
    <row r="1150" spans="1:14" x14ac:dyDescent="0.3">
      <c r="A1150" t="s">
        <v>460</v>
      </c>
      <c r="B1150">
        <v>1</v>
      </c>
      <c r="C1150" t="s">
        <v>465</v>
      </c>
      <c r="D1150" t="str">
        <f t="shared" si="85"/>
        <v>22.08.2016</v>
      </c>
      <c r="E1150" s="1">
        <v>0.83333333333333337</v>
      </c>
      <c r="F1150" t="s">
        <v>35</v>
      </c>
      <c r="G1150" t="s">
        <v>466</v>
      </c>
      <c r="H1150" t="s">
        <v>42</v>
      </c>
      <c r="I1150" t="str">
        <f t="shared" si="86"/>
        <v>0-1</v>
      </c>
      <c r="J1150" t="str">
        <f t="shared" si="87"/>
        <v>0</v>
      </c>
      <c r="K1150" t="str">
        <f t="shared" si="88"/>
        <v>1</v>
      </c>
      <c r="L1150" t="str">
        <f t="shared" si="89"/>
        <v>CD LeganÃ©s</v>
      </c>
      <c r="M1150" t="str">
        <f>IF(COUNTIF($A$2:A1150,A1150)=1,
     VLOOKUP(A1150,Season_Winners!A:B,2,FALSE),
     "")</f>
        <v/>
      </c>
    </row>
    <row r="1151" spans="1:14" hidden="1" x14ac:dyDescent="0.3">
      <c r="A1151" t="s">
        <v>460</v>
      </c>
      <c r="B1151">
        <v>1</v>
      </c>
      <c r="C1151" t="s">
        <v>465</v>
      </c>
      <c r="D1151" t="str">
        <f t="shared" si="85"/>
        <v>22.08.2016</v>
      </c>
      <c r="E1151" s="1">
        <v>0.91666666666666663</v>
      </c>
      <c r="F1151" t="s">
        <v>16</v>
      </c>
      <c r="G1151" t="s">
        <v>338</v>
      </c>
      <c r="H1151" s="2">
        <v>46114</v>
      </c>
      <c r="I1151" s="3" t="str">
        <f t="shared" si="86"/>
        <v/>
      </c>
      <c r="J1151" t="str">
        <f t="shared" si="87"/>
        <v/>
      </c>
      <c r="K1151" t="str">
        <f t="shared" si="88"/>
        <v/>
      </c>
      <c r="L1151" t="str">
        <f t="shared" si="89"/>
        <v/>
      </c>
      <c r="M1151" t="str">
        <f>IF(COUNTIF($A$2:A1151,A1151)=1,
     VLOOKUP(A1151,Season_Winners!A:B,2,FALSE),
     "")</f>
        <v/>
      </c>
      <c r="N1151" s="2"/>
    </row>
    <row r="1152" spans="1:14" x14ac:dyDescent="0.3">
      <c r="A1152" t="s">
        <v>460</v>
      </c>
      <c r="B1152">
        <v>2</v>
      </c>
      <c r="C1152" t="s">
        <v>468</v>
      </c>
      <c r="D1152" t="str">
        <f t="shared" si="85"/>
        <v>26.08.2016</v>
      </c>
      <c r="E1152" s="1">
        <v>0.86458333333333337</v>
      </c>
      <c r="F1152" t="s">
        <v>26</v>
      </c>
      <c r="G1152" t="s">
        <v>182</v>
      </c>
      <c r="H1152" t="s">
        <v>41</v>
      </c>
      <c r="I1152" t="str">
        <f t="shared" si="86"/>
        <v>0-0</v>
      </c>
      <c r="J1152" t="str">
        <f t="shared" si="87"/>
        <v>0</v>
      </c>
      <c r="K1152" t="str">
        <f t="shared" si="88"/>
        <v>0</v>
      </c>
      <c r="L1152" t="str">
        <f t="shared" si="89"/>
        <v>Draw</v>
      </c>
      <c r="M1152" t="str">
        <f>IF(COUNTIF($A$2:A1152,A1152)=1,
     VLOOKUP(A1152,Season_Winners!A:B,2,FALSE),
     "")</f>
        <v/>
      </c>
    </row>
    <row r="1153" spans="1:14" hidden="1" x14ac:dyDescent="0.3">
      <c r="A1153" t="s">
        <v>460</v>
      </c>
      <c r="B1153">
        <v>2</v>
      </c>
      <c r="C1153" t="s">
        <v>468</v>
      </c>
      <c r="D1153" t="str">
        <f t="shared" si="85"/>
        <v>26.08.2016</v>
      </c>
      <c r="E1153" s="1">
        <v>0.91666666666666663</v>
      </c>
      <c r="F1153" t="s">
        <v>36</v>
      </c>
      <c r="G1153" t="s">
        <v>17</v>
      </c>
      <c r="H1153" s="2">
        <v>46055</v>
      </c>
      <c r="I1153" s="3" t="str">
        <f t="shared" si="86"/>
        <v/>
      </c>
      <c r="J1153" t="str">
        <f t="shared" si="87"/>
        <v/>
      </c>
      <c r="K1153" t="str">
        <f t="shared" si="88"/>
        <v/>
      </c>
      <c r="L1153" t="str">
        <f t="shared" si="89"/>
        <v/>
      </c>
      <c r="M1153" t="str">
        <f>IF(COUNTIF($A$2:A1153,A1153)=1,
     VLOOKUP(A1153,Season_Winners!A:B,2,FALSE),
     "")</f>
        <v/>
      </c>
      <c r="N1153" s="2"/>
    </row>
    <row r="1154" spans="1:14" x14ac:dyDescent="0.3">
      <c r="A1154" t="s">
        <v>460</v>
      </c>
      <c r="B1154">
        <v>2</v>
      </c>
      <c r="C1154" t="s">
        <v>469</v>
      </c>
      <c r="D1154" t="str">
        <f t="shared" ref="D1154:D1217" si="90">RIGHT(C1154,10)</f>
        <v>27.08.2016</v>
      </c>
      <c r="E1154" s="1">
        <v>0.76041666666666663</v>
      </c>
      <c r="F1154" t="s">
        <v>23</v>
      </c>
      <c r="G1154" t="s">
        <v>10</v>
      </c>
      <c r="H1154" t="s">
        <v>54</v>
      </c>
      <c r="I1154" t="str">
        <f t="shared" ref="I1154:I1217" si="91">IF(ISNUMBER(SEARCH("-",H1154)),H1154,"")</f>
        <v>0-2</v>
      </c>
      <c r="J1154" t="str">
        <f t="shared" ref="J1154:J1217" si="92">IF(I1154="","",LEFT(I1154,FIND("-",I1154)-1))</f>
        <v>0</v>
      </c>
      <c r="K1154" t="str">
        <f t="shared" ref="K1154:K1217" si="93">IF(I1154="","",RIGHT(I1154,LEN(I1154)-FIND("-",I1154)))</f>
        <v>2</v>
      </c>
      <c r="L1154" t="str">
        <f t="shared" ref="L1154:L1217" si="94">IF(I1154="","",IF(J1154&gt;K1154,F1154,IF(K1154&gt;J1154,G1154,"Draw")))</f>
        <v>Real Sociedad</v>
      </c>
      <c r="M1154" t="str">
        <f>IF(COUNTIF($A$2:A1154,A1154)=1,
     VLOOKUP(A1154,Season_Winners!A:B,2,FALSE),
     "")</f>
        <v/>
      </c>
    </row>
    <row r="1155" spans="1:14" x14ac:dyDescent="0.3">
      <c r="A1155" t="s">
        <v>460</v>
      </c>
      <c r="B1155">
        <v>2</v>
      </c>
      <c r="C1155" t="s">
        <v>469</v>
      </c>
      <c r="D1155" t="str">
        <f t="shared" si="90"/>
        <v>27.08.2016</v>
      </c>
      <c r="E1155" s="1">
        <v>0.76041666666666663</v>
      </c>
      <c r="F1155" t="s">
        <v>187</v>
      </c>
      <c r="G1155" t="s">
        <v>16</v>
      </c>
      <c r="H1155" t="s">
        <v>18</v>
      </c>
      <c r="I1155" t="str">
        <f t="shared" si="91"/>
        <v>1-0</v>
      </c>
      <c r="J1155" t="str">
        <f t="shared" si="92"/>
        <v>1</v>
      </c>
      <c r="K1155" t="str">
        <f t="shared" si="93"/>
        <v>0</v>
      </c>
      <c r="L1155" t="str">
        <f t="shared" si="94"/>
        <v>SD Eibar</v>
      </c>
      <c r="M1155" t="str">
        <f>IF(COUNTIF($A$2:A1155,A1155)=1,
     VLOOKUP(A1155,Season_Winners!A:B,2,FALSE),
     "")</f>
        <v/>
      </c>
    </row>
    <row r="1156" spans="1:14" hidden="1" x14ac:dyDescent="0.3">
      <c r="A1156" t="s">
        <v>460</v>
      </c>
      <c r="B1156">
        <v>2</v>
      </c>
      <c r="C1156" t="s">
        <v>469</v>
      </c>
      <c r="D1156" t="str">
        <f t="shared" si="90"/>
        <v>27.08.2016</v>
      </c>
      <c r="E1156" s="1">
        <v>0.84375</v>
      </c>
      <c r="F1156" t="s">
        <v>25</v>
      </c>
      <c r="G1156" t="s">
        <v>35</v>
      </c>
      <c r="H1156" s="2">
        <v>46024</v>
      </c>
      <c r="I1156" s="3" t="str">
        <f t="shared" si="91"/>
        <v/>
      </c>
      <c r="J1156" t="str">
        <f t="shared" si="92"/>
        <v/>
      </c>
      <c r="K1156" t="str">
        <f t="shared" si="93"/>
        <v/>
      </c>
      <c r="L1156" t="str">
        <f t="shared" si="94"/>
        <v/>
      </c>
      <c r="M1156" t="str">
        <f>IF(COUNTIF($A$2:A1156,A1156)=1,
     VLOOKUP(A1156,Season_Winners!A:B,2,FALSE),
     "")</f>
        <v/>
      </c>
      <c r="N1156" s="2"/>
    </row>
    <row r="1157" spans="1:14" x14ac:dyDescent="0.3">
      <c r="A1157" t="s">
        <v>460</v>
      </c>
      <c r="B1157">
        <v>2</v>
      </c>
      <c r="C1157" t="s">
        <v>469</v>
      </c>
      <c r="D1157" t="str">
        <f t="shared" si="90"/>
        <v>27.08.2016</v>
      </c>
      <c r="E1157" s="1">
        <v>0.92708333333333337</v>
      </c>
      <c r="F1157" t="s">
        <v>466</v>
      </c>
      <c r="G1157" t="s">
        <v>1425</v>
      </c>
      <c r="H1157" t="s">
        <v>41</v>
      </c>
      <c r="I1157" t="str">
        <f t="shared" si="91"/>
        <v>0-0</v>
      </c>
      <c r="J1157" t="str">
        <f t="shared" si="92"/>
        <v>0</v>
      </c>
      <c r="K1157" t="str">
        <f t="shared" si="93"/>
        <v>0</v>
      </c>
      <c r="L1157" t="str">
        <f t="shared" si="94"/>
        <v>Draw</v>
      </c>
      <c r="M1157" t="str">
        <f>IF(COUNTIF($A$2:A1157,A1157)=1,
     VLOOKUP(A1157,Season_Winners!A:B,2,FALSE),
     "")</f>
        <v/>
      </c>
    </row>
    <row r="1158" spans="1:14" x14ac:dyDescent="0.3">
      <c r="A1158" t="s">
        <v>460</v>
      </c>
      <c r="B1158">
        <v>2</v>
      </c>
      <c r="C1158" t="s">
        <v>470</v>
      </c>
      <c r="D1158" t="str">
        <f t="shared" si="90"/>
        <v>28.08.2016</v>
      </c>
      <c r="E1158" s="1">
        <v>0.76041666666666663</v>
      </c>
      <c r="F1158" t="s">
        <v>464</v>
      </c>
      <c r="G1158" t="s">
        <v>340</v>
      </c>
      <c r="H1158" t="s">
        <v>41</v>
      </c>
      <c r="I1158" t="str">
        <f t="shared" si="91"/>
        <v>0-0</v>
      </c>
      <c r="J1158" t="str">
        <f t="shared" si="92"/>
        <v>0</v>
      </c>
      <c r="K1158" t="str">
        <f t="shared" si="93"/>
        <v>0</v>
      </c>
      <c r="L1158" t="str">
        <f t="shared" si="94"/>
        <v>Draw</v>
      </c>
      <c r="M1158" t="str">
        <f>IF(COUNTIF($A$2:A1158,A1158)=1,
     VLOOKUP(A1158,Season_Winners!A:B,2,FALSE),
     "")</f>
        <v/>
      </c>
    </row>
    <row r="1159" spans="1:14" hidden="1" x14ac:dyDescent="0.3">
      <c r="A1159" t="s">
        <v>460</v>
      </c>
      <c r="B1159">
        <v>2</v>
      </c>
      <c r="C1159" t="s">
        <v>470</v>
      </c>
      <c r="D1159" t="str">
        <f t="shared" si="90"/>
        <v>28.08.2016</v>
      </c>
      <c r="E1159" s="1">
        <v>0.76041666666666663</v>
      </c>
      <c r="F1159" t="s">
        <v>338</v>
      </c>
      <c r="G1159" t="s">
        <v>24</v>
      </c>
      <c r="H1159" s="2">
        <v>46027</v>
      </c>
      <c r="I1159" s="3" t="str">
        <f t="shared" si="91"/>
        <v/>
      </c>
      <c r="J1159" t="str">
        <f t="shared" si="92"/>
        <v/>
      </c>
      <c r="K1159" t="str">
        <f t="shared" si="93"/>
        <v/>
      </c>
      <c r="L1159" t="str">
        <f t="shared" si="94"/>
        <v/>
      </c>
      <c r="M1159" t="str">
        <f>IF(COUNTIF($A$2:A1159,A1159)=1,
     VLOOKUP(A1159,Season_Winners!A:B,2,FALSE),
     "")</f>
        <v/>
      </c>
      <c r="N1159" s="2"/>
    </row>
    <row r="1160" spans="1:14" x14ac:dyDescent="0.3">
      <c r="A1160" t="s">
        <v>460</v>
      </c>
      <c r="B1160">
        <v>2</v>
      </c>
      <c r="C1160" t="s">
        <v>470</v>
      </c>
      <c r="D1160" t="str">
        <f t="shared" si="90"/>
        <v>28.08.2016</v>
      </c>
      <c r="E1160" s="1">
        <v>0.84375</v>
      </c>
      <c r="F1160" t="s">
        <v>15</v>
      </c>
      <c r="G1160" t="s">
        <v>20</v>
      </c>
      <c r="H1160" t="s">
        <v>42</v>
      </c>
      <c r="I1160" t="str">
        <f t="shared" si="91"/>
        <v>0-1</v>
      </c>
      <c r="J1160" t="str">
        <f t="shared" si="92"/>
        <v>0</v>
      </c>
      <c r="K1160" t="str">
        <f t="shared" si="93"/>
        <v>1</v>
      </c>
      <c r="L1160" t="str">
        <f t="shared" si="94"/>
        <v>FC Barcelona</v>
      </c>
      <c r="M1160" t="str">
        <f>IF(COUNTIF($A$2:A1160,A1160)=1,
     VLOOKUP(A1160,Season_Winners!A:B,2,FALSE),
     "")</f>
        <v/>
      </c>
    </row>
    <row r="1161" spans="1:14" x14ac:dyDescent="0.3">
      <c r="A1161" t="s">
        <v>460</v>
      </c>
      <c r="B1161">
        <v>2</v>
      </c>
      <c r="C1161" t="s">
        <v>470</v>
      </c>
      <c r="D1161" t="str">
        <f t="shared" si="90"/>
        <v>28.08.2016</v>
      </c>
      <c r="E1161" s="1">
        <v>0.92708333333333337</v>
      </c>
      <c r="F1161" t="s">
        <v>34</v>
      </c>
      <c r="G1161" t="s">
        <v>27</v>
      </c>
      <c r="H1161" t="s">
        <v>41</v>
      </c>
      <c r="I1161" t="str">
        <f t="shared" si="91"/>
        <v>0-0</v>
      </c>
      <c r="J1161" t="str">
        <f t="shared" si="92"/>
        <v>0</v>
      </c>
      <c r="K1161" t="str">
        <f t="shared" si="93"/>
        <v>0</v>
      </c>
      <c r="L1161" t="str">
        <f t="shared" si="94"/>
        <v>Draw</v>
      </c>
      <c r="M1161" t="str">
        <f>IF(COUNTIF($A$2:A1161,A1161)=1,
     VLOOKUP(A1161,Season_Winners!A:B,2,FALSE),
     "")</f>
        <v/>
      </c>
    </row>
    <row r="1162" spans="1:14" hidden="1" x14ac:dyDescent="0.3">
      <c r="A1162" t="s">
        <v>460</v>
      </c>
      <c r="B1162">
        <v>3</v>
      </c>
      <c r="C1162" t="s">
        <v>472</v>
      </c>
      <c r="D1162" t="str">
        <f t="shared" si="90"/>
        <v>09.09.2016</v>
      </c>
      <c r="E1162" s="1">
        <v>0.86458333333333337</v>
      </c>
      <c r="F1162" t="s">
        <v>10</v>
      </c>
      <c r="G1162" t="s">
        <v>36</v>
      </c>
      <c r="H1162" s="2">
        <v>46023</v>
      </c>
      <c r="I1162" s="3" t="str">
        <f t="shared" si="91"/>
        <v/>
      </c>
      <c r="J1162" t="str">
        <f t="shared" si="92"/>
        <v/>
      </c>
      <c r="K1162" t="str">
        <f t="shared" si="93"/>
        <v/>
      </c>
      <c r="L1162" t="str">
        <f t="shared" si="94"/>
        <v/>
      </c>
      <c r="M1162" t="str">
        <f>IF(COUNTIF($A$2:A1162,A1162)=1,
     VLOOKUP(A1162,Season_Winners!A:B,2,FALSE),
     "")</f>
        <v/>
      </c>
      <c r="N1162" s="2"/>
    </row>
    <row r="1163" spans="1:14" x14ac:dyDescent="0.3">
      <c r="A1163" t="s">
        <v>460</v>
      </c>
      <c r="B1163">
        <v>3</v>
      </c>
      <c r="C1163" t="s">
        <v>473</v>
      </c>
      <c r="D1163" t="str">
        <f t="shared" si="90"/>
        <v>10.09.2016</v>
      </c>
      <c r="E1163" s="1">
        <v>0.54166666666666663</v>
      </c>
      <c r="F1163" t="s">
        <v>35</v>
      </c>
      <c r="G1163" t="s">
        <v>1425</v>
      </c>
      <c r="H1163" t="s">
        <v>53</v>
      </c>
      <c r="I1163" t="str">
        <f t="shared" si="91"/>
        <v>0-4</v>
      </c>
      <c r="J1163" t="str">
        <f t="shared" si="92"/>
        <v>0</v>
      </c>
      <c r="K1163" t="str">
        <f t="shared" si="93"/>
        <v>4</v>
      </c>
      <c r="L1163" t="str">
        <f t="shared" si="94"/>
        <v>Atlético de Madrid</v>
      </c>
      <c r="M1163" t="str">
        <f>IF(COUNTIF($A$2:A1163,A1163)=1,
     VLOOKUP(A1163,Season_Winners!A:B,2,FALSE),
     "")</f>
        <v/>
      </c>
    </row>
    <row r="1164" spans="1:14" hidden="1" x14ac:dyDescent="0.3">
      <c r="A1164" t="s">
        <v>460</v>
      </c>
      <c r="B1164">
        <v>3</v>
      </c>
      <c r="C1164" t="s">
        <v>473</v>
      </c>
      <c r="D1164" t="str">
        <f t="shared" si="90"/>
        <v>10.09.2016</v>
      </c>
      <c r="E1164" s="1">
        <v>0.66666666666666663</v>
      </c>
      <c r="F1164" t="s">
        <v>25</v>
      </c>
      <c r="G1164" t="s">
        <v>23</v>
      </c>
      <c r="H1164" s="2">
        <v>46058</v>
      </c>
      <c r="I1164" s="3" t="str">
        <f t="shared" si="91"/>
        <v/>
      </c>
      <c r="J1164" t="str">
        <f t="shared" si="92"/>
        <v/>
      </c>
      <c r="K1164" t="str">
        <f t="shared" si="93"/>
        <v/>
      </c>
      <c r="L1164" t="str">
        <f t="shared" si="94"/>
        <v/>
      </c>
      <c r="M1164" t="str">
        <f>IF(COUNTIF($A$2:A1164,A1164)=1,
     VLOOKUP(A1164,Season_Winners!A:B,2,FALSE),
     "")</f>
        <v/>
      </c>
      <c r="N1164" s="2"/>
    </row>
    <row r="1165" spans="1:14" x14ac:dyDescent="0.3">
      <c r="A1165" t="s">
        <v>460</v>
      </c>
      <c r="B1165">
        <v>3</v>
      </c>
      <c r="C1165" t="s">
        <v>473</v>
      </c>
      <c r="D1165" t="str">
        <f t="shared" si="90"/>
        <v>10.09.2016</v>
      </c>
      <c r="E1165" s="1">
        <v>0.76041666666666663</v>
      </c>
      <c r="F1165" t="s">
        <v>17</v>
      </c>
      <c r="G1165" t="s">
        <v>34</v>
      </c>
      <c r="H1165" t="s">
        <v>54</v>
      </c>
      <c r="I1165" t="str">
        <f t="shared" si="91"/>
        <v>0-2</v>
      </c>
      <c r="J1165" t="str">
        <f t="shared" si="92"/>
        <v>0</v>
      </c>
      <c r="K1165" t="str">
        <f t="shared" si="93"/>
        <v>2</v>
      </c>
      <c r="L1165" t="str">
        <f t="shared" si="94"/>
        <v>Villarreal CF</v>
      </c>
      <c r="M1165" t="str">
        <f>IF(COUNTIF($A$2:A1165,A1165)=1,
     VLOOKUP(A1165,Season_Winners!A:B,2,FALSE),
     "")</f>
        <v/>
      </c>
    </row>
    <row r="1166" spans="1:14" hidden="1" x14ac:dyDescent="0.3">
      <c r="A1166" t="s">
        <v>460</v>
      </c>
      <c r="B1166">
        <v>3</v>
      </c>
      <c r="C1166" t="s">
        <v>473</v>
      </c>
      <c r="D1166" t="str">
        <f t="shared" si="90"/>
        <v>10.09.2016</v>
      </c>
      <c r="E1166" s="1">
        <v>0.76041666666666663</v>
      </c>
      <c r="F1166" t="s">
        <v>27</v>
      </c>
      <c r="G1166" t="s">
        <v>338</v>
      </c>
      <c r="H1166" s="2">
        <v>46024</v>
      </c>
      <c r="I1166" s="3" t="str">
        <f t="shared" si="91"/>
        <v/>
      </c>
      <c r="J1166" t="str">
        <f t="shared" si="92"/>
        <v/>
      </c>
      <c r="K1166" t="str">
        <f t="shared" si="93"/>
        <v/>
      </c>
      <c r="L1166" t="str">
        <f t="shared" si="94"/>
        <v/>
      </c>
      <c r="M1166" t="str">
        <f>IF(COUNTIF($A$2:A1166,A1166)=1,
     VLOOKUP(A1166,Season_Winners!A:B,2,FALSE),
     "")</f>
        <v/>
      </c>
      <c r="N1166" s="2"/>
    </row>
    <row r="1167" spans="1:14" hidden="1" x14ac:dyDescent="0.3">
      <c r="A1167" t="s">
        <v>460</v>
      </c>
      <c r="B1167">
        <v>3</v>
      </c>
      <c r="C1167" t="s">
        <v>473</v>
      </c>
      <c r="D1167" t="str">
        <f t="shared" si="90"/>
        <v>10.09.2016</v>
      </c>
      <c r="E1167" s="1">
        <v>0.85416666666666663</v>
      </c>
      <c r="F1167" t="s">
        <v>20</v>
      </c>
      <c r="G1167" t="s">
        <v>464</v>
      </c>
      <c r="H1167" s="2">
        <v>46054</v>
      </c>
      <c r="I1167" s="3" t="str">
        <f t="shared" si="91"/>
        <v/>
      </c>
      <c r="J1167" t="str">
        <f t="shared" si="92"/>
        <v/>
      </c>
      <c r="K1167" t="str">
        <f t="shared" si="93"/>
        <v/>
      </c>
      <c r="L1167" t="str">
        <f t="shared" si="94"/>
        <v/>
      </c>
      <c r="M1167" t="str">
        <f>IF(COUNTIF($A$2:A1167,A1167)=1,
     VLOOKUP(A1167,Season_Winners!A:B,2,FALSE),
     "")</f>
        <v/>
      </c>
      <c r="N1167" s="2"/>
    </row>
    <row r="1168" spans="1:14" hidden="1" x14ac:dyDescent="0.3">
      <c r="A1168" t="s">
        <v>460</v>
      </c>
      <c r="B1168">
        <v>3</v>
      </c>
      <c r="C1168" t="s">
        <v>474</v>
      </c>
      <c r="D1168" t="str">
        <f t="shared" si="90"/>
        <v>11.09.2016</v>
      </c>
      <c r="E1168" s="1">
        <v>0.5</v>
      </c>
      <c r="F1168" t="s">
        <v>340</v>
      </c>
      <c r="G1168" t="s">
        <v>466</v>
      </c>
      <c r="H1168" s="2">
        <v>46024</v>
      </c>
      <c r="I1168" s="3" t="str">
        <f t="shared" si="91"/>
        <v/>
      </c>
      <c r="J1168" t="str">
        <f t="shared" si="92"/>
        <v/>
      </c>
      <c r="K1168" t="str">
        <f t="shared" si="93"/>
        <v/>
      </c>
      <c r="L1168" t="str">
        <f t="shared" si="94"/>
        <v/>
      </c>
      <c r="M1168" t="str">
        <f>IF(COUNTIF($A$2:A1168,A1168)=1,
     VLOOKUP(A1168,Season_Winners!A:B,2,FALSE),
     "")</f>
        <v/>
      </c>
      <c r="N1168" s="2"/>
    </row>
    <row r="1169" spans="1:14" hidden="1" x14ac:dyDescent="0.3">
      <c r="A1169" t="s">
        <v>460</v>
      </c>
      <c r="B1169">
        <v>3</v>
      </c>
      <c r="C1169" t="s">
        <v>474</v>
      </c>
      <c r="D1169" t="str">
        <f t="shared" si="90"/>
        <v>11.09.2016</v>
      </c>
      <c r="E1169" s="1">
        <v>0.66666666666666663</v>
      </c>
      <c r="F1169" t="s">
        <v>16</v>
      </c>
      <c r="G1169" t="s">
        <v>26</v>
      </c>
      <c r="H1169" s="2">
        <v>46083</v>
      </c>
      <c r="I1169" s="3" t="str">
        <f t="shared" si="91"/>
        <v/>
      </c>
      <c r="J1169" t="str">
        <f t="shared" si="92"/>
        <v/>
      </c>
      <c r="K1169" t="str">
        <f t="shared" si="93"/>
        <v/>
      </c>
      <c r="L1169" t="str">
        <f t="shared" si="94"/>
        <v/>
      </c>
      <c r="M1169" t="str">
        <f>IF(COUNTIF($A$2:A1169,A1169)=1,
     VLOOKUP(A1169,Season_Winners!A:B,2,FALSE),
     "")</f>
        <v/>
      </c>
      <c r="N1169" s="2"/>
    </row>
    <row r="1170" spans="1:14" hidden="1" x14ac:dyDescent="0.3">
      <c r="A1170" t="s">
        <v>460</v>
      </c>
      <c r="B1170">
        <v>3</v>
      </c>
      <c r="C1170" t="s">
        <v>474</v>
      </c>
      <c r="D1170" t="str">
        <f t="shared" si="90"/>
        <v>11.09.2016</v>
      </c>
      <c r="E1170" s="1">
        <v>0.76041666666666663</v>
      </c>
      <c r="F1170" t="s">
        <v>24</v>
      </c>
      <c r="G1170" t="s">
        <v>187</v>
      </c>
      <c r="H1170" s="2">
        <v>46054</v>
      </c>
      <c r="I1170" s="3" t="str">
        <f t="shared" si="91"/>
        <v/>
      </c>
      <c r="J1170" t="str">
        <f t="shared" si="92"/>
        <v/>
      </c>
      <c r="K1170" t="str">
        <f t="shared" si="93"/>
        <v/>
      </c>
      <c r="L1170" t="str">
        <f t="shared" si="94"/>
        <v/>
      </c>
      <c r="M1170" t="str">
        <f>IF(COUNTIF($A$2:A1170,A1170)=1,
     VLOOKUP(A1170,Season_Winners!A:B,2,FALSE),
     "")</f>
        <v/>
      </c>
      <c r="N1170" s="2"/>
    </row>
    <row r="1171" spans="1:14" x14ac:dyDescent="0.3">
      <c r="A1171" t="s">
        <v>460</v>
      </c>
      <c r="B1171">
        <v>3</v>
      </c>
      <c r="C1171" t="s">
        <v>474</v>
      </c>
      <c r="D1171" t="str">
        <f t="shared" si="90"/>
        <v>11.09.2016</v>
      </c>
      <c r="E1171" s="1">
        <v>0.85416666666666663</v>
      </c>
      <c r="F1171" t="s">
        <v>182</v>
      </c>
      <c r="G1171" t="s">
        <v>15</v>
      </c>
      <c r="H1171" t="s">
        <v>42</v>
      </c>
      <c r="I1171" t="str">
        <f t="shared" si="91"/>
        <v>0-1</v>
      </c>
      <c r="J1171" t="str">
        <f t="shared" si="92"/>
        <v>0</v>
      </c>
      <c r="K1171" t="str">
        <f t="shared" si="93"/>
        <v>1</v>
      </c>
      <c r="L1171" t="str">
        <f t="shared" si="94"/>
        <v>Athletic Club</v>
      </c>
      <c r="M1171" t="str">
        <f>IF(COUNTIF($A$2:A1171,A1171)=1,
     VLOOKUP(A1171,Season_Winners!A:B,2,FALSE),
     "")</f>
        <v/>
      </c>
    </row>
    <row r="1172" spans="1:14" hidden="1" x14ac:dyDescent="0.3">
      <c r="A1172" t="s">
        <v>460</v>
      </c>
      <c r="B1172">
        <v>4</v>
      </c>
      <c r="C1172" t="s">
        <v>476</v>
      </c>
      <c r="D1172" t="str">
        <f t="shared" si="90"/>
        <v>16.09.2016</v>
      </c>
      <c r="E1172" s="1">
        <v>0.86458333333333337</v>
      </c>
      <c r="F1172" t="s">
        <v>26</v>
      </c>
      <c r="G1172" t="s">
        <v>24</v>
      </c>
      <c r="H1172" s="2">
        <v>46055</v>
      </c>
      <c r="I1172" s="3" t="str">
        <f t="shared" si="91"/>
        <v/>
      </c>
      <c r="J1172" t="str">
        <f t="shared" si="92"/>
        <v/>
      </c>
      <c r="K1172" t="str">
        <f t="shared" si="93"/>
        <v/>
      </c>
      <c r="L1172" t="str">
        <f t="shared" si="94"/>
        <v/>
      </c>
      <c r="M1172" t="str">
        <f>IF(COUNTIF($A$2:A1172,A1172)=1,
     VLOOKUP(A1172,Season_Winners!A:B,2,FALSE),
     "")</f>
        <v/>
      </c>
      <c r="N1172" s="2"/>
    </row>
    <row r="1173" spans="1:14" hidden="1" x14ac:dyDescent="0.3">
      <c r="A1173" t="s">
        <v>460</v>
      </c>
      <c r="B1173">
        <v>4</v>
      </c>
      <c r="C1173" t="s">
        <v>477</v>
      </c>
      <c r="D1173" t="str">
        <f t="shared" si="90"/>
        <v>17.09.2016</v>
      </c>
      <c r="E1173" s="1">
        <v>0.54166666666666663</v>
      </c>
      <c r="F1173" t="s">
        <v>466</v>
      </c>
      <c r="G1173" t="s">
        <v>20</v>
      </c>
      <c r="H1173" s="2">
        <v>46143</v>
      </c>
      <c r="I1173" s="3" t="str">
        <f t="shared" si="91"/>
        <v/>
      </c>
      <c r="J1173" t="str">
        <f t="shared" si="92"/>
        <v/>
      </c>
      <c r="K1173" t="str">
        <f t="shared" si="93"/>
        <v/>
      </c>
      <c r="L1173" t="str">
        <f t="shared" si="94"/>
        <v/>
      </c>
      <c r="M1173" t="str">
        <f>IF(COUNTIF($A$2:A1173,A1173)=1,
     VLOOKUP(A1173,Season_Winners!A:B,2,FALSE),
     "")</f>
        <v/>
      </c>
      <c r="N1173" s="2"/>
    </row>
    <row r="1174" spans="1:14" x14ac:dyDescent="0.3">
      <c r="A1174" t="s">
        <v>460</v>
      </c>
      <c r="B1174">
        <v>4</v>
      </c>
      <c r="C1174" t="s">
        <v>477</v>
      </c>
      <c r="D1174" t="str">
        <f t="shared" si="90"/>
        <v>17.09.2016</v>
      </c>
      <c r="E1174" s="1">
        <v>0.67708333333333337</v>
      </c>
      <c r="F1174" t="s">
        <v>1425</v>
      </c>
      <c r="G1174" t="s">
        <v>340</v>
      </c>
      <c r="H1174" t="s">
        <v>40</v>
      </c>
      <c r="I1174" t="str">
        <f t="shared" si="91"/>
        <v>5-0</v>
      </c>
      <c r="J1174" t="str">
        <f t="shared" si="92"/>
        <v>5</v>
      </c>
      <c r="K1174" t="str">
        <f t="shared" si="93"/>
        <v>0</v>
      </c>
      <c r="L1174" t="str">
        <f t="shared" si="94"/>
        <v>Atlético de Madrid</v>
      </c>
      <c r="M1174" t="str">
        <f>IF(COUNTIF($A$2:A1174,A1174)=1,
     VLOOKUP(A1174,Season_Winners!A:B,2,FALSE),
     "")</f>
        <v/>
      </c>
    </row>
    <row r="1175" spans="1:14" hidden="1" x14ac:dyDescent="0.3">
      <c r="A1175" t="s">
        <v>460</v>
      </c>
      <c r="B1175">
        <v>4</v>
      </c>
      <c r="C1175" t="s">
        <v>477</v>
      </c>
      <c r="D1175" t="str">
        <f t="shared" si="90"/>
        <v>17.09.2016</v>
      </c>
      <c r="E1175" s="1">
        <v>0.77083333333333337</v>
      </c>
      <c r="F1175" t="s">
        <v>187</v>
      </c>
      <c r="G1175" t="s">
        <v>27</v>
      </c>
      <c r="H1175" s="2">
        <v>46023</v>
      </c>
      <c r="I1175" s="3" t="str">
        <f t="shared" si="91"/>
        <v/>
      </c>
      <c r="J1175" t="str">
        <f t="shared" si="92"/>
        <v/>
      </c>
      <c r="K1175" t="str">
        <f t="shared" si="93"/>
        <v/>
      </c>
      <c r="L1175" t="str">
        <f t="shared" si="94"/>
        <v/>
      </c>
      <c r="M1175" t="str">
        <f>IF(COUNTIF($A$2:A1175,A1175)=1,
     VLOOKUP(A1175,Season_Winners!A:B,2,FALSE),
     "")</f>
        <v/>
      </c>
      <c r="N1175" s="2"/>
    </row>
    <row r="1176" spans="1:14" x14ac:dyDescent="0.3">
      <c r="A1176" t="s">
        <v>460</v>
      </c>
      <c r="B1176">
        <v>4</v>
      </c>
      <c r="C1176" t="s">
        <v>477</v>
      </c>
      <c r="D1176" t="str">
        <f t="shared" si="90"/>
        <v>17.09.2016</v>
      </c>
      <c r="E1176" s="1">
        <v>0.86458333333333337</v>
      </c>
      <c r="F1176" t="s">
        <v>338</v>
      </c>
      <c r="G1176" t="s">
        <v>17</v>
      </c>
      <c r="H1176" t="s">
        <v>18</v>
      </c>
      <c r="I1176" t="str">
        <f t="shared" si="91"/>
        <v>1-0</v>
      </c>
      <c r="J1176" t="str">
        <f t="shared" si="92"/>
        <v>1</v>
      </c>
      <c r="K1176" t="str">
        <f t="shared" si="93"/>
        <v>0</v>
      </c>
      <c r="L1176" t="str">
        <f t="shared" si="94"/>
        <v>UD Las Palmas</v>
      </c>
      <c r="M1176" t="str">
        <f>IF(COUNTIF($A$2:A1176,A1176)=1,
     VLOOKUP(A1176,Season_Winners!A:B,2,FALSE),
     "")</f>
        <v/>
      </c>
    </row>
    <row r="1177" spans="1:14" x14ac:dyDescent="0.3">
      <c r="A1177" t="s">
        <v>460</v>
      </c>
      <c r="B1177">
        <v>4</v>
      </c>
      <c r="C1177" t="s">
        <v>478</v>
      </c>
      <c r="D1177" t="str">
        <f t="shared" si="90"/>
        <v>18.09.2016</v>
      </c>
      <c r="E1177" s="1">
        <v>0.5</v>
      </c>
      <c r="F1177" t="s">
        <v>23</v>
      </c>
      <c r="G1177" t="s">
        <v>35</v>
      </c>
      <c r="H1177" t="s">
        <v>41</v>
      </c>
      <c r="I1177" t="str">
        <f t="shared" si="91"/>
        <v>0-0</v>
      </c>
      <c r="J1177" t="str">
        <f t="shared" si="92"/>
        <v>0</v>
      </c>
      <c r="K1177" t="str">
        <f t="shared" si="93"/>
        <v>0</v>
      </c>
      <c r="L1177" t="str">
        <f t="shared" si="94"/>
        <v>Draw</v>
      </c>
      <c r="M1177" t="str">
        <f>IF(COUNTIF($A$2:A1177,A1177)=1,
     VLOOKUP(A1177,Season_Winners!A:B,2,FALSE),
     "")</f>
        <v/>
      </c>
    </row>
    <row r="1178" spans="1:14" hidden="1" x14ac:dyDescent="0.3">
      <c r="A1178" t="s">
        <v>460</v>
      </c>
      <c r="B1178">
        <v>4</v>
      </c>
      <c r="C1178" t="s">
        <v>478</v>
      </c>
      <c r="D1178" t="str">
        <f t="shared" si="90"/>
        <v>18.09.2016</v>
      </c>
      <c r="E1178" s="1">
        <v>0.67708333333333337</v>
      </c>
      <c r="F1178" t="s">
        <v>15</v>
      </c>
      <c r="G1178" t="s">
        <v>16</v>
      </c>
      <c r="H1178" s="2">
        <v>46024</v>
      </c>
      <c r="I1178" s="3" t="str">
        <f t="shared" si="91"/>
        <v/>
      </c>
      <c r="J1178" t="str">
        <f t="shared" si="92"/>
        <v/>
      </c>
      <c r="K1178" t="str">
        <f t="shared" si="93"/>
        <v/>
      </c>
      <c r="L1178" t="str">
        <f t="shared" si="94"/>
        <v/>
      </c>
      <c r="M1178" t="str">
        <f>IF(COUNTIF($A$2:A1178,A1178)=1,
     VLOOKUP(A1178,Season_Winners!A:B,2,FALSE),
     "")</f>
        <v/>
      </c>
      <c r="N1178" s="2"/>
    </row>
    <row r="1179" spans="1:14" hidden="1" x14ac:dyDescent="0.3">
      <c r="A1179" t="s">
        <v>460</v>
      </c>
      <c r="B1179">
        <v>4</v>
      </c>
      <c r="C1179" t="s">
        <v>478</v>
      </c>
      <c r="D1179" t="str">
        <f t="shared" si="90"/>
        <v>18.09.2016</v>
      </c>
      <c r="E1179" s="1">
        <v>0.77083333333333337</v>
      </c>
      <c r="F1179" t="s">
        <v>34</v>
      </c>
      <c r="G1179" t="s">
        <v>10</v>
      </c>
      <c r="H1179" s="2">
        <v>46024</v>
      </c>
      <c r="I1179" s="3" t="str">
        <f t="shared" si="91"/>
        <v/>
      </c>
      <c r="J1179" t="str">
        <f t="shared" si="92"/>
        <v/>
      </c>
      <c r="K1179" t="str">
        <f t="shared" si="93"/>
        <v/>
      </c>
      <c r="L1179" t="str">
        <f t="shared" si="94"/>
        <v/>
      </c>
      <c r="M1179" t="str">
        <f>IF(COUNTIF($A$2:A1179,A1179)=1,
     VLOOKUP(A1179,Season_Winners!A:B,2,FALSE),
     "")</f>
        <v/>
      </c>
      <c r="N1179" s="2"/>
    </row>
    <row r="1180" spans="1:14" x14ac:dyDescent="0.3">
      <c r="A1180" t="s">
        <v>460</v>
      </c>
      <c r="B1180">
        <v>4</v>
      </c>
      <c r="C1180" t="s">
        <v>478</v>
      </c>
      <c r="D1180" t="str">
        <f t="shared" si="90"/>
        <v>18.09.2016</v>
      </c>
      <c r="E1180" s="1">
        <v>0.86458333333333337</v>
      </c>
      <c r="F1180" t="s">
        <v>36</v>
      </c>
      <c r="G1180" t="s">
        <v>25</v>
      </c>
      <c r="H1180" t="s">
        <v>54</v>
      </c>
      <c r="I1180" t="str">
        <f t="shared" si="91"/>
        <v>0-2</v>
      </c>
      <c r="J1180" t="str">
        <f t="shared" si="92"/>
        <v>0</v>
      </c>
      <c r="K1180" t="str">
        <f t="shared" si="93"/>
        <v>2</v>
      </c>
      <c r="L1180" t="str">
        <f t="shared" si="94"/>
        <v>Real Madrid</v>
      </c>
      <c r="M1180" t="str">
        <f>IF(COUNTIF($A$2:A1180,A1180)=1,
     VLOOKUP(A1180,Season_Winners!A:B,2,FALSE),
     "")</f>
        <v/>
      </c>
    </row>
    <row r="1181" spans="1:14" x14ac:dyDescent="0.3">
      <c r="A1181" t="s">
        <v>460</v>
      </c>
      <c r="B1181">
        <v>4</v>
      </c>
      <c r="C1181" t="s">
        <v>479</v>
      </c>
      <c r="D1181" t="str">
        <f t="shared" si="90"/>
        <v>19.09.2016</v>
      </c>
      <c r="E1181" s="1">
        <v>0.86458333333333337</v>
      </c>
      <c r="F1181" t="s">
        <v>464</v>
      </c>
      <c r="G1181" t="s">
        <v>182</v>
      </c>
      <c r="H1181" t="s">
        <v>41</v>
      </c>
      <c r="I1181" t="str">
        <f t="shared" si="91"/>
        <v>0-0</v>
      </c>
      <c r="J1181" t="str">
        <f t="shared" si="92"/>
        <v>0</v>
      </c>
      <c r="K1181" t="str">
        <f t="shared" si="93"/>
        <v>0</v>
      </c>
      <c r="L1181" t="str">
        <f t="shared" si="94"/>
        <v>Draw</v>
      </c>
      <c r="M1181" t="str">
        <f>IF(COUNTIF($A$2:A1181,A1181)=1,
     VLOOKUP(A1181,Season_Winners!A:B,2,FALSE),
     "")</f>
        <v/>
      </c>
    </row>
    <row r="1182" spans="1:14" hidden="1" x14ac:dyDescent="0.3">
      <c r="A1182" t="s">
        <v>460</v>
      </c>
      <c r="B1182">
        <v>5</v>
      </c>
      <c r="C1182" t="s">
        <v>480</v>
      </c>
      <c r="D1182" t="str">
        <f t="shared" si="90"/>
        <v>20.09.2016</v>
      </c>
      <c r="E1182" s="1">
        <v>0.83333333333333337</v>
      </c>
      <c r="F1182" t="s">
        <v>17</v>
      </c>
      <c r="G1182" t="s">
        <v>187</v>
      </c>
      <c r="H1182" s="2">
        <v>46024</v>
      </c>
      <c r="I1182" s="3" t="str">
        <f t="shared" si="91"/>
        <v/>
      </c>
      <c r="J1182" t="str">
        <f t="shared" si="92"/>
        <v/>
      </c>
      <c r="K1182" t="str">
        <f t="shared" si="93"/>
        <v/>
      </c>
      <c r="L1182" t="str">
        <f t="shared" si="94"/>
        <v/>
      </c>
      <c r="M1182" t="str">
        <f>IF(COUNTIF($A$2:A1182,A1182)=1,
     VLOOKUP(A1182,Season_Winners!A:B,2,FALSE),
     "")</f>
        <v/>
      </c>
      <c r="N1182" s="2"/>
    </row>
    <row r="1183" spans="1:14" x14ac:dyDescent="0.3">
      <c r="A1183" t="s">
        <v>460</v>
      </c>
      <c r="B1183">
        <v>5</v>
      </c>
      <c r="C1183" t="s">
        <v>480</v>
      </c>
      <c r="D1183" t="str">
        <f t="shared" si="90"/>
        <v>20.09.2016</v>
      </c>
      <c r="E1183" s="1">
        <v>0.91666666666666663</v>
      </c>
      <c r="F1183" t="s">
        <v>27</v>
      </c>
      <c r="G1183" t="s">
        <v>26</v>
      </c>
      <c r="H1183" t="s">
        <v>18</v>
      </c>
      <c r="I1183" t="str">
        <f t="shared" si="91"/>
        <v>1-0</v>
      </c>
      <c r="J1183" t="str">
        <f t="shared" si="92"/>
        <v>1</v>
      </c>
      <c r="K1183" t="str">
        <f t="shared" si="93"/>
        <v>0</v>
      </c>
      <c r="L1183" t="str">
        <f t="shared" si="94"/>
        <v>Sevilla FC</v>
      </c>
      <c r="M1183" t="str">
        <f>IF(COUNTIF($A$2:A1183,A1183)=1,
     VLOOKUP(A1183,Season_Winners!A:B,2,FALSE),
     "")</f>
        <v/>
      </c>
    </row>
    <row r="1184" spans="1:14" hidden="1" x14ac:dyDescent="0.3">
      <c r="A1184" t="s">
        <v>460</v>
      </c>
      <c r="B1184">
        <v>5</v>
      </c>
      <c r="C1184" t="s">
        <v>481</v>
      </c>
      <c r="D1184" t="str">
        <f t="shared" si="90"/>
        <v>21.09.2016</v>
      </c>
      <c r="E1184" s="1">
        <v>0.83333333333333337</v>
      </c>
      <c r="F1184" t="s">
        <v>35</v>
      </c>
      <c r="G1184" t="s">
        <v>340</v>
      </c>
      <c r="H1184" s="2">
        <v>46024</v>
      </c>
      <c r="I1184" s="3" t="str">
        <f t="shared" si="91"/>
        <v/>
      </c>
      <c r="J1184" t="str">
        <f t="shared" si="92"/>
        <v/>
      </c>
      <c r="K1184" t="str">
        <f t="shared" si="93"/>
        <v/>
      </c>
      <c r="L1184" t="str">
        <f t="shared" si="94"/>
        <v/>
      </c>
      <c r="M1184" t="str">
        <f>IF(COUNTIF($A$2:A1184,A1184)=1,
     VLOOKUP(A1184,Season_Winners!A:B,2,FALSE),
     "")</f>
        <v/>
      </c>
      <c r="N1184" s="2"/>
    </row>
    <row r="1185" spans="1:14" hidden="1" x14ac:dyDescent="0.3">
      <c r="A1185" t="s">
        <v>460</v>
      </c>
      <c r="B1185">
        <v>5</v>
      </c>
      <c r="C1185" t="s">
        <v>481</v>
      </c>
      <c r="D1185" t="str">
        <f t="shared" si="90"/>
        <v>21.09.2016</v>
      </c>
      <c r="E1185" s="1">
        <v>0.83333333333333337</v>
      </c>
      <c r="F1185" t="s">
        <v>25</v>
      </c>
      <c r="G1185" t="s">
        <v>34</v>
      </c>
      <c r="H1185" s="2">
        <v>46023</v>
      </c>
      <c r="I1185" s="3" t="str">
        <f t="shared" si="91"/>
        <v/>
      </c>
      <c r="J1185" t="str">
        <f t="shared" si="92"/>
        <v/>
      </c>
      <c r="K1185" t="str">
        <f t="shared" si="93"/>
        <v/>
      </c>
      <c r="L1185" t="str">
        <f t="shared" si="94"/>
        <v/>
      </c>
      <c r="M1185" t="str">
        <f>IF(COUNTIF($A$2:A1185,A1185)=1,
     VLOOKUP(A1185,Season_Winners!A:B,2,FALSE),
     "")</f>
        <v/>
      </c>
      <c r="N1185" s="2"/>
    </row>
    <row r="1186" spans="1:14" hidden="1" x14ac:dyDescent="0.3">
      <c r="A1186" t="s">
        <v>460</v>
      </c>
      <c r="B1186">
        <v>5</v>
      </c>
      <c r="C1186" t="s">
        <v>481</v>
      </c>
      <c r="D1186" t="str">
        <f t="shared" si="90"/>
        <v>21.09.2016</v>
      </c>
      <c r="E1186" s="1">
        <v>0.91666666666666663</v>
      </c>
      <c r="F1186" t="s">
        <v>20</v>
      </c>
      <c r="G1186" t="s">
        <v>28</v>
      </c>
      <c r="H1186" s="2">
        <v>46023</v>
      </c>
      <c r="I1186" s="3" t="str">
        <f t="shared" si="91"/>
        <v/>
      </c>
      <c r="J1186" t="str">
        <f t="shared" si="92"/>
        <v/>
      </c>
      <c r="K1186" t="str">
        <f t="shared" si="93"/>
        <v/>
      </c>
      <c r="L1186" t="str">
        <f t="shared" si="94"/>
        <v/>
      </c>
      <c r="M1186" t="str">
        <f>IF(COUNTIF($A$2:A1186,A1186)=1,
     VLOOKUP(A1186,Season_Winners!A:B,2,FALSE),
     "")</f>
        <v/>
      </c>
      <c r="N1186" s="2"/>
    </row>
    <row r="1187" spans="1:14" hidden="1" x14ac:dyDescent="0.3">
      <c r="A1187" t="s">
        <v>460</v>
      </c>
      <c r="B1187">
        <v>5</v>
      </c>
      <c r="C1187" t="s">
        <v>481</v>
      </c>
      <c r="D1187" t="str">
        <f t="shared" si="90"/>
        <v>21.09.2016</v>
      </c>
      <c r="E1187" s="1">
        <v>0.91666666666666663</v>
      </c>
      <c r="F1187" t="s">
        <v>24</v>
      </c>
      <c r="G1187" t="s">
        <v>15</v>
      </c>
      <c r="H1187" s="2">
        <v>46054</v>
      </c>
      <c r="I1187" s="3" t="str">
        <f t="shared" si="91"/>
        <v/>
      </c>
      <c r="J1187" t="str">
        <f t="shared" si="92"/>
        <v/>
      </c>
      <c r="K1187" t="str">
        <f t="shared" si="93"/>
        <v/>
      </c>
      <c r="L1187" t="str">
        <f t="shared" si="94"/>
        <v/>
      </c>
      <c r="M1187" t="str">
        <f>IF(COUNTIF($A$2:A1187,A1187)=1,
     VLOOKUP(A1187,Season_Winners!A:B,2,FALSE),
     "")</f>
        <v/>
      </c>
      <c r="N1187" s="2"/>
    </row>
    <row r="1188" spans="1:14" hidden="1" x14ac:dyDescent="0.3">
      <c r="A1188" t="s">
        <v>460</v>
      </c>
      <c r="B1188">
        <v>5</v>
      </c>
      <c r="C1188" t="s">
        <v>481</v>
      </c>
      <c r="D1188" t="str">
        <f t="shared" si="90"/>
        <v>21.09.2016</v>
      </c>
      <c r="E1188" s="1">
        <v>0.91666666666666663</v>
      </c>
      <c r="F1188" t="s">
        <v>10</v>
      </c>
      <c r="G1188" t="s">
        <v>338</v>
      </c>
      <c r="H1188" s="2">
        <v>46026</v>
      </c>
      <c r="I1188" s="3" t="str">
        <f t="shared" si="91"/>
        <v/>
      </c>
      <c r="J1188" t="str">
        <f t="shared" si="92"/>
        <v/>
      </c>
      <c r="K1188" t="str">
        <f t="shared" si="93"/>
        <v/>
      </c>
      <c r="L1188" t="str">
        <f t="shared" si="94"/>
        <v/>
      </c>
      <c r="M1188" t="str">
        <f>IF(COUNTIF($A$2:A1188,A1188)=1,
     VLOOKUP(A1188,Season_Winners!A:B,2,FALSE),
     "")</f>
        <v/>
      </c>
      <c r="N1188" s="2"/>
    </row>
    <row r="1189" spans="1:14" hidden="1" x14ac:dyDescent="0.3">
      <c r="A1189" t="s">
        <v>460</v>
      </c>
      <c r="B1189">
        <v>5</v>
      </c>
      <c r="C1189" t="s">
        <v>482</v>
      </c>
      <c r="D1189" t="str">
        <f t="shared" si="90"/>
        <v>22.09.2016</v>
      </c>
      <c r="E1189" s="1">
        <v>0.83333333333333337</v>
      </c>
      <c r="F1189" t="s">
        <v>23</v>
      </c>
      <c r="G1189" t="s">
        <v>36</v>
      </c>
      <c r="H1189" s="2">
        <v>46054</v>
      </c>
      <c r="I1189" s="3" t="str">
        <f t="shared" si="91"/>
        <v/>
      </c>
      <c r="J1189" t="str">
        <f t="shared" si="92"/>
        <v/>
      </c>
      <c r="K1189" t="str">
        <f t="shared" si="93"/>
        <v/>
      </c>
      <c r="L1189" t="str">
        <f t="shared" si="94"/>
        <v/>
      </c>
      <c r="M1189" t="str">
        <f>IF(COUNTIF($A$2:A1189,A1189)=1,
     VLOOKUP(A1189,Season_Winners!A:B,2,FALSE),
     "")</f>
        <v/>
      </c>
      <c r="N1189" s="2"/>
    </row>
    <row r="1190" spans="1:14" hidden="1" x14ac:dyDescent="0.3">
      <c r="A1190" t="s">
        <v>460</v>
      </c>
      <c r="B1190">
        <v>5</v>
      </c>
      <c r="C1190" t="s">
        <v>482</v>
      </c>
      <c r="D1190" t="str">
        <f t="shared" si="90"/>
        <v>22.09.2016</v>
      </c>
      <c r="E1190" s="1">
        <v>0.83333333333333337</v>
      </c>
      <c r="F1190" t="s">
        <v>182</v>
      </c>
      <c r="G1190" t="s">
        <v>466</v>
      </c>
      <c r="H1190" s="2">
        <v>46054</v>
      </c>
      <c r="I1190" s="3" t="str">
        <f t="shared" si="91"/>
        <v/>
      </c>
      <c r="J1190" t="str">
        <f t="shared" si="92"/>
        <v/>
      </c>
      <c r="K1190" t="str">
        <f t="shared" si="93"/>
        <v/>
      </c>
      <c r="L1190" t="str">
        <f t="shared" si="94"/>
        <v/>
      </c>
      <c r="M1190" t="str">
        <f>IF(COUNTIF($A$2:A1190,A1190)=1,
     VLOOKUP(A1190,Season_Winners!A:B,2,FALSE),
     "")</f>
        <v/>
      </c>
      <c r="N1190" s="2"/>
    </row>
    <row r="1191" spans="1:14" hidden="1" x14ac:dyDescent="0.3">
      <c r="A1191" t="s">
        <v>460</v>
      </c>
      <c r="B1191">
        <v>5</v>
      </c>
      <c r="C1191" t="s">
        <v>482</v>
      </c>
      <c r="D1191" t="str">
        <f t="shared" si="90"/>
        <v>22.09.2016</v>
      </c>
      <c r="E1191" s="1">
        <v>0.91666666666666663</v>
      </c>
      <c r="F1191" t="s">
        <v>16</v>
      </c>
      <c r="G1191" t="s">
        <v>464</v>
      </c>
      <c r="H1191" s="2">
        <v>46024</v>
      </c>
      <c r="I1191" s="3" t="str">
        <f t="shared" si="91"/>
        <v/>
      </c>
      <c r="J1191" t="str">
        <f t="shared" si="92"/>
        <v/>
      </c>
      <c r="K1191" t="str">
        <f t="shared" si="93"/>
        <v/>
      </c>
      <c r="L1191" t="str">
        <f t="shared" si="94"/>
        <v/>
      </c>
      <c r="M1191" t="str">
        <f>IF(COUNTIF($A$2:A1191,A1191)=1,
     VLOOKUP(A1191,Season_Winners!A:B,2,FALSE),
     "")</f>
        <v/>
      </c>
      <c r="N1191" s="2"/>
    </row>
    <row r="1192" spans="1:14" x14ac:dyDescent="0.3">
      <c r="A1192" t="s">
        <v>460</v>
      </c>
      <c r="B1192">
        <v>6</v>
      </c>
      <c r="C1192" t="s">
        <v>483</v>
      </c>
      <c r="D1192" t="str">
        <f t="shared" si="90"/>
        <v>23.09.2016</v>
      </c>
      <c r="E1192" s="1">
        <v>0.86458333333333337</v>
      </c>
      <c r="F1192" t="s">
        <v>26</v>
      </c>
      <c r="G1192" t="s">
        <v>17</v>
      </c>
      <c r="H1192" t="s">
        <v>18</v>
      </c>
      <c r="I1192" t="str">
        <f t="shared" si="91"/>
        <v>1-0</v>
      </c>
      <c r="J1192" t="str">
        <f t="shared" si="92"/>
        <v>1</v>
      </c>
      <c r="K1192" t="str">
        <f t="shared" si="93"/>
        <v>0</v>
      </c>
      <c r="L1192" t="str">
        <f t="shared" si="94"/>
        <v>Real Betis</v>
      </c>
      <c r="M1192" t="str">
        <f>IF(COUNTIF($A$2:A1192,A1192)=1,
     VLOOKUP(A1192,Season_Winners!A:B,2,FALSE),
     "")</f>
        <v/>
      </c>
    </row>
    <row r="1193" spans="1:14" x14ac:dyDescent="0.3">
      <c r="A1193" t="s">
        <v>460</v>
      </c>
      <c r="B1193">
        <v>6</v>
      </c>
      <c r="C1193" t="s">
        <v>484</v>
      </c>
      <c r="D1193" t="str">
        <f t="shared" si="90"/>
        <v>24.09.2016</v>
      </c>
      <c r="E1193" s="1">
        <v>0.54166666666666663</v>
      </c>
      <c r="F1193" t="s">
        <v>187</v>
      </c>
      <c r="G1193" t="s">
        <v>10</v>
      </c>
      <c r="H1193" t="s">
        <v>12</v>
      </c>
      <c r="I1193" t="str">
        <f t="shared" si="91"/>
        <v>2-0</v>
      </c>
      <c r="J1193" t="str">
        <f t="shared" si="92"/>
        <v>2</v>
      </c>
      <c r="K1193" t="str">
        <f t="shared" si="93"/>
        <v>0</v>
      </c>
      <c r="L1193" t="str">
        <f t="shared" si="94"/>
        <v>SD Eibar</v>
      </c>
      <c r="M1193" t="str">
        <f>IF(COUNTIF($A$2:A1193,A1193)=1,
     VLOOKUP(A1193,Season_Winners!A:B,2,FALSE),
     "")</f>
        <v/>
      </c>
    </row>
    <row r="1194" spans="1:14" x14ac:dyDescent="0.3">
      <c r="A1194" t="s">
        <v>460</v>
      </c>
      <c r="B1194">
        <v>6</v>
      </c>
      <c r="C1194" t="s">
        <v>484</v>
      </c>
      <c r="D1194" t="str">
        <f t="shared" si="90"/>
        <v>24.09.2016</v>
      </c>
      <c r="E1194" s="1">
        <v>0.67708333333333337</v>
      </c>
      <c r="F1194" t="s">
        <v>340</v>
      </c>
      <c r="G1194" t="s">
        <v>20</v>
      </c>
      <c r="H1194" t="s">
        <v>72</v>
      </c>
      <c r="I1194" t="str">
        <f t="shared" si="91"/>
        <v>0-5</v>
      </c>
      <c r="J1194" t="str">
        <f t="shared" si="92"/>
        <v>0</v>
      </c>
      <c r="K1194" t="str">
        <f t="shared" si="93"/>
        <v>5</v>
      </c>
      <c r="L1194" t="str">
        <f t="shared" si="94"/>
        <v>FC Barcelona</v>
      </c>
      <c r="M1194" t="str">
        <f>IF(COUNTIF($A$2:A1194,A1194)=1,
     VLOOKUP(A1194,Season_Winners!A:B,2,FALSE),
     "")</f>
        <v/>
      </c>
    </row>
    <row r="1195" spans="1:14" hidden="1" x14ac:dyDescent="0.3">
      <c r="A1195" t="s">
        <v>460</v>
      </c>
      <c r="B1195">
        <v>6</v>
      </c>
      <c r="C1195" t="s">
        <v>484</v>
      </c>
      <c r="D1195" t="str">
        <f t="shared" si="90"/>
        <v>24.09.2016</v>
      </c>
      <c r="E1195" s="1">
        <v>0.77083333333333337</v>
      </c>
      <c r="F1195" t="s">
        <v>15</v>
      </c>
      <c r="G1195" t="s">
        <v>27</v>
      </c>
      <c r="H1195" s="2">
        <v>46025</v>
      </c>
      <c r="I1195" s="3" t="str">
        <f t="shared" si="91"/>
        <v/>
      </c>
      <c r="J1195" t="str">
        <f t="shared" si="92"/>
        <v/>
      </c>
      <c r="K1195" t="str">
        <f t="shared" si="93"/>
        <v/>
      </c>
      <c r="L1195" t="str">
        <f t="shared" si="94"/>
        <v/>
      </c>
      <c r="M1195" t="str">
        <f>IF(COUNTIF($A$2:A1195,A1195)=1,
     VLOOKUP(A1195,Season_Winners!A:B,2,FALSE),
     "")</f>
        <v/>
      </c>
      <c r="N1195" s="2"/>
    </row>
    <row r="1196" spans="1:14" hidden="1" x14ac:dyDescent="0.3">
      <c r="A1196" t="s">
        <v>460</v>
      </c>
      <c r="B1196">
        <v>6</v>
      </c>
      <c r="C1196" t="s">
        <v>484</v>
      </c>
      <c r="D1196" t="str">
        <f t="shared" si="90"/>
        <v>24.09.2016</v>
      </c>
      <c r="E1196" s="1">
        <v>0.86458333333333337</v>
      </c>
      <c r="F1196" t="s">
        <v>338</v>
      </c>
      <c r="G1196" t="s">
        <v>25</v>
      </c>
      <c r="H1196" s="2">
        <v>46055</v>
      </c>
      <c r="I1196" s="3" t="str">
        <f t="shared" si="91"/>
        <v/>
      </c>
      <c r="J1196" t="str">
        <f t="shared" si="92"/>
        <v/>
      </c>
      <c r="K1196" t="str">
        <f t="shared" si="93"/>
        <v/>
      </c>
      <c r="L1196" t="str">
        <f t="shared" si="94"/>
        <v/>
      </c>
      <c r="M1196" t="str">
        <f>IF(COUNTIF($A$2:A1196,A1196)=1,
     VLOOKUP(A1196,Season_Winners!A:B,2,FALSE),
     "")</f>
        <v/>
      </c>
      <c r="N1196" s="2"/>
    </row>
    <row r="1197" spans="1:14" hidden="1" x14ac:dyDescent="0.3">
      <c r="A1197" t="s">
        <v>460</v>
      </c>
      <c r="B1197">
        <v>6</v>
      </c>
      <c r="C1197" t="s">
        <v>485</v>
      </c>
      <c r="D1197" t="str">
        <f t="shared" si="90"/>
        <v>25.09.2016</v>
      </c>
      <c r="E1197" s="1">
        <v>0.5</v>
      </c>
      <c r="F1197" t="s">
        <v>466</v>
      </c>
      <c r="G1197" t="s">
        <v>16</v>
      </c>
      <c r="H1197" s="2">
        <v>46054</v>
      </c>
      <c r="I1197" s="3" t="str">
        <f t="shared" si="91"/>
        <v/>
      </c>
      <c r="J1197" t="str">
        <f t="shared" si="92"/>
        <v/>
      </c>
      <c r="K1197" t="str">
        <f t="shared" si="93"/>
        <v/>
      </c>
      <c r="L1197" t="str">
        <f t="shared" si="94"/>
        <v/>
      </c>
      <c r="M1197" t="str">
        <f>IF(COUNTIF($A$2:A1197,A1197)=1,
     VLOOKUP(A1197,Season_Winners!A:B,2,FALSE),
     "")</f>
        <v/>
      </c>
      <c r="N1197" s="2"/>
    </row>
    <row r="1198" spans="1:14" x14ac:dyDescent="0.3">
      <c r="A1198" t="s">
        <v>460</v>
      </c>
      <c r="B1198">
        <v>6</v>
      </c>
      <c r="C1198" t="s">
        <v>485</v>
      </c>
      <c r="D1198" t="str">
        <f t="shared" si="90"/>
        <v>25.09.2016</v>
      </c>
      <c r="E1198" s="1">
        <v>0.67708333333333337</v>
      </c>
      <c r="F1198" t="s">
        <v>1425</v>
      </c>
      <c r="G1198" t="s">
        <v>182</v>
      </c>
      <c r="H1198" t="s">
        <v>18</v>
      </c>
      <c r="I1198" t="str">
        <f t="shared" si="91"/>
        <v>1-0</v>
      </c>
      <c r="J1198" t="str">
        <f t="shared" si="92"/>
        <v>1</v>
      </c>
      <c r="K1198" t="str">
        <f t="shared" si="93"/>
        <v>0</v>
      </c>
      <c r="L1198" t="str">
        <f t="shared" si="94"/>
        <v>Atlético de Madrid</v>
      </c>
      <c r="M1198" t="str">
        <f>IF(COUNTIF($A$2:A1198,A1198)=1,
     VLOOKUP(A1198,Season_Winners!A:B,2,FALSE),
     "")</f>
        <v/>
      </c>
    </row>
    <row r="1199" spans="1:14" hidden="1" x14ac:dyDescent="0.3">
      <c r="A1199" t="s">
        <v>460</v>
      </c>
      <c r="B1199">
        <v>6</v>
      </c>
      <c r="C1199" t="s">
        <v>485</v>
      </c>
      <c r="D1199" t="str">
        <f t="shared" si="90"/>
        <v>25.09.2016</v>
      </c>
      <c r="E1199" s="1">
        <v>0.77083333333333337</v>
      </c>
      <c r="F1199" t="s">
        <v>34</v>
      </c>
      <c r="G1199" t="s">
        <v>23</v>
      </c>
      <c r="H1199" s="2">
        <v>46025</v>
      </c>
      <c r="I1199" s="3" t="str">
        <f t="shared" si="91"/>
        <v/>
      </c>
      <c r="J1199" t="str">
        <f t="shared" si="92"/>
        <v/>
      </c>
      <c r="K1199" t="str">
        <f t="shared" si="93"/>
        <v/>
      </c>
      <c r="L1199" t="str">
        <f t="shared" si="94"/>
        <v/>
      </c>
      <c r="M1199" t="str">
        <f>IF(COUNTIF($A$2:A1199,A1199)=1,
     VLOOKUP(A1199,Season_Winners!A:B,2,FALSE),
     "")</f>
        <v/>
      </c>
      <c r="N1199" s="2"/>
    </row>
    <row r="1200" spans="1:14" x14ac:dyDescent="0.3">
      <c r="A1200" t="s">
        <v>460</v>
      </c>
      <c r="B1200">
        <v>6</v>
      </c>
      <c r="C1200" t="s">
        <v>485</v>
      </c>
      <c r="D1200" t="str">
        <f t="shared" si="90"/>
        <v>25.09.2016</v>
      </c>
      <c r="E1200" s="1">
        <v>0.86458333333333337</v>
      </c>
      <c r="F1200" t="s">
        <v>36</v>
      </c>
      <c r="G1200" t="s">
        <v>35</v>
      </c>
      <c r="H1200" t="s">
        <v>54</v>
      </c>
      <c r="I1200" t="str">
        <f t="shared" si="91"/>
        <v>0-2</v>
      </c>
      <c r="J1200" t="str">
        <f t="shared" si="92"/>
        <v>0</v>
      </c>
      <c r="K1200" t="str">
        <f t="shared" si="93"/>
        <v>2</v>
      </c>
      <c r="L1200" t="str">
        <f t="shared" si="94"/>
        <v>RC Celta</v>
      </c>
      <c r="M1200" t="str">
        <f>IF(COUNTIF($A$2:A1200,A1200)=1,
     VLOOKUP(A1200,Season_Winners!A:B,2,FALSE),
     "")</f>
        <v/>
      </c>
    </row>
    <row r="1201" spans="1:14" hidden="1" x14ac:dyDescent="0.3">
      <c r="A1201" t="s">
        <v>460</v>
      </c>
      <c r="B1201">
        <v>6</v>
      </c>
      <c r="C1201" t="s">
        <v>486</v>
      </c>
      <c r="D1201" t="str">
        <f t="shared" si="90"/>
        <v>26.09.2016</v>
      </c>
      <c r="E1201" s="1">
        <v>0.86458333333333337</v>
      </c>
      <c r="F1201" t="s">
        <v>464</v>
      </c>
      <c r="G1201" t="s">
        <v>24</v>
      </c>
      <c r="H1201" s="2">
        <v>46025</v>
      </c>
      <c r="I1201" s="3" t="str">
        <f t="shared" si="91"/>
        <v/>
      </c>
      <c r="J1201" t="str">
        <f t="shared" si="92"/>
        <v/>
      </c>
      <c r="K1201" t="str">
        <f t="shared" si="93"/>
        <v/>
      </c>
      <c r="L1201" t="str">
        <f t="shared" si="94"/>
        <v/>
      </c>
      <c r="M1201" t="str">
        <f>IF(COUNTIF($A$2:A1201,A1201)=1,
     VLOOKUP(A1201,Season_Winners!A:B,2,FALSE),
     "")</f>
        <v/>
      </c>
      <c r="N1201" s="2"/>
    </row>
    <row r="1202" spans="1:14" x14ac:dyDescent="0.3">
      <c r="A1202" t="s">
        <v>460</v>
      </c>
      <c r="B1202">
        <v>7</v>
      </c>
      <c r="C1202" t="s">
        <v>487</v>
      </c>
      <c r="D1202" t="str">
        <f t="shared" si="90"/>
        <v>30.09.2016</v>
      </c>
      <c r="E1202" s="1">
        <v>0.86458333333333337</v>
      </c>
      <c r="F1202" t="s">
        <v>10</v>
      </c>
      <c r="G1202" t="s">
        <v>26</v>
      </c>
      <c r="H1202" t="s">
        <v>18</v>
      </c>
      <c r="I1202" t="str">
        <f t="shared" si="91"/>
        <v>1-0</v>
      </c>
      <c r="J1202" t="str">
        <f t="shared" si="92"/>
        <v>1</v>
      </c>
      <c r="K1202" t="str">
        <f t="shared" si="93"/>
        <v>0</v>
      </c>
      <c r="L1202" t="str">
        <f t="shared" si="94"/>
        <v>Real Sociedad</v>
      </c>
      <c r="M1202" t="str">
        <f>IF(COUNTIF($A$2:A1202,A1202)=1,
     VLOOKUP(A1202,Season_Winners!A:B,2,FALSE),
     "")</f>
        <v/>
      </c>
    </row>
    <row r="1203" spans="1:14" x14ac:dyDescent="0.3">
      <c r="A1203" t="s">
        <v>460</v>
      </c>
      <c r="B1203">
        <v>7</v>
      </c>
      <c r="C1203" t="s">
        <v>488</v>
      </c>
      <c r="D1203" t="str">
        <f t="shared" si="90"/>
        <v>01.10.2016</v>
      </c>
      <c r="E1203" s="1">
        <v>0.54166666666666663</v>
      </c>
      <c r="F1203" t="s">
        <v>24</v>
      </c>
      <c r="G1203" t="s">
        <v>466</v>
      </c>
      <c r="H1203" t="s">
        <v>42</v>
      </c>
      <c r="I1203" t="str">
        <f t="shared" si="91"/>
        <v>0-1</v>
      </c>
      <c r="J1203" t="str">
        <f t="shared" si="92"/>
        <v>0</v>
      </c>
      <c r="K1203" t="str">
        <f t="shared" si="93"/>
        <v>1</v>
      </c>
      <c r="L1203" t="str">
        <f t="shared" si="94"/>
        <v>CD LeganÃ©s</v>
      </c>
      <c r="M1203" t="str">
        <f>IF(COUNTIF($A$2:A1203,A1203)=1,
     VLOOKUP(A1203,Season_Winners!A:B,2,FALSE),
     "")</f>
        <v/>
      </c>
    </row>
    <row r="1204" spans="1:14" hidden="1" x14ac:dyDescent="0.3">
      <c r="A1204" t="s">
        <v>460</v>
      </c>
      <c r="B1204">
        <v>7</v>
      </c>
      <c r="C1204" t="s">
        <v>488</v>
      </c>
      <c r="D1204" t="str">
        <f t="shared" si="90"/>
        <v>01.10.2016</v>
      </c>
      <c r="E1204" s="1">
        <v>0.67708333333333337</v>
      </c>
      <c r="F1204" t="s">
        <v>27</v>
      </c>
      <c r="G1204" t="s">
        <v>464</v>
      </c>
      <c r="H1204" s="2">
        <v>46024</v>
      </c>
      <c r="I1204" s="3" t="str">
        <f t="shared" si="91"/>
        <v/>
      </c>
      <c r="J1204" t="str">
        <f t="shared" si="92"/>
        <v/>
      </c>
      <c r="K1204" t="str">
        <f t="shared" si="93"/>
        <v/>
      </c>
      <c r="L1204" t="str">
        <f t="shared" si="94"/>
        <v/>
      </c>
      <c r="M1204" t="str">
        <f>IF(COUNTIF($A$2:A1204,A1204)=1,
     VLOOKUP(A1204,Season_Winners!A:B,2,FALSE),
     "")</f>
        <v/>
      </c>
      <c r="N1204" s="2"/>
    </row>
    <row r="1205" spans="1:14" hidden="1" x14ac:dyDescent="0.3">
      <c r="A1205" t="s">
        <v>460</v>
      </c>
      <c r="B1205">
        <v>7</v>
      </c>
      <c r="C1205" t="s">
        <v>488</v>
      </c>
      <c r="D1205" t="str">
        <f t="shared" si="90"/>
        <v>01.10.2016</v>
      </c>
      <c r="E1205" s="1">
        <v>0.77083333333333337</v>
      </c>
      <c r="F1205" t="s">
        <v>23</v>
      </c>
      <c r="G1205" t="s">
        <v>338</v>
      </c>
      <c r="H1205" s="2">
        <v>46055</v>
      </c>
      <c r="I1205" s="3" t="str">
        <f t="shared" si="91"/>
        <v/>
      </c>
      <c r="J1205" t="str">
        <f t="shared" si="92"/>
        <v/>
      </c>
      <c r="K1205" t="str">
        <f t="shared" si="93"/>
        <v/>
      </c>
      <c r="L1205" t="str">
        <f t="shared" si="94"/>
        <v/>
      </c>
      <c r="M1205" t="str">
        <f>IF(COUNTIF($A$2:A1205,A1205)=1,
     VLOOKUP(A1205,Season_Winners!A:B,2,FALSE),
     "")</f>
        <v/>
      </c>
      <c r="N1205" s="2"/>
    </row>
    <row r="1206" spans="1:14" hidden="1" x14ac:dyDescent="0.3">
      <c r="A1206" t="s">
        <v>460</v>
      </c>
      <c r="B1206">
        <v>7</v>
      </c>
      <c r="C1206" t="s">
        <v>488</v>
      </c>
      <c r="D1206" t="str">
        <f t="shared" si="90"/>
        <v>01.10.2016</v>
      </c>
      <c r="E1206" s="1">
        <v>0.86458333333333337</v>
      </c>
      <c r="F1206" t="s">
        <v>182</v>
      </c>
      <c r="G1206" t="s">
        <v>340</v>
      </c>
      <c r="H1206" s="2">
        <v>46024</v>
      </c>
      <c r="I1206" s="3" t="str">
        <f t="shared" si="91"/>
        <v/>
      </c>
      <c r="J1206" t="str">
        <f t="shared" si="92"/>
        <v/>
      </c>
      <c r="K1206" t="str">
        <f t="shared" si="93"/>
        <v/>
      </c>
      <c r="L1206" t="str">
        <f t="shared" si="94"/>
        <v/>
      </c>
      <c r="M1206" t="str">
        <f>IF(COUNTIF($A$2:A1206,A1206)=1,
     VLOOKUP(A1206,Season_Winners!A:B,2,FALSE),
     "")</f>
        <v/>
      </c>
      <c r="N1206" s="2"/>
    </row>
    <row r="1207" spans="1:14" x14ac:dyDescent="0.3">
      <c r="A1207" t="s">
        <v>460</v>
      </c>
      <c r="B1207">
        <v>7</v>
      </c>
      <c r="C1207" t="s">
        <v>489</v>
      </c>
      <c r="D1207" t="str">
        <f t="shared" si="90"/>
        <v>02.10.2016</v>
      </c>
      <c r="E1207" s="1">
        <v>0.5</v>
      </c>
      <c r="F1207" t="s">
        <v>16</v>
      </c>
      <c r="G1207" t="s">
        <v>1425</v>
      </c>
      <c r="H1207" t="s">
        <v>54</v>
      </c>
      <c r="I1207" t="str">
        <f t="shared" si="91"/>
        <v>0-2</v>
      </c>
      <c r="J1207" t="str">
        <f t="shared" si="92"/>
        <v>0</v>
      </c>
      <c r="K1207" t="str">
        <f t="shared" si="93"/>
        <v>2</v>
      </c>
      <c r="L1207" t="str">
        <f t="shared" si="94"/>
        <v>Atlético de Madrid</v>
      </c>
      <c r="M1207" t="str">
        <f>IF(COUNTIF($A$2:A1207,A1207)=1,
     VLOOKUP(A1207,Season_Winners!A:B,2,FALSE),
     "")</f>
        <v/>
      </c>
    </row>
    <row r="1208" spans="1:14" hidden="1" x14ac:dyDescent="0.3">
      <c r="A1208" t="s">
        <v>460</v>
      </c>
      <c r="B1208">
        <v>7</v>
      </c>
      <c r="C1208" t="s">
        <v>489</v>
      </c>
      <c r="D1208" t="str">
        <f t="shared" si="90"/>
        <v>02.10.2016</v>
      </c>
      <c r="E1208" s="1">
        <v>0.67708333333333337</v>
      </c>
      <c r="F1208" t="s">
        <v>25</v>
      </c>
      <c r="G1208" t="s">
        <v>187</v>
      </c>
      <c r="H1208" s="2">
        <v>46023</v>
      </c>
      <c r="I1208" s="3" t="str">
        <f t="shared" si="91"/>
        <v/>
      </c>
      <c r="J1208" t="str">
        <f t="shared" si="92"/>
        <v/>
      </c>
      <c r="K1208" t="str">
        <f t="shared" si="93"/>
        <v/>
      </c>
      <c r="L1208" t="str">
        <f t="shared" si="94"/>
        <v/>
      </c>
      <c r="M1208" t="str">
        <f>IF(COUNTIF($A$2:A1208,A1208)=1,
     VLOOKUP(A1208,Season_Winners!A:B,2,FALSE),
     "")</f>
        <v/>
      </c>
      <c r="N1208" s="2"/>
    </row>
    <row r="1209" spans="1:14" x14ac:dyDescent="0.3">
      <c r="A1209" t="s">
        <v>460</v>
      </c>
      <c r="B1209">
        <v>7</v>
      </c>
      <c r="C1209" t="s">
        <v>489</v>
      </c>
      <c r="D1209" t="str">
        <f t="shared" si="90"/>
        <v>02.10.2016</v>
      </c>
      <c r="E1209" s="1">
        <v>0.77083333333333337</v>
      </c>
      <c r="F1209" t="s">
        <v>36</v>
      </c>
      <c r="G1209" t="s">
        <v>34</v>
      </c>
      <c r="H1209" t="s">
        <v>41</v>
      </c>
      <c r="I1209" t="str">
        <f t="shared" si="91"/>
        <v>0-0</v>
      </c>
      <c r="J1209" t="str">
        <f t="shared" si="92"/>
        <v>0</v>
      </c>
      <c r="K1209" t="str">
        <f t="shared" si="93"/>
        <v>0</v>
      </c>
      <c r="L1209" t="str">
        <f t="shared" si="94"/>
        <v>Draw</v>
      </c>
      <c r="M1209" t="str">
        <f>IF(COUNTIF($A$2:A1209,A1209)=1,
     VLOOKUP(A1209,Season_Winners!A:B,2,FALSE),
     "")</f>
        <v/>
      </c>
    </row>
    <row r="1210" spans="1:14" hidden="1" x14ac:dyDescent="0.3">
      <c r="A1210" t="s">
        <v>460</v>
      </c>
      <c r="B1210">
        <v>7</v>
      </c>
      <c r="C1210" t="s">
        <v>489</v>
      </c>
      <c r="D1210" t="str">
        <f t="shared" si="90"/>
        <v>02.10.2016</v>
      </c>
      <c r="E1210" s="1">
        <v>0.77083333333333337</v>
      </c>
      <c r="F1210" t="s">
        <v>17</v>
      </c>
      <c r="G1210" t="s">
        <v>15</v>
      </c>
      <c r="H1210" s="2">
        <v>46024</v>
      </c>
      <c r="I1210" s="3" t="str">
        <f t="shared" si="91"/>
        <v/>
      </c>
      <c r="J1210" t="str">
        <f t="shared" si="92"/>
        <v/>
      </c>
      <c r="K1210" t="str">
        <f t="shared" si="93"/>
        <v/>
      </c>
      <c r="L1210" t="str">
        <f t="shared" si="94"/>
        <v/>
      </c>
      <c r="M1210" t="str">
        <f>IF(COUNTIF($A$2:A1210,A1210)=1,
     VLOOKUP(A1210,Season_Winners!A:B,2,FALSE),
     "")</f>
        <v/>
      </c>
      <c r="N1210" s="2"/>
    </row>
    <row r="1211" spans="1:14" hidden="1" x14ac:dyDescent="0.3">
      <c r="A1211" t="s">
        <v>460</v>
      </c>
      <c r="B1211">
        <v>7</v>
      </c>
      <c r="C1211" t="s">
        <v>489</v>
      </c>
      <c r="D1211" t="str">
        <f t="shared" si="90"/>
        <v>02.10.2016</v>
      </c>
      <c r="E1211" s="1">
        <v>0.86458333333333337</v>
      </c>
      <c r="F1211" t="s">
        <v>35</v>
      </c>
      <c r="G1211" t="s">
        <v>20</v>
      </c>
      <c r="H1211" s="2">
        <v>46085</v>
      </c>
      <c r="I1211" s="3" t="str">
        <f t="shared" si="91"/>
        <v/>
      </c>
      <c r="J1211" t="str">
        <f t="shared" si="92"/>
        <v/>
      </c>
      <c r="K1211" t="str">
        <f t="shared" si="93"/>
        <v/>
      </c>
      <c r="L1211" t="str">
        <f t="shared" si="94"/>
        <v/>
      </c>
      <c r="M1211" t="str">
        <f>IF(COUNTIF($A$2:A1211,A1211)=1,
     VLOOKUP(A1211,Season_Winners!A:B,2,FALSE),
     "")</f>
        <v/>
      </c>
      <c r="N1211" s="2"/>
    </row>
    <row r="1212" spans="1:14" x14ac:dyDescent="0.3">
      <c r="A1212" t="s">
        <v>460</v>
      </c>
      <c r="B1212">
        <v>8</v>
      </c>
      <c r="C1212" t="s">
        <v>490</v>
      </c>
      <c r="D1212" t="str">
        <f t="shared" si="90"/>
        <v>14.10.2016</v>
      </c>
      <c r="E1212" s="1">
        <v>0.86458333333333337</v>
      </c>
      <c r="F1212" t="s">
        <v>338</v>
      </c>
      <c r="G1212" t="s">
        <v>36</v>
      </c>
      <c r="H1212" t="s">
        <v>41</v>
      </c>
      <c r="I1212" t="str">
        <f t="shared" si="91"/>
        <v>0-0</v>
      </c>
      <c r="J1212" t="str">
        <f t="shared" si="92"/>
        <v>0</v>
      </c>
      <c r="K1212" t="str">
        <f t="shared" si="93"/>
        <v>0</v>
      </c>
      <c r="L1212" t="str">
        <f t="shared" si="94"/>
        <v>Draw</v>
      </c>
      <c r="M1212" t="str">
        <f>IF(COUNTIF($A$2:A1212,A1212)=1,
     VLOOKUP(A1212,Season_Winners!A:B,2,FALSE),
     "")</f>
        <v/>
      </c>
    </row>
    <row r="1213" spans="1:14" hidden="1" x14ac:dyDescent="0.3">
      <c r="A1213" t="s">
        <v>460</v>
      </c>
      <c r="B1213">
        <v>8</v>
      </c>
      <c r="C1213" t="s">
        <v>491</v>
      </c>
      <c r="D1213" t="str">
        <f t="shared" si="90"/>
        <v>15.10.2016</v>
      </c>
      <c r="E1213" s="1">
        <v>0.54166666666666663</v>
      </c>
      <c r="F1213" t="s">
        <v>466</v>
      </c>
      <c r="G1213" t="s">
        <v>27</v>
      </c>
      <c r="H1213" s="2">
        <v>46083</v>
      </c>
      <c r="I1213" s="3" t="str">
        <f t="shared" si="91"/>
        <v/>
      </c>
      <c r="J1213" t="str">
        <f t="shared" si="92"/>
        <v/>
      </c>
      <c r="K1213" t="str">
        <f t="shared" si="93"/>
        <v/>
      </c>
      <c r="L1213" t="str">
        <f t="shared" si="94"/>
        <v/>
      </c>
      <c r="M1213" t="str">
        <f>IF(COUNTIF($A$2:A1213,A1213)=1,
     VLOOKUP(A1213,Season_Winners!A:B,2,FALSE),
     "")</f>
        <v/>
      </c>
      <c r="N1213" s="2"/>
    </row>
    <row r="1214" spans="1:14" x14ac:dyDescent="0.3">
      <c r="A1214" t="s">
        <v>460</v>
      </c>
      <c r="B1214">
        <v>8</v>
      </c>
      <c r="C1214" t="s">
        <v>491</v>
      </c>
      <c r="D1214" t="str">
        <f t="shared" si="90"/>
        <v>15.10.2016</v>
      </c>
      <c r="E1214" s="1">
        <v>0.67708333333333337</v>
      </c>
      <c r="F1214" t="s">
        <v>20</v>
      </c>
      <c r="G1214" t="s">
        <v>182</v>
      </c>
      <c r="H1214" t="s">
        <v>88</v>
      </c>
      <c r="I1214" t="str">
        <f t="shared" si="91"/>
        <v>4-0</v>
      </c>
      <c r="J1214" t="str">
        <f t="shared" si="92"/>
        <v>4</v>
      </c>
      <c r="K1214" t="str">
        <f t="shared" si="93"/>
        <v>0</v>
      </c>
      <c r="L1214" t="str">
        <f t="shared" si="94"/>
        <v>FC Barcelona</v>
      </c>
      <c r="M1214" t="str">
        <f>IF(COUNTIF($A$2:A1214,A1214)=1,
     VLOOKUP(A1214,Season_Winners!A:B,2,FALSE),
     "")</f>
        <v/>
      </c>
    </row>
    <row r="1215" spans="1:14" hidden="1" x14ac:dyDescent="0.3">
      <c r="A1215" t="s">
        <v>460</v>
      </c>
      <c r="B1215">
        <v>8</v>
      </c>
      <c r="C1215" t="s">
        <v>491</v>
      </c>
      <c r="D1215" t="str">
        <f t="shared" si="90"/>
        <v>15.10.2016</v>
      </c>
      <c r="E1215" s="1">
        <v>0.77083333333333337</v>
      </c>
      <c r="F1215" t="s">
        <v>28</v>
      </c>
      <c r="G1215" t="s">
        <v>24</v>
      </c>
      <c r="H1215" s="2">
        <v>46029</v>
      </c>
      <c r="I1215" s="3" t="str">
        <f t="shared" si="91"/>
        <v/>
      </c>
      <c r="J1215" t="str">
        <f t="shared" si="92"/>
        <v/>
      </c>
      <c r="K1215" t="str">
        <f t="shared" si="93"/>
        <v/>
      </c>
      <c r="L1215" t="str">
        <f t="shared" si="94"/>
        <v/>
      </c>
      <c r="M1215" t="str">
        <f>IF(COUNTIF($A$2:A1215,A1215)=1,
     VLOOKUP(A1215,Season_Winners!A:B,2,FALSE),
     "")</f>
        <v/>
      </c>
      <c r="N1215" s="2"/>
    </row>
    <row r="1216" spans="1:14" hidden="1" x14ac:dyDescent="0.3">
      <c r="A1216" t="s">
        <v>460</v>
      </c>
      <c r="B1216">
        <v>8</v>
      </c>
      <c r="C1216" t="s">
        <v>491</v>
      </c>
      <c r="D1216" t="str">
        <f t="shared" si="90"/>
        <v>15.10.2016</v>
      </c>
      <c r="E1216" s="1">
        <v>0.86458333333333337</v>
      </c>
      <c r="F1216" t="s">
        <v>26</v>
      </c>
      <c r="G1216" t="s">
        <v>25</v>
      </c>
      <c r="H1216" s="2">
        <v>46174</v>
      </c>
      <c r="I1216" s="3" t="str">
        <f t="shared" si="91"/>
        <v/>
      </c>
      <c r="J1216" t="str">
        <f t="shared" si="92"/>
        <v/>
      </c>
      <c r="K1216" t="str">
        <f t="shared" si="93"/>
        <v/>
      </c>
      <c r="L1216" t="str">
        <f t="shared" si="94"/>
        <v/>
      </c>
      <c r="M1216" t="str">
        <f>IF(COUNTIF($A$2:A1216,A1216)=1,
     VLOOKUP(A1216,Season_Winners!A:B,2,FALSE),
     "")</f>
        <v/>
      </c>
      <c r="N1216" s="2"/>
    </row>
    <row r="1217" spans="1:14" hidden="1" x14ac:dyDescent="0.3">
      <c r="A1217" t="s">
        <v>460</v>
      </c>
      <c r="B1217">
        <v>8</v>
      </c>
      <c r="C1217" t="s">
        <v>492</v>
      </c>
      <c r="D1217" t="str">
        <f t="shared" si="90"/>
        <v>16.10.2016</v>
      </c>
      <c r="E1217" s="1">
        <v>0.5</v>
      </c>
      <c r="F1217" t="s">
        <v>464</v>
      </c>
      <c r="G1217" t="s">
        <v>17</v>
      </c>
      <c r="H1217" s="2">
        <v>46023</v>
      </c>
      <c r="I1217" s="3" t="str">
        <f t="shared" si="91"/>
        <v/>
      </c>
      <c r="J1217" t="str">
        <f t="shared" si="92"/>
        <v/>
      </c>
      <c r="K1217" t="str">
        <f t="shared" si="93"/>
        <v/>
      </c>
      <c r="L1217" t="str">
        <f t="shared" si="94"/>
        <v/>
      </c>
      <c r="M1217" t="str">
        <f>IF(COUNTIF($A$2:A1217,A1217)=1,
     VLOOKUP(A1217,Season_Winners!A:B,2,FALSE),
     "")</f>
        <v/>
      </c>
      <c r="N1217" s="2"/>
    </row>
    <row r="1218" spans="1:14" hidden="1" x14ac:dyDescent="0.3">
      <c r="A1218" t="s">
        <v>460</v>
      </c>
      <c r="B1218">
        <v>8</v>
      </c>
      <c r="C1218" t="s">
        <v>492</v>
      </c>
      <c r="D1218" t="str">
        <f t="shared" ref="D1218:D1281" si="95">RIGHT(C1218,10)</f>
        <v>16.10.2016</v>
      </c>
      <c r="E1218" s="1">
        <v>0.67708333333333337</v>
      </c>
      <c r="F1218" t="s">
        <v>15</v>
      </c>
      <c r="G1218" t="s">
        <v>10</v>
      </c>
      <c r="H1218" s="2">
        <v>46056</v>
      </c>
      <c r="I1218" s="3" t="str">
        <f t="shared" ref="I1218:I1281" si="96">IF(ISNUMBER(SEARCH("-",H1218)),H1218,"")</f>
        <v/>
      </c>
      <c r="J1218" t="str">
        <f t="shared" ref="J1218:J1281" si="97">IF(I1218="","",LEFT(I1218,FIND("-",I1218)-1))</f>
        <v/>
      </c>
      <c r="K1218" t="str">
        <f t="shared" ref="K1218:K1281" si="98">IF(I1218="","",RIGHT(I1218,LEN(I1218)-FIND("-",I1218)))</f>
        <v/>
      </c>
      <c r="L1218" t="str">
        <f t="shared" ref="L1218:L1281" si="99">IF(I1218="","",IF(J1218&gt;K1218,F1218,IF(K1218&gt;J1218,G1218,"Draw")))</f>
        <v/>
      </c>
      <c r="M1218" t="str">
        <f>IF(COUNTIF($A$2:A1218,A1218)=1,
     VLOOKUP(A1218,Season_Winners!A:B,2,FALSE),
     "")</f>
        <v/>
      </c>
      <c r="N1218" s="2"/>
    </row>
    <row r="1219" spans="1:14" hidden="1" x14ac:dyDescent="0.3">
      <c r="A1219" t="s">
        <v>460</v>
      </c>
      <c r="B1219">
        <v>8</v>
      </c>
      <c r="C1219" t="s">
        <v>492</v>
      </c>
      <c r="D1219" t="str">
        <f t="shared" si="95"/>
        <v>16.10.2016</v>
      </c>
      <c r="E1219" s="1">
        <v>0.77083333333333337</v>
      </c>
      <c r="F1219" t="s">
        <v>340</v>
      </c>
      <c r="G1219" t="s">
        <v>16</v>
      </c>
      <c r="H1219" s="2">
        <v>46054</v>
      </c>
      <c r="I1219" s="3" t="str">
        <f t="shared" si="96"/>
        <v/>
      </c>
      <c r="J1219" t="str">
        <f t="shared" si="97"/>
        <v/>
      </c>
      <c r="K1219" t="str">
        <f t="shared" si="98"/>
        <v/>
      </c>
      <c r="L1219" t="str">
        <f t="shared" si="99"/>
        <v/>
      </c>
      <c r="M1219" t="str">
        <f>IF(COUNTIF($A$2:A1219,A1219)=1,
     VLOOKUP(A1219,Season_Winners!A:B,2,FALSE),
     "")</f>
        <v/>
      </c>
      <c r="N1219" s="2"/>
    </row>
    <row r="1220" spans="1:14" x14ac:dyDescent="0.3">
      <c r="A1220" t="s">
        <v>460</v>
      </c>
      <c r="B1220">
        <v>8</v>
      </c>
      <c r="C1220" t="s">
        <v>492</v>
      </c>
      <c r="D1220" t="str">
        <f t="shared" si="95"/>
        <v>16.10.2016</v>
      </c>
      <c r="E1220" s="1">
        <v>0.86458333333333337</v>
      </c>
      <c r="F1220" t="s">
        <v>34</v>
      </c>
      <c r="G1220" t="s">
        <v>35</v>
      </c>
      <c r="H1220" t="s">
        <v>40</v>
      </c>
      <c r="I1220" t="str">
        <f t="shared" si="96"/>
        <v>5-0</v>
      </c>
      <c r="J1220" t="str">
        <f t="shared" si="97"/>
        <v>5</v>
      </c>
      <c r="K1220" t="str">
        <f t="shared" si="98"/>
        <v>0</v>
      </c>
      <c r="L1220" t="str">
        <f t="shared" si="99"/>
        <v>Villarreal CF</v>
      </c>
      <c r="M1220" t="str">
        <f>IF(COUNTIF($A$2:A1220,A1220)=1,
     VLOOKUP(A1220,Season_Winners!A:B,2,FALSE),
     "")</f>
        <v/>
      </c>
    </row>
    <row r="1221" spans="1:14" hidden="1" x14ac:dyDescent="0.3">
      <c r="A1221" t="s">
        <v>460</v>
      </c>
      <c r="B1221">
        <v>8</v>
      </c>
      <c r="C1221" t="s">
        <v>493</v>
      </c>
      <c r="D1221" t="str">
        <f t="shared" si="95"/>
        <v>17.10.2016</v>
      </c>
      <c r="E1221" s="1">
        <v>0.86458333333333337</v>
      </c>
      <c r="F1221" t="s">
        <v>187</v>
      </c>
      <c r="G1221" t="s">
        <v>23</v>
      </c>
      <c r="H1221" s="2">
        <v>46083</v>
      </c>
      <c r="I1221" s="3" t="str">
        <f t="shared" si="96"/>
        <v/>
      </c>
      <c r="J1221" t="str">
        <f t="shared" si="97"/>
        <v/>
      </c>
      <c r="K1221" t="str">
        <f t="shared" si="98"/>
        <v/>
      </c>
      <c r="L1221" t="str">
        <f t="shared" si="99"/>
        <v/>
      </c>
      <c r="M1221" t="str">
        <f>IF(COUNTIF($A$2:A1221,A1221)=1,
     VLOOKUP(A1221,Season_Winners!A:B,2,FALSE),
     "")</f>
        <v/>
      </c>
      <c r="N1221" s="2"/>
    </row>
    <row r="1222" spans="1:14" hidden="1" x14ac:dyDescent="0.3">
      <c r="A1222" t="s">
        <v>460</v>
      </c>
      <c r="B1222">
        <v>9</v>
      </c>
      <c r="C1222" t="s">
        <v>494</v>
      </c>
      <c r="D1222" t="str">
        <f t="shared" si="95"/>
        <v>21.10.2016</v>
      </c>
      <c r="E1222" s="1">
        <v>0.86458333333333337</v>
      </c>
      <c r="F1222" t="s">
        <v>23</v>
      </c>
      <c r="G1222" t="s">
        <v>26</v>
      </c>
      <c r="H1222" s="2">
        <v>46054</v>
      </c>
      <c r="I1222" s="3" t="str">
        <f t="shared" si="96"/>
        <v/>
      </c>
      <c r="J1222" t="str">
        <f t="shared" si="97"/>
        <v/>
      </c>
      <c r="K1222" t="str">
        <f t="shared" si="98"/>
        <v/>
      </c>
      <c r="L1222" t="str">
        <f t="shared" si="99"/>
        <v/>
      </c>
      <c r="M1222" t="str">
        <f>IF(COUNTIF($A$2:A1222,A1222)=1,
     VLOOKUP(A1222,Season_Winners!A:B,2,FALSE),
     "")</f>
        <v/>
      </c>
      <c r="N1222" s="2"/>
    </row>
    <row r="1223" spans="1:14" hidden="1" x14ac:dyDescent="0.3">
      <c r="A1223" t="s">
        <v>460</v>
      </c>
      <c r="B1223">
        <v>9</v>
      </c>
      <c r="C1223" t="s">
        <v>495</v>
      </c>
      <c r="D1223" t="str">
        <f t="shared" si="95"/>
        <v>22.10.2016</v>
      </c>
      <c r="E1223" s="1">
        <v>0.54166666666666663</v>
      </c>
      <c r="F1223" t="s">
        <v>36</v>
      </c>
      <c r="G1223" t="s">
        <v>187</v>
      </c>
      <c r="H1223" s="2">
        <v>46084</v>
      </c>
      <c r="I1223" s="3" t="str">
        <f t="shared" si="96"/>
        <v/>
      </c>
      <c r="J1223" t="str">
        <f t="shared" si="97"/>
        <v/>
      </c>
      <c r="K1223" t="str">
        <f t="shared" si="98"/>
        <v/>
      </c>
      <c r="L1223" t="str">
        <f t="shared" si="99"/>
        <v/>
      </c>
      <c r="M1223" t="str">
        <f>IF(COUNTIF($A$2:A1223,A1223)=1,
     VLOOKUP(A1223,Season_Winners!A:B,2,FALSE),
     "")</f>
        <v/>
      </c>
      <c r="N1223" s="2"/>
    </row>
    <row r="1224" spans="1:14" hidden="1" x14ac:dyDescent="0.3">
      <c r="A1224" t="s">
        <v>460</v>
      </c>
      <c r="B1224">
        <v>9</v>
      </c>
      <c r="C1224" t="s">
        <v>495</v>
      </c>
      <c r="D1224" t="str">
        <f t="shared" si="95"/>
        <v>22.10.2016</v>
      </c>
      <c r="E1224" s="1">
        <v>0.67708333333333337</v>
      </c>
      <c r="F1224" t="s">
        <v>16</v>
      </c>
      <c r="G1224" t="s">
        <v>20</v>
      </c>
      <c r="H1224" s="2">
        <v>46083</v>
      </c>
      <c r="I1224" s="3" t="str">
        <f t="shared" si="96"/>
        <v/>
      </c>
      <c r="J1224" t="str">
        <f t="shared" si="97"/>
        <v/>
      </c>
      <c r="K1224" t="str">
        <f t="shared" si="98"/>
        <v/>
      </c>
      <c r="L1224" t="str">
        <f t="shared" si="99"/>
        <v/>
      </c>
      <c r="M1224" t="str">
        <f>IF(COUNTIF($A$2:A1224,A1224)=1,
     VLOOKUP(A1224,Season_Winners!A:B,2,FALSE),
     "")</f>
        <v/>
      </c>
      <c r="N1224" s="2"/>
    </row>
    <row r="1225" spans="1:14" x14ac:dyDescent="0.3">
      <c r="A1225" t="s">
        <v>460</v>
      </c>
      <c r="B1225">
        <v>9</v>
      </c>
      <c r="C1225" t="s">
        <v>495</v>
      </c>
      <c r="D1225" t="str">
        <f t="shared" si="95"/>
        <v>22.10.2016</v>
      </c>
      <c r="E1225" s="1">
        <v>0.77083333333333337</v>
      </c>
      <c r="F1225" t="s">
        <v>10</v>
      </c>
      <c r="G1225" t="s">
        <v>464</v>
      </c>
      <c r="H1225" t="s">
        <v>32</v>
      </c>
      <c r="I1225" t="str">
        <f t="shared" si="96"/>
        <v>3-0</v>
      </c>
      <c r="J1225" t="str">
        <f t="shared" si="97"/>
        <v>3</v>
      </c>
      <c r="K1225" t="str">
        <f t="shared" si="98"/>
        <v>0</v>
      </c>
      <c r="L1225" t="str">
        <f t="shared" si="99"/>
        <v>Real Sociedad</v>
      </c>
      <c r="M1225" t="str">
        <f>IF(COUNTIF($A$2:A1225,A1225)=1,
     VLOOKUP(A1225,Season_Winners!A:B,2,FALSE),
     "")</f>
        <v/>
      </c>
    </row>
    <row r="1226" spans="1:14" x14ac:dyDescent="0.3">
      <c r="A1226" t="s">
        <v>460</v>
      </c>
      <c r="B1226">
        <v>9</v>
      </c>
      <c r="C1226" t="s">
        <v>495</v>
      </c>
      <c r="D1226" t="str">
        <f t="shared" si="95"/>
        <v>22.10.2016</v>
      </c>
      <c r="E1226" s="1">
        <v>0.86458333333333337</v>
      </c>
      <c r="F1226" t="s">
        <v>24</v>
      </c>
      <c r="G1226" t="s">
        <v>340</v>
      </c>
      <c r="H1226" t="s">
        <v>41</v>
      </c>
      <c r="I1226" t="str">
        <f t="shared" si="96"/>
        <v>0-0</v>
      </c>
      <c r="J1226" t="str">
        <f t="shared" si="97"/>
        <v>0</v>
      </c>
      <c r="K1226" t="str">
        <f t="shared" si="98"/>
        <v>0</v>
      </c>
      <c r="L1226" t="str">
        <f t="shared" si="99"/>
        <v>Draw</v>
      </c>
      <c r="M1226" t="str">
        <f>IF(COUNTIF($A$2:A1226,A1226)=1,
     VLOOKUP(A1226,Season_Winners!A:B,2,FALSE),
     "")</f>
        <v/>
      </c>
    </row>
    <row r="1227" spans="1:14" hidden="1" x14ac:dyDescent="0.3">
      <c r="A1227" t="s">
        <v>460</v>
      </c>
      <c r="B1227">
        <v>9</v>
      </c>
      <c r="C1227" t="s">
        <v>496</v>
      </c>
      <c r="D1227" t="str">
        <f t="shared" si="95"/>
        <v>23.10.2016</v>
      </c>
      <c r="E1227" s="1">
        <v>0.5</v>
      </c>
      <c r="F1227" t="s">
        <v>35</v>
      </c>
      <c r="G1227" t="s">
        <v>182</v>
      </c>
      <c r="H1227" s="2">
        <v>46026</v>
      </c>
      <c r="I1227" s="3" t="str">
        <f t="shared" si="96"/>
        <v/>
      </c>
      <c r="J1227" t="str">
        <f t="shared" si="97"/>
        <v/>
      </c>
      <c r="K1227" t="str">
        <f t="shared" si="98"/>
        <v/>
      </c>
      <c r="L1227" t="str">
        <f t="shared" si="99"/>
        <v/>
      </c>
      <c r="M1227" t="str">
        <f>IF(COUNTIF($A$2:A1227,A1227)=1,
     VLOOKUP(A1227,Season_Winners!A:B,2,FALSE),
     "")</f>
        <v/>
      </c>
      <c r="N1227" s="2"/>
    </row>
    <row r="1228" spans="1:14" x14ac:dyDescent="0.3">
      <c r="A1228" t="s">
        <v>460</v>
      </c>
      <c r="B1228">
        <v>9</v>
      </c>
      <c r="C1228" t="s">
        <v>496</v>
      </c>
      <c r="D1228" t="str">
        <f t="shared" si="95"/>
        <v>23.10.2016</v>
      </c>
      <c r="E1228" s="1">
        <v>0.67708333333333337</v>
      </c>
      <c r="F1228" t="s">
        <v>27</v>
      </c>
      <c r="G1228" t="s">
        <v>1425</v>
      </c>
      <c r="H1228" t="s">
        <v>18</v>
      </c>
      <c r="I1228" t="str">
        <f t="shared" si="96"/>
        <v>1-0</v>
      </c>
      <c r="J1228" t="str">
        <f t="shared" si="97"/>
        <v>1</v>
      </c>
      <c r="K1228" t="str">
        <f t="shared" si="98"/>
        <v>0</v>
      </c>
      <c r="L1228" t="str">
        <f t="shared" si="99"/>
        <v>Sevilla FC</v>
      </c>
      <c r="M1228" t="str">
        <f>IF(COUNTIF($A$2:A1228,A1228)=1,
     VLOOKUP(A1228,Season_Winners!A:B,2,FALSE),
     "")</f>
        <v/>
      </c>
    </row>
    <row r="1229" spans="1:14" x14ac:dyDescent="0.3">
      <c r="A1229" t="s">
        <v>460</v>
      </c>
      <c r="B1229">
        <v>9</v>
      </c>
      <c r="C1229" t="s">
        <v>496</v>
      </c>
      <c r="D1229" t="str">
        <f t="shared" si="95"/>
        <v>23.10.2016</v>
      </c>
      <c r="E1229" s="1">
        <v>0.77083333333333337</v>
      </c>
      <c r="F1229" t="s">
        <v>17</v>
      </c>
      <c r="G1229" t="s">
        <v>466</v>
      </c>
      <c r="H1229" t="s">
        <v>88</v>
      </c>
      <c r="I1229" t="str">
        <f t="shared" si="96"/>
        <v>4-0</v>
      </c>
      <c r="J1229" t="str">
        <f t="shared" si="97"/>
        <v>4</v>
      </c>
      <c r="K1229" t="str">
        <f t="shared" si="98"/>
        <v>0</v>
      </c>
      <c r="L1229" t="str">
        <f t="shared" si="99"/>
        <v>MÃ¡laga CF</v>
      </c>
      <c r="M1229" t="str">
        <f>IF(COUNTIF($A$2:A1229,A1229)=1,
     VLOOKUP(A1229,Season_Winners!A:B,2,FALSE),
     "")</f>
        <v/>
      </c>
    </row>
    <row r="1230" spans="1:14" hidden="1" x14ac:dyDescent="0.3">
      <c r="A1230" t="s">
        <v>460</v>
      </c>
      <c r="B1230">
        <v>9</v>
      </c>
      <c r="C1230" t="s">
        <v>496</v>
      </c>
      <c r="D1230" t="str">
        <f t="shared" si="95"/>
        <v>23.10.2016</v>
      </c>
      <c r="E1230" s="1">
        <v>0.77083333333333337</v>
      </c>
      <c r="F1230" t="s">
        <v>34</v>
      </c>
      <c r="G1230" t="s">
        <v>338</v>
      </c>
      <c r="H1230" s="2">
        <v>46024</v>
      </c>
      <c r="I1230" s="3" t="str">
        <f t="shared" si="96"/>
        <v/>
      </c>
      <c r="J1230" t="str">
        <f t="shared" si="97"/>
        <v/>
      </c>
      <c r="K1230" t="str">
        <f t="shared" si="98"/>
        <v/>
      </c>
      <c r="L1230" t="str">
        <f t="shared" si="99"/>
        <v/>
      </c>
      <c r="M1230" t="str">
        <f>IF(COUNTIF($A$2:A1230,A1230)=1,
     VLOOKUP(A1230,Season_Winners!A:B,2,FALSE),
     "")</f>
        <v/>
      </c>
      <c r="N1230" s="2"/>
    </row>
    <row r="1231" spans="1:14" hidden="1" x14ac:dyDescent="0.3">
      <c r="A1231" t="s">
        <v>460</v>
      </c>
      <c r="B1231">
        <v>9</v>
      </c>
      <c r="C1231" t="s">
        <v>496</v>
      </c>
      <c r="D1231" t="str">
        <f t="shared" si="95"/>
        <v>23.10.2016</v>
      </c>
      <c r="E1231" s="1">
        <v>0.86458333333333337</v>
      </c>
      <c r="F1231" t="s">
        <v>25</v>
      </c>
      <c r="G1231" t="s">
        <v>15</v>
      </c>
      <c r="H1231" s="2">
        <v>46024</v>
      </c>
      <c r="I1231" s="3" t="str">
        <f t="shared" si="96"/>
        <v/>
      </c>
      <c r="J1231" t="str">
        <f t="shared" si="97"/>
        <v/>
      </c>
      <c r="K1231" t="str">
        <f t="shared" si="98"/>
        <v/>
      </c>
      <c r="L1231" t="str">
        <f t="shared" si="99"/>
        <v/>
      </c>
      <c r="M1231" t="str">
        <f>IF(COUNTIF($A$2:A1231,A1231)=1,
     VLOOKUP(A1231,Season_Winners!A:B,2,FALSE),
     "")</f>
        <v/>
      </c>
      <c r="N1231" s="2"/>
    </row>
    <row r="1232" spans="1:14" x14ac:dyDescent="0.3">
      <c r="A1232" t="s">
        <v>460</v>
      </c>
      <c r="B1232">
        <v>10</v>
      </c>
      <c r="C1232" t="s">
        <v>497</v>
      </c>
      <c r="D1232" t="str">
        <f t="shared" si="95"/>
        <v>28.10.2016</v>
      </c>
      <c r="E1232" s="1">
        <v>0.86458333333333337</v>
      </c>
      <c r="F1232" t="s">
        <v>466</v>
      </c>
      <c r="G1232" t="s">
        <v>10</v>
      </c>
      <c r="H1232" t="s">
        <v>54</v>
      </c>
      <c r="I1232" t="str">
        <f t="shared" si="96"/>
        <v>0-2</v>
      </c>
      <c r="J1232" t="str">
        <f t="shared" si="97"/>
        <v>0</v>
      </c>
      <c r="K1232" t="str">
        <f t="shared" si="98"/>
        <v>2</v>
      </c>
      <c r="L1232" t="str">
        <f t="shared" si="99"/>
        <v>Real Sociedad</v>
      </c>
      <c r="M1232" t="str">
        <f>IF(COUNTIF($A$2:A1232,A1232)=1,
     VLOOKUP(A1232,Season_Winners!A:B,2,FALSE),
     "")</f>
        <v/>
      </c>
    </row>
    <row r="1233" spans="1:14" hidden="1" x14ac:dyDescent="0.3">
      <c r="A1233" t="s">
        <v>460</v>
      </c>
      <c r="B1233">
        <v>10</v>
      </c>
      <c r="C1233" t="s">
        <v>498</v>
      </c>
      <c r="D1233" t="str">
        <f t="shared" si="95"/>
        <v>29.10.2016</v>
      </c>
      <c r="E1233" s="1">
        <v>0.54166666666666663</v>
      </c>
      <c r="F1233" t="s">
        <v>340</v>
      </c>
      <c r="G1233" t="s">
        <v>27</v>
      </c>
      <c r="H1233" s="2">
        <v>46023</v>
      </c>
      <c r="I1233" s="3" t="str">
        <f t="shared" si="96"/>
        <v/>
      </c>
      <c r="J1233" t="str">
        <f t="shared" si="97"/>
        <v/>
      </c>
      <c r="K1233" t="str">
        <f t="shared" si="98"/>
        <v/>
      </c>
      <c r="L1233" t="str">
        <f t="shared" si="99"/>
        <v/>
      </c>
      <c r="M1233" t="str">
        <f>IF(COUNTIF($A$2:A1233,A1233)=1,
     VLOOKUP(A1233,Season_Winners!A:B,2,FALSE),
     "")</f>
        <v/>
      </c>
      <c r="N1233" s="2"/>
    </row>
    <row r="1234" spans="1:14" hidden="1" x14ac:dyDescent="0.3">
      <c r="A1234" t="s">
        <v>460</v>
      </c>
      <c r="B1234">
        <v>10</v>
      </c>
      <c r="C1234" t="s">
        <v>498</v>
      </c>
      <c r="D1234" t="str">
        <f t="shared" si="95"/>
        <v>29.10.2016</v>
      </c>
      <c r="E1234" s="1">
        <v>0.67708333333333337</v>
      </c>
      <c r="F1234" t="s">
        <v>464</v>
      </c>
      <c r="G1234" t="s">
        <v>25</v>
      </c>
      <c r="H1234" s="2">
        <v>46113</v>
      </c>
      <c r="I1234" s="3" t="str">
        <f t="shared" si="96"/>
        <v/>
      </c>
      <c r="J1234" t="str">
        <f t="shared" si="97"/>
        <v/>
      </c>
      <c r="K1234" t="str">
        <f t="shared" si="98"/>
        <v/>
      </c>
      <c r="L1234" t="str">
        <f t="shared" si="99"/>
        <v/>
      </c>
      <c r="M1234" t="str">
        <f>IF(COUNTIF($A$2:A1234,A1234)=1,
     VLOOKUP(A1234,Season_Winners!A:B,2,FALSE),
     "")</f>
        <v/>
      </c>
      <c r="N1234" s="2"/>
    </row>
    <row r="1235" spans="1:14" hidden="1" x14ac:dyDescent="0.3">
      <c r="A1235" t="s">
        <v>460</v>
      </c>
      <c r="B1235">
        <v>10</v>
      </c>
      <c r="C1235" t="s">
        <v>498</v>
      </c>
      <c r="D1235" t="str">
        <f t="shared" si="95"/>
        <v>29.10.2016</v>
      </c>
      <c r="E1235" s="1">
        <v>0.77083333333333337</v>
      </c>
      <c r="F1235" t="s">
        <v>28</v>
      </c>
      <c r="G1235" t="s">
        <v>17</v>
      </c>
      <c r="H1235" s="2">
        <v>46057</v>
      </c>
      <c r="I1235" s="3" t="str">
        <f t="shared" si="96"/>
        <v/>
      </c>
      <c r="J1235" t="str">
        <f t="shared" si="97"/>
        <v/>
      </c>
      <c r="K1235" t="str">
        <f t="shared" si="98"/>
        <v/>
      </c>
      <c r="L1235" t="str">
        <f t="shared" si="99"/>
        <v/>
      </c>
      <c r="M1235" t="str">
        <f>IF(COUNTIF($A$2:A1235,A1235)=1,
     VLOOKUP(A1235,Season_Winners!A:B,2,FALSE),
     "")</f>
        <v/>
      </c>
      <c r="N1235" s="2"/>
    </row>
    <row r="1236" spans="1:14" x14ac:dyDescent="0.3">
      <c r="A1236" t="s">
        <v>460</v>
      </c>
      <c r="B1236">
        <v>10</v>
      </c>
      <c r="C1236" t="s">
        <v>498</v>
      </c>
      <c r="D1236" t="str">
        <f t="shared" si="95"/>
        <v>29.10.2016</v>
      </c>
      <c r="E1236" s="1">
        <v>0.86458333333333337</v>
      </c>
      <c r="F1236" t="s">
        <v>20</v>
      </c>
      <c r="G1236" t="s">
        <v>24</v>
      </c>
      <c r="H1236" t="s">
        <v>18</v>
      </c>
      <c r="I1236" t="str">
        <f t="shared" si="96"/>
        <v>1-0</v>
      </c>
      <c r="J1236" t="str">
        <f t="shared" si="97"/>
        <v>1</v>
      </c>
      <c r="K1236" t="str">
        <f t="shared" si="98"/>
        <v>0</v>
      </c>
      <c r="L1236" t="str">
        <f t="shared" si="99"/>
        <v>FC Barcelona</v>
      </c>
      <c r="M1236" t="str">
        <f>IF(COUNTIF($A$2:A1236,A1236)=1,
     VLOOKUP(A1236,Season_Winners!A:B,2,FALSE),
     "")</f>
        <v/>
      </c>
    </row>
    <row r="1237" spans="1:14" hidden="1" x14ac:dyDescent="0.3">
      <c r="A1237" t="s">
        <v>460</v>
      </c>
      <c r="B1237">
        <v>10</v>
      </c>
      <c r="C1237" t="s">
        <v>499</v>
      </c>
      <c r="D1237" t="str">
        <f t="shared" si="95"/>
        <v>30.10.2016</v>
      </c>
      <c r="E1237" s="1">
        <v>0.5</v>
      </c>
      <c r="F1237" t="s">
        <v>187</v>
      </c>
      <c r="G1237" t="s">
        <v>34</v>
      </c>
      <c r="H1237" s="2">
        <v>46024</v>
      </c>
      <c r="I1237" s="3" t="str">
        <f t="shared" si="96"/>
        <v/>
      </c>
      <c r="J1237" t="str">
        <f t="shared" si="97"/>
        <v/>
      </c>
      <c r="K1237" t="str">
        <f t="shared" si="98"/>
        <v/>
      </c>
      <c r="L1237" t="str">
        <f t="shared" si="99"/>
        <v/>
      </c>
      <c r="M1237" t="str">
        <f>IF(COUNTIF($A$2:A1237,A1237)=1,
     VLOOKUP(A1237,Season_Winners!A:B,2,FALSE),
     "")</f>
        <v/>
      </c>
      <c r="N1237" s="2"/>
    </row>
    <row r="1238" spans="1:14" hidden="1" x14ac:dyDescent="0.3">
      <c r="A1238" t="s">
        <v>460</v>
      </c>
      <c r="B1238">
        <v>10</v>
      </c>
      <c r="C1238" t="s">
        <v>499</v>
      </c>
      <c r="D1238" t="str">
        <f t="shared" si="95"/>
        <v>30.10.2016</v>
      </c>
      <c r="E1238" s="1">
        <v>0.67708333333333337</v>
      </c>
      <c r="F1238" t="s">
        <v>15</v>
      </c>
      <c r="G1238" t="s">
        <v>23</v>
      </c>
      <c r="H1238" s="2">
        <v>46023</v>
      </c>
      <c r="I1238" s="3" t="str">
        <f t="shared" si="96"/>
        <v/>
      </c>
      <c r="J1238" t="str">
        <f t="shared" si="97"/>
        <v/>
      </c>
      <c r="K1238" t="str">
        <f t="shared" si="98"/>
        <v/>
      </c>
      <c r="L1238" t="str">
        <f t="shared" si="99"/>
        <v/>
      </c>
      <c r="M1238" t="str">
        <f>IF(COUNTIF($A$2:A1238,A1238)=1,
     VLOOKUP(A1238,Season_Winners!A:B,2,FALSE),
     "")</f>
        <v/>
      </c>
      <c r="N1238" s="2"/>
    </row>
    <row r="1239" spans="1:14" x14ac:dyDescent="0.3">
      <c r="A1239" t="s">
        <v>460</v>
      </c>
      <c r="B1239">
        <v>10</v>
      </c>
      <c r="C1239" t="s">
        <v>499</v>
      </c>
      <c r="D1239" t="str">
        <f t="shared" si="95"/>
        <v>30.10.2016</v>
      </c>
      <c r="E1239" s="1">
        <v>0.77083333333333337</v>
      </c>
      <c r="F1239" t="s">
        <v>26</v>
      </c>
      <c r="G1239" t="s">
        <v>36</v>
      </c>
      <c r="H1239" t="s">
        <v>42</v>
      </c>
      <c r="I1239" t="str">
        <f t="shared" si="96"/>
        <v>0-1</v>
      </c>
      <c r="J1239" t="str">
        <f t="shared" si="97"/>
        <v>0</v>
      </c>
      <c r="K1239" t="str">
        <f t="shared" si="98"/>
        <v>1</v>
      </c>
      <c r="L1239" t="str">
        <f t="shared" si="99"/>
        <v>RCD Espanyol de Barcelona</v>
      </c>
      <c r="M1239" t="str">
        <f>IF(COUNTIF($A$2:A1239,A1239)=1,
     VLOOKUP(A1239,Season_Winners!A:B,2,FALSE),
     "")</f>
        <v/>
      </c>
    </row>
    <row r="1240" spans="1:14" hidden="1" x14ac:dyDescent="0.3">
      <c r="A1240" t="s">
        <v>460</v>
      </c>
      <c r="B1240">
        <v>10</v>
      </c>
      <c r="C1240" t="s">
        <v>499</v>
      </c>
      <c r="D1240" t="str">
        <f t="shared" si="95"/>
        <v>30.10.2016</v>
      </c>
      <c r="E1240" s="1">
        <v>0.86458333333333337</v>
      </c>
      <c r="F1240" t="s">
        <v>338</v>
      </c>
      <c r="G1240" t="s">
        <v>35</v>
      </c>
      <c r="H1240" s="2">
        <v>46084</v>
      </c>
      <c r="I1240" s="3" t="str">
        <f t="shared" si="96"/>
        <v/>
      </c>
      <c r="J1240" t="str">
        <f t="shared" si="97"/>
        <v/>
      </c>
      <c r="K1240" t="str">
        <f t="shared" si="98"/>
        <v/>
      </c>
      <c r="L1240" t="str">
        <f t="shared" si="99"/>
        <v/>
      </c>
      <c r="M1240" t="str">
        <f>IF(COUNTIF($A$2:A1240,A1240)=1,
     VLOOKUP(A1240,Season_Winners!A:B,2,FALSE),
     "")</f>
        <v/>
      </c>
      <c r="N1240" s="2"/>
    </row>
    <row r="1241" spans="1:14" hidden="1" x14ac:dyDescent="0.3">
      <c r="A1241" t="s">
        <v>460</v>
      </c>
      <c r="B1241">
        <v>10</v>
      </c>
      <c r="C1241" t="s">
        <v>500</v>
      </c>
      <c r="D1241" t="str">
        <f t="shared" si="95"/>
        <v>31.10.2016</v>
      </c>
      <c r="E1241" s="1">
        <v>0.86458333333333337</v>
      </c>
      <c r="F1241" t="s">
        <v>182</v>
      </c>
      <c r="G1241" t="s">
        <v>16</v>
      </c>
      <c r="H1241" s="2">
        <v>46023</v>
      </c>
      <c r="I1241" s="3" t="str">
        <f t="shared" si="96"/>
        <v/>
      </c>
      <c r="J1241" t="str">
        <f t="shared" si="97"/>
        <v/>
      </c>
      <c r="K1241" t="str">
        <f t="shared" si="98"/>
        <v/>
      </c>
      <c r="L1241" t="str">
        <f t="shared" si="99"/>
        <v/>
      </c>
      <c r="M1241" t="str">
        <f>IF(COUNTIF($A$2:A1241,A1241)=1,
     VLOOKUP(A1241,Season_Winners!A:B,2,FALSE),
     "")</f>
        <v/>
      </c>
      <c r="N1241" s="2"/>
    </row>
    <row r="1242" spans="1:14" hidden="1" x14ac:dyDescent="0.3">
      <c r="A1242" t="s">
        <v>460</v>
      </c>
      <c r="B1242">
        <v>11</v>
      </c>
      <c r="C1242" t="s">
        <v>501</v>
      </c>
      <c r="D1242" t="str">
        <f t="shared" si="95"/>
        <v>04.11.2016</v>
      </c>
      <c r="E1242" s="1">
        <v>0.86458333333333337</v>
      </c>
      <c r="F1242" t="s">
        <v>17</v>
      </c>
      <c r="G1242" t="s">
        <v>340</v>
      </c>
      <c r="H1242" s="2">
        <v>46056</v>
      </c>
      <c r="I1242" s="3" t="str">
        <f t="shared" si="96"/>
        <v/>
      </c>
      <c r="J1242" t="str">
        <f t="shared" si="97"/>
        <v/>
      </c>
      <c r="K1242" t="str">
        <f t="shared" si="98"/>
        <v/>
      </c>
      <c r="L1242" t="str">
        <f t="shared" si="99"/>
        <v/>
      </c>
      <c r="M1242" t="str">
        <f>IF(COUNTIF($A$2:A1242,A1242)=1,
     VLOOKUP(A1242,Season_Winners!A:B,2,FALSE),
     "")</f>
        <v/>
      </c>
      <c r="N1242" s="2"/>
    </row>
    <row r="1243" spans="1:14" hidden="1" x14ac:dyDescent="0.3">
      <c r="A1243" t="s">
        <v>460</v>
      </c>
      <c r="B1243">
        <v>11</v>
      </c>
      <c r="C1243" t="s">
        <v>502</v>
      </c>
      <c r="D1243" t="str">
        <f t="shared" si="95"/>
        <v>05.11.2016</v>
      </c>
      <c r="E1243" s="1">
        <v>0.54166666666666663</v>
      </c>
      <c r="F1243" t="s">
        <v>24</v>
      </c>
      <c r="G1243" t="s">
        <v>182</v>
      </c>
      <c r="H1243" s="2">
        <v>46023</v>
      </c>
      <c r="I1243" s="3" t="str">
        <f t="shared" si="96"/>
        <v/>
      </c>
      <c r="J1243" t="str">
        <f t="shared" si="97"/>
        <v/>
      </c>
      <c r="K1243" t="str">
        <f t="shared" si="98"/>
        <v/>
      </c>
      <c r="L1243" t="str">
        <f t="shared" si="99"/>
        <v/>
      </c>
      <c r="M1243" t="str">
        <f>IF(COUNTIF($A$2:A1243,A1243)=1,
     VLOOKUP(A1243,Season_Winners!A:B,2,FALSE),
     "")</f>
        <v/>
      </c>
      <c r="N1243" s="2"/>
    </row>
    <row r="1244" spans="1:14" x14ac:dyDescent="0.3">
      <c r="A1244" t="s">
        <v>460</v>
      </c>
      <c r="B1244">
        <v>11</v>
      </c>
      <c r="C1244" t="s">
        <v>502</v>
      </c>
      <c r="D1244" t="str">
        <f t="shared" si="95"/>
        <v>05.11.2016</v>
      </c>
      <c r="E1244" s="1">
        <v>0.67708333333333337</v>
      </c>
      <c r="F1244" t="s">
        <v>10</v>
      </c>
      <c r="G1244" t="s">
        <v>1425</v>
      </c>
      <c r="H1244" t="s">
        <v>12</v>
      </c>
      <c r="I1244" t="str">
        <f t="shared" si="96"/>
        <v>2-0</v>
      </c>
      <c r="J1244" t="str">
        <f t="shared" si="97"/>
        <v>2</v>
      </c>
      <c r="K1244" t="str">
        <f t="shared" si="98"/>
        <v>0</v>
      </c>
      <c r="L1244" t="str">
        <f t="shared" si="99"/>
        <v>Real Sociedad</v>
      </c>
      <c r="M1244" t="str">
        <f>IF(COUNTIF($A$2:A1244,A1244)=1,
     VLOOKUP(A1244,Season_Winners!A:B,2,FALSE),
     "")</f>
        <v/>
      </c>
    </row>
    <row r="1245" spans="1:14" x14ac:dyDescent="0.3">
      <c r="A1245" t="s">
        <v>460</v>
      </c>
      <c r="B1245">
        <v>11</v>
      </c>
      <c r="C1245" t="s">
        <v>502</v>
      </c>
      <c r="D1245" t="str">
        <f t="shared" si="95"/>
        <v>05.11.2016</v>
      </c>
      <c r="E1245" s="1">
        <v>0.77083333333333337</v>
      </c>
      <c r="F1245" t="s">
        <v>23</v>
      </c>
      <c r="G1245" t="s">
        <v>464</v>
      </c>
      <c r="H1245" t="s">
        <v>42</v>
      </c>
      <c r="I1245" t="str">
        <f t="shared" si="96"/>
        <v>0-1</v>
      </c>
      <c r="J1245" t="str">
        <f t="shared" si="97"/>
        <v>0</v>
      </c>
      <c r="K1245" t="str">
        <f t="shared" si="98"/>
        <v>1</v>
      </c>
      <c r="L1245" t="str">
        <f t="shared" si="99"/>
        <v>Deportivo AlavÃ©s</v>
      </c>
      <c r="M1245" t="str">
        <f>IF(COUNTIF($A$2:A1245,A1245)=1,
     VLOOKUP(A1245,Season_Winners!A:B,2,FALSE),
     "")</f>
        <v/>
      </c>
    </row>
    <row r="1246" spans="1:14" x14ac:dyDescent="0.3">
      <c r="A1246" t="s">
        <v>460</v>
      </c>
      <c r="B1246">
        <v>11</v>
      </c>
      <c r="C1246" t="s">
        <v>502</v>
      </c>
      <c r="D1246" t="str">
        <f t="shared" si="95"/>
        <v>05.11.2016</v>
      </c>
      <c r="E1246" s="1">
        <v>0.86458333333333337</v>
      </c>
      <c r="F1246" t="s">
        <v>338</v>
      </c>
      <c r="G1246" t="s">
        <v>187</v>
      </c>
      <c r="H1246" t="s">
        <v>18</v>
      </c>
      <c r="I1246" t="str">
        <f t="shared" si="96"/>
        <v>1-0</v>
      </c>
      <c r="J1246" t="str">
        <f t="shared" si="97"/>
        <v>1</v>
      </c>
      <c r="K1246" t="str">
        <f t="shared" si="98"/>
        <v>0</v>
      </c>
      <c r="L1246" t="str">
        <f t="shared" si="99"/>
        <v>UD Las Palmas</v>
      </c>
      <c r="M1246" t="str">
        <f>IF(COUNTIF($A$2:A1246,A1246)=1,
     VLOOKUP(A1246,Season_Winners!A:B,2,FALSE),
     "")</f>
        <v/>
      </c>
    </row>
    <row r="1247" spans="1:14" x14ac:dyDescent="0.3">
      <c r="A1247" t="s">
        <v>460</v>
      </c>
      <c r="B1247">
        <v>11</v>
      </c>
      <c r="C1247" t="s">
        <v>503</v>
      </c>
      <c r="D1247" t="str">
        <f t="shared" si="95"/>
        <v>06.11.2016</v>
      </c>
      <c r="E1247" s="1">
        <v>0.5</v>
      </c>
      <c r="F1247" t="s">
        <v>25</v>
      </c>
      <c r="G1247" t="s">
        <v>466</v>
      </c>
      <c r="H1247" t="s">
        <v>32</v>
      </c>
      <c r="I1247" t="str">
        <f t="shared" si="96"/>
        <v>3-0</v>
      </c>
      <c r="J1247" t="str">
        <f t="shared" si="97"/>
        <v>3</v>
      </c>
      <c r="K1247" t="str">
        <f t="shared" si="98"/>
        <v>0</v>
      </c>
      <c r="L1247" t="str">
        <f t="shared" si="99"/>
        <v>Real Madrid</v>
      </c>
      <c r="M1247" t="str">
        <f>IF(COUNTIF($A$2:A1247,A1247)=1,
     VLOOKUP(A1247,Season_Winners!A:B,2,FALSE),
     "")</f>
        <v/>
      </c>
    </row>
    <row r="1248" spans="1:14" hidden="1" x14ac:dyDescent="0.3">
      <c r="A1248" t="s">
        <v>460</v>
      </c>
      <c r="B1248">
        <v>11</v>
      </c>
      <c r="C1248" t="s">
        <v>503</v>
      </c>
      <c r="D1248" t="str">
        <f t="shared" si="95"/>
        <v>06.11.2016</v>
      </c>
      <c r="E1248" s="1">
        <v>0.67708333333333337</v>
      </c>
      <c r="F1248" t="s">
        <v>35</v>
      </c>
      <c r="G1248" t="s">
        <v>16</v>
      </c>
      <c r="H1248" s="2">
        <v>46024</v>
      </c>
      <c r="I1248" s="3" t="str">
        <f t="shared" si="96"/>
        <v/>
      </c>
      <c r="J1248" t="str">
        <f t="shared" si="97"/>
        <v/>
      </c>
      <c r="K1248" t="str">
        <f t="shared" si="98"/>
        <v/>
      </c>
      <c r="L1248" t="str">
        <f t="shared" si="99"/>
        <v/>
      </c>
      <c r="M1248" t="str">
        <f>IF(COUNTIF($A$2:A1248,A1248)=1,
     VLOOKUP(A1248,Season_Winners!A:B,2,FALSE),
     "")</f>
        <v/>
      </c>
      <c r="N1248" s="2"/>
    </row>
    <row r="1249" spans="1:14" x14ac:dyDescent="0.3">
      <c r="A1249" t="s">
        <v>460</v>
      </c>
      <c r="B1249">
        <v>11</v>
      </c>
      <c r="C1249" t="s">
        <v>503</v>
      </c>
      <c r="D1249" t="str">
        <f t="shared" si="95"/>
        <v>06.11.2016</v>
      </c>
      <c r="E1249" s="1">
        <v>0.67708333333333337</v>
      </c>
      <c r="F1249" t="s">
        <v>36</v>
      </c>
      <c r="G1249" t="s">
        <v>15</v>
      </c>
      <c r="H1249" t="s">
        <v>41</v>
      </c>
      <c r="I1249" t="str">
        <f t="shared" si="96"/>
        <v>0-0</v>
      </c>
      <c r="J1249" t="str">
        <f t="shared" si="97"/>
        <v>0</v>
      </c>
      <c r="K1249" t="str">
        <f t="shared" si="98"/>
        <v>0</v>
      </c>
      <c r="L1249" t="str">
        <f t="shared" si="99"/>
        <v>Draw</v>
      </c>
      <c r="M1249" t="str">
        <f>IF(COUNTIF($A$2:A1249,A1249)=1,
     VLOOKUP(A1249,Season_Winners!A:B,2,FALSE),
     "")</f>
        <v/>
      </c>
    </row>
    <row r="1250" spans="1:14" x14ac:dyDescent="0.3">
      <c r="A1250" t="s">
        <v>460</v>
      </c>
      <c r="B1250">
        <v>11</v>
      </c>
      <c r="C1250" t="s">
        <v>503</v>
      </c>
      <c r="D1250" t="str">
        <f t="shared" si="95"/>
        <v>06.11.2016</v>
      </c>
      <c r="E1250" s="1">
        <v>0.77083333333333337</v>
      </c>
      <c r="F1250" t="s">
        <v>34</v>
      </c>
      <c r="G1250" t="s">
        <v>26</v>
      </c>
      <c r="H1250" t="s">
        <v>12</v>
      </c>
      <c r="I1250" t="str">
        <f t="shared" si="96"/>
        <v>2-0</v>
      </c>
      <c r="J1250" t="str">
        <f t="shared" si="97"/>
        <v>2</v>
      </c>
      <c r="K1250" t="str">
        <f t="shared" si="98"/>
        <v>0</v>
      </c>
      <c r="L1250" t="str">
        <f t="shared" si="99"/>
        <v>Villarreal CF</v>
      </c>
      <c r="M1250" t="str">
        <f>IF(COUNTIF($A$2:A1250,A1250)=1,
     VLOOKUP(A1250,Season_Winners!A:B,2,FALSE),
     "")</f>
        <v/>
      </c>
    </row>
    <row r="1251" spans="1:14" hidden="1" x14ac:dyDescent="0.3">
      <c r="A1251" t="s">
        <v>460</v>
      </c>
      <c r="B1251">
        <v>11</v>
      </c>
      <c r="C1251" t="s">
        <v>503</v>
      </c>
      <c r="D1251" t="str">
        <f t="shared" si="95"/>
        <v>06.11.2016</v>
      </c>
      <c r="E1251" s="1">
        <v>0.86458333333333337</v>
      </c>
      <c r="F1251" t="s">
        <v>27</v>
      </c>
      <c r="G1251" t="s">
        <v>20</v>
      </c>
      <c r="H1251" s="2">
        <v>46054</v>
      </c>
      <c r="I1251" s="3" t="str">
        <f t="shared" si="96"/>
        <v/>
      </c>
      <c r="J1251" t="str">
        <f t="shared" si="97"/>
        <v/>
      </c>
      <c r="K1251" t="str">
        <f t="shared" si="98"/>
        <v/>
      </c>
      <c r="L1251" t="str">
        <f t="shared" si="99"/>
        <v/>
      </c>
      <c r="M1251" t="str">
        <f>IF(COUNTIF($A$2:A1251,A1251)=1,
     VLOOKUP(A1251,Season_Winners!A:B,2,FALSE),
     "")</f>
        <v/>
      </c>
      <c r="N1251" s="2"/>
    </row>
    <row r="1252" spans="1:14" x14ac:dyDescent="0.3">
      <c r="A1252" t="s">
        <v>460</v>
      </c>
      <c r="B1252">
        <v>12</v>
      </c>
      <c r="C1252" t="s">
        <v>504</v>
      </c>
      <c r="D1252" t="str">
        <f t="shared" si="95"/>
        <v>18.11.2016</v>
      </c>
      <c r="E1252" s="1">
        <v>0.86458333333333337</v>
      </c>
      <c r="F1252" t="s">
        <v>26</v>
      </c>
      <c r="G1252" t="s">
        <v>338</v>
      </c>
      <c r="H1252" t="s">
        <v>12</v>
      </c>
      <c r="I1252" t="str">
        <f t="shared" si="96"/>
        <v>2-0</v>
      </c>
      <c r="J1252" t="str">
        <f t="shared" si="97"/>
        <v>2</v>
      </c>
      <c r="K1252" t="str">
        <f t="shared" si="98"/>
        <v>0</v>
      </c>
      <c r="L1252" t="str">
        <f t="shared" si="99"/>
        <v>Real Betis</v>
      </c>
      <c r="M1252" t="str">
        <f>IF(COUNTIF($A$2:A1252,A1252)=1,
     VLOOKUP(A1252,Season_Winners!A:B,2,FALSE),
     "")</f>
        <v/>
      </c>
    </row>
    <row r="1253" spans="1:14" hidden="1" x14ac:dyDescent="0.3">
      <c r="A1253" t="s">
        <v>460</v>
      </c>
      <c r="B1253">
        <v>12</v>
      </c>
      <c r="C1253" t="s">
        <v>505</v>
      </c>
      <c r="D1253" t="str">
        <f t="shared" si="95"/>
        <v>19.11.2016</v>
      </c>
      <c r="E1253" s="1">
        <v>0.54166666666666663</v>
      </c>
      <c r="F1253" t="s">
        <v>182</v>
      </c>
      <c r="G1253" t="s">
        <v>27</v>
      </c>
      <c r="H1253" s="2">
        <v>46083</v>
      </c>
      <c r="I1253" s="3" t="str">
        <f t="shared" si="96"/>
        <v/>
      </c>
      <c r="J1253" t="str">
        <f t="shared" si="97"/>
        <v/>
      </c>
      <c r="K1253" t="str">
        <f t="shared" si="98"/>
        <v/>
      </c>
      <c r="L1253" t="str">
        <f t="shared" si="99"/>
        <v/>
      </c>
      <c r="M1253" t="str">
        <f>IF(COUNTIF($A$2:A1253,A1253)=1,
     VLOOKUP(A1253,Season_Winners!A:B,2,FALSE),
     "")</f>
        <v/>
      </c>
      <c r="N1253" s="2"/>
    </row>
    <row r="1254" spans="1:14" x14ac:dyDescent="0.3">
      <c r="A1254" t="s">
        <v>460</v>
      </c>
      <c r="B1254">
        <v>12</v>
      </c>
      <c r="C1254" t="s">
        <v>505</v>
      </c>
      <c r="D1254" t="str">
        <f t="shared" si="95"/>
        <v>19.11.2016</v>
      </c>
      <c r="E1254" s="1">
        <v>0.67708333333333337</v>
      </c>
      <c r="F1254" t="s">
        <v>20</v>
      </c>
      <c r="G1254" t="s">
        <v>17</v>
      </c>
      <c r="H1254" t="s">
        <v>41</v>
      </c>
      <c r="I1254" t="str">
        <f t="shared" si="96"/>
        <v>0-0</v>
      </c>
      <c r="J1254" t="str">
        <f t="shared" si="97"/>
        <v>0</v>
      </c>
      <c r="K1254" t="str">
        <f t="shared" si="98"/>
        <v>0</v>
      </c>
      <c r="L1254" t="str">
        <f t="shared" si="99"/>
        <v>Draw</v>
      </c>
      <c r="M1254" t="str">
        <f>IF(COUNTIF($A$2:A1254,A1254)=1,
     VLOOKUP(A1254,Season_Winners!A:B,2,FALSE),
     "")</f>
        <v/>
      </c>
    </row>
    <row r="1255" spans="1:14" x14ac:dyDescent="0.3">
      <c r="A1255" t="s">
        <v>460</v>
      </c>
      <c r="B1255">
        <v>12</v>
      </c>
      <c r="C1255" t="s">
        <v>505</v>
      </c>
      <c r="D1255" t="str">
        <f t="shared" si="95"/>
        <v>19.11.2016</v>
      </c>
      <c r="E1255" s="1">
        <v>0.77083333333333337</v>
      </c>
      <c r="F1255" t="s">
        <v>187</v>
      </c>
      <c r="G1255" t="s">
        <v>35</v>
      </c>
      <c r="H1255" t="s">
        <v>18</v>
      </c>
      <c r="I1255" t="str">
        <f t="shared" si="96"/>
        <v>1-0</v>
      </c>
      <c r="J1255" t="str">
        <f t="shared" si="97"/>
        <v>1</v>
      </c>
      <c r="K1255" t="str">
        <f t="shared" si="98"/>
        <v>0</v>
      </c>
      <c r="L1255" t="str">
        <f t="shared" si="99"/>
        <v>SD Eibar</v>
      </c>
      <c r="M1255" t="str">
        <f>IF(COUNTIF($A$2:A1255,A1255)=1,
     VLOOKUP(A1255,Season_Winners!A:B,2,FALSE),
     "")</f>
        <v/>
      </c>
    </row>
    <row r="1256" spans="1:14" x14ac:dyDescent="0.3">
      <c r="A1256" t="s">
        <v>460</v>
      </c>
      <c r="B1256">
        <v>12</v>
      </c>
      <c r="C1256" t="s">
        <v>505</v>
      </c>
      <c r="D1256" t="str">
        <f t="shared" si="95"/>
        <v>19.11.2016</v>
      </c>
      <c r="E1256" s="1">
        <v>0.86458333333333337</v>
      </c>
      <c r="F1256" t="s">
        <v>1425</v>
      </c>
      <c r="G1256" t="s">
        <v>25</v>
      </c>
      <c r="H1256" t="s">
        <v>46</v>
      </c>
      <c r="I1256" t="str">
        <f t="shared" si="96"/>
        <v>0-3</v>
      </c>
      <c r="J1256" t="str">
        <f t="shared" si="97"/>
        <v>0</v>
      </c>
      <c r="K1256" t="str">
        <f t="shared" si="98"/>
        <v>3</v>
      </c>
      <c r="L1256" t="str">
        <f t="shared" si="99"/>
        <v>Real Madrid</v>
      </c>
      <c r="M1256" t="str">
        <f>IF(COUNTIF($A$2:A1256,A1256)=1,
     VLOOKUP(A1256,Season_Winners!A:B,2,FALSE),
     "")</f>
        <v/>
      </c>
    </row>
    <row r="1257" spans="1:14" x14ac:dyDescent="0.3">
      <c r="A1257" t="s">
        <v>460</v>
      </c>
      <c r="B1257">
        <v>12</v>
      </c>
      <c r="C1257" t="s">
        <v>506</v>
      </c>
      <c r="D1257" t="str">
        <f t="shared" si="95"/>
        <v>20.11.2016</v>
      </c>
      <c r="E1257" s="1">
        <v>0.5</v>
      </c>
      <c r="F1257" t="s">
        <v>464</v>
      </c>
      <c r="G1257" t="s">
        <v>36</v>
      </c>
      <c r="H1257" t="s">
        <v>42</v>
      </c>
      <c r="I1257" t="str">
        <f t="shared" si="96"/>
        <v>0-1</v>
      </c>
      <c r="J1257" t="str">
        <f t="shared" si="97"/>
        <v>0</v>
      </c>
      <c r="K1257" t="str">
        <f t="shared" si="98"/>
        <v>1</v>
      </c>
      <c r="L1257" t="str">
        <f t="shared" si="99"/>
        <v>RCD Espanyol de Barcelona</v>
      </c>
      <c r="M1257" t="str">
        <f>IF(COUNTIF($A$2:A1257,A1257)=1,
     VLOOKUP(A1257,Season_Winners!A:B,2,FALSE),
     "")</f>
        <v/>
      </c>
    </row>
    <row r="1258" spans="1:14" hidden="1" x14ac:dyDescent="0.3">
      <c r="A1258" t="s">
        <v>460</v>
      </c>
      <c r="B1258">
        <v>12</v>
      </c>
      <c r="C1258" t="s">
        <v>506</v>
      </c>
      <c r="D1258" t="str">
        <f t="shared" si="95"/>
        <v>20.11.2016</v>
      </c>
      <c r="E1258" s="1">
        <v>0.67708333333333337</v>
      </c>
      <c r="F1258" t="s">
        <v>16</v>
      </c>
      <c r="G1258" t="s">
        <v>24</v>
      </c>
      <c r="H1258" s="2">
        <v>46023</v>
      </c>
      <c r="I1258" s="3" t="str">
        <f t="shared" si="96"/>
        <v/>
      </c>
      <c r="J1258" t="str">
        <f t="shared" si="97"/>
        <v/>
      </c>
      <c r="K1258" t="str">
        <f t="shared" si="98"/>
        <v/>
      </c>
      <c r="L1258" t="str">
        <f t="shared" si="99"/>
        <v/>
      </c>
      <c r="M1258" t="str">
        <f>IF(COUNTIF($A$2:A1258,A1258)=1,
     VLOOKUP(A1258,Season_Winners!A:B,2,FALSE),
     "")</f>
        <v/>
      </c>
      <c r="N1258" s="2"/>
    </row>
    <row r="1259" spans="1:14" hidden="1" x14ac:dyDescent="0.3">
      <c r="A1259" t="s">
        <v>460</v>
      </c>
      <c r="B1259">
        <v>12</v>
      </c>
      <c r="C1259" t="s">
        <v>506</v>
      </c>
      <c r="D1259" t="str">
        <f t="shared" si="95"/>
        <v>20.11.2016</v>
      </c>
      <c r="E1259" s="1">
        <v>0.77083333333333337</v>
      </c>
      <c r="F1259" t="s">
        <v>340</v>
      </c>
      <c r="G1259" t="s">
        <v>10</v>
      </c>
      <c r="H1259" s="2">
        <v>46082</v>
      </c>
      <c r="I1259" s="3" t="str">
        <f t="shared" si="96"/>
        <v/>
      </c>
      <c r="J1259" t="str">
        <f t="shared" si="97"/>
        <v/>
      </c>
      <c r="K1259" t="str">
        <f t="shared" si="98"/>
        <v/>
      </c>
      <c r="L1259" t="str">
        <f t="shared" si="99"/>
        <v/>
      </c>
      <c r="M1259" t="str">
        <f>IF(COUNTIF($A$2:A1259,A1259)=1,
     VLOOKUP(A1259,Season_Winners!A:B,2,FALSE),
     "")</f>
        <v/>
      </c>
      <c r="N1259" s="2"/>
    </row>
    <row r="1260" spans="1:14" x14ac:dyDescent="0.3">
      <c r="A1260" t="s">
        <v>460</v>
      </c>
      <c r="B1260">
        <v>12</v>
      </c>
      <c r="C1260" t="s">
        <v>506</v>
      </c>
      <c r="D1260" t="str">
        <f t="shared" si="95"/>
        <v>20.11.2016</v>
      </c>
      <c r="E1260" s="1">
        <v>0.86458333333333337</v>
      </c>
      <c r="F1260" t="s">
        <v>15</v>
      </c>
      <c r="G1260" t="s">
        <v>34</v>
      </c>
      <c r="H1260" t="s">
        <v>18</v>
      </c>
      <c r="I1260" t="str">
        <f t="shared" si="96"/>
        <v>1-0</v>
      </c>
      <c r="J1260" t="str">
        <f t="shared" si="97"/>
        <v>1</v>
      </c>
      <c r="K1260" t="str">
        <f t="shared" si="98"/>
        <v>0</v>
      </c>
      <c r="L1260" t="str">
        <f t="shared" si="99"/>
        <v>Athletic Club</v>
      </c>
      <c r="M1260" t="str">
        <f>IF(COUNTIF($A$2:A1260,A1260)=1,
     VLOOKUP(A1260,Season_Winners!A:B,2,FALSE),
     "")</f>
        <v/>
      </c>
    </row>
    <row r="1261" spans="1:14" x14ac:dyDescent="0.3">
      <c r="A1261" t="s">
        <v>460</v>
      </c>
      <c r="B1261">
        <v>12</v>
      </c>
      <c r="C1261" t="s">
        <v>507</v>
      </c>
      <c r="D1261" t="str">
        <f t="shared" si="95"/>
        <v>21.11.2016</v>
      </c>
      <c r="E1261" s="1">
        <v>0.86458333333333337</v>
      </c>
      <c r="F1261" t="s">
        <v>466</v>
      </c>
      <c r="G1261" t="s">
        <v>23</v>
      </c>
      <c r="H1261" t="s">
        <v>12</v>
      </c>
      <c r="I1261" t="str">
        <f t="shared" si="96"/>
        <v>2-0</v>
      </c>
      <c r="J1261" t="str">
        <f t="shared" si="97"/>
        <v>2</v>
      </c>
      <c r="K1261" t="str">
        <f t="shared" si="98"/>
        <v>0</v>
      </c>
      <c r="L1261" t="str">
        <f t="shared" si="99"/>
        <v>CD LeganÃ©s</v>
      </c>
      <c r="M1261" t="str">
        <f>IF(COUNTIF($A$2:A1261,A1261)=1,
     VLOOKUP(A1261,Season_Winners!A:B,2,FALSE),
     "")</f>
        <v/>
      </c>
    </row>
    <row r="1262" spans="1:14" hidden="1" x14ac:dyDescent="0.3">
      <c r="A1262" t="s">
        <v>460</v>
      </c>
      <c r="B1262">
        <v>13</v>
      </c>
      <c r="C1262" t="s">
        <v>508</v>
      </c>
      <c r="D1262" t="str">
        <f t="shared" si="95"/>
        <v>25.11.2016</v>
      </c>
      <c r="E1262" s="1">
        <v>0.86458333333333337</v>
      </c>
      <c r="F1262" t="s">
        <v>187</v>
      </c>
      <c r="G1262" t="s">
        <v>26</v>
      </c>
      <c r="H1262" s="2">
        <v>46025</v>
      </c>
      <c r="I1262" s="3" t="str">
        <f t="shared" si="96"/>
        <v/>
      </c>
      <c r="J1262" t="str">
        <f t="shared" si="97"/>
        <v/>
      </c>
      <c r="K1262" t="str">
        <f t="shared" si="98"/>
        <v/>
      </c>
      <c r="L1262" t="str">
        <f t="shared" si="99"/>
        <v/>
      </c>
      <c r="M1262" t="str">
        <f>IF(COUNTIF($A$2:A1262,A1262)=1,
     VLOOKUP(A1262,Season_Winners!A:B,2,FALSE),
     "")</f>
        <v/>
      </c>
      <c r="N1262" s="2"/>
    </row>
    <row r="1263" spans="1:14" hidden="1" x14ac:dyDescent="0.3">
      <c r="A1263" t="s">
        <v>460</v>
      </c>
      <c r="B1263">
        <v>13</v>
      </c>
      <c r="C1263" t="s">
        <v>509</v>
      </c>
      <c r="D1263" t="str">
        <f t="shared" si="95"/>
        <v>26.11.2016</v>
      </c>
      <c r="E1263" s="1">
        <v>0.54166666666666663</v>
      </c>
      <c r="F1263" t="s">
        <v>17</v>
      </c>
      <c r="G1263" t="s">
        <v>182</v>
      </c>
      <c r="H1263" s="2">
        <v>46085</v>
      </c>
      <c r="I1263" s="3" t="str">
        <f t="shared" si="96"/>
        <v/>
      </c>
      <c r="J1263" t="str">
        <f t="shared" si="97"/>
        <v/>
      </c>
      <c r="K1263" t="str">
        <f t="shared" si="98"/>
        <v/>
      </c>
      <c r="L1263" t="str">
        <f t="shared" si="99"/>
        <v/>
      </c>
      <c r="M1263" t="str">
        <f>IF(COUNTIF($A$2:A1263,A1263)=1,
     VLOOKUP(A1263,Season_Winners!A:B,2,FALSE),
     "")</f>
        <v/>
      </c>
      <c r="N1263" s="2"/>
    </row>
    <row r="1264" spans="1:14" hidden="1" x14ac:dyDescent="0.3">
      <c r="A1264" t="s">
        <v>460</v>
      </c>
      <c r="B1264">
        <v>13</v>
      </c>
      <c r="C1264" t="s">
        <v>509</v>
      </c>
      <c r="D1264" t="str">
        <f t="shared" si="95"/>
        <v>26.11.2016</v>
      </c>
      <c r="E1264" s="1">
        <v>0.67708333333333337</v>
      </c>
      <c r="F1264" t="s">
        <v>25</v>
      </c>
      <c r="G1264" t="s">
        <v>340</v>
      </c>
      <c r="H1264" s="2">
        <v>46024</v>
      </c>
      <c r="I1264" s="3" t="str">
        <f t="shared" si="96"/>
        <v/>
      </c>
      <c r="J1264" t="str">
        <f t="shared" si="97"/>
        <v/>
      </c>
      <c r="K1264" t="str">
        <f t="shared" si="98"/>
        <v/>
      </c>
      <c r="L1264" t="str">
        <f t="shared" si="99"/>
        <v/>
      </c>
      <c r="M1264" t="str">
        <f>IF(COUNTIF($A$2:A1264,A1264)=1,
     VLOOKUP(A1264,Season_Winners!A:B,2,FALSE),
     "")</f>
        <v/>
      </c>
      <c r="N1264" s="2"/>
    </row>
    <row r="1265" spans="1:14" x14ac:dyDescent="0.3">
      <c r="A1265" t="s">
        <v>460</v>
      </c>
      <c r="B1265">
        <v>13</v>
      </c>
      <c r="C1265" t="s">
        <v>509</v>
      </c>
      <c r="D1265" t="str">
        <f t="shared" si="95"/>
        <v>26.11.2016</v>
      </c>
      <c r="E1265" s="1">
        <v>0.77083333333333337</v>
      </c>
      <c r="F1265" t="s">
        <v>36</v>
      </c>
      <c r="G1265" t="s">
        <v>466</v>
      </c>
      <c r="H1265" t="s">
        <v>32</v>
      </c>
      <c r="I1265" t="str">
        <f t="shared" si="96"/>
        <v>3-0</v>
      </c>
      <c r="J1265" t="str">
        <f t="shared" si="97"/>
        <v>3</v>
      </c>
      <c r="K1265" t="str">
        <f t="shared" si="98"/>
        <v>0</v>
      </c>
      <c r="L1265" t="str">
        <f t="shared" si="99"/>
        <v>RCD Espanyol de Barcelona</v>
      </c>
      <c r="M1265" t="str">
        <f>IF(COUNTIF($A$2:A1265,A1265)=1,
     VLOOKUP(A1265,Season_Winners!A:B,2,FALSE),
     "")</f>
        <v/>
      </c>
    </row>
    <row r="1266" spans="1:14" hidden="1" x14ac:dyDescent="0.3">
      <c r="A1266" t="s">
        <v>460</v>
      </c>
      <c r="B1266">
        <v>13</v>
      </c>
      <c r="C1266" t="s">
        <v>509</v>
      </c>
      <c r="D1266" t="str">
        <f t="shared" si="95"/>
        <v>26.11.2016</v>
      </c>
      <c r="E1266" s="1">
        <v>0.86458333333333337</v>
      </c>
      <c r="F1266" t="s">
        <v>27</v>
      </c>
      <c r="G1266" t="s">
        <v>16</v>
      </c>
      <c r="H1266" s="2">
        <v>46024</v>
      </c>
      <c r="I1266" s="3" t="str">
        <f t="shared" si="96"/>
        <v/>
      </c>
      <c r="J1266" t="str">
        <f t="shared" si="97"/>
        <v/>
      </c>
      <c r="K1266" t="str">
        <f t="shared" si="98"/>
        <v/>
      </c>
      <c r="L1266" t="str">
        <f t="shared" si="99"/>
        <v/>
      </c>
      <c r="M1266" t="str">
        <f>IF(COUNTIF($A$2:A1266,A1266)=1,
     VLOOKUP(A1266,Season_Winners!A:B,2,FALSE),
     "")</f>
        <v/>
      </c>
      <c r="N1266" s="2"/>
    </row>
    <row r="1267" spans="1:14" x14ac:dyDescent="0.3">
      <c r="A1267" t="s">
        <v>460</v>
      </c>
      <c r="B1267">
        <v>13</v>
      </c>
      <c r="C1267" t="s">
        <v>510</v>
      </c>
      <c r="D1267" t="str">
        <f t="shared" si="95"/>
        <v>27.11.2016</v>
      </c>
      <c r="E1267" s="1">
        <v>0.5</v>
      </c>
      <c r="F1267" t="s">
        <v>34</v>
      </c>
      <c r="G1267" t="s">
        <v>464</v>
      </c>
      <c r="H1267" t="s">
        <v>54</v>
      </c>
      <c r="I1267" t="str">
        <f t="shared" si="96"/>
        <v>0-2</v>
      </c>
      <c r="J1267" t="str">
        <f t="shared" si="97"/>
        <v>0</v>
      </c>
      <c r="K1267" t="str">
        <f t="shared" si="98"/>
        <v>2</v>
      </c>
      <c r="L1267" t="str">
        <f t="shared" si="99"/>
        <v>Deportivo AlavÃ©s</v>
      </c>
      <c r="M1267" t="str">
        <f>IF(COUNTIF($A$2:A1267,A1267)=1,
     VLOOKUP(A1267,Season_Winners!A:B,2,FALSE),
     "")</f>
        <v/>
      </c>
    </row>
    <row r="1268" spans="1:14" x14ac:dyDescent="0.3">
      <c r="A1268" t="s">
        <v>460</v>
      </c>
      <c r="B1268">
        <v>13</v>
      </c>
      <c r="C1268" t="s">
        <v>510</v>
      </c>
      <c r="D1268" t="str">
        <f t="shared" si="95"/>
        <v>27.11.2016</v>
      </c>
      <c r="E1268" s="1">
        <v>0.67708333333333337</v>
      </c>
      <c r="F1268" t="s">
        <v>23</v>
      </c>
      <c r="G1268" t="s">
        <v>1425</v>
      </c>
      <c r="H1268" t="s">
        <v>46</v>
      </c>
      <c r="I1268" t="str">
        <f t="shared" si="96"/>
        <v>0-3</v>
      </c>
      <c r="J1268" t="str">
        <f t="shared" si="97"/>
        <v>0</v>
      </c>
      <c r="K1268" t="str">
        <f t="shared" si="98"/>
        <v>3</v>
      </c>
      <c r="L1268" t="str">
        <f t="shared" si="99"/>
        <v>Atlético de Madrid</v>
      </c>
      <c r="M1268" t="str">
        <f>IF(COUNTIF($A$2:A1268,A1268)=1,
     VLOOKUP(A1268,Season_Winners!A:B,2,FALSE),
     "")</f>
        <v/>
      </c>
    </row>
    <row r="1269" spans="1:14" hidden="1" x14ac:dyDescent="0.3">
      <c r="A1269" t="s">
        <v>460</v>
      </c>
      <c r="B1269">
        <v>13</v>
      </c>
      <c r="C1269" t="s">
        <v>510</v>
      </c>
      <c r="D1269" t="str">
        <f t="shared" si="95"/>
        <v>27.11.2016</v>
      </c>
      <c r="E1269" s="1">
        <v>0.77083333333333337</v>
      </c>
      <c r="F1269" t="s">
        <v>35</v>
      </c>
      <c r="G1269" t="s">
        <v>24</v>
      </c>
      <c r="H1269" s="2">
        <v>46025</v>
      </c>
      <c r="I1269" s="3" t="str">
        <f t="shared" si="96"/>
        <v/>
      </c>
      <c r="J1269" t="str">
        <f t="shared" si="97"/>
        <v/>
      </c>
      <c r="K1269" t="str">
        <f t="shared" si="98"/>
        <v/>
      </c>
      <c r="L1269" t="str">
        <f t="shared" si="99"/>
        <v/>
      </c>
      <c r="M1269" t="str">
        <f>IF(COUNTIF($A$2:A1269,A1269)=1,
     VLOOKUP(A1269,Season_Winners!A:B,2,FALSE),
     "")</f>
        <v/>
      </c>
      <c r="N1269" s="2"/>
    </row>
    <row r="1270" spans="1:14" hidden="1" x14ac:dyDescent="0.3">
      <c r="A1270" t="s">
        <v>460</v>
      </c>
      <c r="B1270">
        <v>13</v>
      </c>
      <c r="C1270" t="s">
        <v>510</v>
      </c>
      <c r="D1270" t="str">
        <f t="shared" si="95"/>
        <v>27.11.2016</v>
      </c>
      <c r="E1270" s="1">
        <v>0.86458333333333337</v>
      </c>
      <c r="F1270" t="s">
        <v>10</v>
      </c>
      <c r="G1270" t="s">
        <v>20</v>
      </c>
      <c r="H1270" s="2">
        <v>46023</v>
      </c>
      <c r="I1270" s="3" t="str">
        <f t="shared" si="96"/>
        <v/>
      </c>
      <c r="J1270" t="str">
        <f t="shared" si="97"/>
        <v/>
      </c>
      <c r="K1270" t="str">
        <f t="shared" si="98"/>
        <v/>
      </c>
      <c r="L1270" t="str">
        <f t="shared" si="99"/>
        <v/>
      </c>
      <c r="M1270" t="str">
        <f>IF(COUNTIF($A$2:A1270,A1270)=1,
     VLOOKUP(A1270,Season_Winners!A:B,2,FALSE),
     "")</f>
        <v/>
      </c>
      <c r="N1270" s="2"/>
    </row>
    <row r="1271" spans="1:14" hidden="1" x14ac:dyDescent="0.3">
      <c r="A1271" t="s">
        <v>460</v>
      </c>
      <c r="B1271">
        <v>13</v>
      </c>
      <c r="C1271" t="s">
        <v>511</v>
      </c>
      <c r="D1271" t="str">
        <f t="shared" si="95"/>
        <v>28.11.2016</v>
      </c>
      <c r="E1271" s="1">
        <v>0.86458333333333337</v>
      </c>
      <c r="F1271" t="s">
        <v>338</v>
      </c>
      <c r="G1271" t="s">
        <v>15</v>
      </c>
      <c r="H1271" s="2">
        <v>46025</v>
      </c>
      <c r="I1271" s="3" t="str">
        <f t="shared" si="96"/>
        <v/>
      </c>
      <c r="J1271" t="str">
        <f t="shared" si="97"/>
        <v/>
      </c>
      <c r="K1271" t="str">
        <f t="shared" si="98"/>
        <v/>
      </c>
      <c r="L1271" t="str">
        <f t="shared" si="99"/>
        <v/>
      </c>
      <c r="M1271" t="str">
        <f>IF(COUNTIF($A$2:A1271,A1271)=1,
     VLOOKUP(A1271,Season_Winners!A:B,2,FALSE),
     "")</f>
        <v/>
      </c>
      <c r="N1271" s="2"/>
    </row>
    <row r="1272" spans="1:14" hidden="1" x14ac:dyDescent="0.3">
      <c r="A1272" t="s">
        <v>460</v>
      </c>
      <c r="B1272">
        <v>14</v>
      </c>
      <c r="C1272" t="s">
        <v>512</v>
      </c>
      <c r="D1272" t="str">
        <f t="shared" si="95"/>
        <v>03.12.2016</v>
      </c>
      <c r="E1272" s="1">
        <v>0.54166666666666663</v>
      </c>
      <c r="F1272" t="s">
        <v>24</v>
      </c>
      <c r="G1272" t="s">
        <v>27</v>
      </c>
      <c r="H1272" s="2">
        <v>46024</v>
      </c>
      <c r="I1272" s="3" t="str">
        <f t="shared" si="96"/>
        <v/>
      </c>
      <c r="J1272" t="str">
        <f t="shared" si="97"/>
        <v/>
      </c>
      <c r="K1272" t="str">
        <f t="shared" si="98"/>
        <v/>
      </c>
      <c r="L1272" t="str">
        <f t="shared" si="99"/>
        <v/>
      </c>
      <c r="M1272" t="str">
        <f>IF(COUNTIF($A$2:A1272,A1272)=1,
     VLOOKUP(A1272,Season_Winners!A:B,2,FALSE),
     "")</f>
        <v/>
      </c>
      <c r="N1272" s="2"/>
    </row>
    <row r="1273" spans="1:14" hidden="1" x14ac:dyDescent="0.3">
      <c r="A1273" t="s">
        <v>460</v>
      </c>
      <c r="B1273">
        <v>14</v>
      </c>
      <c r="C1273" t="s">
        <v>512</v>
      </c>
      <c r="D1273" t="str">
        <f t="shared" si="95"/>
        <v>03.12.2016</v>
      </c>
      <c r="E1273" s="1">
        <v>0.67708333333333337</v>
      </c>
      <c r="F1273" t="s">
        <v>20</v>
      </c>
      <c r="G1273" t="s">
        <v>25</v>
      </c>
      <c r="H1273" s="2">
        <v>46023</v>
      </c>
      <c r="I1273" s="3" t="str">
        <f t="shared" si="96"/>
        <v/>
      </c>
      <c r="J1273" t="str">
        <f t="shared" si="97"/>
        <v/>
      </c>
      <c r="K1273" t="str">
        <f t="shared" si="98"/>
        <v/>
      </c>
      <c r="L1273" t="str">
        <f t="shared" si="99"/>
        <v/>
      </c>
      <c r="M1273" t="str">
        <f>IF(COUNTIF($A$2:A1273,A1273)=1,
     VLOOKUP(A1273,Season_Winners!A:B,2,FALSE),
     "")</f>
        <v/>
      </c>
      <c r="N1273" s="2"/>
    </row>
    <row r="1274" spans="1:14" x14ac:dyDescent="0.3">
      <c r="A1274" t="s">
        <v>460</v>
      </c>
      <c r="B1274">
        <v>14</v>
      </c>
      <c r="C1274" t="s">
        <v>512</v>
      </c>
      <c r="D1274" t="str">
        <f t="shared" si="95"/>
        <v>03.12.2016</v>
      </c>
      <c r="E1274" s="1">
        <v>0.77083333333333337</v>
      </c>
      <c r="F1274" t="s">
        <v>466</v>
      </c>
      <c r="G1274" t="s">
        <v>34</v>
      </c>
      <c r="H1274" t="s">
        <v>41</v>
      </c>
      <c r="I1274" t="str">
        <f t="shared" si="96"/>
        <v>0-0</v>
      </c>
      <c r="J1274" t="str">
        <f t="shared" si="97"/>
        <v>0</v>
      </c>
      <c r="K1274" t="str">
        <f t="shared" si="98"/>
        <v>0</v>
      </c>
      <c r="L1274" t="str">
        <f t="shared" si="99"/>
        <v>Draw</v>
      </c>
      <c r="M1274" t="str">
        <f>IF(COUNTIF($A$2:A1274,A1274)=1,
     VLOOKUP(A1274,Season_Winners!A:B,2,FALSE),
     "")</f>
        <v/>
      </c>
    </row>
    <row r="1275" spans="1:14" x14ac:dyDescent="0.3">
      <c r="A1275" t="s">
        <v>460</v>
      </c>
      <c r="B1275">
        <v>14</v>
      </c>
      <c r="C1275" t="s">
        <v>512</v>
      </c>
      <c r="D1275" t="str">
        <f t="shared" si="95"/>
        <v>03.12.2016</v>
      </c>
      <c r="E1275" s="1">
        <v>0.86458333333333337</v>
      </c>
      <c r="F1275" t="s">
        <v>1425</v>
      </c>
      <c r="G1275" t="s">
        <v>36</v>
      </c>
      <c r="H1275" t="s">
        <v>41</v>
      </c>
      <c r="I1275" t="str">
        <f t="shared" si="96"/>
        <v>0-0</v>
      </c>
      <c r="J1275" t="str">
        <f t="shared" si="97"/>
        <v>0</v>
      </c>
      <c r="K1275" t="str">
        <f t="shared" si="98"/>
        <v>0</v>
      </c>
      <c r="L1275" t="str">
        <f t="shared" si="99"/>
        <v>Draw</v>
      </c>
      <c r="M1275" t="str">
        <f>IF(COUNTIF($A$2:A1275,A1275)=1,
     VLOOKUP(A1275,Season_Winners!A:B,2,FALSE),
     "")</f>
        <v/>
      </c>
    </row>
    <row r="1276" spans="1:14" hidden="1" x14ac:dyDescent="0.3">
      <c r="A1276" t="s">
        <v>460</v>
      </c>
      <c r="B1276">
        <v>14</v>
      </c>
      <c r="C1276" t="s">
        <v>513</v>
      </c>
      <c r="D1276" t="str">
        <f t="shared" si="95"/>
        <v>04.12.2016</v>
      </c>
      <c r="E1276" s="1">
        <v>0.5</v>
      </c>
      <c r="F1276" t="s">
        <v>26</v>
      </c>
      <c r="G1276" t="s">
        <v>35</v>
      </c>
      <c r="H1276" s="2">
        <v>46084</v>
      </c>
      <c r="I1276" s="3" t="str">
        <f t="shared" si="96"/>
        <v/>
      </c>
      <c r="J1276" t="str">
        <f t="shared" si="97"/>
        <v/>
      </c>
      <c r="K1276" t="str">
        <f t="shared" si="98"/>
        <v/>
      </c>
      <c r="L1276" t="str">
        <f t="shared" si="99"/>
        <v/>
      </c>
      <c r="M1276" t="str">
        <f>IF(COUNTIF($A$2:A1276,A1276)=1,
     VLOOKUP(A1276,Season_Winners!A:B,2,FALSE),
     "")</f>
        <v/>
      </c>
      <c r="N1276" s="2"/>
    </row>
    <row r="1277" spans="1:14" hidden="1" x14ac:dyDescent="0.3">
      <c r="A1277" t="s">
        <v>460</v>
      </c>
      <c r="B1277">
        <v>14</v>
      </c>
      <c r="C1277" t="s">
        <v>513</v>
      </c>
      <c r="D1277" t="str">
        <f t="shared" si="95"/>
        <v>04.12.2016</v>
      </c>
      <c r="E1277" s="1">
        <v>0.67708333333333337</v>
      </c>
      <c r="F1277" t="s">
        <v>15</v>
      </c>
      <c r="G1277" t="s">
        <v>187</v>
      </c>
      <c r="H1277" s="2">
        <v>46025</v>
      </c>
      <c r="I1277" s="3" t="str">
        <f t="shared" si="96"/>
        <v/>
      </c>
      <c r="J1277" t="str">
        <f t="shared" si="97"/>
        <v/>
      </c>
      <c r="K1277" t="str">
        <f t="shared" si="98"/>
        <v/>
      </c>
      <c r="L1277" t="str">
        <f t="shared" si="99"/>
        <v/>
      </c>
      <c r="M1277" t="str">
        <f>IF(COUNTIF($A$2:A1277,A1277)=1,
     VLOOKUP(A1277,Season_Winners!A:B,2,FALSE),
     "")</f>
        <v/>
      </c>
      <c r="N1277" s="2"/>
    </row>
    <row r="1278" spans="1:14" hidden="1" x14ac:dyDescent="0.3">
      <c r="A1278" t="s">
        <v>460</v>
      </c>
      <c r="B1278">
        <v>14</v>
      </c>
      <c r="C1278" t="s">
        <v>513</v>
      </c>
      <c r="D1278" t="str">
        <f t="shared" si="95"/>
        <v>04.12.2016</v>
      </c>
      <c r="E1278" s="1">
        <v>0.77083333333333337</v>
      </c>
      <c r="F1278" t="s">
        <v>464</v>
      </c>
      <c r="G1278" t="s">
        <v>338</v>
      </c>
      <c r="H1278" s="2">
        <v>46023</v>
      </c>
      <c r="I1278" s="3" t="str">
        <f t="shared" si="96"/>
        <v/>
      </c>
      <c r="J1278" t="str">
        <f t="shared" si="97"/>
        <v/>
      </c>
      <c r="K1278" t="str">
        <f t="shared" si="98"/>
        <v/>
      </c>
      <c r="L1278" t="str">
        <f t="shared" si="99"/>
        <v/>
      </c>
      <c r="M1278" t="str">
        <f>IF(COUNTIF($A$2:A1278,A1278)=1,
     VLOOKUP(A1278,Season_Winners!A:B,2,FALSE),
     "")</f>
        <v/>
      </c>
      <c r="N1278" s="2"/>
    </row>
    <row r="1279" spans="1:14" hidden="1" x14ac:dyDescent="0.3">
      <c r="A1279" t="s">
        <v>460</v>
      </c>
      <c r="B1279">
        <v>14</v>
      </c>
      <c r="C1279" t="s">
        <v>513</v>
      </c>
      <c r="D1279" t="str">
        <f t="shared" si="95"/>
        <v>04.12.2016</v>
      </c>
      <c r="E1279" s="1">
        <v>0.77083333333333337</v>
      </c>
      <c r="F1279" t="s">
        <v>340</v>
      </c>
      <c r="G1279" t="s">
        <v>23</v>
      </c>
      <c r="H1279" s="2">
        <v>46025</v>
      </c>
      <c r="I1279" s="3" t="str">
        <f t="shared" si="96"/>
        <v/>
      </c>
      <c r="J1279" t="str">
        <f t="shared" si="97"/>
        <v/>
      </c>
      <c r="K1279" t="str">
        <f t="shared" si="98"/>
        <v/>
      </c>
      <c r="L1279" t="str">
        <f t="shared" si="99"/>
        <v/>
      </c>
      <c r="M1279" t="str">
        <f>IF(COUNTIF($A$2:A1279,A1279)=1,
     VLOOKUP(A1279,Season_Winners!A:B,2,FALSE),
     "")</f>
        <v/>
      </c>
      <c r="N1279" s="2"/>
    </row>
    <row r="1280" spans="1:14" hidden="1" x14ac:dyDescent="0.3">
      <c r="A1280" t="s">
        <v>460</v>
      </c>
      <c r="B1280">
        <v>14</v>
      </c>
      <c r="C1280" t="s">
        <v>513</v>
      </c>
      <c r="D1280" t="str">
        <f t="shared" si="95"/>
        <v>04.12.2016</v>
      </c>
      <c r="E1280" s="1">
        <v>0.86458333333333337</v>
      </c>
      <c r="F1280" t="s">
        <v>16</v>
      </c>
      <c r="G1280" t="s">
        <v>17</v>
      </c>
      <c r="H1280" s="2">
        <v>46055</v>
      </c>
      <c r="I1280" s="3" t="str">
        <f t="shared" si="96"/>
        <v/>
      </c>
      <c r="J1280" t="str">
        <f t="shared" si="97"/>
        <v/>
      </c>
      <c r="K1280" t="str">
        <f t="shared" si="98"/>
        <v/>
      </c>
      <c r="L1280" t="str">
        <f t="shared" si="99"/>
        <v/>
      </c>
      <c r="M1280" t="str">
        <f>IF(COUNTIF($A$2:A1280,A1280)=1,
     VLOOKUP(A1280,Season_Winners!A:B,2,FALSE),
     "")</f>
        <v/>
      </c>
      <c r="N1280" s="2"/>
    </row>
    <row r="1281" spans="1:14" hidden="1" x14ac:dyDescent="0.3">
      <c r="A1281" t="s">
        <v>460</v>
      </c>
      <c r="B1281">
        <v>14</v>
      </c>
      <c r="C1281" t="s">
        <v>514</v>
      </c>
      <c r="D1281" t="str">
        <f t="shared" si="95"/>
        <v>05.12.2016</v>
      </c>
      <c r="E1281" s="1">
        <v>0.86458333333333337</v>
      </c>
      <c r="F1281" t="s">
        <v>182</v>
      </c>
      <c r="G1281" t="s">
        <v>10</v>
      </c>
      <c r="H1281" s="2">
        <v>46027</v>
      </c>
      <c r="I1281" s="3" t="str">
        <f t="shared" si="96"/>
        <v/>
      </c>
      <c r="J1281" t="str">
        <f t="shared" si="97"/>
        <v/>
      </c>
      <c r="K1281" t="str">
        <f t="shared" si="98"/>
        <v/>
      </c>
      <c r="L1281" t="str">
        <f t="shared" si="99"/>
        <v/>
      </c>
      <c r="M1281" t="str">
        <f>IF(COUNTIF($A$2:A1281,A1281)=1,
     VLOOKUP(A1281,Season_Winners!A:B,2,FALSE),
     "")</f>
        <v/>
      </c>
      <c r="N1281" s="2"/>
    </row>
    <row r="1282" spans="1:14" hidden="1" x14ac:dyDescent="0.3">
      <c r="A1282" t="s">
        <v>460</v>
      </c>
      <c r="B1282">
        <v>15</v>
      </c>
      <c r="C1282" t="s">
        <v>515</v>
      </c>
      <c r="D1282" t="str">
        <f t="shared" ref="D1282:D1345" si="100">RIGHT(C1282,10)</f>
        <v>09.12.2016</v>
      </c>
      <c r="E1282" s="1">
        <v>0.86458333333333337</v>
      </c>
      <c r="F1282" t="s">
        <v>17</v>
      </c>
      <c r="G1282" t="s">
        <v>24</v>
      </c>
      <c r="H1282" s="2">
        <v>46023</v>
      </c>
      <c r="I1282" s="3" t="str">
        <f t="shared" ref="I1282:I1345" si="101">IF(ISNUMBER(SEARCH("-",H1282)),H1282,"")</f>
        <v/>
      </c>
      <c r="J1282" t="str">
        <f t="shared" ref="J1282:J1345" si="102">IF(I1282="","",LEFT(I1282,FIND("-",I1282)-1))</f>
        <v/>
      </c>
      <c r="K1282" t="str">
        <f t="shared" ref="K1282:K1345" si="103">IF(I1282="","",RIGHT(I1282,LEN(I1282)-FIND("-",I1282)))</f>
        <v/>
      </c>
      <c r="L1282" t="str">
        <f t="shared" ref="L1282:L1345" si="104">IF(I1282="","",IF(J1282&gt;K1282,F1282,IF(K1282&gt;J1282,G1282,"Draw")))</f>
        <v/>
      </c>
      <c r="M1282" t="str">
        <f>IF(COUNTIF($A$2:A1282,A1282)=1,
     VLOOKUP(A1282,Season_Winners!A:B,2,FALSE),
     "")</f>
        <v/>
      </c>
      <c r="N1282" s="2"/>
    </row>
    <row r="1283" spans="1:14" x14ac:dyDescent="0.3">
      <c r="A1283" t="s">
        <v>460</v>
      </c>
      <c r="B1283">
        <v>15</v>
      </c>
      <c r="C1283" t="s">
        <v>516</v>
      </c>
      <c r="D1283" t="str">
        <f t="shared" si="100"/>
        <v>10.12.2016</v>
      </c>
      <c r="E1283" s="1">
        <v>0.54166666666666663</v>
      </c>
      <c r="F1283" t="s">
        <v>23</v>
      </c>
      <c r="G1283" t="s">
        <v>20</v>
      </c>
      <c r="H1283" t="s">
        <v>46</v>
      </c>
      <c r="I1283" t="str">
        <f t="shared" si="101"/>
        <v>0-3</v>
      </c>
      <c r="J1283" t="str">
        <f t="shared" si="102"/>
        <v>0</v>
      </c>
      <c r="K1283" t="str">
        <f t="shared" si="103"/>
        <v>3</v>
      </c>
      <c r="L1283" t="str">
        <f t="shared" si="104"/>
        <v>FC Barcelona</v>
      </c>
      <c r="M1283" t="str">
        <f>IF(COUNTIF($A$2:A1283,A1283)=1,
     VLOOKUP(A1283,Season_Winners!A:B,2,FALSE),
     "")</f>
        <v/>
      </c>
    </row>
    <row r="1284" spans="1:14" hidden="1" x14ac:dyDescent="0.3">
      <c r="A1284" t="s">
        <v>460</v>
      </c>
      <c r="B1284">
        <v>15</v>
      </c>
      <c r="C1284" t="s">
        <v>516</v>
      </c>
      <c r="D1284" t="str">
        <f t="shared" si="100"/>
        <v>10.12.2016</v>
      </c>
      <c r="E1284" s="1">
        <v>0.67708333333333337</v>
      </c>
      <c r="F1284" t="s">
        <v>10</v>
      </c>
      <c r="G1284" t="s">
        <v>16</v>
      </c>
      <c r="H1284" s="2">
        <v>46056</v>
      </c>
      <c r="I1284" s="3" t="str">
        <f t="shared" si="101"/>
        <v/>
      </c>
      <c r="J1284" t="str">
        <f t="shared" si="102"/>
        <v/>
      </c>
      <c r="K1284" t="str">
        <f t="shared" si="103"/>
        <v/>
      </c>
      <c r="L1284" t="str">
        <f t="shared" si="104"/>
        <v/>
      </c>
      <c r="M1284" t="str">
        <f>IF(COUNTIF($A$2:A1284,A1284)=1,
     VLOOKUP(A1284,Season_Winners!A:B,2,FALSE),
     "")</f>
        <v/>
      </c>
      <c r="N1284" s="2"/>
    </row>
    <row r="1285" spans="1:14" hidden="1" x14ac:dyDescent="0.3">
      <c r="A1285" t="s">
        <v>460</v>
      </c>
      <c r="B1285">
        <v>15</v>
      </c>
      <c r="C1285" t="s">
        <v>516</v>
      </c>
      <c r="D1285" t="str">
        <f t="shared" si="100"/>
        <v>10.12.2016</v>
      </c>
      <c r="E1285" s="1">
        <v>0.77083333333333337</v>
      </c>
      <c r="F1285" t="s">
        <v>338</v>
      </c>
      <c r="G1285" t="s">
        <v>466</v>
      </c>
      <c r="H1285" s="2">
        <v>46023</v>
      </c>
      <c r="I1285" s="3" t="str">
        <f t="shared" si="101"/>
        <v/>
      </c>
      <c r="J1285" t="str">
        <f t="shared" si="102"/>
        <v/>
      </c>
      <c r="K1285" t="str">
        <f t="shared" si="103"/>
        <v/>
      </c>
      <c r="L1285" t="str">
        <f t="shared" si="104"/>
        <v/>
      </c>
      <c r="M1285" t="str">
        <f>IF(COUNTIF($A$2:A1285,A1285)=1,
     VLOOKUP(A1285,Season_Winners!A:B,2,FALSE),
     "")</f>
        <v/>
      </c>
      <c r="N1285" s="2"/>
    </row>
    <row r="1286" spans="1:14" hidden="1" x14ac:dyDescent="0.3">
      <c r="A1286" t="s">
        <v>460</v>
      </c>
      <c r="B1286">
        <v>15</v>
      </c>
      <c r="C1286" t="s">
        <v>516</v>
      </c>
      <c r="D1286" t="str">
        <f t="shared" si="100"/>
        <v>10.12.2016</v>
      </c>
      <c r="E1286" s="1">
        <v>0.86458333333333337</v>
      </c>
      <c r="F1286" t="s">
        <v>25</v>
      </c>
      <c r="G1286" t="s">
        <v>182</v>
      </c>
      <c r="H1286" s="2">
        <v>46056</v>
      </c>
      <c r="I1286" s="3" t="str">
        <f t="shared" si="101"/>
        <v/>
      </c>
      <c r="J1286" t="str">
        <f t="shared" si="102"/>
        <v/>
      </c>
      <c r="K1286" t="str">
        <f t="shared" si="103"/>
        <v/>
      </c>
      <c r="L1286" t="str">
        <f t="shared" si="104"/>
        <v/>
      </c>
      <c r="M1286" t="str">
        <f>IF(COUNTIF($A$2:A1286,A1286)=1,
     VLOOKUP(A1286,Season_Winners!A:B,2,FALSE),
     "")</f>
        <v/>
      </c>
      <c r="N1286" s="2"/>
    </row>
    <row r="1287" spans="1:14" x14ac:dyDescent="0.3">
      <c r="A1287" t="s">
        <v>460</v>
      </c>
      <c r="B1287">
        <v>15</v>
      </c>
      <c r="C1287" t="s">
        <v>517</v>
      </c>
      <c r="D1287" t="str">
        <f t="shared" si="100"/>
        <v>11.12.2016</v>
      </c>
      <c r="E1287" s="1">
        <v>0.5</v>
      </c>
      <c r="F1287" t="s">
        <v>187</v>
      </c>
      <c r="G1287" t="s">
        <v>464</v>
      </c>
      <c r="H1287" t="s">
        <v>41</v>
      </c>
      <c r="I1287" t="str">
        <f t="shared" si="101"/>
        <v>0-0</v>
      </c>
      <c r="J1287" t="str">
        <f t="shared" si="102"/>
        <v>0</v>
      </c>
      <c r="K1287" t="str">
        <f t="shared" si="103"/>
        <v>0</v>
      </c>
      <c r="L1287" t="str">
        <f t="shared" si="104"/>
        <v>Draw</v>
      </c>
      <c r="M1287" t="str">
        <f>IF(COUNTIF($A$2:A1287,A1287)=1,
     VLOOKUP(A1287,Season_Winners!A:B,2,FALSE),
     "")</f>
        <v/>
      </c>
    </row>
    <row r="1288" spans="1:14" x14ac:dyDescent="0.3">
      <c r="A1288" t="s">
        <v>460</v>
      </c>
      <c r="B1288">
        <v>15</v>
      </c>
      <c r="C1288" t="s">
        <v>517</v>
      </c>
      <c r="D1288" t="str">
        <f t="shared" si="100"/>
        <v>11.12.2016</v>
      </c>
      <c r="E1288" s="1">
        <v>0.67708333333333337</v>
      </c>
      <c r="F1288" t="s">
        <v>35</v>
      </c>
      <c r="G1288" t="s">
        <v>27</v>
      </c>
      <c r="H1288" t="s">
        <v>46</v>
      </c>
      <c r="I1288" t="str">
        <f t="shared" si="101"/>
        <v>0-3</v>
      </c>
      <c r="J1288" t="str">
        <f t="shared" si="102"/>
        <v>0</v>
      </c>
      <c r="K1288" t="str">
        <f t="shared" si="103"/>
        <v>3</v>
      </c>
      <c r="L1288" t="str">
        <f t="shared" si="104"/>
        <v>Sevilla FC</v>
      </c>
      <c r="M1288" t="str">
        <f>IF(COUNTIF($A$2:A1288,A1288)=1,
     VLOOKUP(A1288,Season_Winners!A:B,2,FALSE),
     "")</f>
        <v/>
      </c>
    </row>
    <row r="1289" spans="1:14" hidden="1" x14ac:dyDescent="0.3">
      <c r="A1289" t="s">
        <v>460</v>
      </c>
      <c r="B1289">
        <v>15</v>
      </c>
      <c r="C1289" t="s">
        <v>517</v>
      </c>
      <c r="D1289" t="str">
        <f t="shared" si="100"/>
        <v>11.12.2016</v>
      </c>
      <c r="E1289" s="1">
        <v>0.77083333333333337</v>
      </c>
      <c r="F1289" t="s">
        <v>36</v>
      </c>
      <c r="G1289" t="s">
        <v>340</v>
      </c>
      <c r="H1289" s="2">
        <v>46024</v>
      </c>
      <c r="I1289" s="3" t="str">
        <f t="shared" si="101"/>
        <v/>
      </c>
      <c r="J1289" t="str">
        <f t="shared" si="102"/>
        <v/>
      </c>
      <c r="K1289" t="str">
        <f t="shared" si="103"/>
        <v/>
      </c>
      <c r="L1289" t="str">
        <f t="shared" si="104"/>
        <v/>
      </c>
      <c r="M1289" t="str">
        <f>IF(COUNTIF($A$2:A1289,A1289)=1,
     VLOOKUP(A1289,Season_Winners!A:B,2,FALSE),
     "")</f>
        <v/>
      </c>
      <c r="N1289" s="2"/>
    </row>
    <row r="1290" spans="1:14" x14ac:dyDescent="0.3">
      <c r="A1290" t="s">
        <v>460</v>
      </c>
      <c r="B1290">
        <v>15</v>
      </c>
      <c r="C1290" t="s">
        <v>517</v>
      </c>
      <c r="D1290" t="str">
        <f t="shared" si="100"/>
        <v>11.12.2016</v>
      </c>
      <c r="E1290" s="1">
        <v>0.86458333333333337</v>
      </c>
      <c r="F1290" t="s">
        <v>26</v>
      </c>
      <c r="G1290" t="s">
        <v>15</v>
      </c>
      <c r="H1290" t="s">
        <v>18</v>
      </c>
      <c r="I1290" t="str">
        <f t="shared" si="101"/>
        <v>1-0</v>
      </c>
      <c r="J1290" t="str">
        <f t="shared" si="102"/>
        <v>1</v>
      </c>
      <c r="K1290" t="str">
        <f t="shared" si="103"/>
        <v>0</v>
      </c>
      <c r="L1290" t="str">
        <f t="shared" si="104"/>
        <v>Real Betis</v>
      </c>
      <c r="M1290" t="str">
        <f>IF(COUNTIF($A$2:A1290,A1290)=1,
     VLOOKUP(A1290,Season_Winners!A:B,2,FALSE),
     "")</f>
        <v/>
      </c>
    </row>
    <row r="1291" spans="1:14" x14ac:dyDescent="0.3">
      <c r="A1291" t="s">
        <v>460</v>
      </c>
      <c r="B1291">
        <v>15</v>
      </c>
      <c r="C1291" t="s">
        <v>518</v>
      </c>
      <c r="D1291" t="str">
        <f t="shared" si="100"/>
        <v>12.12.2016</v>
      </c>
      <c r="E1291" s="1">
        <v>0.86458333333333337</v>
      </c>
      <c r="F1291" t="s">
        <v>34</v>
      </c>
      <c r="G1291" t="s">
        <v>1425</v>
      </c>
      <c r="H1291" t="s">
        <v>32</v>
      </c>
      <c r="I1291" t="str">
        <f t="shared" si="101"/>
        <v>3-0</v>
      </c>
      <c r="J1291" t="str">
        <f t="shared" si="102"/>
        <v>3</v>
      </c>
      <c r="K1291" t="str">
        <f t="shared" si="103"/>
        <v>0</v>
      </c>
      <c r="L1291" t="str">
        <f t="shared" si="104"/>
        <v>Villarreal CF</v>
      </c>
      <c r="M1291" t="str">
        <f>IF(COUNTIF($A$2:A1291,A1291)=1,
     VLOOKUP(A1291,Season_Winners!A:B,2,FALSE),
     "")</f>
        <v/>
      </c>
    </row>
    <row r="1292" spans="1:14" x14ac:dyDescent="0.3">
      <c r="A1292" t="s">
        <v>460</v>
      </c>
      <c r="B1292">
        <v>16</v>
      </c>
      <c r="C1292" t="s">
        <v>519</v>
      </c>
      <c r="D1292" t="str">
        <f t="shared" si="100"/>
        <v>16.12.2016</v>
      </c>
      <c r="E1292" s="1">
        <v>0.86458333333333337</v>
      </c>
      <c r="F1292" t="s">
        <v>464</v>
      </c>
      <c r="G1292" t="s">
        <v>26</v>
      </c>
      <c r="H1292" t="s">
        <v>18</v>
      </c>
      <c r="I1292" t="str">
        <f t="shared" si="101"/>
        <v>1-0</v>
      </c>
      <c r="J1292" t="str">
        <f t="shared" si="102"/>
        <v>1</v>
      </c>
      <c r="K1292" t="str">
        <f t="shared" si="103"/>
        <v>0</v>
      </c>
      <c r="L1292" t="str">
        <f t="shared" si="104"/>
        <v>Deportivo AlavÃ©s</v>
      </c>
      <c r="M1292" t="str">
        <f>IF(COUNTIF($A$2:A1292,A1292)=1,
     VLOOKUP(A1292,Season_Winners!A:B,2,FALSE),
     "")</f>
        <v/>
      </c>
    </row>
    <row r="1293" spans="1:14" hidden="1" x14ac:dyDescent="0.3">
      <c r="A1293" t="s">
        <v>460</v>
      </c>
      <c r="B1293">
        <v>16</v>
      </c>
      <c r="C1293" t="s">
        <v>520</v>
      </c>
      <c r="D1293" t="str">
        <f t="shared" si="100"/>
        <v>17.12.2016</v>
      </c>
      <c r="E1293" s="1">
        <v>0.54166666666666663</v>
      </c>
      <c r="F1293" t="s">
        <v>340</v>
      </c>
      <c r="G1293" t="s">
        <v>34</v>
      </c>
      <c r="H1293" s="2">
        <v>46082</v>
      </c>
      <c r="I1293" s="3" t="str">
        <f t="shared" si="101"/>
        <v/>
      </c>
      <c r="J1293" t="str">
        <f t="shared" si="102"/>
        <v/>
      </c>
      <c r="K1293" t="str">
        <f t="shared" si="103"/>
        <v/>
      </c>
      <c r="L1293" t="str">
        <f t="shared" si="104"/>
        <v/>
      </c>
      <c r="M1293" t="str">
        <f>IF(COUNTIF($A$2:A1293,A1293)=1,
     VLOOKUP(A1293,Season_Winners!A:B,2,FALSE),
     "")</f>
        <v/>
      </c>
      <c r="N1293" s="2"/>
    </row>
    <row r="1294" spans="1:14" x14ac:dyDescent="0.3">
      <c r="A1294" t="s">
        <v>460</v>
      </c>
      <c r="B1294">
        <v>16</v>
      </c>
      <c r="C1294" t="s">
        <v>520</v>
      </c>
      <c r="D1294" t="str">
        <f t="shared" si="100"/>
        <v>17.12.2016</v>
      </c>
      <c r="E1294" s="1">
        <v>0.67708333333333337</v>
      </c>
      <c r="F1294" t="s">
        <v>1425</v>
      </c>
      <c r="G1294" t="s">
        <v>338</v>
      </c>
      <c r="H1294" t="s">
        <v>18</v>
      </c>
      <c r="I1294" t="str">
        <f t="shared" si="101"/>
        <v>1-0</v>
      </c>
      <c r="J1294" t="str">
        <f t="shared" si="102"/>
        <v>1</v>
      </c>
      <c r="K1294" t="str">
        <f t="shared" si="103"/>
        <v>0</v>
      </c>
      <c r="L1294" t="str">
        <f t="shared" si="104"/>
        <v>Atlético de Madrid</v>
      </c>
      <c r="M1294" t="str">
        <f>IF(COUNTIF($A$2:A1294,A1294)=1,
     VLOOKUP(A1294,Season_Winners!A:B,2,FALSE),
     "")</f>
        <v/>
      </c>
    </row>
    <row r="1295" spans="1:14" x14ac:dyDescent="0.3">
      <c r="A1295" t="s">
        <v>460</v>
      </c>
      <c r="B1295">
        <v>16</v>
      </c>
      <c r="C1295" t="s">
        <v>520</v>
      </c>
      <c r="D1295" t="str">
        <f t="shared" si="100"/>
        <v>17.12.2016</v>
      </c>
      <c r="E1295" s="1">
        <v>0.77083333333333337</v>
      </c>
      <c r="F1295" t="s">
        <v>24</v>
      </c>
      <c r="G1295" t="s">
        <v>10</v>
      </c>
      <c r="H1295" t="s">
        <v>54</v>
      </c>
      <c r="I1295" t="str">
        <f t="shared" si="101"/>
        <v>0-2</v>
      </c>
      <c r="J1295" t="str">
        <f t="shared" si="102"/>
        <v>0</v>
      </c>
      <c r="K1295" t="str">
        <f t="shared" si="103"/>
        <v>2</v>
      </c>
      <c r="L1295" t="str">
        <f t="shared" si="104"/>
        <v>Real Sociedad</v>
      </c>
      <c r="M1295" t="str">
        <f>IF(COUNTIF($A$2:A1295,A1295)=1,
     VLOOKUP(A1295,Season_Winners!A:B,2,FALSE),
     "")</f>
        <v/>
      </c>
    </row>
    <row r="1296" spans="1:14" hidden="1" x14ac:dyDescent="0.3">
      <c r="A1296" t="s">
        <v>460</v>
      </c>
      <c r="B1296">
        <v>16</v>
      </c>
      <c r="C1296" t="s">
        <v>520</v>
      </c>
      <c r="D1296" t="str">
        <f t="shared" si="100"/>
        <v>17.12.2016</v>
      </c>
      <c r="E1296" s="1">
        <v>0.86458333333333337</v>
      </c>
      <c r="F1296" t="s">
        <v>27</v>
      </c>
      <c r="G1296" t="s">
        <v>17</v>
      </c>
      <c r="H1296" s="2">
        <v>46026</v>
      </c>
      <c r="I1296" s="3" t="str">
        <f t="shared" si="101"/>
        <v/>
      </c>
      <c r="J1296" t="str">
        <f t="shared" si="102"/>
        <v/>
      </c>
      <c r="K1296" t="str">
        <f t="shared" si="103"/>
        <v/>
      </c>
      <c r="L1296" t="str">
        <f t="shared" si="104"/>
        <v/>
      </c>
      <c r="M1296" t="str">
        <f>IF(COUNTIF($A$2:A1296,A1296)=1,
     VLOOKUP(A1296,Season_Winners!A:B,2,FALSE),
     "")</f>
        <v/>
      </c>
      <c r="N1296" s="2"/>
    </row>
    <row r="1297" spans="1:14" hidden="1" x14ac:dyDescent="0.3">
      <c r="A1297" t="s">
        <v>460</v>
      </c>
      <c r="B1297">
        <v>16</v>
      </c>
      <c r="C1297" t="s">
        <v>521</v>
      </c>
      <c r="D1297" t="str">
        <f t="shared" si="100"/>
        <v>18.12.2016</v>
      </c>
      <c r="E1297" s="1">
        <v>0.67708333333333337</v>
      </c>
      <c r="F1297" t="s">
        <v>466</v>
      </c>
      <c r="G1297" t="s">
        <v>187</v>
      </c>
      <c r="H1297" s="2">
        <v>46023</v>
      </c>
      <c r="I1297" s="3" t="str">
        <f t="shared" si="101"/>
        <v/>
      </c>
      <c r="J1297" t="str">
        <f t="shared" si="102"/>
        <v/>
      </c>
      <c r="K1297" t="str">
        <f t="shared" si="103"/>
        <v/>
      </c>
      <c r="L1297" t="str">
        <f t="shared" si="104"/>
        <v/>
      </c>
      <c r="M1297" t="str">
        <f>IF(COUNTIF($A$2:A1297,A1297)=1,
     VLOOKUP(A1297,Season_Winners!A:B,2,FALSE),
     "")</f>
        <v/>
      </c>
      <c r="N1297" s="2"/>
    </row>
    <row r="1298" spans="1:14" x14ac:dyDescent="0.3">
      <c r="A1298" t="s">
        <v>460</v>
      </c>
      <c r="B1298">
        <v>16</v>
      </c>
      <c r="C1298" t="s">
        <v>521</v>
      </c>
      <c r="D1298" t="str">
        <f t="shared" si="100"/>
        <v>18.12.2016</v>
      </c>
      <c r="E1298" s="1">
        <v>0.77083333333333337</v>
      </c>
      <c r="F1298" t="s">
        <v>182</v>
      </c>
      <c r="G1298" t="s">
        <v>23</v>
      </c>
      <c r="H1298" t="s">
        <v>12</v>
      </c>
      <c r="I1298" t="str">
        <f t="shared" si="101"/>
        <v>2-0</v>
      </c>
      <c r="J1298" t="str">
        <f t="shared" si="102"/>
        <v>2</v>
      </c>
      <c r="K1298" t="str">
        <f t="shared" si="103"/>
        <v>0</v>
      </c>
      <c r="L1298" t="str">
        <f t="shared" si="104"/>
        <v>RC Deportivo</v>
      </c>
      <c r="M1298" t="str">
        <f>IF(COUNTIF($A$2:A1298,A1298)=1,
     VLOOKUP(A1298,Season_Winners!A:B,2,FALSE),
     "")</f>
        <v/>
      </c>
    </row>
    <row r="1299" spans="1:14" hidden="1" x14ac:dyDescent="0.3">
      <c r="A1299" t="s">
        <v>460</v>
      </c>
      <c r="B1299">
        <v>16</v>
      </c>
      <c r="C1299" t="s">
        <v>521</v>
      </c>
      <c r="D1299" t="str">
        <f t="shared" si="100"/>
        <v>18.12.2016</v>
      </c>
      <c r="E1299" s="1">
        <v>0.86458333333333337</v>
      </c>
      <c r="F1299" t="s">
        <v>20</v>
      </c>
      <c r="G1299" t="s">
        <v>36</v>
      </c>
      <c r="H1299" s="2">
        <v>46026</v>
      </c>
      <c r="I1299" s="3" t="str">
        <f t="shared" si="101"/>
        <v/>
      </c>
      <c r="J1299" t="str">
        <f t="shared" si="102"/>
        <v/>
      </c>
      <c r="K1299" t="str">
        <f t="shared" si="103"/>
        <v/>
      </c>
      <c r="L1299" t="str">
        <f t="shared" si="104"/>
        <v/>
      </c>
      <c r="M1299" t="str">
        <f>IF(COUNTIF($A$2:A1299,A1299)=1,
     VLOOKUP(A1299,Season_Winners!A:B,2,FALSE),
     "")</f>
        <v/>
      </c>
      <c r="N1299" s="2"/>
    </row>
    <row r="1300" spans="1:14" hidden="1" x14ac:dyDescent="0.3">
      <c r="A1300" t="s">
        <v>460</v>
      </c>
      <c r="B1300">
        <v>16</v>
      </c>
      <c r="C1300" t="s">
        <v>522</v>
      </c>
      <c r="D1300" t="str">
        <f t="shared" si="100"/>
        <v>19.12.2016</v>
      </c>
      <c r="E1300" s="1">
        <v>0.86458333333333337</v>
      </c>
      <c r="F1300" t="s">
        <v>15</v>
      </c>
      <c r="G1300" t="s">
        <v>35</v>
      </c>
      <c r="H1300" s="2">
        <v>46024</v>
      </c>
      <c r="I1300" s="3" t="str">
        <f t="shared" si="101"/>
        <v/>
      </c>
      <c r="J1300" t="str">
        <f t="shared" si="102"/>
        <v/>
      </c>
      <c r="K1300" t="str">
        <f t="shared" si="103"/>
        <v/>
      </c>
      <c r="L1300" t="str">
        <f t="shared" si="104"/>
        <v/>
      </c>
      <c r="M1300" t="str">
        <f>IF(COUNTIF($A$2:A1300,A1300)=1,
     VLOOKUP(A1300,Season_Winners!A:B,2,FALSE),
     "")</f>
        <v/>
      </c>
      <c r="N1300" s="2"/>
    </row>
    <row r="1301" spans="1:14" hidden="1" x14ac:dyDescent="0.3">
      <c r="A1301" t="s">
        <v>460</v>
      </c>
      <c r="B1301">
        <v>16</v>
      </c>
      <c r="C1301" t="s">
        <v>523</v>
      </c>
      <c r="D1301" t="str">
        <f t="shared" si="100"/>
        <v>22.02.2017</v>
      </c>
      <c r="E1301" s="1">
        <v>0.78125</v>
      </c>
      <c r="F1301" t="s">
        <v>16</v>
      </c>
      <c r="G1301" t="s">
        <v>25</v>
      </c>
      <c r="H1301" s="2">
        <v>46024</v>
      </c>
      <c r="I1301" s="3" t="str">
        <f t="shared" si="101"/>
        <v/>
      </c>
      <c r="J1301" t="str">
        <f t="shared" si="102"/>
        <v/>
      </c>
      <c r="K1301" t="str">
        <f t="shared" si="103"/>
        <v/>
      </c>
      <c r="L1301" t="str">
        <f t="shared" si="104"/>
        <v/>
      </c>
      <c r="M1301" t="str">
        <f>IF(COUNTIF($A$2:A1301,A1301)=1,
     VLOOKUP(A1301,Season_Winners!A:B,2,FALSE),
     "")</f>
        <v/>
      </c>
      <c r="N1301" s="2"/>
    </row>
    <row r="1302" spans="1:14" hidden="1" x14ac:dyDescent="0.3">
      <c r="A1302" t="s">
        <v>460</v>
      </c>
      <c r="B1302">
        <v>17</v>
      </c>
      <c r="C1302" t="s">
        <v>524</v>
      </c>
      <c r="D1302" t="str">
        <f t="shared" si="100"/>
        <v>06.01.2017</v>
      </c>
      <c r="E1302" s="1">
        <v>0.86458333333333337</v>
      </c>
      <c r="F1302" t="s">
        <v>36</v>
      </c>
      <c r="G1302" t="s">
        <v>182</v>
      </c>
      <c r="H1302" s="2">
        <v>46023</v>
      </c>
      <c r="I1302" s="3" t="str">
        <f t="shared" si="101"/>
        <v/>
      </c>
      <c r="J1302" t="str">
        <f t="shared" si="102"/>
        <v/>
      </c>
      <c r="K1302" t="str">
        <f t="shared" si="103"/>
        <v/>
      </c>
      <c r="L1302" t="str">
        <f t="shared" si="104"/>
        <v/>
      </c>
      <c r="M1302" t="str">
        <f>IF(COUNTIF($A$2:A1302,A1302)=1,
     VLOOKUP(A1302,Season_Winners!A:B,2,FALSE),
     "")</f>
        <v/>
      </c>
      <c r="N1302" s="2"/>
    </row>
    <row r="1303" spans="1:14" x14ac:dyDescent="0.3">
      <c r="A1303" t="s">
        <v>460</v>
      </c>
      <c r="B1303">
        <v>17</v>
      </c>
      <c r="C1303" t="s">
        <v>525</v>
      </c>
      <c r="D1303" t="str">
        <f t="shared" si="100"/>
        <v>07.01.2017</v>
      </c>
      <c r="E1303" s="1">
        <v>0.54166666666666663</v>
      </c>
      <c r="F1303" t="s">
        <v>25</v>
      </c>
      <c r="G1303" t="s">
        <v>24</v>
      </c>
      <c r="H1303" t="s">
        <v>40</v>
      </c>
      <c r="I1303" t="str">
        <f t="shared" si="101"/>
        <v>5-0</v>
      </c>
      <c r="J1303" t="str">
        <f t="shared" si="102"/>
        <v>5</v>
      </c>
      <c r="K1303" t="str">
        <f t="shared" si="103"/>
        <v>0</v>
      </c>
      <c r="L1303" t="str">
        <f t="shared" si="104"/>
        <v>Real Madrid</v>
      </c>
      <c r="M1303" t="str">
        <f>IF(COUNTIF($A$2:A1303,A1303)=1,
     VLOOKUP(A1303,Season_Winners!A:B,2,FALSE),
     "")</f>
        <v/>
      </c>
    </row>
    <row r="1304" spans="1:14" x14ac:dyDescent="0.3">
      <c r="A1304" t="s">
        <v>460</v>
      </c>
      <c r="B1304">
        <v>17</v>
      </c>
      <c r="C1304" t="s">
        <v>525</v>
      </c>
      <c r="D1304" t="str">
        <f t="shared" si="100"/>
        <v>07.01.2017</v>
      </c>
      <c r="E1304" s="1">
        <v>0.67708333333333337</v>
      </c>
      <c r="F1304" t="s">
        <v>187</v>
      </c>
      <c r="G1304" t="s">
        <v>1425</v>
      </c>
      <c r="H1304" t="s">
        <v>54</v>
      </c>
      <c r="I1304" t="str">
        <f t="shared" si="101"/>
        <v>0-2</v>
      </c>
      <c r="J1304" t="str">
        <f t="shared" si="102"/>
        <v>0</v>
      </c>
      <c r="K1304" t="str">
        <f t="shared" si="103"/>
        <v>2</v>
      </c>
      <c r="L1304" t="str">
        <f t="shared" si="104"/>
        <v>Atlético de Madrid</v>
      </c>
      <c r="M1304" t="str">
        <f>IF(COUNTIF($A$2:A1304,A1304)=1,
     VLOOKUP(A1304,Season_Winners!A:B,2,FALSE),
     "")</f>
        <v/>
      </c>
    </row>
    <row r="1305" spans="1:14" x14ac:dyDescent="0.3">
      <c r="A1305" t="s">
        <v>460</v>
      </c>
      <c r="B1305">
        <v>17</v>
      </c>
      <c r="C1305" t="s">
        <v>525</v>
      </c>
      <c r="D1305" t="str">
        <f t="shared" si="100"/>
        <v>07.01.2017</v>
      </c>
      <c r="E1305" s="1">
        <v>0.77083333333333337</v>
      </c>
      <c r="F1305" t="s">
        <v>338</v>
      </c>
      <c r="G1305" t="s">
        <v>340</v>
      </c>
      <c r="H1305" t="s">
        <v>18</v>
      </c>
      <c r="I1305" t="str">
        <f t="shared" si="101"/>
        <v>1-0</v>
      </c>
      <c r="J1305" t="str">
        <f t="shared" si="102"/>
        <v>1</v>
      </c>
      <c r="K1305" t="str">
        <f t="shared" si="103"/>
        <v>0</v>
      </c>
      <c r="L1305" t="str">
        <f t="shared" si="104"/>
        <v>UD Las Palmas</v>
      </c>
      <c r="M1305" t="str">
        <f>IF(COUNTIF($A$2:A1305,A1305)=1,
     VLOOKUP(A1305,Season_Winners!A:B,2,FALSE),
     "")</f>
        <v/>
      </c>
    </row>
    <row r="1306" spans="1:14" x14ac:dyDescent="0.3">
      <c r="A1306" t="s">
        <v>460</v>
      </c>
      <c r="B1306">
        <v>17</v>
      </c>
      <c r="C1306" t="s">
        <v>525</v>
      </c>
      <c r="D1306" t="str">
        <f t="shared" si="100"/>
        <v>07.01.2017</v>
      </c>
      <c r="E1306" s="1">
        <v>0.86458333333333337</v>
      </c>
      <c r="F1306" t="s">
        <v>10</v>
      </c>
      <c r="G1306" t="s">
        <v>27</v>
      </c>
      <c r="H1306" t="s">
        <v>53</v>
      </c>
      <c r="I1306" t="str">
        <f t="shared" si="101"/>
        <v>0-4</v>
      </c>
      <c r="J1306" t="str">
        <f t="shared" si="102"/>
        <v>0</v>
      </c>
      <c r="K1306" t="str">
        <f t="shared" si="103"/>
        <v>4</v>
      </c>
      <c r="L1306" t="str">
        <f t="shared" si="104"/>
        <v>Sevilla FC</v>
      </c>
      <c r="M1306" t="str">
        <f>IF(COUNTIF($A$2:A1306,A1306)=1,
     VLOOKUP(A1306,Season_Winners!A:B,2,FALSE),
     "")</f>
        <v/>
      </c>
    </row>
    <row r="1307" spans="1:14" x14ac:dyDescent="0.3">
      <c r="A1307" t="s">
        <v>460</v>
      </c>
      <c r="B1307">
        <v>17</v>
      </c>
      <c r="C1307" t="s">
        <v>526</v>
      </c>
      <c r="D1307" t="str">
        <f t="shared" si="100"/>
        <v>08.01.2017</v>
      </c>
      <c r="E1307" s="1">
        <v>0.5</v>
      </c>
      <c r="F1307" t="s">
        <v>15</v>
      </c>
      <c r="G1307" t="s">
        <v>464</v>
      </c>
      <c r="H1307" t="s">
        <v>41</v>
      </c>
      <c r="I1307" t="str">
        <f t="shared" si="101"/>
        <v>0-0</v>
      </c>
      <c r="J1307" t="str">
        <f t="shared" si="102"/>
        <v>0</v>
      </c>
      <c r="K1307" t="str">
        <f t="shared" si="103"/>
        <v>0</v>
      </c>
      <c r="L1307" t="str">
        <f t="shared" si="104"/>
        <v>Draw</v>
      </c>
      <c r="M1307" t="str">
        <f>IF(COUNTIF($A$2:A1307,A1307)=1,
     VLOOKUP(A1307,Season_Winners!A:B,2,FALSE),
     "")</f>
        <v/>
      </c>
    </row>
    <row r="1308" spans="1:14" x14ac:dyDescent="0.3">
      <c r="A1308" t="s">
        <v>460</v>
      </c>
      <c r="B1308">
        <v>17</v>
      </c>
      <c r="C1308" t="s">
        <v>526</v>
      </c>
      <c r="D1308" t="str">
        <f t="shared" si="100"/>
        <v>08.01.2017</v>
      </c>
      <c r="E1308" s="1">
        <v>0.67708333333333337</v>
      </c>
      <c r="F1308" t="s">
        <v>26</v>
      </c>
      <c r="G1308" t="s">
        <v>466</v>
      </c>
      <c r="H1308" t="s">
        <v>12</v>
      </c>
      <c r="I1308" t="str">
        <f t="shared" si="101"/>
        <v>2-0</v>
      </c>
      <c r="J1308" t="str">
        <f t="shared" si="102"/>
        <v>2</v>
      </c>
      <c r="K1308" t="str">
        <f t="shared" si="103"/>
        <v>0</v>
      </c>
      <c r="L1308" t="str">
        <f t="shared" si="104"/>
        <v>Real Betis</v>
      </c>
      <c r="M1308" t="str">
        <f>IF(COUNTIF($A$2:A1308,A1308)=1,
     VLOOKUP(A1308,Season_Winners!A:B,2,FALSE),
     "")</f>
        <v/>
      </c>
    </row>
    <row r="1309" spans="1:14" hidden="1" x14ac:dyDescent="0.3">
      <c r="A1309" t="s">
        <v>460</v>
      </c>
      <c r="B1309">
        <v>17</v>
      </c>
      <c r="C1309" t="s">
        <v>526</v>
      </c>
      <c r="D1309" t="str">
        <f t="shared" si="100"/>
        <v>08.01.2017</v>
      </c>
      <c r="E1309" s="1">
        <v>0.77083333333333337</v>
      </c>
      <c r="F1309" t="s">
        <v>35</v>
      </c>
      <c r="G1309" t="s">
        <v>17</v>
      </c>
      <c r="H1309" s="2">
        <v>46025</v>
      </c>
      <c r="I1309" s="3" t="str">
        <f t="shared" si="101"/>
        <v/>
      </c>
      <c r="J1309" t="str">
        <f t="shared" si="102"/>
        <v/>
      </c>
      <c r="K1309" t="str">
        <f t="shared" si="103"/>
        <v/>
      </c>
      <c r="L1309" t="str">
        <f t="shared" si="104"/>
        <v/>
      </c>
      <c r="M1309" t="str">
        <f>IF(COUNTIF($A$2:A1309,A1309)=1,
     VLOOKUP(A1309,Season_Winners!A:B,2,FALSE),
     "")</f>
        <v/>
      </c>
      <c r="N1309" s="2"/>
    </row>
    <row r="1310" spans="1:14" hidden="1" x14ac:dyDescent="0.3">
      <c r="A1310" t="s">
        <v>460</v>
      </c>
      <c r="B1310">
        <v>17</v>
      </c>
      <c r="C1310" t="s">
        <v>526</v>
      </c>
      <c r="D1310" t="str">
        <f t="shared" si="100"/>
        <v>08.01.2017</v>
      </c>
      <c r="E1310" s="1">
        <v>0.86458333333333337</v>
      </c>
      <c r="F1310" t="s">
        <v>34</v>
      </c>
      <c r="G1310" t="s">
        <v>20</v>
      </c>
      <c r="H1310" s="2">
        <v>46023</v>
      </c>
      <c r="I1310" s="3" t="str">
        <f t="shared" si="101"/>
        <v/>
      </c>
      <c r="J1310" t="str">
        <f t="shared" si="102"/>
        <v/>
      </c>
      <c r="K1310" t="str">
        <f t="shared" si="103"/>
        <v/>
      </c>
      <c r="L1310" t="str">
        <f t="shared" si="104"/>
        <v/>
      </c>
      <c r="M1310" t="str">
        <f>IF(COUNTIF($A$2:A1310,A1310)=1,
     VLOOKUP(A1310,Season_Winners!A:B,2,FALSE),
     "")</f>
        <v/>
      </c>
      <c r="N1310" s="2"/>
    </row>
    <row r="1311" spans="1:14" hidden="1" x14ac:dyDescent="0.3">
      <c r="A1311" t="s">
        <v>460</v>
      </c>
      <c r="B1311">
        <v>17</v>
      </c>
      <c r="C1311" t="s">
        <v>527</v>
      </c>
      <c r="D1311" t="str">
        <f t="shared" si="100"/>
        <v>09.01.2017</v>
      </c>
      <c r="E1311" s="1">
        <v>0.86458333333333337</v>
      </c>
      <c r="F1311" t="s">
        <v>23</v>
      </c>
      <c r="G1311" t="s">
        <v>16</v>
      </c>
      <c r="H1311" s="2">
        <v>46084</v>
      </c>
      <c r="I1311" s="3" t="str">
        <f t="shared" si="101"/>
        <v/>
      </c>
      <c r="J1311" t="str">
        <f t="shared" si="102"/>
        <v/>
      </c>
      <c r="K1311" t="str">
        <f t="shared" si="103"/>
        <v/>
      </c>
      <c r="L1311" t="str">
        <f t="shared" si="104"/>
        <v/>
      </c>
      <c r="M1311" t="str">
        <f>IF(COUNTIF($A$2:A1311,A1311)=1,
     VLOOKUP(A1311,Season_Winners!A:B,2,FALSE),
     "")</f>
        <v/>
      </c>
      <c r="N1311" s="2"/>
    </row>
    <row r="1312" spans="1:14" x14ac:dyDescent="0.3">
      <c r="A1312" t="s">
        <v>460</v>
      </c>
      <c r="B1312">
        <v>18</v>
      </c>
      <c r="C1312" t="s">
        <v>528</v>
      </c>
      <c r="D1312" t="str">
        <f t="shared" si="100"/>
        <v>14.01.2017</v>
      </c>
      <c r="E1312" s="1">
        <v>0.54166666666666663</v>
      </c>
      <c r="F1312" t="s">
        <v>466</v>
      </c>
      <c r="G1312" t="s">
        <v>15</v>
      </c>
      <c r="H1312" t="s">
        <v>41</v>
      </c>
      <c r="I1312" t="str">
        <f t="shared" si="101"/>
        <v>0-0</v>
      </c>
      <c r="J1312" t="str">
        <f t="shared" si="102"/>
        <v>0</v>
      </c>
      <c r="K1312" t="str">
        <f t="shared" si="103"/>
        <v>0</v>
      </c>
      <c r="L1312" t="str">
        <f t="shared" si="104"/>
        <v>Draw</v>
      </c>
      <c r="M1312" t="str">
        <f>IF(COUNTIF($A$2:A1312,A1312)=1,
     VLOOKUP(A1312,Season_Winners!A:B,2,FALSE),
     "")</f>
        <v/>
      </c>
    </row>
    <row r="1313" spans="1:14" x14ac:dyDescent="0.3">
      <c r="A1313" t="s">
        <v>460</v>
      </c>
      <c r="B1313">
        <v>18</v>
      </c>
      <c r="C1313" t="s">
        <v>528</v>
      </c>
      <c r="D1313" t="str">
        <f t="shared" si="100"/>
        <v>14.01.2017</v>
      </c>
      <c r="E1313" s="1">
        <v>0.67708333333333337</v>
      </c>
      <c r="F1313" t="s">
        <v>20</v>
      </c>
      <c r="G1313" t="s">
        <v>338</v>
      </c>
      <c r="H1313" t="s">
        <v>40</v>
      </c>
      <c r="I1313" t="str">
        <f t="shared" si="101"/>
        <v>5-0</v>
      </c>
      <c r="J1313" t="str">
        <f t="shared" si="102"/>
        <v>5</v>
      </c>
      <c r="K1313" t="str">
        <f t="shared" si="103"/>
        <v>0</v>
      </c>
      <c r="L1313" t="str">
        <f t="shared" si="104"/>
        <v>FC Barcelona</v>
      </c>
      <c r="M1313" t="str">
        <f>IF(COUNTIF($A$2:A1313,A1313)=1,
     VLOOKUP(A1313,Season_Winners!A:B,2,FALSE),
     "")</f>
        <v/>
      </c>
    </row>
    <row r="1314" spans="1:14" x14ac:dyDescent="0.3">
      <c r="A1314" t="s">
        <v>460</v>
      </c>
      <c r="B1314">
        <v>18</v>
      </c>
      <c r="C1314" t="s">
        <v>528</v>
      </c>
      <c r="D1314" t="str">
        <f t="shared" si="100"/>
        <v>14.01.2017</v>
      </c>
      <c r="E1314" s="1">
        <v>0.77083333333333337</v>
      </c>
      <c r="F1314" t="s">
        <v>1425</v>
      </c>
      <c r="G1314" t="s">
        <v>26</v>
      </c>
      <c r="H1314" t="s">
        <v>18</v>
      </c>
      <c r="I1314" t="str">
        <f t="shared" si="101"/>
        <v>1-0</v>
      </c>
      <c r="J1314" t="str">
        <f t="shared" si="102"/>
        <v>1</v>
      </c>
      <c r="K1314" t="str">
        <f t="shared" si="103"/>
        <v>0</v>
      </c>
      <c r="L1314" t="str">
        <f t="shared" si="104"/>
        <v>Atlético de Madrid</v>
      </c>
      <c r="M1314" t="str">
        <f>IF(COUNTIF($A$2:A1314,A1314)=1,
     VLOOKUP(A1314,Season_Winners!A:B,2,FALSE),
     "")</f>
        <v/>
      </c>
    </row>
    <row r="1315" spans="1:14" x14ac:dyDescent="0.3">
      <c r="A1315" t="s">
        <v>460</v>
      </c>
      <c r="B1315">
        <v>18</v>
      </c>
      <c r="C1315" t="s">
        <v>528</v>
      </c>
      <c r="D1315" t="str">
        <f t="shared" si="100"/>
        <v>14.01.2017</v>
      </c>
      <c r="E1315" s="1">
        <v>0.86458333333333337</v>
      </c>
      <c r="F1315" t="s">
        <v>182</v>
      </c>
      <c r="G1315" t="s">
        <v>34</v>
      </c>
      <c r="H1315" t="s">
        <v>41</v>
      </c>
      <c r="I1315" t="str">
        <f t="shared" si="101"/>
        <v>0-0</v>
      </c>
      <c r="J1315" t="str">
        <f t="shared" si="102"/>
        <v>0</v>
      </c>
      <c r="K1315" t="str">
        <f t="shared" si="103"/>
        <v>0</v>
      </c>
      <c r="L1315" t="str">
        <f t="shared" si="104"/>
        <v>Draw</v>
      </c>
      <c r="M1315" t="str">
        <f>IF(COUNTIF($A$2:A1315,A1315)=1,
     VLOOKUP(A1315,Season_Winners!A:B,2,FALSE),
     "")</f>
        <v/>
      </c>
    </row>
    <row r="1316" spans="1:14" hidden="1" x14ac:dyDescent="0.3">
      <c r="A1316" t="s">
        <v>460</v>
      </c>
      <c r="B1316">
        <v>18</v>
      </c>
      <c r="C1316" t="s">
        <v>529</v>
      </c>
      <c r="D1316" t="str">
        <f t="shared" si="100"/>
        <v>15.01.2017</v>
      </c>
      <c r="E1316" s="1">
        <v>0.5</v>
      </c>
      <c r="F1316" t="s">
        <v>16</v>
      </c>
      <c r="G1316" t="s">
        <v>36</v>
      </c>
      <c r="H1316" s="2">
        <v>46024</v>
      </c>
      <c r="I1316" s="3" t="str">
        <f t="shared" si="101"/>
        <v/>
      </c>
      <c r="J1316" t="str">
        <f t="shared" si="102"/>
        <v/>
      </c>
      <c r="K1316" t="str">
        <f t="shared" si="103"/>
        <v/>
      </c>
      <c r="L1316" t="str">
        <f t="shared" si="104"/>
        <v/>
      </c>
      <c r="M1316" t="str">
        <f>IF(COUNTIF($A$2:A1316,A1316)=1,
     VLOOKUP(A1316,Season_Winners!A:B,2,FALSE),
     "")</f>
        <v/>
      </c>
      <c r="N1316" s="2"/>
    </row>
    <row r="1317" spans="1:14" x14ac:dyDescent="0.3">
      <c r="A1317" t="s">
        <v>460</v>
      </c>
      <c r="B1317">
        <v>18</v>
      </c>
      <c r="C1317" t="s">
        <v>529</v>
      </c>
      <c r="D1317" t="str">
        <f t="shared" si="100"/>
        <v>15.01.2017</v>
      </c>
      <c r="E1317" s="1">
        <v>0.67708333333333337</v>
      </c>
      <c r="F1317" t="s">
        <v>35</v>
      </c>
      <c r="G1317" t="s">
        <v>464</v>
      </c>
      <c r="H1317" t="s">
        <v>18</v>
      </c>
      <c r="I1317" t="str">
        <f t="shared" si="101"/>
        <v>1-0</v>
      </c>
      <c r="J1317" t="str">
        <f t="shared" si="102"/>
        <v>1</v>
      </c>
      <c r="K1317" t="str">
        <f t="shared" si="103"/>
        <v>0</v>
      </c>
      <c r="L1317" t="str">
        <f t="shared" si="104"/>
        <v>RC Celta</v>
      </c>
      <c r="M1317" t="str">
        <f>IF(COUNTIF($A$2:A1317,A1317)=1,
     VLOOKUP(A1317,Season_Winners!A:B,2,FALSE),
     "")</f>
        <v/>
      </c>
    </row>
    <row r="1318" spans="1:14" hidden="1" x14ac:dyDescent="0.3">
      <c r="A1318" t="s">
        <v>460</v>
      </c>
      <c r="B1318">
        <v>18</v>
      </c>
      <c r="C1318" t="s">
        <v>529</v>
      </c>
      <c r="D1318" t="str">
        <f t="shared" si="100"/>
        <v>15.01.2017</v>
      </c>
      <c r="E1318" s="1">
        <v>0.77083333333333337</v>
      </c>
      <c r="F1318" t="s">
        <v>24</v>
      </c>
      <c r="G1318" t="s">
        <v>23</v>
      </c>
      <c r="H1318" s="2">
        <v>46023</v>
      </c>
      <c r="I1318" s="3" t="str">
        <f t="shared" si="101"/>
        <v/>
      </c>
      <c r="J1318" t="str">
        <f t="shared" si="102"/>
        <v/>
      </c>
      <c r="K1318" t="str">
        <f t="shared" si="103"/>
        <v/>
      </c>
      <c r="L1318" t="str">
        <f t="shared" si="104"/>
        <v/>
      </c>
      <c r="M1318" t="str">
        <f>IF(COUNTIF($A$2:A1318,A1318)=1,
     VLOOKUP(A1318,Season_Winners!A:B,2,FALSE),
     "")</f>
        <v/>
      </c>
      <c r="N1318" s="2"/>
    </row>
    <row r="1319" spans="1:14" hidden="1" x14ac:dyDescent="0.3">
      <c r="A1319" t="s">
        <v>460</v>
      </c>
      <c r="B1319">
        <v>18</v>
      </c>
      <c r="C1319" t="s">
        <v>529</v>
      </c>
      <c r="D1319" t="str">
        <f t="shared" si="100"/>
        <v>15.01.2017</v>
      </c>
      <c r="E1319" s="1">
        <v>0.77083333333333337</v>
      </c>
      <c r="F1319" t="s">
        <v>340</v>
      </c>
      <c r="G1319" t="s">
        <v>187</v>
      </c>
      <c r="H1319" s="2">
        <v>46083</v>
      </c>
      <c r="I1319" s="3" t="str">
        <f t="shared" si="101"/>
        <v/>
      </c>
      <c r="J1319" t="str">
        <f t="shared" si="102"/>
        <v/>
      </c>
      <c r="K1319" t="str">
        <f t="shared" si="103"/>
        <v/>
      </c>
      <c r="L1319" t="str">
        <f t="shared" si="104"/>
        <v/>
      </c>
      <c r="M1319" t="str">
        <f>IF(COUNTIF($A$2:A1319,A1319)=1,
     VLOOKUP(A1319,Season_Winners!A:B,2,FALSE),
     "")</f>
        <v/>
      </c>
      <c r="N1319" s="2"/>
    </row>
    <row r="1320" spans="1:14" hidden="1" x14ac:dyDescent="0.3">
      <c r="A1320" t="s">
        <v>460</v>
      </c>
      <c r="B1320">
        <v>18</v>
      </c>
      <c r="C1320" t="s">
        <v>529</v>
      </c>
      <c r="D1320" t="str">
        <f t="shared" si="100"/>
        <v>15.01.2017</v>
      </c>
      <c r="E1320" s="1">
        <v>0.86458333333333337</v>
      </c>
      <c r="F1320" t="s">
        <v>27</v>
      </c>
      <c r="G1320" t="s">
        <v>25</v>
      </c>
      <c r="H1320" s="2">
        <v>46024</v>
      </c>
      <c r="I1320" s="3" t="str">
        <f t="shared" si="101"/>
        <v/>
      </c>
      <c r="J1320" t="str">
        <f t="shared" si="102"/>
        <v/>
      </c>
      <c r="K1320" t="str">
        <f t="shared" si="103"/>
        <v/>
      </c>
      <c r="L1320" t="str">
        <f t="shared" si="104"/>
        <v/>
      </c>
      <c r="M1320" t="str">
        <f>IF(COUNTIF($A$2:A1320,A1320)=1,
     VLOOKUP(A1320,Season_Winners!A:B,2,FALSE),
     "")</f>
        <v/>
      </c>
      <c r="N1320" s="2"/>
    </row>
    <row r="1321" spans="1:14" x14ac:dyDescent="0.3">
      <c r="A1321" t="s">
        <v>460</v>
      </c>
      <c r="B1321">
        <v>18</v>
      </c>
      <c r="C1321" t="s">
        <v>530</v>
      </c>
      <c r="D1321" t="str">
        <f t="shared" si="100"/>
        <v>16.01.2017</v>
      </c>
      <c r="E1321" s="1">
        <v>0.86458333333333337</v>
      </c>
      <c r="F1321" t="s">
        <v>17</v>
      </c>
      <c r="G1321" t="s">
        <v>10</v>
      </c>
      <c r="H1321" t="s">
        <v>54</v>
      </c>
      <c r="I1321" t="str">
        <f t="shared" si="101"/>
        <v>0-2</v>
      </c>
      <c r="J1321" t="str">
        <f t="shared" si="102"/>
        <v>0</v>
      </c>
      <c r="K1321" t="str">
        <f t="shared" si="103"/>
        <v>2</v>
      </c>
      <c r="L1321" t="str">
        <f t="shared" si="104"/>
        <v>Real Sociedad</v>
      </c>
      <c r="M1321" t="str">
        <f>IF(COUNTIF($A$2:A1321,A1321)=1,
     VLOOKUP(A1321,Season_Winners!A:B,2,FALSE),
     "")</f>
        <v/>
      </c>
    </row>
    <row r="1322" spans="1:14" hidden="1" x14ac:dyDescent="0.3">
      <c r="A1322" t="s">
        <v>460</v>
      </c>
      <c r="B1322">
        <v>19</v>
      </c>
      <c r="C1322" t="s">
        <v>531</v>
      </c>
      <c r="D1322" t="str">
        <f t="shared" si="100"/>
        <v>20.01.2017</v>
      </c>
      <c r="E1322" s="1">
        <v>0.86458333333333337</v>
      </c>
      <c r="F1322" t="s">
        <v>338</v>
      </c>
      <c r="G1322" t="s">
        <v>182</v>
      </c>
      <c r="H1322" s="2">
        <v>46023</v>
      </c>
      <c r="I1322" s="3" t="str">
        <f t="shared" si="101"/>
        <v/>
      </c>
      <c r="J1322" t="str">
        <f t="shared" si="102"/>
        <v/>
      </c>
      <c r="K1322" t="str">
        <f t="shared" si="103"/>
        <v/>
      </c>
      <c r="L1322" t="str">
        <f t="shared" si="104"/>
        <v/>
      </c>
      <c r="M1322" t="str">
        <f>IF(COUNTIF($A$2:A1322,A1322)=1,
     VLOOKUP(A1322,Season_Winners!A:B,2,FALSE),
     "")</f>
        <v/>
      </c>
      <c r="N1322" s="2"/>
    </row>
    <row r="1323" spans="1:14" hidden="1" x14ac:dyDescent="0.3">
      <c r="A1323" t="s">
        <v>460</v>
      </c>
      <c r="B1323">
        <v>19</v>
      </c>
      <c r="C1323" t="s">
        <v>532</v>
      </c>
      <c r="D1323" t="str">
        <f t="shared" si="100"/>
        <v>21.01.2017</v>
      </c>
      <c r="E1323" s="1">
        <v>0.54166666666666663</v>
      </c>
      <c r="F1323" t="s">
        <v>36</v>
      </c>
      <c r="G1323" t="s">
        <v>24</v>
      </c>
      <c r="H1323" s="2">
        <v>46025</v>
      </c>
      <c r="I1323" s="3" t="str">
        <f t="shared" si="101"/>
        <v/>
      </c>
      <c r="J1323" t="str">
        <f t="shared" si="102"/>
        <v/>
      </c>
      <c r="K1323" t="str">
        <f t="shared" si="103"/>
        <v/>
      </c>
      <c r="L1323" t="str">
        <f t="shared" si="104"/>
        <v/>
      </c>
      <c r="M1323" t="str">
        <f>IF(COUNTIF($A$2:A1323,A1323)=1,
     VLOOKUP(A1323,Season_Winners!A:B,2,FALSE),
     "")</f>
        <v/>
      </c>
      <c r="N1323" s="2"/>
    </row>
    <row r="1324" spans="1:14" hidden="1" x14ac:dyDescent="0.3">
      <c r="A1324" t="s">
        <v>460</v>
      </c>
      <c r="B1324">
        <v>19</v>
      </c>
      <c r="C1324" t="s">
        <v>532</v>
      </c>
      <c r="D1324" t="str">
        <f t="shared" si="100"/>
        <v>21.01.2017</v>
      </c>
      <c r="E1324" s="1">
        <v>0.67708333333333337</v>
      </c>
      <c r="F1324" t="s">
        <v>25</v>
      </c>
      <c r="G1324" t="s">
        <v>17</v>
      </c>
      <c r="H1324" s="2">
        <v>46024</v>
      </c>
      <c r="I1324" s="3" t="str">
        <f t="shared" si="101"/>
        <v/>
      </c>
      <c r="J1324" t="str">
        <f t="shared" si="102"/>
        <v/>
      </c>
      <c r="K1324" t="str">
        <f t="shared" si="103"/>
        <v/>
      </c>
      <c r="L1324" t="str">
        <f t="shared" si="104"/>
        <v/>
      </c>
      <c r="M1324" t="str">
        <f>IF(COUNTIF($A$2:A1324,A1324)=1,
     VLOOKUP(A1324,Season_Winners!A:B,2,FALSE),
     "")</f>
        <v/>
      </c>
      <c r="N1324" s="2"/>
    </row>
    <row r="1325" spans="1:14" hidden="1" x14ac:dyDescent="0.3">
      <c r="A1325" t="s">
        <v>460</v>
      </c>
      <c r="B1325">
        <v>19</v>
      </c>
      <c r="C1325" t="s">
        <v>532</v>
      </c>
      <c r="D1325" t="str">
        <f t="shared" si="100"/>
        <v>21.01.2017</v>
      </c>
      <c r="E1325" s="1">
        <v>0.77083333333333337</v>
      </c>
      <c r="F1325" t="s">
        <v>464</v>
      </c>
      <c r="G1325" t="s">
        <v>466</v>
      </c>
      <c r="H1325" s="2">
        <v>46055</v>
      </c>
      <c r="I1325" s="3" t="str">
        <f t="shared" si="101"/>
        <v/>
      </c>
      <c r="J1325" t="str">
        <f t="shared" si="102"/>
        <v/>
      </c>
      <c r="K1325" t="str">
        <f t="shared" si="103"/>
        <v/>
      </c>
      <c r="L1325" t="str">
        <f t="shared" si="104"/>
        <v/>
      </c>
      <c r="M1325" t="str">
        <f>IF(COUNTIF($A$2:A1325,A1325)=1,
     VLOOKUP(A1325,Season_Winners!A:B,2,FALSE),
     "")</f>
        <v/>
      </c>
      <c r="N1325" s="2"/>
    </row>
    <row r="1326" spans="1:14" x14ac:dyDescent="0.3">
      <c r="A1326" t="s">
        <v>460</v>
      </c>
      <c r="B1326">
        <v>19</v>
      </c>
      <c r="C1326" t="s">
        <v>532</v>
      </c>
      <c r="D1326" t="str">
        <f t="shared" si="100"/>
        <v>21.01.2017</v>
      </c>
      <c r="E1326" s="1">
        <v>0.86458333333333337</v>
      </c>
      <c r="F1326" t="s">
        <v>34</v>
      </c>
      <c r="G1326" t="s">
        <v>16</v>
      </c>
      <c r="H1326" t="s">
        <v>54</v>
      </c>
      <c r="I1326" t="str">
        <f t="shared" si="101"/>
        <v>0-2</v>
      </c>
      <c r="J1326" t="str">
        <f t="shared" si="102"/>
        <v>0</v>
      </c>
      <c r="K1326" t="str">
        <f t="shared" si="103"/>
        <v>2</v>
      </c>
      <c r="L1326" t="str">
        <f t="shared" si="104"/>
        <v>Valencia CF</v>
      </c>
      <c r="M1326" t="str">
        <f>IF(COUNTIF($A$2:A1326,A1326)=1,
     VLOOKUP(A1326,Season_Winners!A:B,2,FALSE),
     "")</f>
        <v/>
      </c>
    </row>
    <row r="1327" spans="1:14" hidden="1" x14ac:dyDescent="0.3">
      <c r="A1327" t="s">
        <v>460</v>
      </c>
      <c r="B1327">
        <v>19</v>
      </c>
      <c r="C1327" t="s">
        <v>533</v>
      </c>
      <c r="D1327" t="str">
        <f t="shared" si="100"/>
        <v>22.01.2017</v>
      </c>
      <c r="E1327" s="1">
        <v>0.5</v>
      </c>
      <c r="F1327" t="s">
        <v>23</v>
      </c>
      <c r="G1327" t="s">
        <v>27</v>
      </c>
      <c r="H1327" s="2">
        <v>46115</v>
      </c>
      <c r="I1327" s="3" t="str">
        <f t="shared" si="101"/>
        <v/>
      </c>
      <c r="J1327" t="str">
        <f t="shared" si="102"/>
        <v/>
      </c>
      <c r="K1327" t="str">
        <f t="shared" si="103"/>
        <v/>
      </c>
      <c r="L1327" t="str">
        <f t="shared" si="104"/>
        <v/>
      </c>
      <c r="M1327" t="str">
        <f>IF(COUNTIF($A$2:A1327,A1327)=1,
     VLOOKUP(A1327,Season_Winners!A:B,2,FALSE),
     "")</f>
        <v/>
      </c>
      <c r="N1327" s="2"/>
    </row>
    <row r="1328" spans="1:14" hidden="1" x14ac:dyDescent="0.3">
      <c r="A1328" t="s">
        <v>460</v>
      </c>
      <c r="B1328">
        <v>19</v>
      </c>
      <c r="C1328" t="s">
        <v>533</v>
      </c>
      <c r="D1328" t="str">
        <f t="shared" si="100"/>
        <v>22.01.2017</v>
      </c>
      <c r="E1328" s="1">
        <v>0.67708333333333337</v>
      </c>
      <c r="F1328" t="s">
        <v>15</v>
      </c>
      <c r="G1328" t="s">
        <v>28</v>
      </c>
      <c r="H1328" s="2">
        <v>46055</v>
      </c>
      <c r="I1328" s="3" t="str">
        <f t="shared" si="101"/>
        <v/>
      </c>
      <c r="J1328" t="str">
        <f t="shared" si="102"/>
        <v/>
      </c>
      <c r="K1328" t="str">
        <f t="shared" si="103"/>
        <v/>
      </c>
      <c r="L1328" t="str">
        <f t="shared" si="104"/>
        <v/>
      </c>
      <c r="M1328" t="str">
        <f>IF(COUNTIF($A$2:A1328,A1328)=1,
     VLOOKUP(A1328,Season_Winners!A:B,2,FALSE),
     "")</f>
        <v/>
      </c>
      <c r="N1328" s="2"/>
    </row>
    <row r="1329" spans="1:14" x14ac:dyDescent="0.3">
      <c r="A1329" t="s">
        <v>460</v>
      </c>
      <c r="B1329">
        <v>19</v>
      </c>
      <c r="C1329" t="s">
        <v>533</v>
      </c>
      <c r="D1329" t="str">
        <f t="shared" si="100"/>
        <v>22.01.2017</v>
      </c>
      <c r="E1329" s="1">
        <v>0.77083333333333337</v>
      </c>
      <c r="F1329" t="s">
        <v>26</v>
      </c>
      <c r="G1329" t="s">
        <v>340</v>
      </c>
      <c r="H1329" t="s">
        <v>41</v>
      </c>
      <c r="I1329" t="str">
        <f t="shared" si="101"/>
        <v>0-0</v>
      </c>
      <c r="J1329" t="str">
        <f t="shared" si="102"/>
        <v>0</v>
      </c>
      <c r="K1329" t="str">
        <f t="shared" si="103"/>
        <v>0</v>
      </c>
      <c r="L1329" t="str">
        <f t="shared" si="104"/>
        <v>Draw</v>
      </c>
      <c r="M1329" t="str">
        <f>IF(COUNTIF($A$2:A1329,A1329)=1,
     VLOOKUP(A1329,Season_Winners!A:B,2,FALSE),
     "")</f>
        <v/>
      </c>
    </row>
    <row r="1330" spans="1:14" x14ac:dyDescent="0.3">
      <c r="A1330" t="s">
        <v>460</v>
      </c>
      <c r="B1330">
        <v>19</v>
      </c>
      <c r="C1330" t="s">
        <v>533</v>
      </c>
      <c r="D1330" t="str">
        <f t="shared" si="100"/>
        <v>22.01.2017</v>
      </c>
      <c r="E1330" s="1">
        <v>0.77083333333333337</v>
      </c>
      <c r="F1330" t="s">
        <v>10</v>
      </c>
      <c r="G1330" t="s">
        <v>35</v>
      </c>
      <c r="H1330" t="s">
        <v>18</v>
      </c>
      <c r="I1330" t="str">
        <f t="shared" si="101"/>
        <v>1-0</v>
      </c>
      <c r="J1330" t="str">
        <f t="shared" si="102"/>
        <v>1</v>
      </c>
      <c r="K1330" t="str">
        <f t="shared" si="103"/>
        <v>0</v>
      </c>
      <c r="L1330" t="str">
        <f t="shared" si="104"/>
        <v>Real Sociedad</v>
      </c>
      <c r="M1330" t="str">
        <f>IF(COUNTIF($A$2:A1330,A1330)=1,
     VLOOKUP(A1330,Season_Winners!A:B,2,FALSE),
     "")</f>
        <v/>
      </c>
    </row>
    <row r="1331" spans="1:14" x14ac:dyDescent="0.3">
      <c r="A1331" t="s">
        <v>460</v>
      </c>
      <c r="B1331">
        <v>19</v>
      </c>
      <c r="C1331" t="s">
        <v>533</v>
      </c>
      <c r="D1331" t="str">
        <f t="shared" si="100"/>
        <v>22.01.2017</v>
      </c>
      <c r="E1331" s="1">
        <v>0.86458333333333337</v>
      </c>
      <c r="F1331" t="s">
        <v>187</v>
      </c>
      <c r="G1331" t="s">
        <v>20</v>
      </c>
      <c r="H1331" t="s">
        <v>53</v>
      </c>
      <c r="I1331" t="str">
        <f t="shared" si="101"/>
        <v>0-4</v>
      </c>
      <c r="J1331" t="str">
        <f t="shared" si="102"/>
        <v>0</v>
      </c>
      <c r="K1331" t="str">
        <f t="shared" si="103"/>
        <v>4</v>
      </c>
      <c r="L1331" t="str">
        <f t="shared" si="104"/>
        <v>FC Barcelona</v>
      </c>
      <c r="M1331" t="str">
        <f>IF(COUNTIF($A$2:A1331,A1331)=1,
     VLOOKUP(A1331,Season_Winners!A:B,2,FALSE),
     "")</f>
        <v/>
      </c>
    </row>
    <row r="1332" spans="1:14" hidden="1" x14ac:dyDescent="0.3">
      <c r="A1332" t="s">
        <v>460</v>
      </c>
      <c r="B1332">
        <v>20</v>
      </c>
      <c r="C1332" t="s">
        <v>534</v>
      </c>
      <c r="D1332" t="str">
        <f t="shared" si="100"/>
        <v>27.01.2017</v>
      </c>
      <c r="E1332" s="1">
        <v>0.86458333333333337</v>
      </c>
      <c r="F1332" t="s">
        <v>23</v>
      </c>
      <c r="G1332" t="s">
        <v>17</v>
      </c>
      <c r="H1332" s="2">
        <v>46023</v>
      </c>
      <c r="I1332" s="3" t="str">
        <f t="shared" si="101"/>
        <v/>
      </c>
      <c r="J1332" t="str">
        <f t="shared" si="102"/>
        <v/>
      </c>
      <c r="K1332" t="str">
        <f t="shared" si="103"/>
        <v/>
      </c>
      <c r="L1332" t="str">
        <f t="shared" si="104"/>
        <v/>
      </c>
      <c r="M1332" t="str">
        <f>IF(COUNTIF($A$2:A1332,A1332)=1,
     VLOOKUP(A1332,Season_Winners!A:B,2,FALSE),
     "")</f>
        <v/>
      </c>
      <c r="N1332" s="2"/>
    </row>
    <row r="1333" spans="1:14" x14ac:dyDescent="0.3">
      <c r="A1333" t="s">
        <v>460</v>
      </c>
      <c r="B1333">
        <v>20</v>
      </c>
      <c r="C1333" t="s">
        <v>535</v>
      </c>
      <c r="D1333" t="str">
        <f t="shared" si="100"/>
        <v>28.01.2017</v>
      </c>
      <c r="E1333" s="1">
        <v>0.54166666666666663</v>
      </c>
      <c r="F1333" t="s">
        <v>34</v>
      </c>
      <c r="G1333" t="s">
        <v>24</v>
      </c>
      <c r="H1333" t="s">
        <v>12</v>
      </c>
      <c r="I1333" t="str">
        <f t="shared" si="101"/>
        <v>2-0</v>
      </c>
      <c r="J1333" t="str">
        <f t="shared" si="102"/>
        <v>2</v>
      </c>
      <c r="K1333" t="str">
        <f t="shared" si="103"/>
        <v>0</v>
      </c>
      <c r="L1333" t="str">
        <f t="shared" si="104"/>
        <v>Villarreal CF</v>
      </c>
      <c r="M1333" t="str">
        <f>IF(COUNTIF($A$2:A1333,A1333)=1,
     VLOOKUP(A1333,Season_Winners!A:B,2,FALSE),
     "")</f>
        <v/>
      </c>
    </row>
    <row r="1334" spans="1:14" x14ac:dyDescent="0.3">
      <c r="A1334" t="s">
        <v>460</v>
      </c>
      <c r="B1334">
        <v>20</v>
      </c>
      <c r="C1334" t="s">
        <v>535</v>
      </c>
      <c r="D1334" t="str">
        <f t="shared" si="100"/>
        <v>28.01.2017</v>
      </c>
      <c r="E1334" s="1">
        <v>0.67708333333333337</v>
      </c>
      <c r="F1334" t="s">
        <v>464</v>
      </c>
      <c r="G1334" t="s">
        <v>1425</v>
      </c>
      <c r="H1334" t="s">
        <v>41</v>
      </c>
      <c r="I1334" t="str">
        <f t="shared" si="101"/>
        <v>0-0</v>
      </c>
      <c r="J1334" t="str">
        <f t="shared" si="102"/>
        <v>0</v>
      </c>
      <c r="K1334" t="str">
        <f t="shared" si="103"/>
        <v>0</v>
      </c>
      <c r="L1334" t="str">
        <f t="shared" si="104"/>
        <v>Draw</v>
      </c>
      <c r="M1334" t="str">
        <f>IF(COUNTIF($A$2:A1334,A1334)=1,
     VLOOKUP(A1334,Season_Winners!A:B,2,FALSE),
     "")</f>
        <v/>
      </c>
    </row>
    <row r="1335" spans="1:14" hidden="1" x14ac:dyDescent="0.3">
      <c r="A1335" t="s">
        <v>460</v>
      </c>
      <c r="B1335">
        <v>20</v>
      </c>
      <c r="C1335" t="s">
        <v>535</v>
      </c>
      <c r="D1335" t="str">
        <f t="shared" si="100"/>
        <v>28.01.2017</v>
      </c>
      <c r="E1335" s="1">
        <v>0.77083333333333337</v>
      </c>
      <c r="F1335" t="s">
        <v>187</v>
      </c>
      <c r="G1335" t="s">
        <v>182</v>
      </c>
      <c r="H1335" s="2">
        <v>46025</v>
      </c>
      <c r="I1335" s="3" t="str">
        <f t="shared" si="101"/>
        <v/>
      </c>
      <c r="J1335" t="str">
        <f t="shared" si="102"/>
        <v/>
      </c>
      <c r="K1335" t="str">
        <f t="shared" si="103"/>
        <v/>
      </c>
      <c r="L1335" t="str">
        <f t="shared" si="104"/>
        <v/>
      </c>
      <c r="M1335" t="str">
        <f>IF(COUNTIF($A$2:A1335,A1335)=1,
     VLOOKUP(A1335,Season_Winners!A:B,2,FALSE),
     "")</f>
        <v/>
      </c>
      <c r="N1335" s="2"/>
    </row>
    <row r="1336" spans="1:14" x14ac:dyDescent="0.3">
      <c r="A1336" t="s">
        <v>460</v>
      </c>
      <c r="B1336">
        <v>20</v>
      </c>
      <c r="C1336" t="s">
        <v>535</v>
      </c>
      <c r="D1336" t="str">
        <f t="shared" si="100"/>
        <v>28.01.2017</v>
      </c>
      <c r="E1336" s="1">
        <v>0.86458333333333337</v>
      </c>
      <c r="F1336" t="s">
        <v>466</v>
      </c>
      <c r="G1336" t="s">
        <v>35</v>
      </c>
      <c r="H1336" t="s">
        <v>54</v>
      </c>
      <c r="I1336" t="str">
        <f t="shared" si="101"/>
        <v>0-2</v>
      </c>
      <c r="J1336" t="str">
        <f t="shared" si="102"/>
        <v>0</v>
      </c>
      <c r="K1336" t="str">
        <f t="shared" si="103"/>
        <v>2</v>
      </c>
      <c r="L1336" t="str">
        <f t="shared" si="104"/>
        <v>RC Celta</v>
      </c>
      <c r="M1336" t="str">
        <f>IF(COUNTIF($A$2:A1336,A1336)=1,
     VLOOKUP(A1336,Season_Winners!A:B,2,FALSE),
     "")</f>
        <v/>
      </c>
    </row>
    <row r="1337" spans="1:14" hidden="1" x14ac:dyDescent="0.3">
      <c r="A1337" t="s">
        <v>460</v>
      </c>
      <c r="B1337">
        <v>20</v>
      </c>
      <c r="C1337" t="s">
        <v>536</v>
      </c>
      <c r="D1337" t="str">
        <f t="shared" si="100"/>
        <v>29.01.2017</v>
      </c>
      <c r="E1337" s="1">
        <v>0.5</v>
      </c>
      <c r="F1337" t="s">
        <v>26</v>
      </c>
      <c r="G1337" t="s">
        <v>20</v>
      </c>
      <c r="H1337" s="2">
        <v>46023</v>
      </c>
      <c r="I1337" s="3" t="str">
        <f t="shared" si="101"/>
        <v/>
      </c>
      <c r="J1337" t="str">
        <f t="shared" si="102"/>
        <v/>
      </c>
      <c r="K1337" t="str">
        <f t="shared" si="103"/>
        <v/>
      </c>
      <c r="L1337" t="str">
        <f t="shared" si="104"/>
        <v/>
      </c>
      <c r="M1337" t="str">
        <f>IF(COUNTIF($A$2:A1337,A1337)=1,
     VLOOKUP(A1337,Season_Winners!A:B,2,FALSE),
     "")</f>
        <v/>
      </c>
      <c r="N1337" s="2"/>
    </row>
    <row r="1338" spans="1:14" hidden="1" x14ac:dyDescent="0.3">
      <c r="A1338" t="s">
        <v>460</v>
      </c>
      <c r="B1338">
        <v>20</v>
      </c>
      <c r="C1338" t="s">
        <v>536</v>
      </c>
      <c r="D1338" t="str">
        <f t="shared" si="100"/>
        <v>29.01.2017</v>
      </c>
      <c r="E1338" s="1">
        <v>0.67708333333333337</v>
      </c>
      <c r="F1338" t="s">
        <v>36</v>
      </c>
      <c r="G1338" t="s">
        <v>27</v>
      </c>
      <c r="H1338" s="2">
        <v>46025</v>
      </c>
      <c r="I1338" s="3" t="str">
        <f t="shared" si="101"/>
        <v/>
      </c>
      <c r="J1338" t="str">
        <f t="shared" si="102"/>
        <v/>
      </c>
      <c r="K1338" t="str">
        <f t="shared" si="103"/>
        <v/>
      </c>
      <c r="L1338" t="str">
        <f t="shared" si="104"/>
        <v/>
      </c>
      <c r="M1338" t="str">
        <f>IF(COUNTIF($A$2:A1338,A1338)=1,
     VLOOKUP(A1338,Season_Winners!A:B,2,FALSE),
     "")</f>
        <v/>
      </c>
      <c r="N1338" s="2"/>
    </row>
    <row r="1339" spans="1:14" hidden="1" x14ac:dyDescent="0.3">
      <c r="A1339" t="s">
        <v>460</v>
      </c>
      <c r="B1339">
        <v>20</v>
      </c>
      <c r="C1339" t="s">
        <v>536</v>
      </c>
      <c r="D1339" t="str">
        <f t="shared" si="100"/>
        <v>29.01.2017</v>
      </c>
      <c r="E1339" s="1">
        <v>0.77083333333333337</v>
      </c>
      <c r="F1339" t="s">
        <v>15</v>
      </c>
      <c r="G1339" t="s">
        <v>340</v>
      </c>
      <c r="H1339" s="2">
        <v>46024</v>
      </c>
      <c r="I1339" s="3" t="str">
        <f t="shared" si="101"/>
        <v/>
      </c>
      <c r="J1339" t="str">
        <f t="shared" si="102"/>
        <v/>
      </c>
      <c r="K1339" t="str">
        <f t="shared" si="103"/>
        <v/>
      </c>
      <c r="L1339" t="str">
        <f t="shared" si="104"/>
        <v/>
      </c>
      <c r="M1339" t="str">
        <f>IF(COUNTIF($A$2:A1339,A1339)=1,
     VLOOKUP(A1339,Season_Winners!A:B,2,FALSE),
     "")</f>
        <v/>
      </c>
      <c r="N1339" s="2"/>
    </row>
    <row r="1340" spans="1:14" x14ac:dyDescent="0.3">
      <c r="A1340" t="s">
        <v>460</v>
      </c>
      <c r="B1340">
        <v>20</v>
      </c>
      <c r="C1340" t="s">
        <v>536</v>
      </c>
      <c r="D1340" t="str">
        <f t="shared" si="100"/>
        <v>29.01.2017</v>
      </c>
      <c r="E1340" s="1">
        <v>0.86458333333333337</v>
      </c>
      <c r="F1340" t="s">
        <v>25</v>
      </c>
      <c r="G1340" t="s">
        <v>10</v>
      </c>
      <c r="H1340" t="s">
        <v>32</v>
      </c>
      <c r="I1340" t="str">
        <f t="shared" si="101"/>
        <v>3-0</v>
      </c>
      <c r="J1340" t="str">
        <f t="shared" si="102"/>
        <v>3</v>
      </c>
      <c r="K1340" t="str">
        <f t="shared" si="103"/>
        <v>0</v>
      </c>
      <c r="L1340" t="str">
        <f t="shared" si="104"/>
        <v>Real Madrid</v>
      </c>
      <c r="M1340" t="str">
        <f>IF(COUNTIF($A$2:A1340,A1340)=1,
     VLOOKUP(A1340,Season_Winners!A:B,2,FALSE),
     "")</f>
        <v/>
      </c>
    </row>
    <row r="1341" spans="1:14" hidden="1" x14ac:dyDescent="0.3">
      <c r="A1341" t="s">
        <v>460</v>
      </c>
      <c r="B1341">
        <v>20</v>
      </c>
      <c r="C1341" t="s">
        <v>537</v>
      </c>
      <c r="D1341" t="str">
        <f t="shared" si="100"/>
        <v>30.01.2017</v>
      </c>
      <c r="E1341" s="1">
        <v>0.86458333333333337</v>
      </c>
      <c r="F1341" t="s">
        <v>338</v>
      </c>
      <c r="G1341" t="s">
        <v>16</v>
      </c>
      <c r="H1341" s="2">
        <v>46025</v>
      </c>
      <c r="I1341" s="3" t="str">
        <f t="shared" si="101"/>
        <v/>
      </c>
      <c r="J1341" t="str">
        <f t="shared" si="102"/>
        <v/>
      </c>
      <c r="K1341" t="str">
        <f t="shared" si="103"/>
        <v/>
      </c>
      <c r="L1341" t="str">
        <f t="shared" si="104"/>
        <v/>
      </c>
      <c r="M1341" t="str">
        <f>IF(COUNTIF($A$2:A1341,A1341)=1,
     VLOOKUP(A1341,Season_Winners!A:B,2,FALSE),
     "")</f>
        <v/>
      </c>
      <c r="N1341" s="2"/>
    </row>
    <row r="1342" spans="1:14" x14ac:dyDescent="0.3">
      <c r="A1342" t="s">
        <v>460</v>
      </c>
      <c r="B1342">
        <v>21</v>
      </c>
      <c r="C1342" t="s">
        <v>538</v>
      </c>
      <c r="D1342" t="str">
        <f t="shared" si="100"/>
        <v>04.02.2017</v>
      </c>
      <c r="E1342" s="1">
        <v>0.54166666666666663</v>
      </c>
      <c r="F1342" t="s">
        <v>17</v>
      </c>
      <c r="G1342" t="s">
        <v>36</v>
      </c>
      <c r="H1342" t="s">
        <v>42</v>
      </c>
      <c r="I1342" t="str">
        <f t="shared" si="101"/>
        <v>0-1</v>
      </c>
      <c r="J1342" t="str">
        <f t="shared" si="102"/>
        <v>0</v>
      </c>
      <c r="K1342" t="str">
        <f t="shared" si="103"/>
        <v>1</v>
      </c>
      <c r="L1342" t="str">
        <f t="shared" si="104"/>
        <v>RCD Espanyol de Barcelona</v>
      </c>
      <c r="M1342" t="str">
        <f>IF(COUNTIF($A$2:A1342,A1342)=1,
     VLOOKUP(A1342,Season_Winners!A:B,2,FALSE),
     "")</f>
        <v/>
      </c>
    </row>
    <row r="1343" spans="1:14" x14ac:dyDescent="0.3">
      <c r="A1343" t="s">
        <v>460</v>
      </c>
      <c r="B1343">
        <v>21</v>
      </c>
      <c r="C1343" t="s">
        <v>538</v>
      </c>
      <c r="D1343" t="str">
        <f t="shared" si="100"/>
        <v>04.02.2017</v>
      </c>
      <c r="E1343" s="1">
        <v>0.67708333333333337</v>
      </c>
      <c r="F1343" t="s">
        <v>20</v>
      </c>
      <c r="G1343" t="s">
        <v>15</v>
      </c>
      <c r="H1343" t="s">
        <v>32</v>
      </c>
      <c r="I1343" t="str">
        <f t="shared" si="101"/>
        <v>3-0</v>
      </c>
      <c r="J1343" t="str">
        <f t="shared" si="102"/>
        <v>3</v>
      </c>
      <c r="K1343" t="str">
        <f t="shared" si="103"/>
        <v>0</v>
      </c>
      <c r="L1343" t="str">
        <f t="shared" si="104"/>
        <v>FC Barcelona</v>
      </c>
      <c r="M1343" t="str">
        <f>IF(COUNTIF($A$2:A1343,A1343)=1,
     VLOOKUP(A1343,Season_Winners!A:B,2,FALSE),
     "")</f>
        <v/>
      </c>
    </row>
    <row r="1344" spans="1:14" x14ac:dyDescent="0.3">
      <c r="A1344" t="s">
        <v>460</v>
      </c>
      <c r="B1344">
        <v>21</v>
      </c>
      <c r="C1344" t="s">
        <v>538</v>
      </c>
      <c r="D1344" t="str">
        <f t="shared" si="100"/>
        <v>04.02.2017</v>
      </c>
      <c r="E1344" s="1">
        <v>0.77083333333333337</v>
      </c>
      <c r="F1344" t="s">
        <v>1425</v>
      </c>
      <c r="G1344" t="s">
        <v>466</v>
      </c>
      <c r="H1344" t="s">
        <v>12</v>
      </c>
      <c r="I1344" t="str">
        <f t="shared" si="101"/>
        <v>2-0</v>
      </c>
      <c r="J1344" t="str">
        <f t="shared" si="102"/>
        <v>2</v>
      </c>
      <c r="K1344" t="str">
        <f t="shared" si="103"/>
        <v>0</v>
      </c>
      <c r="L1344" t="str">
        <f t="shared" si="104"/>
        <v>Atlético de Madrid</v>
      </c>
      <c r="M1344" t="str">
        <f>IF(COUNTIF($A$2:A1344,A1344)=1,
     VLOOKUP(A1344,Season_Winners!A:B,2,FALSE),
     "")</f>
        <v/>
      </c>
    </row>
    <row r="1345" spans="1:14" x14ac:dyDescent="0.3">
      <c r="A1345" t="s">
        <v>460</v>
      </c>
      <c r="B1345">
        <v>21</v>
      </c>
      <c r="C1345" t="s">
        <v>538</v>
      </c>
      <c r="D1345" t="str">
        <f t="shared" si="100"/>
        <v>04.02.2017</v>
      </c>
      <c r="E1345" s="1">
        <v>0.86458333333333337</v>
      </c>
      <c r="F1345" t="s">
        <v>16</v>
      </c>
      <c r="G1345" t="s">
        <v>187</v>
      </c>
      <c r="H1345" t="s">
        <v>53</v>
      </c>
      <c r="I1345" t="str">
        <f t="shared" si="101"/>
        <v>0-4</v>
      </c>
      <c r="J1345" t="str">
        <f t="shared" si="102"/>
        <v>0</v>
      </c>
      <c r="K1345" t="str">
        <f t="shared" si="103"/>
        <v>4</v>
      </c>
      <c r="L1345" t="str">
        <f t="shared" si="104"/>
        <v>SD Eibar</v>
      </c>
      <c r="M1345" t="str">
        <f>IF(COUNTIF($A$2:A1345,A1345)=1,
     VLOOKUP(A1345,Season_Winners!A:B,2,FALSE),
     "")</f>
        <v/>
      </c>
    </row>
    <row r="1346" spans="1:14" x14ac:dyDescent="0.3">
      <c r="A1346" t="s">
        <v>460</v>
      </c>
      <c r="B1346">
        <v>21</v>
      </c>
      <c r="C1346" t="s">
        <v>539</v>
      </c>
      <c r="D1346" t="str">
        <f t="shared" ref="D1346:D1409" si="105">RIGHT(C1346,10)</f>
        <v>05.02.2017</v>
      </c>
      <c r="E1346" s="1">
        <v>0.5</v>
      </c>
      <c r="F1346" t="s">
        <v>27</v>
      </c>
      <c r="G1346" t="s">
        <v>34</v>
      </c>
      <c r="H1346" t="s">
        <v>41</v>
      </c>
      <c r="I1346" t="str">
        <f t="shared" ref="I1346:I1409" si="106">IF(ISNUMBER(SEARCH("-",H1346)),H1346,"")</f>
        <v>0-0</v>
      </c>
      <c r="J1346" t="str">
        <f t="shared" ref="J1346:J1409" si="107">IF(I1346="","",LEFT(I1346,FIND("-",I1346)-1))</f>
        <v>0</v>
      </c>
      <c r="K1346" t="str">
        <f t="shared" ref="K1346:K1409" si="108">IF(I1346="","",RIGHT(I1346,LEN(I1346)-FIND("-",I1346)))</f>
        <v>0</v>
      </c>
      <c r="L1346" t="str">
        <f t="shared" ref="L1346:L1409" si="109">IF(I1346="","",IF(J1346&gt;K1346,F1346,IF(K1346&gt;J1346,G1346,"Draw")))</f>
        <v>Draw</v>
      </c>
      <c r="M1346" t="str">
        <f>IF(COUNTIF($A$2:A1346,A1346)=1,
     VLOOKUP(A1346,Season_Winners!A:B,2,FALSE),
     "")</f>
        <v/>
      </c>
    </row>
    <row r="1347" spans="1:14" hidden="1" x14ac:dyDescent="0.3">
      <c r="A1347" t="s">
        <v>460</v>
      </c>
      <c r="B1347">
        <v>21</v>
      </c>
      <c r="C1347" t="s">
        <v>539</v>
      </c>
      <c r="D1347" t="str">
        <f t="shared" si="105"/>
        <v>05.02.2017</v>
      </c>
      <c r="E1347" s="1">
        <v>0.67708333333333337</v>
      </c>
      <c r="F1347" t="s">
        <v>340</v>
      </c>
      <c r="G1347" t="s">
        <v>464</v>
      </c>
      <c r="H1347" s="2">
        <v>46114</v>
      </c>
      <c r="I1347" s="3" t="str">
        <f t="shared" si="106"/>
        <v/>
      </c>
      <c r="J1347" t="str">
        <f t="shared" si="107"/>
        <v/>
      </c>
      <c r="K1347" t="str">
        <f t="shared" si="108"/>
        <v/>
      </c>
      <c r="L1347" t="str">
        <f t="shared" si="109"/>
        <v/>
      </c>
      <c r="M1347" t="str">
        <f>IF(COUNTIF($A$2:A1347,A1347)=1,
     VLOOKUP(A1347,Season_Winners!A:B,2,FALSE),
     "")</f>
        <v/>
      </c>
      <c r="N1347" s="2"/>
    </row>
    <row r="1348" spans="1:14" hidden="1" x14ac:dyDescent="0.3">
      <c r="A1348" t="s">
        <v>460</v>
      </c>
      <c r="B1348">
        <v>21</v>
      </c>
      <c r="C1348" t="s">
        <v>539</v>
      </c>
      <c r="D1348" t="str">
        <f t="shared" si="105"/>
        <v>05.02.2017</v>
      </c>
      <c r="E1348" s="1">
        <v>0.77083333333333337</v>
      </c>
      <c r="F1348" t="s">
        <v>10</v>
      </c>
      <c r="G1348" t="s">
        <v>23</v>
      </c>
      <c r="H1348" s="2">
        <v>46056</v>
      </c>
      <c r="I1348" s="3" t="str">
        <f t="shared" si="106"/>
        <v/>
      </c>
      <c r="J1348" t="str">
        <f t="shared" si="107"/>
        <v/>
      </c>
      <c r="K1348" t="str">
        <f t="shared" si="108"/>
        <v/>
      </c>
      <c r="L1348" t="str">
        <f t="shared" si="109"/>
        <v/>
      </c>
      <c r="M1348" t="str">
        <f>IF(COUNTIF($A$2:A1348,A1348)=1,
     VLOOKUP(A1348,Season_Winners!A:B,2,FALSE),
     "")</f>
        <v/>
      </c>
      <c r="N1348" s="2"/>
    </row>
    <row r="1349" spans="1:14" x14ac:dyDescent="0.3">
      <c r="A1349" t="s">
        <v>460</v>
      </c>
      <c r="B1349">
        <v>21</v>
      </c>
      <c r="C1349" t="s">
        <v>540</v>
      </c>
      <c r="D1349" t="str">
        <f t="shared" si="105"/>
        <v>06.02.2017</v>
      </c>
      <c r="E1349" s="1">
        <v>0.86458333333333337</v>
      </c>
      <c r="F1349" t="s">
        <v>24</v>
      </c>
      <c r="G1349" t="s">
        <v>338</v>
      </c>
      <c r="H1349" t="s">
        <v>18</v>
      </c>
      <c r="I1349" t="str">
        <f t="shared" si="106"/>
        <v>1-0</v>
      </c>
      <c r="J1349" t="str">
        <f t="shared" si="107"/>
        <v>1</v>
      </c>
      <c r="K1349" t="str">
        <f t="shared" si="108"/>
        <v>0</v>
      </c>
      <c r="L1349" t="str">
        <f t="shared" si="109"/>
        <v>Granada CF</v>
      </c>
      <c r="M1349" t="str">
        <f>IF(COUNTIF($A$2:A1349,A1349)=1,
     VLOOKUP(A1349,Season_Winners!A:B,2,FALSE),
     "")</f>
        <v/>
      </c>
    </row>
    <row r="1350" spans="1:14" hidden="1" x14ac:dyDescent="0.3">
      <c r="A1350" t="s">
        <v>460</v>
      </c>
      <c r="B1350">
        <v>21</v>
      </c>
      <c r="C1350" t="s">
        <v>541</v>
      </c>
      <c r="D1350" t="str">
        <f t="shared" si="105"/>
        <v>08.03.2017</v>
      </c>
      <c r="E1350" s="1">
        <v>0.78125</v>
      </c>
      <c r="F1350" t="s">
        <v>182</v>
      </c>
      <c r="G1350" t="s">
        <v>26</v>
      </c>
      <c r="H1350" s="2">
        <v>46023</v>
      </c>
      <c r="I1350" s="3" t="str">
        <f t="shared" si="106"/>
        <v/>
      </c>
      <c r="J1350" t="str">
        <f t="shared" si="107"/>
        <v/>
      </c>
      <c r="K1350" t="str">
        <f t="shared" si="108"/>
        <v/>
      </c>
      <c r="L1350" t="str">
        <f t="shared" si="109"/>
        <v/>
      </c>
      <c r="M1350" t="str">
        <f>IF(COUNTIF($A$2:A1350,A1350)=1,
     VLOOKUP(A1350,Season_Winners!A:B,2,FALSE),
     "")</f>
        <v/>
      </c>
      <c r="N1350" s="2"/>
    </row>
    <row r="1351" spans="1:14" hidden="1" x14ac:dyDescent="0.3">
      <c r="A1351" t="s">
        <v>460</v>
      </c>
      <c r="B1351">
        <v>21</v>
      </c>
      <c r="C1351" t="s">
        <v>542</v>
      </c>
      <c r="D1351" t="str">
        <f t="shared" si="105"/>
        <v>17.05.2017</v>
      </c>
      <c r="E1351" s="1">
        <v>0.875</v>
      </c>
      <c r="F1351" t="s">
        <v>35</v>
      </c>
      <c r="G1351" t="s">
        <v>25</v>
      </c>
      <c r="H1351" s="2">
        <v>46113</v>
      </c>
      <c r="I1351" s="3" t="str">
        <f t="shared" si="106"/>
        <v/>
      </c>
      <c r="J1351" t="str">
        <f t="shared" si="107"/>
        <v/>
      </c>
      <c r="K1351" t="str">
        <f t="shared" si="108"/>
        <v/>
      </c>
      <c r="L1351" t="str">
        <f t="shared" si="109"/>
        <v/>
      </c>
      <c r="M1351" t="str">
        <f>IF(COUNTIF($A$2:A1351,A1351)=1,
     VLOOKUP(A1351,Season_Winners!A:B,2,FALSE),
     "")</f>
        <v/>
      </c>
      <c r="N1351" s="2"/>
    </row>
    <row r="1352" spans="1:14" hidden="1" x14ac:dyDescent="0.3">
      <c r="A1352" t="s">
        <v>460</v>
      </c>
      <c r="B1352">
        <v>22</v>
      </c>
      <c r="C1352" t="s">
        <v>543</v>
      </c>
      <c r="D1352" t="str">
        <f t="shared" si="105"/>
        <v>10.02.2017</v>
      </c>
      <c r="E1352" s="1">
        <v>0.86458333333333337</v>
      </c>
      <c r="F1352" t="s">
        <v>36</v>
      </c>
      <c r="G1352" t="s">
        <v>10</v>
      </c>
      <c r="H1352" s="2">
        <v>46054</v>
      </c>
      <c r="I1352" s="3" t="str">
        <f t="shared" si="106"/>
        <v/>
      </c>
      <c r="J1352" t="str">
        <f t="shared" si="107"/>
        <v/>
      </c>
      <c r="K1352" t="str">
        <f t="shared" si="108"/>
        <v/>
      </c>
      <c r="L1352" t="str">
        <f t="shared" si="109"/>
        <v/>
      </c>
      <c r="M1352" t="str">
        <f>IF(COUNTIF($A$2:A1352,A1352)=1,
     VLOOKUP(A1352,Season_Winners!A:B,2,FALSE),
     "")</f>
        <v/>
      </c>
      <c r="N1352" s="2"/>
    </row>
    <row r="1353" spans="1:14" x14ac:dyDescent="0.3">
      <c r="A1353" t="s">
        <v>460</v>
      </c>
      <c r="B1353">
        <v>22</v>
      </c>
      <c r="C1353" t="s">
        <v>544</v>
      </c>
      <c r="D1353" t="str">
        <f t="shared" si="105"/>
        <v>11.02.2017</v>
      </c>
      <c r="E1353" s="1">
        <v>0.54166666666666663</v>
      </c>
      <c r="F1353" t="s">
        <v>26</v>
      </c>
      <c r="G1353" t="s">
        <v>16</v>
      </c>
      <c r="H1353" t="s">
        <v>41</v>
      </c>
      <c r="I1353" t="str">
        <f t="shared" si="106"/>
        <v>0-0</v>
      </c>
      <c r="J1353" t="str">
        <f t="shared" si="107"/>
        <v>0</v>
      </c>
      <c r="K1353" t="str">
        <f t="shared" si="108"/>
        <v>0</v>
      </c>
      <c r="L1353" t="str">
        <f t="shared" si="109"/>
        <v>Draw</v>
      </c>
      <c r="M1353" t="str">
        <f>IF(COUNTIF($A$2:A1353,A1353)=1,
     VLOOKUP(A1353,Season_Winners!A:B,2,FALSE),
     "")</f>
        <v/>
      </c>
    </row>
    <row r="1354" spans="1:14" x14ac:dyDescent="0.3">
      <c r="A1354" t="s">
        <v>460</v>
      </c>
      <c r="B1354">
        <v>22</v>
      </c>
      <c r="C1354" t="s">
        <v>544</v>
      </c>
      <c r="D1354" t="str">
        <f t="shared" si="105"/>
        <v>11.02.2017</v>
      </c>
      <c r="E1354" s="1">
        <v>0.67708333333333337</v>
      </c>
      <c r="F1354" t="s">
        <v>464</v>
      </c>
      <c r="G1354" t="s">
        <v>20</v>
      </c>
      <c r="H1354" t="s">
        <v>269</v>
      </c>
      <c r="I1354" t="str">
        <f t="shared" si="106"/>
        <v>0-6</v>
      </c>
      <c r="J1354" t="str">
        <f t="shared" si="107"/>
        <v>0</v>
      </c>
      <c r="K1354" t="str">
        <f t="shared" si="108"/>
        <v>6</v>
      </c>
      <c r="L1354" t="str">
        <f t="shared" si="109"/>
        <v>FC Barcelona</v>
      </c>
      <c r="M1354" t="str">
        <f>IF(COUNTIF($A$2:A1354,A1354)=1,
     VLOOKUP(A1354,Season_Winners!A:B,2,FALSE),
     "")</f>
        <v/>
      </c>
    </row>
    <row r="1355" spans="1:14" hidden="1" x14ac:dyDescent="0.3">
      <c r="A1355" t="s">
        <v>460</v>
      </c>
      <c r="B1355">
        <v>22</v>
      </c>
      <c r="C1355" t="s">
        <v>544</v>
      </c>
      <c r="D1355" t="str">
        <f t="shared" si="105"/>
        <v>11.02.2017</v>
      </c>
      <c r="E1355" s="1">
        <v>0.77083333333333337</v>
      </c>
      <c r="F1355" t="s">
        <v>15</v>
      </c>
      <c r="G1355" t="s">
        <v>182</v>
      </c>
      <c r="H1355" s="2">
        <v>46024</v>
      </c>
      <c r="I1355" s="3" t="str">
        <f t="shared" si="106"/>
        <v/>
      </c>
      <c r="J1355" t="str">
        <f t="shared" si="107"/>
        <v/>
      </c>
      <c r="K1355" t="str">
        <f t="shared" si="108"/>
        <v/>
      </c>
      <c r="L1355" t="str">
        <f t="shared" si="109"/>
        <v/>
      </c>
      <c r="M1355" t="str">
        <f>IF(COUNTIF($A$2:A1355,A1355)=1,
     VLOOKUP(A1355,Season_Winners!A:B,2,FALSE),
     "")</f>
        <v/>
      </c>
      <c r="N1355" s="2"/>
    </row>
    <row r="1356" spans="1:14" hidden="1" x14ac:dyDescent="0.3">
      <c r="A1356" t="s">
        <v>460</v>
      </c>
      <c r="B1356">
        <v>22</v>
      </c>
      <c r="C1356" t="s">
        <v>544</v>
      </c>
      <c r="D1356" t="str">
        <f t="shared" si="105"/>
        <v>11.02.2017</v>
      </c>
      <c r="E1356" s="1">
        <v>0.86458333333333337</v>
      </c>
      <c r="F1356" t="s">
        <v>23</v>
      </c>
      <c r="G1356" t="s">
        <v>25</v>
      </c>
      <c r="H1356" s="2">
        <v>46082</v>
      </c>
      <c r="I1356" s="3" t="str">
        <f t="shared" si="106"/>
        <v/>
      </c>
      <c r="J1356" t="str">
        <f t="shared" si="107"/>
        <v/>
      </c>
      <c r="K1356" t="str">
        <f t="shared" si="108"/>
        <v/>
      </c>
      <c r="L1356" t="str">
        <f t="shared" si="109"/>
        <v/>
      </c>
      <c r="M1356" t="str">
        <f>IF(COUNTIF($A$2:A1356,A1356)=1,
     VLOOKUP(A1356,Season_Winners!A:B,2,FALSE),
     "")</f>
        <v/>
      </c>
      <c r="N1356" s="2"/>
    </row>
    <row r="1357" spans="1:14" hidden="1" x14ac:dyDescent="0.3">
      <c r="A1357" t="s">
        <v>460</v>
      </c>
      <c r="B1357">
        <v>22</v>
      </c>
      <c r="C1357" t="s">
        <v>545</v>
      </c>
      <c r="D1357" t="str">
        <f t="shared" si="105"/>
        <v>12.02.2017</v>
      </c>
      <c r="E1357" s="1">
        <v>0.5</v>
      </c>
      <c r="F1357" t="s">
        <v>34</v>
      </c>
      <c r="G1357" t="s">
        <v>17</v>
      </c>
      <c r="H1357" s="2">
        <v>46023</v>
      </c>
      <c r="I1357" s="3" t="str">
        <f t="shared" si="106"/>
        <v/>
      </c>
      <c r="J1357" t="str">
        <f t="shared" si="107"/>
        <v/>
      </c>
      <c r="K1357" t="str">
        <f t="shared" si="108"/>
        <v/>
      </c>
      <c r="L1357" t="str">
        <f t="shared" si="109"/>
        <v/>
      </c>
      <c r="M1357" t="str">
        <f>IF(COUNTIF($A$2:A1357,A1357)=1,
     VLOOKUP(A1357,Season_Winners!A:B,2,FALSE),
     "")</f>
        <v/>
      </c>
      <c r="N1357" s="2"/>
    </row>
    <row r="1358" spans="1:14" x14ac:dyDescent="0.3">
      <c r="A1358" t="s">
        <v>460</v>
      </c>
      <c r="B1358">
        <v>22</v>
      </c>
      <c r="C1358" t="s">
        <v>545</v>
      </c>
      <c r="D1358" t="str">
        <f t="shared" si="105"/>
        <v>12.02.2017</v>
      </c>
      <c r="E1358" s="1">
        <v>0.67708333333333337</v>
      </c>
      <c r="F1358" t="s">
        <v>466</v>
      </c>
      <c r="G1358" t="s">
        <v>340</v>
      </c>
      <c r="H1358" t="s">
        <v>54</v>
      </c>
      <c r="I1358" t="str">
        <f t="shared" si="106"/>
        <v>0-2</v>
      </c>
      <c r="J1358" t="str">
        <f t="shared" si="107"/>
        <v>0</v>
      </c>
      <c r="K1358" t="str">
        <f t="shared" si="108"/>
        <v>2</v>
      </c>
      <c r="L1358" t="str">
        <f t="shared" si="109"/>
        <v>Real Sporting</v>
      </c>
      <c r="M1358" t="str">
        <f>IF(COUNTIF($A$2:A1358,A1358)=1,
     VLOOKUP(A1358,Season_Winners!A:B,2,FALSE),
     "")</f>
        <v/>
      </c>
    </row>
    <row r="1359" spans="1:14" x14ac:dyDescent="0.3">
      <c r="A1359" t="s">
        <v>460</v>
      </c>
      <c r="B1359">
        <v>22</v>
      </c>
      <c r="C1359" t="s">
        <v>545</v>
      </c>
      <c r="D1359" t="str">
        <f t="shared" si="105"/>
        <v>12.02.2017</v>
      </c>
      <c r="E1359" s="1">
        <v>0.77083333333333337</v>
      </c>
      <c r="F1359" t="s">
        <v>338</v>
      </c>
      <c r="G1359" t="s">
        <v>27</v>
      </c>
      <c r="H1359" t="s">
        <v>42</v>
      </c>
      <c r="I1359" t="str">
        <f t="shared" si="106"/>
        <v>0-1</v>
      </c>
      <c r="J1359" t="str">
        <f t="shared" si="107"/>
        <v>0</v>
      </c>
      <c r="K1359" t="str">
        <f t="shared" si="108"/>
        <v>1</v>
      </c>
      <c r="L1359" t="str">
        <f t="shared" si="109"/>
        <v>Sevilla FC</v>
      </c>
      <c r="M1359" t="str">
        <f>IF(COUNTIF($A$2:A1359,A1359)=1,
     VLOOKUP(A1359,Season_Winners!A:B,2,FALSE),
     "")</f>
        <v/>
      </c>
    </row>
    <row r="1360" spans="1:14" hidden="1" x14ac:dyDescent="0.3">
      <c r="A1360" t="s">
        <v>460</v>
      </c>
      <c r="B1360">
        <v>22</v>
      </c>
      <c r="C1360" t="s">
        <v>545</v>
      </c>
      <c r="D1360" t="str">
        <f t="shared" si="105"/>
        <v>12.02.2017</v>
      </c>
      <c r="E1360" s="1">
        <v>0.86458333333333337</v>
      </c>
      <c r="F1360" t="s">
        <v>28</v>
      </c>
      <c r="G1360" t="s">
        <v>35</v>
      </c>
      <c r="H1360" s="2">
        <v>46056</v>
      </c>
      <c r="I1360" s="3" t="str">
        <f t="shared" si="106"/>
        <v/>
      </c>
      <c r="J1360" t="str">
        <f t="shared" si="107"/>
        <v/>
      </c>
      <c r="K1360" t="str">
        <f t="shared" si="108"/>
        <v/>
      </c>
      <c r="L1360" t="str">
        <f t="shared" si="109"/>
        <v/>
      </c>
      <c r="M1360" t="str">
        <f>IF(COUNTIF($A$2:A1360,A1360)=1,
     VLOOKUP(A1360,Season_Winners!A:B,2,FALSE),
     "")</f>
        <v/>
      </c>
      <c r="N1360" s="2"/>
    </row>
    <row r="1361" spans="1:14" x14ac:dyDescent="0.3">
      <c r="A1361" t="s">
        <v>460</v>
      </c>
      <c r="B1361">
        <v>22</v>
      </c>
      <c r="C1361" t="s">
        <v>546</v>
      </c>
      <c r="D1361" t="str">
        <f t="shared" si="105"/>
        <v>13.02.2017</v>
      </c>
      <c r="E1361" s="1">
        <v>0.86458333333333337</v>
      </c>
      <c r="F1361" t="s">
        <v>187</v>
      </c>
      <c r="G1361" t="s">
        <v>24</v>
      </c>
      <c r="H1361" t="s">
        <v>88</v>
      </c>
      <c r="I1361" t="str">
        <f t="shared" si="106"/>
        <v>4-0</v>
      </c>
      <c r="J1361" t="str">
        <f t="shared" si="107"/>
        <v>4</v>
      </c>
      <c r="K1361" t="str">
        <f t="shared" si="108"/>
        <v>0</v>
      </c>
      <c r="L1361" t="str">
        <f t="shared" si="109"/>
        <v>SD Eibar</v>
      </c>
      <c r="M1361" t="str">
        <f>IF(COUNTIF($A$2:A1361,A1361)=1,
     VLOOKUP(A1361,Season_Winners!A:B,2,FALSE),
     "")</f>
        <v/>
      </c>
    </row>
    <row r="1362" spans="1:14" hidden="1" x14ac:dyDescent="0.3">
      <c r="A1362" t="s">
        <v>460</v>
      </c>
      <c r="B1362">
        <v>23</v>
      </c>
      <c r="C1362" t="s">
        <v>547</v>
      </c>
      <c r="D1362" t="str">
        <f t="shared" si="105"/>
        <v>17.02.2017</v>
      </c>
      <c r="E1362" s="1">
        <v>0.86458333333333337</v>
      </c>
      <c r="F1362" t="s">
        <v>24</v>
      </c>
      <c r="G1362" t="s">
        <v>26</v>
      </c>
      <c r="H1362" s="2">
        <v>46026</v>
      </c>
      <c r="I1362" s="3" t="str">
        <f t="shared" si="106"/>
        <v/>
      </c>
      <c r="J1362" t="str">
        <f t="shared" si="107"/>
        <v/>
      </c>
      <c r="K1362" t="str">
        <f t="shared" si="108"/>
        <v/>
      </c>
      <c r="L1362" t="str">
        <f t="shared" si="109"/>
        <v/>
      </c>
      <c r="M1362" t="str">
        <f>IF(COUNTIF($A$2:A1362,A1362)=1,
     VLOOKUP(A1362,Season_Winners!A:B,2,FALSE),
     "")</f>
        <v/>
      </c>
      <c r="N1362" s="2"/>
    </row>
    <row r="1363" spans="1:14" hidden="1" x14ac:dyDescent="0.3">
      <c r="A1363" t="s">
        <v>460</v>
      </c>
      <c r="B1363">
        <v>23</v>
      </c>
      <c r="C1363" t="s">
        <v>548</v>
      </c>
      <c r="D1363" t="str">
        <f t="shared" si="105"/>
        <v>18.02.2017</v>
      </c>
      <c r="E1363" s="1">
        <v>0.54166666666666663</v>
      </c>
      <c r="F1363" t="s">
        <v>340</v>
      </c>
      <c r="G1363" t="s">
        <v>28</v>
      </c>
      <c r="H1363" s="2">
        <v>46113</v>
      </c>
      <c r="I1363" s="3" t="str">
        <f t="shared" si="106"/>
        <v/>
      </c>
      <c r="J1363" t="str">
        <f t="shared" si="107"/>
        <v/>
      </c>
      <c r="K1363" t="str">
        <f t="shared" si="108"/>
        <v/>
      </c>
      <c r="L1363" t="str">
        <f t="shared" si="109"/>
        <v/>
      </c>
      <c r="M1363" t="str">
        <f>IF(COUNTIF($A$2:A1363,A1363)=1,
     VLOOKUP(A1363,Season_Winners!A:B,2,FALSE),
     "")</f>
        <v/>
      </c>
      <c r="N1363" s="2"/>
    </row>
    <row r="1364" spans="1:14" x14ac:dyDescent="0.3">
      <c r="A1364" t="s">
        <v>460</v>
      </c>
      <c r="B1364">
        <v>23</v>
      </c>
      <c r="C1364" t="s">
        <v>548</v>
      </c>
      <c r="D1364" t="str">
        <f t="shared" si="105"/>
        <v>18.02.2017</v>
      </c>
      <c r="E1364" s="1">
        <v>0.67708333333333337</v>
      </c>
      <c r="F1364" t="s">
        <v>25</v>
      </c>
      <c r="G1364" t="s">
        <v>36</v>
      </c>
      <c r="H1364" t="s">
        <v>12</v>
      </c>
      <c r="I1364" t="str">
        <f t="shared" si="106"/>
        <v>2-0</v>
      </c>
      <c r="J1364" t="str">
        <f t="shared" si="107"/>
        <v>2</v>
      </c>
      <c r="K1364" t="str">
        <f t="shared" si="108"/>
        <v>0</v>
      </c>
      <c r="L1364" t="str">
        <f t="shared" si="109"/>
        <v>Real Madrid</v>
      </c>
      <c r="M1364" t="str">
        <f>IF(COUNTIF($A$2:A1364,A1364)=1,
     VLOOKUP(A1364,Season_Winners!A:B,2,FALSE),
     "")</f>
        <v/>
      </c>
    </row>
    <row r="1365" spans="1:14" x14ac:dyDescent="0.3">
      <c r="A1365" t="s">
        <v>460</v>
      </c>
      <c r="B1365">
        <v>23</v>
      </c>
      <c r="C1365" t="s">
        <v>548</v>
      </c>
      <c r="D1365" t="str">
        <f t="shared" si="105"/>
        <v>18.02.2017</v>
      </c>
      <c r="E1365" s="1">
        <v>0.77083333333333337</v>
      </c>
      <c r="F1365" t="s">
        <v>182</v>
      </c>
      <c r="G1365" t="s">
        <v>464</v>
      </c>
      <c r="H1365" t="s">
        <v>42</v>
      </c>
      <c r="I1365" t="str">
        <f t="shared" si="106"/>
        <v>0-1</v>
      </c>
      <c r="J1365" t="str">
        <f t="shared" si="107"/>
        <v>0</v>
      </c>
      <c r="K1365" t="str">
        <f t="shared" si="108"/>
        <v>1</v>
      </c>
      <c r="L1365" t="str">
        <f t="shared" si="109"/>
        <v>Deportivo AlavÃ©s</v>
      </c>
      <c r="M1365" t="str">
        <f>IF(COUNTIF($A$2:A1365,A1365)=1,
     VLOOKUP(A1365,Season_Winners!A:B,2,FALSE),
     "")</f>
        <v/>
      </c>
    </row>
    <row r="1366" spans="1:14" x14ac:dyDescent="0.3">
      <c r="A1366" t="s">
        <v>460</v>
      </c>
      <c r="B1366">
        <v>23</v>
      </c>
      <c r="C1366" t="s">
        <v>548</v>
      </c>
      <c r="D1366" t="str">
        <f t="shared" si="105"/>
        <v>18.02.2017</v>
      </c>
      <c r="E1366" s="1">
        <v>0.86458333333333337</v>
      </c>
      <c r="F1366" t="s">
        <v>27</v>
      </c>
      <c r="G1366" t="s">
        <v>187</v>
      </c>
      <c r="H1366" t="s">
        <v>12</v>
      </c>
      <c r="I1366" t="str">
        <f t="shared" si="106"/>
        <v>2-0</v>
      </c>
      <c r="J1366" t="str">
        <f t="shared" si="107"/>
        <v>2</v>
      </c>
      <c r="K1366" t="str">
        <f t="shared" si="108"/>
        <v>0</v>
      </c>
      <c r="L1366" t="str">
        <f t="shared" si="109"/>
        <v>Sevilla FC</v>
      </c>
      <c r="M1366" t="str">
        <f>IF(COUNTIF($A$2:A1366,A1366)=1,
     VLOOKUP(A1366,Season_Winners!A:B,2,FALSE),
     "")</f>
        <v/>
      </c>
    </row>
    <row r="1367" spans="1:14" x14ac:dyDescent="0.3">
      <c r="A1367" t="s">
        <v>460</v>
      </c>
      <c r="B1367">
        <v>23</v>
      </c>
      <c r="C1367" t="s">
        <v>549</v>
      </c>
      <c r="D1367" t="str">
        <f t="shared" si="105"/>
        <v>19.02.2017</v>
      </c>
      <c r="E1367" s="1">
        <v>0.5</v>
      </c>
      <c r="F1367" t="s">
        <v>10</v>
      </c>
      <c r="G1367" t="s">
        <v>34</v>
      </c>
      <c r="H1367" t="s">
        <v>42</v>
      </c>
      <c r="I1367" t="str">
        <f t="shared" si="106"/>
        <v>0-1</v>
      </c>
      <c r="J1367" t="str">
        <f t="shared" si="107"/>
        <v>0</v>
      </c>
      <c r="K1367" t="str">
        <f t="shared" si="108"/>
        <v>1</v>
      </c>
      <c r="L1367" t="str">
        <f t="shared" si="109"/>
        <v>Villarreal CF</v>
      </c>
      <c r="M1367" t="str">
        <f>IF(COUNTIF($A$2:A1367,A1367)=1,
     VLOOKUP(A1367,Season_Winners!A:B,2,FALSE),
     "")</f>
        <v/>
      </c>
    </row>
    <row r="1368" spans="1:14" x14ac:dyDescent="0.3">
      <c r="A1368" t="s">
        <v>460</v>
      </c>
      <c r="B1368">
        <v>23</v>
      </c>
      <c r="C1368" t="s">
        <v>549</v>
      </c>
      <c r="D1368" t="str">
        <f t="shared" si="105"/>
        <v>19.02.2017</v>
      </c>
      <c r="E1368" s="1">
        <v>0.67708333333333337</v>
      </c>
      <c r="F1368" t="s">
        <v>16</v>
      </c>
      <c r="G1368" t="s">
        <v>15</v>
      </c>
      <c r="H1368" t="s">
        <v>12</v>
      </c>
      <c r="I1368" t="str">
        <f t="shared" si="106"/>
        <v>2-0</v>
      </c>
      <c r="J1368" t="str">
        <f t="shared" si="107"/>
        <v>2</v>
      </c>
      <c r="K1368" t="str">
        <f t="shared" si="108"/>
        <v>0</v>
      </c>
      <c r="L1368" t="str">
        <f t="shared" si="109"/>
        <v>Valencia CF</v>
      </c>
      <c r="M1368" t="str">
        <f>IF(COUNTIF($A$2:A1368,A1368)=1,
     VLOOKUP(A1368,Season_Winners!A:B,2,FALSE),
     "")</f>
        <v/>
      </c>
    </row>
    <row r="1369" spans="1:14" x14ac:dyDescent="0.3">
      <c r="A1369" t="s">
        <v>460</v>
      </c>
      <c r="B1369">
        <v>23</v>
      </c>
      <c r="C1369" t="s">
        <v>549</v>
      </c>
      <c r="D1369" t="str">
        <f t="shared" si="105"/>
        <v>19.02.2017</v>
      </c>
      <c r="E1369" s="1">
        <v>0.77083333333333337</v>
      </c>
      <c r="F1369" t="s">
        <v>35</v>
      </c>
      <c r="G1369" t="s">
        <v>23</v>
      </c>
      <c r="H1369" t="s">
        <v>32</v>
      </c>
      <c r="I1369" t="str">
        <f t="shared" si="106"/>
        <v>3-0</v>
      </c>
      <c r="J1369" t="str">
        <f t="shared" si="107"/>
        <v>3</v>
      </c>
      <c r="K1369" t="str">
        <f t="shared" si="108"/>
        <v>0</v>
      </c>
      <c r="L1369" t="str">
        <f t="shared" si="109"/>
        <v>RC Celta</v>
      </c>
      <c r="M1369" t="str">
        <f>IF(COUNTIF($A$2:A1369,A1369)=1,
     VLOOKUP(A1369,Season_Winners!A:B,2,FALSE),
     "")</f>
        <v/>
      </c>
    </row>
    <row r="1370" spans="1:14" hidden="1" x14ac:dyDescent="0.3">
      <c r="A1370" t="s">
        <v>460</v>
      </c>
      <c r="B1370">
        <v>23</v>
      </c>
      <c r="C1370" t="s">
        <v>549</v>
      </c>
      <c r="D1370" t="str">
        <f t="shared" si="105"/>
        <v>19.02.2017</v>
      </c>
      <c r="E1370" s="1">
        <v>0.86458333333333337</v>
      </c>
      <c r="F1370" t="s">
        <v>20</v>
      </c>
      <c r="G1370" t="s">
        <v>466</v>
      </c>
      <c r="H1370" s="2">
        <v>46024</v>
      </c>
      <c r="I1370" s="3" t="str">
        <f t="shared" si="106"/>
        <v/>
      </c>
      <c r="J1370" t="str">
        <f t="shared" si="107"/>
        <v/>
      </c>
      <c r="K1370" t="str">
        <f t="shared" si="108"/>
        <v/>
      </c>
      <c r="L1370" t="str">
        <f t="shared" si="109"/>
        <v/>
      </c>
      <c r="M1370" t="str">
        <f>IF(COUNTIF($A$2:A1370,A1370)=1,
     VLOOKUP(A1370,Season_Winners!A:B,2,FALSE),
     "")</f>
        <v/>
      </c>
      <c r="N1370" s="2"/>
    </row>
    <row r="1371" spans="1:14" hidden="1" x14ac:dyDescent="0.3">
      <c r="A1371" t="s">
        <v>460</v>
      </c>
      <c r="B1371">
        <v>23</v>
      </c>
      <c r="C1371" t="s">
        <v>550</v>
      </c>
      <c r="D1371" t="str">
        <f t="shared" si="105"/>
        <v>20.02.2017</v>
      </c>
      <c r="E1371" s="1">
        <v>0.86458333333333337</v>
      </c>
      <c r="F1371" t="s">
        <v>17</v>
      </c>
      <c r="G1371" t="s">
        <v>338</v>
      </c>
      <c r="H1371" s="2">
        <v>46024</v>
      </c>
      <c r="I1371" s="3" t="str">
        <f t="shared" si="106"/>
        <v/>
      </c>
      <c r="J1371" t="str">
        <f t="shared" si="107"/>
        <v/>
      </c>
      <c r="K1371" t="str">
        <f t="shared" si="108"/>
        <v/>
      </c>
      <c r="L1371" t="str">
        <f t="shared" si="109"/>
        <v/>
      </c>
      <c r="M1371" t="str">
        <f>IF(COUNTIF($A$2:A1371,A1371)=1,
     VLOOKUP(A1371,Season_Winners!A:B,2,FALSE),
     "")</f>
        <v/>
      </c>
      <c r="N1371" s="2"/>
    </row>
    <row r="1372" spans="1:14" x14ac:dyDescent="0.3">
      <c r="A1372" t="s">
        <v>460</v>
      </c>
      <c r="B1372">
        <v>24</v>
      </c>
      <c r="C1372" t="s">
        <v>551</v>
      </c>
      <c r="D1372" t="str">
        <f t="shared" si="105"/>
        <v>24.02.2017</v>
      </c>
      <c r="E1372" s="1">
        <v>0.86458333333333337</v>
      </c>
      <c r="F1372" t="s">
        <v>338</v>
      </c>
      <c r="G1372" t="s">
        <v>10</v>
      </c>
      <c r="H1372" t="s">
        <v>42</v>
      </c>
      <c r="I1372" t="str">
        <f t="shared" si="106"/>
        <v>0-1</v>
      </c>
      <c r="J1372" t="str">
        <f t="shared" si="107"/>
        <v>0</v>
      </c>
      <c r="K1372" t="str">
        <f t="shared" si="108"/>
        <v>1</v>
      </c>
      <c r="L1372" t="str">
        <f t="shared" si="109"/>
        <v>Real Sociedad</v>
      </c>
      <c r="M1372" t="str">
        <f>IF(COUNTIF($A$2:A1372,A1372)=1,
     VLOOKUP(A1372,Season_Winners!A:B,2,FALSE),
     "")</f>
        <v/>
      </c>
    </row>
    <row r="1373" spans="1:14" hidden="1" x14ac:dyDescent="0.3">
      <c r="A1373" t="s">
        <v>460</v>
      </c>
      <c r="B1373">
        <v>24</v>
      </c>
      <c r="C1373" t="s">
        <v>552</v>
      </c>
      <c r="D1373" t="str">
        <f t="shared" si="105"/>
        <v>25.02.2017</v>
      </c>
      <c r="E1373" s="1">
        <v>0.54166666666666663</v>
      </c>
      <c r="F1373" t="s">
        <v>464</v>
      </c>
      <c r="G1373" t="s">
        <v>16</v>
      </c>
      <c r="H1373" s="2">
        <v>46024</v>
      </c>
      <c r="I1373" s="3" t="str">
        <f t="shared" si="106"/>
        <v/>
      </c>
      <c r="J1373" t="str">
        <f t="shared" si="107"/>
        <v/>
      </c>
      <c r="K1373" t="str">
        <f t="shared" si="108"/>
        <v/>
      </c>
      <c r="L1373" t="str">
        <f t="shared" si="109"/>
        <v/>
      </c>
      <c r="M1373" t="str">
        <f>IF(COUNTIF($A$2:A1373,A1373)=1,
     VLOOKUP(A1373,Season_Winners!A:B,2,FALSE),
     "")</f>
        <v/>
      </c>
      <c r="N1373" s="2"/>
    </row>
    <row r="1374" spans="1:14" hidden="1" x14ac:dyDescent="0.3">
      <c r="A1374" t="s">
        <v>460</v>
      </c>
      <c r="B1374">
        <v>24</v>
      </c>
      <c r="C1374" t="s">
        <v>552</v>
      </c>
      <c r="D1374" t="str">
        <f t="shared" si="105"/>
        <v>25.02.2017</v>
      </c>
      <c r="E1374" s="1">
        <v>0.67708333333333337</v>
      </c>
      <c r="F1374" t="s">
        <v>26</v>
      </c>
      <c r="G1374" t="s">
        <v>27</v>
      </c>
      <c r="H1374" s="2">
        <v>46054</v>
      </c>
      <c r="I1374" s="3" t="str">
        <f t="shared" si="106"/>
        <v/>
      </c>
      <c r="J1374" t="str">
        <f t="shared" si="107"/>
        <v/>
      </c>
      <c r="K1374" t="str">
        <f t="shared" si="108"/>
        <v/>
      </c>
      <c r="L1374" t="str">
        <f t="shared" si="109"/>
        <v/>
      </c>
      <c r="M1374" t="str">
        <f>IF(COUNTIF($A$2:A1374,A1374)=1,
     VLOOKUP(A1374,Season_Winners!A:B,2,FALSE),
     "")</f>
        <v/>
      </c>
      <c r="N1374" s="2"/>
    </row>
    <row r="1375" spans="1:14" x14ac:dyDescent="0.3">
      <c r="A1375" t="s">
        <v>460</v>
      </c>
      <c r="B1375">
        <v>24</v>
      </c>
      <c r="C1375" t="s">
        <v>552</v>
      </c>
      <c r="D1375" t="str">
        <f t="shared" si="105"/>
        <v>25.02.2017</v>
      </c>
      <c r="E1375" s="1">
        <v>0.77083333333333337</v>
      </c>
      <c r="F1375" t="s">
        <v>466</v>
      </c>
      <c r="G1375" t="s">
        <v>182</v>
      </c>
      <c r="H1375" t="s">
        <v>88</v>
      </c>
      <c r="I1375" t="str">
        <f t="shared" si="106"/>
        <v>4-0</v>
      </c>
      <c r="J1375" t="str">
        <f t="shared" si="107"/>
        <v>4</v>
      </c>
      <c r="K1375" t="str">
        <f t="shared" si="108"/>
        <v>0</v>
      </c>
      <c r="L1375" t="str">
        <f t="shared" si="109"/>
        <v>CD LeganÃ©s</v>
      </c>
      <c r="M1375" t="str">
        <f>IF(COUNTIF($A$2:A1375,A1375)=1,
     VLOOKUP(A1375,Season_Winners!A:B,2,FALSE),
     "")</f>
        <v/>
      </c>
    </row>
    <row r="1376" spans="1:14" x14ac:dyDescent="0.3">
      <c r="A1376" t="s">
        <v>460</v>
      </c>
      <c r="B1376">
        <v>24</v>
      </c>
      <c r="C1376" t="s">
        <v>552</v>
      </c>
      <c r="D1376" t="str">
        <f t="shared" si="105"/>
        <v>25.02.2017</v>
      </c>
      <c r="E1376" s="1">
        <v>0.86458333333333337</v>
      </c>
      <c r="F1376" t="s">
        <v>187</v>
      </c>
      <c r="G1376" t="s">
        <v>17</v>
      </c>
      <c r="H1376" t="s">
        <v>32</v>
      </c>
      <c r="I1376" t="str">
        <f t="shared" si="106"/>
        <v>3-0</v>
      </c>
      <c r="J1376" t="str">
        <f t="shared" si="107"/>
        <v>3</v>
      </c>
      <c r="K1376" t="str">
        <f t="shared" si="108"/>
        <v>0</v>
      </c>
      <c r="L1376" t="str">
        <f t="shared" si="109"/>
        <v>SD Eibar</v>
      </c>
      <c r="M1376" t="str">
        <f>IF(COUNTIF($A$2:A1376,A1376)=1,
     VLOOKUP(A1376,Season_Winners!A:B,2,FALSE),
     "")</f>
        <v/>
      </c>
    </row>
    <row r="1377" spans="1:14" x14ac:dyDescent="0.3">
      <c r="A1377" t="s">
        <v>460</v>
      </c>
      <c r="B1377">
        <v>24</v>
      </c>
      <c r="C1377" t="s">
        <v>553</v>
      </c>
      <c r="D1377" t="str">
        <f t="shared" si="105"/>
        <v>26.02.2017</v>
      </c>
      <c r="E1377" s="1">
        <v>0.5</v>
      </c>
      <c r="F1377" t="s">
        <v>36</v>
      </c>
      <c r="G1377" t="s">
        <v>23</v>
      </c>
      <c r="H1377" t="s">
        <v>32</v>
      </c>
      <c r="I1377" t="str">
        <f t="shared" si="106"/>
        <v>3-0</v>
      </c>
      <c r="J1377" t="str">
        <f t="shared" si="107"/>
        <v>3</v>
      </c>
      <c r="K1377" t="str">
        <f t="shared" si="108"/>
        <v>0</v>
      </c>
      <c r="L1377" t="str">
        <f t="shared" si="109"/>
        <v>RCD Espanyol de Barcelona</v>
      </c>
      <c r="M1377" t="str">
        <f>IF(COUNTIF($A$2:A1377,A1377)=1,
     VLOOKUP(A1377,Season_Winners!A:B,2,FALSE),
     "")</f>
        <v/>
      </c>
    </row>
    <row r="1378" spans="1:14" hidden="1" x14ac:dyDescent="0.3">
      <c r="A1378" t="s">
        <v>460</v>
      </c>
      <c r="B1378">
        <v>24</v>
      </c>
      <c r="C1378" t="s">
        <v>553</v>
      </c>
      <c r="D1378" t="str">
        <f t="shared" si="105"/>
        <v>26.02.2017</v>
      </c>
      <c r="E1378" s="1">
        <v>0.67708333333333337</v>
      </c>
      <c r="F1378" t="s">
        <v>28</v>
      </c>
      <c r="G1378" t="s">
        <v>20</v>
      </c>
      <c r="H1378" s="2">
        <v>46054</v>
      </c>
      <c r="I1378" s="3" t="str">
        <f t="shared" si="106"/>
        <v/>
      </c>
      <c r="J1378" t="str">
        <f t="shared" si="107"/>
        <v/>
      </c>
      <c r="K1378" t="str">
        <f t="shared" si="108"/>
        <v/>
      </c>
      <c r="L1378" t="str">
        <f t="shared" si="109"/>
        <v/>
      </c>
      <c r="M1378" t="str">
        <f>IF(COUNTIF($A$2:A1378,A1378)=1,
     VLOOKUP(A1378,Season_Winners!A:B,2,FALSE),
     "")</f>
        <v/>
      </c>
      <c r="N1378" s="2"/>
    </row>
    <row r="1379" spans="1:14" hidden="1" x14ac:dyDescent="0.3">
      <c r="A1379" t="s">
        <v>460</v>
      </c>
      <c r="B1379">
        <v>24</v>
      </c>
      <c r="C1379" t="s">
        <v>553</v>
      </c>
      <c r="D1379" t="str">
        <f t="shared" si="105"/>
        <v>26.02.2017</v>
      </c>
      <c r="E1379" s="1">
        <v>0.77083333333333337</v>
      </c>
      <c r="F1379" t="s">
        <v>15</v>
      </c>
      <c r="G1379" t="s">
        <v>24</v>
      </c>
      <c r="H1379" s="2">
        <v>46025</v>
      </c>
      <c r="I1379" s="3" t="str">
        <f t="shared" si="106"/>
        <v/>
      </c>
      <c r="J1379" t="str">
        <f t="shared" si="107"/>
        <v/>
      </c>
      <c r="K1379" t="str">
        <f t="shared" si="108"/>
        <v/>
      </c>
      <c r="L1379" t="str">
        <f t="shared" si="109"/>
        <v/>
      </c>
      <c r="M1379" t="str">
        <f>IF(COUNTIF($A$2:A1379,A1379)=1,
     VLOOKUP(A1379,Season_Winners!A:B,2,FALSE),
     "")</f>
        <v/>
      </c>
      <c r="N1379" s="2"/>
    </row>
    <row r="1380" spans="1:14" hidden="1" x14ac:dyDescent="0.3">
      <c r="A1380" t="s">
        <v>460</v>
      </c>
      <c r="B1380">
        <v>24</v>
      </c>
      <c r="C1380" t="s">
        <v>553</v>
      </c>
      <c r="D1380" t="str">
        <f t="shared" si="105"/>
        <v>26.02.2017</v>
      </c>
      <c r="E1380" s="1">
        <v>0.77083333333333337</v>
      </c>
      <c r="F1380" t="s">
        <v>340</v>
      </c>
      <c r="G1380" t="s">
        <v>35</v>
      </c>
      <c r="H1380" s="2">
        <v>46023</v>
      </c>
      <c r="I1380" s="3" t="str">
        <f t="shared" si="106"/>
        <v/>
      </c>
      <c r="J1380" t="str">
        <f t="shared" si="107"/>
        <v/>
      </c>
      <c r="K1380" t="str">
        <f t="shared" si="108"/>
        <v/>
      </c>
      <c r="L1380" t="str">
        <f t="shared" si="109"/>
        <v/>
      </c>
      <c r="M1380" t="str">
        <f>IF(COUNTIF($A$2:A1380,A1380)=1,
     VLOOKUP(A1380,Season_Winners!A:B,2,FALSE),
     "")</f>
        <v/>
      </c>
      <c r="N1380" s="2"/>
    </row>
    <row r="1381" spans="1:14" hidden="1" x14ac:dyDescent="0.3">
      <c r="A1381" t="s">
        <v>460</v>
      </c>
      <c r="B1381">
        <v>24</v>
      </c>
      <c r="C1381" t="s">
        <v>553</v>
      </c>
      <c r="D1381" t="str">
        <f t="shared" si="105"/>
        <v>26.02.2017</v>
      </c>
      <c r="E1381" s="1">
        <v>0.86458333333333337</v>
      </c>
      <c r="F1381" t="s">
        <v>34</v>
      </c>
      <c r="G1381" t="s">
        <v>25</v>
      </c>
      <c r="H1381" s="2">
        <v>46083</v>
      </c>
      <c r="I1381" s="3" t="str">
        <f t="shared" si="106"/>
        <v/>
      </c>
      <c r="J1381" t="str">
        <f t="shared" si="107"/>
        <v/>
      </c>
      <c r="K1381" t="str">
        <f t="shared" si="108"/>
        <v/>
      </c>
      <c r="L1381" t="str">
        <f t="shared" si="109"/>
        <v/>
      </c>
      <c r="M1381" t="str">
        <f>IF(COUNTIF($A$2:A1381,A1381)=1,
     VLOOKUP(A1381,Season_Winners!A:B,2,FALSE),
     "")</f>
        <v/>
      </c>
      <c r="N1381" s="2"/>
    </row>
    <row r="1382" spans="1:14" hidden="1" x14ac:dyDescent="0.3">
      <c r="A1382" t="s">
        <v>460</v>
      </c>
      <c r="B1382">
        <v>25</v>
      </c>
      <c r="C1382" t="s">
        <v>554</v>
      </c>
      <c r="D1382" t="str">
        <f t="shared" si="105"/>
        <v>28.02.2017</v>
      </c>
      <c r="E1382" s="1">
        <v>0.8125</v>
      </c>
      <c r="F1382" t="s">
        <v>10</v>
      </c>
      <c r="G1382" t="s">
        <v>187</v>
      </c>
      <c r="H1382" s="2">
        <v>46055</v>
      </c>
      <c r="I1382" s="3" t="str">
        <f t="shared" si="106"/>
        <v/>
      </c>
      <c r="J1382" t="str">
        <f t="shared" si="107"/>
        <v/>
      </c>
      <c r="K1382" t="str">
        <f t="shared" si="108"/>
        <v/>
      </c>
      <c r="L1382" t="str">
        <f t="shared" si="109"/>
        <v/>
      </c>
      <c r="M1382" t="str">
        <f>IF(COUNTIF($A$2:A1382,A1382)=1,
     VLOOKUP(A1382,Season_Winners!A:B,2,FALSE),
     "")</f>
        <v/>
      </c>
      <c r="N1382" s="2"/>
    </row>
    <row r="1383" spans="1:14" hidden="1" x14ac:dyDescent="0.3">
      <c r="A1383" t="s">
        <v>460</v>
      </c>
      <c r="B1383">
        <v>25</v>
      </c>
      <c r="C1383" t="s">
        <v>554</v>
      </c>
      <c r="D1383" t="str">
        <f t="shared" si="105"/>
        <v>28.02.2017</v>
      </c>
      <c r="E1383" s="1">
        <v>0.89583333333333337</v>
      </c>
      <c r="F1383" t="s">
        <v>17</v>
      </c>
      <c r="G1383" t="s">
        <v>26</v>
      </c>
      <c r="H1383" s="2">
        <v>46054</v>
      </c>
      <c r="I1383" s="3" t="str">
        <f t="shared" si="106"/>
        <v/>
      </c>
      <c r="J1383" t="str">
        <f t="shared" si="107"/>
        <v/>
      </c>
      <c r="K1383" t="str">
        <f t="shared" si="108"/>
        <v/>
      </c>
      <c r="L1383" t="str">
        <f t="shared" si="109"/>
        <v/>
      </c>
      <c r="M1383" t="str">
        <f>IF(COUNTIF($A$2:A1383,A1383)=1,
     VLOOKUP(A1383,Season_Winners!A:B,2,FALSE),
     "")</f>
        <v/>
      </c>
      <c r="N1383" s="2"/>
    </row>
    <row r="1384" spans="1:14" x14ac:dyDescent="0.3">
      <c r="A1384" t="s">
        <v>460</v>
      </c>
      <c r="B1384">
        <v>25</v>
      </c>
      <c r="C1384" t="s">
        <v>554</v>
      </c>
      <c r="D1384" t="str">
        <f t="shared" si="105"/>
        <v>28.02.2017</v>
      </c>
      <c r="E1384" s="1">
        <v>0.89583333333333337</v>
      </c>
      <c r="F1384" t="s">
        <v>16</v>
      </c>
      <c r="G1384" t="s">
        <v>466</v>
      </c>
      <c r="H1384" t="s">
        <v>18</v>
      </c>
      <c r="I1384" t="str">
        <f t="shared" si="106"/>
        <v>1-0</v>
      </c>
      <c r="J1384" t="str">
        <f t="shared" si="107"/>
        <v>1</v>
      </c>
      <c r="K1384" t="str">
        <f t="shared" si="108"/>
        <v>0</v>
      </c>
      <c r="L1384" t="str">
        <f t="shared" si="109"/>
        <v>Valencia CF</v>
      </c>
      <c r="M1384" t="str">
        <f>IF(COUNTIF($A$2:A1384,A1384)=1,
     VLOOKUP(A1384,Season_Winners!A:B,2,FALSE),
     "")</f>
        <v/>
      </c>
    </row>
    <row r="1385" spans="1:14" hidden="1" x14ac:dyDescent="0.3">
      <c r="A1385" t="s">
        <v>460</v>
      </c>
      <c r="B1385">
        <v>25</v>
      </c>
      <c r="C1385" t="s">
        <v>555</v>
      </c>
      <c r="D1385" t="str">
        <f t="shared" si="105"/>
        <v>01.03.2017</v>
      </c>
      <c r="E1385" s="1">
        <v>0.8125</v>
      </c>
      <c r="F1385" t="s">
        <v>20</v>
      </c>
      <c r="G1385" t="s">
        <v>340</v>
      </c>
      <c r="H1385" s="2">
        <v>46028</v>
      </c>
      <c r="I1385" s="3" t="str">
        <f t="shared" si="106"/>
        <v/>
      </c>
      <c r="J1385" t="str">
        <f t="shared" si="107"/>
        <v/>
      </c>
      <c r="K1385" t="str">
        <f t="shared" si="108"/>
        <v/>
      </c>
      <c r="L1385" t="str">
        <f t="shared" si="109"/>
        <v/>
      </c>
      <c r="M1385" t="str">
        <f>IF(COUNTIF($A$2:A1385,A1385)=1,
     VLOOKUP(A1385,Season_Winners!A:B,2,FALSE),
     "")</f>
        <v/>
      </c>
      <c r="N1385" s="2"/>
    </row>
    <row r="1386" spans="1:14" hidden="1" x14ac:dyDescent="0.3">
      <c r="A1386" t="s">
        <v>460</v>
      </c>
      <c r="B1386">
        <v>25</v>
      </c>
      <c r="C1386" t="s">
        <v>555</v>
      </c>
      <c r="D1386" t="str">
        <f t="shared" si="105"/>
        <v>01.03.2017</v>
      </c>
      <c r="E1386" s="1">
        <v>0.8125</v>
      </c>
      <c r="F1386" t="s">
        <v>23</v>
      </c>
      <c r="G1386" t="s">
        <v>34</v>
      </c>
      <c r="H1386" s="2">
        <v>46113</v>
      </c>
      <c r="I1386" s="3" t="str">
        <f t="shared" si="106"/>
        <v/>
      </c>
      <c r="J1386" t="str">
        <f t="shared" si="107"/>
        <v/>
      </c>
      <c r="K1386" t="str">
        <f t="shared" si="108"/>
        <v/>
      </c>
      <c r="L1386" t="str">
        <f t="shared" si="109"/>
        <v/>
      </c>
      <c r="M1386" t="str">
        <f>IF(COUNTIF($A$2:A1386,A1386)=1,
     VLOOKUP(A1386,Season_Winners!A:B,2,FALSE),
     "")</f>
        <v/>
      </c>
      <c r="N1386" s="2"/>
    </row>
    <row r="1387" spans="1:14" hidden="1" x14ac:dyDescent="0.3">
      <c r="A1387" t="s">
        <v>460</v>
      </c>
      <c r="B1387">
        <v>25</v>
      </c>
      <c r="C1387" t="s">
        <v>555</v>
      </c>
      <c r="D1387" t="str">
        <f t="shared" si="105"/>
        <v>01.03.2017</v>
      </c>
      <c r="E1387" s="1">
        <v>0.89583333333333337</v>
      </c>
      <c r="F1387" t="s">
        <v>35</v>
      </c>
      <c r="G1387" t="s">
        <v>36</v>
      </c>
      <c r="H1387" s="2">
        <v>46055</v>
      </c>
      <c r="I1387" s="3" t="str">
        <f t="shared" si="106"/>
        <v/>
      </c>
      <c r="J1387" t="str">
        <f t="shared" si="107"/>
        <v/>
      </c>
      <c r="K1387" t="str">
        <f t="shared" si="108"/>
        <v/>
      </c>
      <c r="L1387" t="str">
        <f t="shared" si="109"/>
        <v/>
      </c>
      <c r="M1387" t="str">
        <f>IF(COUNTIF($A$2:A1387,A1387)=1,
     VLOOKUP(A1387,Season_Winners!A:B,2,FALSE),
     "")</f>
        <v/>
      </c>
      <c r="N1387" s="2"/>
    </row>
    <row r="1388" spans="1:14" hidden="1" x14ac:dyDescent="0.3">
      <c r="A1388" t="s">
        <v>460</v>
      </c>
      <c r="B1388">
        <v>25</v>
      </c>
      <c r="C1388" t="s">
        <v>555</v>
      </c>
      <c r="D1388" t="str">
        <f t="shared" si="105"/>
        <v>01.03.2017</v>
      </c>
      <c r="E1388" s="1">
        <v>0.89583333333333337</v>
      </c>
      <c r="F1388" t="s">
        <v>24</v>
      </c>
      <c r="G1388" t="s">
        <v>464</v>
      </c>
      <c r="H1388" s="2">
        <v>46024</v>
      </c>
      <c r="I1388" s="3" t="str">
        <f t="shared" si="106"/>
        <v/>
      </c>
      <c r="J1388" t="str">
        <f t="shared" si="107"/>
        <v/>
      </c>
      <c r="K1388" t="str">
        <f t="shared" si="108"/>
        <v/>
      </c>
      <c r="L1388" t="str">
        <f t="shared" si="109"/>
        <v/>
      </c>
      <c r="M1388" t="str">
        <f>IF(COUNTIF($A$2:A1388,A1388)=1,
     VLOOKUP(A1388,Season_Winners!A:B,2,FALSE),
     "")</f>
        <v/>
      </c>
      <c r="N1388" s="2"/>
    </row>
    <row r="1389" spans="1:14" hidden="1" x14ac:dyDescent="0.3">
      <c r="A1389" t="s">
        <v>460</v>
      </c>
      <c r="B1389">
        <v>25</v>
      </c>
      <c r="C1389" t="s">
        <v>555</v>
      </c>
      <c r="D1389" t="str">
        <f t="shared" si="105"/>
        <v>01.03.2017</v>
      </c>
      <c r="E1389" s="1">
        <v>0.89583333333333337</v>
      </c>
      <c r="F1389" t="s">
        <v>25</v>
      </c>
      <c r="G1389" t="s">
        <v>338</v>
      </c>
      <c r="H1389" s="2">
        <v>46084</v>
      </c>
      <c r="I1389" s="3" t="str">
        <f t="shared" si="106"/>
        <v/>
      </c>
      <c r="J1389" t="str">
        <f t="shared" si="107"/>
        <v/>
      </c>
      <c r="K1389" t="str">
        <f t="shared" si="108"/>
        <v/>
      </c>
      <c r="L1389" t="str">
        <f t="shared" si="109"/>
        <v/>
      </c>
      <c r="M1389" t="str">
        <f>IF(COUNTIF($A$2:A1389,A1389)=1,
     VLOOKUP(A1389,Season_Winners!A:B,2,FALSE),
     "")</f>
        <v/>
      </c>
      <c r="N1389" s="2"/>
    </row>
    <row r="1390" spans="1:14" hidden="1" x14ac:dyDescent="0.3">
      <c r="A1390" t="s">
        <v>460</v>
      </c>
      <c r="B1390">
        <v>25</v>
      </c>
      <c r="C1390" t="s">
        <v>556</v>
      </c>
      <c r="D1390" t="str">
        <f t="shared" si="105"/>
        <v>02.03.2017</v>
      </c>
      <c r="E1390" s="1">
        <v>0.86458333333333337</v>
      </c>
      <c r="F1390" t="s">
        <v>182</v>
      </c>
      <c r="G1390" t="s">
        <v>28</v>
      </c>
      <c r="H1390" s="2">
        <v>46023</v>
      </c>
      <c r="I1390" s="3" t="str">
        <f t="shared" si="106"/>
        <v/>
      </c>
      <c r="J1390" t="str">
        <f t="shared" si="107"/>
        <v/>
      </c>
      <c r="K1390" t="str">
        <f t="shared" si="108"/>
        <v/>
      </c>
      <c r="L1390" t="str">
        <f t="shared" si="109"/>
        <v/>
      </c>
      <c r="M1390" t="str">
        <f>IF(COUNTIF($A$2:A1390,A1390)=1,
     VLOOKUP(A1390,Season_Winners!A:B,2,FALSE),
     "")</f>
        <v/>
      </c>
      <c r="N1390" s="2"/>
    </row>
    <row r="1391" spans="1:14" x14ac:dyDescent="0.3">
      <c r="A1391" t="s">
        <v>460</v>
      </c>
      <c r="B1391">
        <v>25</v>
      </c>
      <c r="C1391" t="s">
        <v>556</v>
      </c>
      <c r="D1391" t="str">
        <f t="shared" si="105"/>
        <v>02.03.2017</v>
      </c>
      <c r="E1391" s="1">
        <v>0.89583333333333337</v>
      </c>
      <c r="F1391" t="s">
        <v>27</v>
      </c>
      <c r="G1391" t="s">
        <v>15</v>
      </c>
      <c r="H1391" t="s">
        <v>18</v>
      </c>
      <c r="I1391" t="str">
        <f t="shared" si="106"/>
        <v>1-0</v>
      </c>
      <c r="J1391" t="str">
        <f t="shared" si="107"/>
        <v>1</v>
      </c>
      <c r="K1391" t="str">
        <f t="shared" si="108"/>
        <v>0</v>
      </c>
      <c r="L1391" t="str">
        <f t="shared" si="109"/>
        <v>Sevilla FC</v>
      </c>
      <c r="M1391" t="str">
        <f>IF(COUNTIF($A$2:A1391,A1391)=1,
     VLOOKUP(A1391,Season_Winners!A:B,2,FALSE),
     "")</f>
        <v/>
      </c>
    </row>
    <row r="1392" spans="1:14" hidden="1" x14ac:dyDescent="0.3">
      <c r="A1392" t="s">
        <v>460</v>
      </c>
      <c r="B1392">
        <v>26</v>
      </c>
      <c r="C1392" t="s">
        <v>557</v>
      </c>
      <c r="D1392" t="str">
        <f t="shared" si="105"/>
        <v>03.03.2017</v>
      </c>
      <c r="E1392" s="1">
        <v>0.86458333333333337</v>
      </c>
      <c r="F1392" t="s">
        <v>26</v>
      </c>
      <c r="G1392" t="s">
        <v>10</v>
      </c>
      <c r="H1392" s="2">
        <v>46083</v>
      </c>
      <c r="I1392" s="3" t="str">
        <f t="shared" si="106"/>
        <v/>
      </c>
      <c r="J1392" t="str">
        <f t="shared" si="107"/>
        <v/>
      </c>
      <c r="K1392" t="str">
        <f t="shared" si="108"/>
        <v/>
      </c>
      <c r="L1392" t="str">
        <f t="shared" si="109"/>
        <v/>
      </c>
      <c r="M1392" t="str">
        <f>IF(COUNTIF($A$2:A1392,A1392)=1,
     VLOOKUP(A1392,Season_Winners!A:B,2,FALSE),
     "")</f>
        <v/>
      </c>
      <c r="N1392" s="2"/>
    </row>
    <row r="1393" spans="1:14" x14ac:dyDescent="0.3">
      <c r="A1393" t="s">
        <v>460</v>
      </c>
      <c r="B1393">
        <v>26</v>
      </c>
      <c r="C1393" t="s">
        <v>558</v>
      </c>
      <c r="D1393" t="str">
        <f t="shared" si="105"/>
        <v>04.03.2017</v>
      </c>
      <c r="E1393" s="1">
        <v>0.54166666666666663</v>
      </c>
      <c r="F1393" t="s">
        <v>466</v>
      </c>
      <c r="G1393" t="s">
        <v>24</v>
      </c>
      <c r="H1393" t="s">
        <v>18</v>
      </c>
      <c r="I1393" t="str">
        <f t="shared" si="106"/>
        <v>1-0</v>
      </c>
      <c r="J1393" t="str">
        <f t="shared" si="107"/>
        <v>1</v>
      </c>
      <c r="K1393" t="str">
        <f t="shared" si="108"/>
        <v>0</v>
      </c>
      <c r="L1393" t="str">
        <f t="shared" si="109"/>
        <v>CD LeganÃ©s</v>
      </c>
      <c r="M1393" t="str">
        <f>IF(COUNTIF($A$2:A1393,A1393)=1,
     VLOOKUP(A1393,Season_Winners!A:B,2,FALSE),
     "")</f>
        <v/>
      </c>
    </row>
    <row r="1394" spans="1:14" hidden="1" x14ac:dyDescent="0.3">
      <c r="A1394" t="s">
        <v>460</v>
      </c>
      <c r="B1394">
        <v>26</v>
      </c>
      <c r="C1394" t="s">
        <v>558</v>
      </c>
      <c r="D1394" t="str">
        <f t="shared" si="105"/>
        <v>04.03.2017</v>
      </c>
      <c r="E1394" s="1">
        <v>0.67708333333333337</v>
      </c>
      <c r="F1394" t="s">
        <v>187</v>
      </c>
      <c r="G1394" t="s">
        <v>25</v>
      </c>
      <c r="H1394" s="2">
        <v>46113</v>
      </c>
      <c r="I1394" s="3" t="str">
        <f t="shared" si="106"/>
        <v/>
      </c>
      <c r="J1394" t="str">
        <f t="shared" si="107"/>
        <v/>
      </c>
      <c r="K1394" t="str">
        <f t="shared" si="108"/>
        <v/>
      </c>
      <c r="L1394" t="str">
        <f t="shared" si="109"/>
        <v/>
      </c>
      <c r="M1394" t="str">
        <f>IF(COUNTIF($A$2:A1394,A1394)=1,
     VLOOKUP(A1394,Season_Winners!A:B,2,FALSE),
     "")</f>
        <v/>
      </c>
      <c r="N1394" s="2"/>
    </row>
    <row r="1395" spans="1:14" x14ac:dyDescent="0.3">
      <c r="A1395" t="s">
        <v>460</v>
      </c>
      <c r="B1395">
        <v>26</v>
      </c>
      <c r="C1395" t="s">
        <v>558</v>
      </c>
      <c r="D1395" t="str">
        <f t="shared" si="105"/>
        <v>04.03.2017</v>
      </c>
      <c r="E1395" s="1">
        <v>0.77083333333333337</v>
      </c>
      <c r="F1395" t="s">
        <v>34</v>
      </c>
      <c r="G1395" t="s">
        <v>36</v>
      </c>
      <c r="H1395" t="s">
        <v>12</v>
      </c>
      <c r="I1395" t="str">
        <f t="shared" si="106"/>
        <v>2-0</v>
      </c>
      <c r="J1395" t="str">
        <f t="shared" si="107"/>
        <v>2</v>
      </c>
      <c r="K1395" t="str">
        <f t="shared" si="108"/>
        <v>0</v>
      </c>
      <c r="L1395" t="str">
        <f t="shared" si="109"/>
        <v>Villarreal CF</v>
      </c>
      <c r="M1395" t="str">
        <f>IF(COUNTIF($A$2:A1395,A1395)=1,
     VLOOKUP(A1395,Season_Winners!A:B,2,FALSE),
     "")</f>
        <v/>
      </c>
    </row>
    <row r="1396" spans="1:14" x14ac:dyDescent="0.3">
      <c r="A1396" t="s">
        <v>460</v>
      </c>
      <c r="B1396">
        <v>26</v>
      </c>
      <c r="C1396" t="s">
        <v>558</v>
      </c>
      <c r="D1396" t="str">
        <f t="shared" si="105"/>
        <v>04.03.2017</v>
      </c>
      <c r="E1396" s="1">
        <v>0.86458333333333337</v>
      </c>
      <c r="F1396" t="s">
        <v>20</v>
      </c>
      <c r="G1396" t="s">
        <v>35</v>
      </c>
      <c r="H1396" t="s">
        <v>40</v>
      </c>
      <c r="I1396" t="str">
        <f t="shared" si="106"/>
        <v>5-0</v>
      </c>
      <c r="J1396" t="str">
        <f t="shared" si="107"/>
        <v>5</v>
      </c>
      <c r="K1396" t="str">
        <f t="shared" si="108"/>
        <v>0</v>
      </c>
      <c r="L1396" t="str">
        <f t="shared" si="109"/>
        <v>FC Barcelona</v>
      </c>
      <c r="M1396" t="str">
        <f>IF(COUNTIF($A$2:A1396,A1396)=1,
     VLOOKUP(A1396,Season_Winners!A:B,2,FALSE),
     "")</f>
        <v/>
      </c>
    </row>
    <row r="1397" spans="1:14" x14ac:dyDescent="0.3">
      <c r="A1397" t="s">
        <v>460</v>
      </c>
      <c r="B1397">
        <v>26</v>
      </c>
      <c r="C1397" t="s">
        <v>559</v>
      </c>
      <c r="D1397" t="str">
        <f t="shared" si="105"/>
        <v>05.03.2017</v>
      </c>
      <c r="E1397" s="1">
        <v>0.5</v>
      </c>
      <c r="F1397" t="s">
        <v>340</v>
      </c>
      <c r="G1397" t="s">
        <v>182</v>
      </c>
      <c r="H1397" t="s">
        <v>42</v>
      </c>
      <c r="I1397" t="str">
        <f t="shared" si="106"/>
        <v>0-1</v>
      </c>
      <c r="J1397" t="str">
        <f t="shared" si="107"/>
        <v>0</v>
      </c>
      <c r="K1397" t="str">
        <f t="shared" si="108"/>
        <v>1</v>
      </c>
      <c r="L1397" t="str">
        <f t="shared" si="109"/>
        <v>RC Deportivo</v>
      </c>
      <c r="M1397" t="str">
        <f>IF(COUNTIF($A$2:A1397,A1397)=1,
     VLOOKUP(A1397,Season_Winners!A:B,2,FALSE),
     "")</f>
        <v/>
      </c>
    </row>
    <row r="1398" spans="1:14" x14ac:dyDescent="0.3">
      <c r="A1398" t="s">
        <v>460</v>
      </c>
      <c r="B1398">
        <v>26</v>
      </c>
      <c r="C1398" t="s">
        <v>559</v>
      </c>
      <c r="D1398" t="str">
        <f t="shared" si="105"/>
        <v>05.03.2017</v>
      </c>
      <c r="E1398" s="1">
        <v>0.67708333333333337</v>
      </c>
      <c r="F1398" t="s">
        <v>1425</v>
      </c>
      <c r="G1398" t="s">
        <v>16</v>
      </c>
      <c r="H1398" t="s">
        <v>32</v>
      </c>
      <c r="I1398" t="str">
        <f t="shared" si="106"/>
        <v>3-0</v>
      </c>
      <c r="J1398" t="str">
        <f t="shared" si="107"/>
        <v>3</v>
      </c>
      <c r="K1398" t="str">
        <f t="shared" si="108"/>
        <v>0</v>
      </c>
      <c r="L1398" t="str">
        <f t="shared" si="109"/>
        <v>Atlético de Madrid</v>
      </c>
      <c r="M1398" t="str">
        <f>IF(COUNTIF($A$2:A1398,A1398)=1,
     VLOOKUP(A1398,Season_Winners!A:B,2,FALSE),
     "")</f>
        <v/>
      </c>
    </row>
    <row r="1399" spans="1:14" hidden="1" x14ac:dyDescent="0.3">
      <c r="A1399" t="s">
        <v>460</v>
      </c>
      <c r="B1399">
        <v>26</v>
      </c>
      <c r="C1399" t="s">
        <v>559</v>
      </c>
      <c r="D1399" t="str">
        <f t="shared" si="105"/>
        <v>05.03.2017</v>
      </c>
      <c r="E1399" s="1">
        <v>0.77083333333333337</v>
      </c>
      <c r="F1399" t="s">
        <v>338</v>
      </c>
      <c r="G1399" t="s">
        <v>23</v>
      </c>
      <c r="H1399" s="2">
        <v>46058</v>
      </c>
      <c r="I1399" s="3" t="str">
        <f t="shared" si="106"/>
        <v/>
      </c>
      <c r="J1399" t="str">
        <f t="shared" si="107"/>
        <v/>
      </c>
      <c r="K1399" t="str">
        <f t="shared" si="108"/>
        <v/>
      </c>
      <c r="L1399" t="str">
        <f t="shared" si="109"/>
        <v/>
      </c>
      <c r="M1399" t="str">
        <f>IF(COUNTIF($A$2:A1399,A1399)=1,
     VLOOKUP(A1399,Season_Winners!A:B,2,FALSE),
     "")</f>
        <v/>
      </c>
      <c r="N1399" s="2"/>
    </row>
    <row r="1400" spans="1:14" x14ac:dyDescent="0.3">
      <c r="A1400" t="s">
        <v>460</v>
      </c>
      <c r="B1400">
        <v>26</v>
      </c>
      <c r="C1400" t="s">
        <v>559</v>
      </c>
      <c r="D1400" t="str">
        <f t="shared" si="105"/>
        <v>05.03.2017</v>
      </c>
      <c r="E1400" s="1">
        <v>0.86458333333333337</v>
      </c>
      <c r="F1400" t="s">
        <v>15</v>
      </c>
      <c r="G1400" t="s">
        <v>17</v>
      </c>
      <c r="H1400" t="s">
        <v>18</v>
      </c>
      <c r="I1400" t="str">
        <f t="shared" si="106"/>
        <v>1-0</v>
      </c>
      <c r="J1400" t="str">
        <f t="shared" si="107"/>
        <v>1</v>
      </c>
      <c r="K1400" t="str">
        <f t="shared" si="108"/>
        <v>0</v>
      </c>
      <c r="L1400" t="str">
        <f t="shared" si="109"/>
        <v>Athletic Club</v>
      </c>
      <c r="M1400" t="str">
        <f>IF(COUNTIF($A$2:A1400,A1400)=1,
     VLOOKUP(A1400,Season_Winners!A:B,2,FALSE),
     "")</f>
        <v/>
      </c>
    </row>
    <row r="1401" spans="1:14" hidden="1" x14ac:dyDescent="0.3">
      <c r="A1401" t="s">
        <v>460</v>
      </c>
      <c r="B1401">
        <v>26</v>
      </c>
      <c r="C1401" t="s">
        <v>560</v>
      </c>
      <c r="D1401" t="str">
        <f t="shared" si="105"/>
        <v>06.03.2017</v>
      </c>
      <c r="E1401" s="1">
        <v>0.86458333333333337</v>
      </c>
      <c r="F1401" t="s">
        <v>464</v>
      </c>
      <c r="G1401" t="s">
        <v>27</v>
      </c>
      <c r="H1401" s="2">
        <v>46023</v>
      </c>
      <c r="I1401" s="3" t="str">
        <f t="shared" si="106"/>
        <v/>
      </c>
      <c r="J1401" t="str">
        <f t="shared" si="107"/>
        <v/>
      </c>
      <c r="K1401" t="str">
        <f t="shared" si="108"/>
        <v/>
      </c>
      <c r="L1401" t="str">
        <f t="shared" si="109"/>
        <v/>
      </c>
      <c r="M1401" t="str">
        <f>IF(COUNTIF($A$2:A1401,A1401)=1,
     VLOOKUP(A1401,Season_Winners!A:B,2,FALSE),
     "")</f>
        <v/>
      </c>
      <c r="N1401" s="2"/>
    </row>
    <row r="1402" spans="1:14" hidden="1" x14ac:dyDescent="0.3">
      <c r="A1402" t="s">
        <v>460</v>
      </c>
      <c r="B1402">
        <v>27</v>
      </c>
      <c r="C1402" t="s">
        <v>561</v>
      </c>
      <c r="D1402" t="str">
        <f t="shared" si="105"/>
        <v>10.03.2017</v>
      </c>
      <c r="E1402" s="1">
        <v>0.86458333333333337</v>
      </c>
      <c r="F1402" t="s">
        <v>36</v>
      </c>
      <c r="G1402" t="s">
        <v>338</v>
      </c>
      <c r="H1402" s="2">
        <v>46085</v>
      </c>
      <c r="I1402" s="3" t="str">
        <f t="shared" si="106"/>
        <v/>
      </c>
      <c r="J1402" t="str">
        <f t="shared" si="107"/>
        <v/>
      </c>
      <c r="K1402" t="str">
        <f t="shared" si="108"/>
        <v/>
      </c>
      <c r="L1402" t="str">
        <f t="shared" si="109"/>
        <v/>
      </c>
      <c r="M1402" t="str">
        <f>IF(COUNTIF($A$2:A1402,A1402)=1,
     VLOOKUP(A1402,Season_Winners!A:B,2,FALSE),
     "")</f>
        <v/>
      </c>
      <c r="N1402" s="2"/>
    </row>
    <row r="1403" spans="1:14" hidden="1" x14ac:dyDescent="0.3">
      <c r="A1403" t="s">
        <v>460</v>
      </c>
      <c r="B1403">
        <v>27</v>
      </c>
      <c r="C1403" t="s">
        <v>562</v>
      </c>
      <c r="D1403" t="str">
        <f t="shared" si="105"/>
        <v>11.03.2017</v>
      </c>
      <c r="E1403" s="1">
        <v>0.54166666666666663</v>
      </c>
      <c r="F1403" t="s">
        <v>16</v>
      </c>
      <c r="G1403" t="s">
        <v>340</v>
      </c>
      <c r="H1403" s="2">
        <v>46023</v>
      </c>
      <c r="I1403" s="3" t="str">
        <f t="shared" si="106"/>
        <v/>
      </c>
      <c r="J1403" t="str">
        <f t="shared" si="107"/>
        <v/>
      </c>
      <c r="K1403" t="str">
        <f t="shared" si="108"/>
        <v/>
      </c>
      <c r="L1403" t="str">
        <f t="shared" si="109"/>
        <v/>
      </c>
      <c r="M1403" t="str">
        <f>IF(COUNTIF($A$2:A1403,A1403)=1,
     VLOOKUP(A1403,Season_Winners!A:B,2,FALSE),
     "")</f>
        <v/>
      </c>
      <c r="N1403" s="2"/>
    </row>
    <row r="1404" spans="1:14" hidden="1" x14ac:dyDescent="0.3">
      <c r="A1404" t="s">
        <v>460</v>
      </c>
      <c r="B1404">
        <v>27</v>
      </c>
      <c r="C1404" t="s">
        <v>562</v>
      </c>
      <c r="D1404" t="str">
        <f t="shared" si="105"/>
        <v>11.03.2017</v>
      </c>
      <c r="E1404" s="1">
        <v>0.67708333333333337</v>
      </c>
      <c r="F1404" t="s">
        <v>27</v>
      </c>
      <c r="G1404" t="s">
        <v>466</v>
      </c>
      <c r="H1404" s="2">
        <v>46023</v>
      </c>
      <c r="I1404" s="3" t="str">
        <f t="shared" si="106"/>
        <v/>
      </c>
      <c r="J1404" t="str">
        <f t="shared" si="107"/>
        <v/>
      </c>
      <c r="K1404" t="str">
        <f t="shared" si="108"/>
        <v/>
      </c>
      <c r="L1404" t="str">
        <f t="shared" si="109"/>
        <v/>
      </c>
      <c r="M1404" t="str">
        <f>IF(COUNTIF($A$2:A1404,A1404)=1,
     VLOOKUP(A1404,Season_Winners!A:B,2,FALSE),
     "")</f>
        <v/>
      </c>
      <c r="N1404" s="2"/>
    </row>
    <row r="1405" spans="1:14" hidden="1" x14ac:dyDescent="0.3">
      <c r="A1405" t="s">
        <v>460</v>
      </c>
      <c r="B1405">
        <v>27</v>
      </c>
      <c r="C1405" t="s">
        <v>562</v>
      </c>
      <c r="D1405" t="str">
        <f t="shared" si="105"/>
        <v>11.03.2017</v>
      </c>
      <c r="E1405" s="1">
        <v>0.77083333333333337</v>
      </c>
      <c r="F1405" t="s">
        <v>17</v>
      </c>
      <c r="G1405" t="s">
        <v>464</v>
      </c>
      <c r="H1405" s="2">
        <v>46054</v>
      </c>
      <c r="I1405" s="3" t="str">
        <f t="shared" si="106"/>
        <v/>
      </c>
      <c r="J1405" t="str">
        <f t="shared" si="107"/>
        <v/>
      </c>
      <c r="K1405" t="str">
        <f t="shared" si="108"/>
        <v/>
      </c>
      <c r="L1405" t="str">
        <f t="shared" si="109"/>
        <v/>
      </c>
      <c r="M1405" t="str">
        <f>IF(COUNTIF($A$2:A1405,A1405)=1,
     VLOOKUP(A1405,Season_Winners!A:B,2,FALSE),
     "")</f>
        <v/>
      </c>
      <c r="N1405" s="2"/>
    </row>
    <row r="1406" spans="1:14" x14ac:dyDescent="0.3">
      <c r="A1406" t="s">
        <v>460</v>
      </c>
      <c r="B1406">
        <v>27</v>
      </c>
      <c r="C1406" t="s">
        <v>562</v>
      </c>
      <c r="D1406" t="str">
        <f t="shared" si="105"/>
        <v>11.03.2017</v>
      </c>
      <c r="E1406" s="1">
        <v>0.86458333333333337</v>
      </c>
      <c r="F1406" t="s">
        <v>24</v>
      </c>
      <c r="G1406" t="s">
        <v>1425</v>
      </c>
      <c r="H1406" t="s">
        <v>42</v>
      </c>
      <c r="I1406" t="str">
        <f t="shared" si="106"/>
        <v>0-1</v>
      </c>
      <c r="J1406" t="str">
        <f t="shared" si="107"/>
        <v>0</v>
      </c>
      <c r="K1406" t="str">
        <f t="shared" si="108"/>
        <v>1</v>
      </c>
      <c r="L1406" t="str">
        <f t="shared" si="109"/>
        <v>Atlético de Madrid</v>
      </c>
      <c r="M1406" t="str">
        <f>IF(COUNTIF($A$2:A1406,A1406)=1,
     VLOOKUP(A1406,Season_Winners!A:B,2,FALSE),
     "")</f>
        <v/>
      </c>
    </row>
    <row r="1407" spans="1:14" x14ac:dyDescent="0.3">
      <c r="A1407" t="s">
        <v>460</v>
      </c>
      <c r="B1407">
        <v>27</v>
      </c>
      <c r="C1407" t="s">
        <v>563</v>
      </c>
      <c r="D1407" t="str">
        <f t="shared" si="105"/>
        <v>12.03.2017</v>
      </c>
      <c r="E1407" s="1">
        <v>0.5</v>
      </c>
      <c r="F1407" t="s">
        <v>10</v>
      </c>
      <c r="G1407" t="s">
        <v>15</v>
      </c>
      <c r="H1407" t="s">
        <v>54</v>
      </c>
      <c r="I1407" t="str">
        <f t="shared" si="106"/>
        <v>0-2</v>
      </c>
      <c r="J1407" t="str">
        <f t="shared" si="107"/>
        <v>0</v>
      </c>
      <c r="K1407" t="str">
        <f t="shared" si="108"/>
        <v>2</v>
      </c>
      <c r="L1407" t="str">
        <f t="shared" si="109"/>
        <v>Athletic Club</v>
      </c>
      <c r="M1407" t="str">
        <f>IF(COUNTIF($A$2:A1407,A1407)=1,
     VLOOKUP(A1407,Season_Winners!A:B,2,FALSE),
     "")</f>
        <v/>
      </c>
    </row>
    <row r="1408" spans="1:14" hidden="1" x14ac:dyDescent="0.3">
      <c r="A1408" t="s">
        <v>460</v>
      </c>
      <c r="B1408">
        <v>27</v>
      </c>
      <c r="C1408" t="s">
        <v>563</v>
      </c>
      <c r="D1408" t="str">
        <f t="shared" si="105"/>
        <v>12.03.2017</v>
      </c>
      <c r="E1408" s="1">
        <v>0.67708333333333337</v>
      </c>
      <c r="F1408" t="s">
        <v>182</v>
      </c>
      <c r="G1408" t="s">
        <v>20</v>
      </c>
      <c r="H1408" s="2">
        <v>46024</v>
      </c>
      <c r="I1408" s="3" t="str">
        <f t="shared" si="106"/>
        <v/>
      </c>
      <c r="J1408" t="str">
        <f t="shared" si="107"/>
        <v/>
      </c>
      <c r="K1408" t="str">
        <f t="shared" si="108"/>
        <v/>
      </c>
      <c r="L1408" t="str">
        <f t="shared" si="109"/>
        <v/>
      </c>
      <c r="M1408" t="str">
        <f>IF(COUNTIF($A$2:A1408,A1408)=1,
     VLOOKUP(A1408,Season_Winners!A:B,2,FALSE),
     "")</f>
        <v/>
      </c>
      <c r="N1408" s="2"/>
    </row>
    <row r="1409" spans="1:14" x14ac:dyDescent="0.3">
      <c r="A1409" t="s">
        <v>460</v>
      </c>
      <c r="B1409">
        <v>27</v>
      </c>
      <c r="C1409" t="s">
        <v>563</v>
      </c>
      <c r="D1409" t="str">
        <f t="shared" si="105"/>
        <v>12.03.2017</v>
      </c>
      <c r="E1409" s="1">
        <v>0.77083333333333337</v>
      </c>
      <c r="F1409" t="s">
        <v>35</v>
      </c>
      <c r="G1409" t="s">
        <v>34</v>
      </c>
      <c r="H1409" t="s">
        <v>42</v>
      </c>
      <c r="I1409" t="str">
        <f t="shared" si="106"/>
        <v>0-1</v>
      </c>
      <c r="J1409" t="str">
        <f t="shared" si="107"/>
        <v>0</v>
      </c>
      <c r="K1409" t="str">
        <f t="shared" si="108"/>
        <v>1</v>
      </c>
      <c r="L1409" t="str">
        <f t="shared" si="109"/>
        <v>Villarreal CF</v>
      </c>
      <c r="M1409" t="str">
        <f>IF(COUNTIF($A$2:A1409,A1409)=1,
     VLOOKUP(A1409,Season_Winners!A:B,2,FALSE),
     "")</f>
        <v/>
      </c>
    </row>
    <row r="1410" spans="1:14" hidden="1" x14ac:dyDescent="0.3">
      <c r="A1410" t="s">
        <v>460</v>
      </c>
      <c r="B1410">
        <v>27</v>
      </c>
      <c r="C1410" t="s">
        <v>563</v>
      </c>
      <c r="D1410" t="str">
        <f t="shared" ref="D1410:D1473" si="110">RIGHT(C1410,10)</f>
        <v>12.03.2017</v>
      </c>
      <c r="E1410" s="1">
        <v>0.86458333333333337</v>
      </c>
      <c r="F1410" t="s">
        <v>25</v>
      </c>
      <c r="G1410" t="s">
        <v>26</v>
      </c>
      <c r="H1410" s="2">
        <v>46024</v>
      </c>
      <c r="I1410" s="3" t="str">
        <f t="shared" ref="I1410:I1473" si="111">IF(ISNUMBER(SEARCH("-",H1410)),H1410,"")</f>
        <v/>
      </c>
      <c r="J1410" t="str">
        <f t="shared" ref="J1410:J1473" si="112">IF(I1410="","",LEFT(I1410,FIND("-",I1410)-1))</f>
        <v/>
      </c>
      <c r="K1410" t="str">
        <f t="shared" ref="K1410:K1473" si="113">IF(I1410="","",RIGHT(I1410,LEN(I1410)-FIND("-",I1410)))</f>
        <v/>
      </c>
      <c r="L1410" t="str">
        <f t="shared" ref="L1410:L1473" si="114">IF(I1410="","",IF(J1410&gt;K1410,F1410,IF(K1410&gt;J1410,G1410,"Draw")))</f>
        <v/>
      </c>
      <c r="M1410" t="str">
        <f>IF(COUNTIF($A$2:A1410,A1410)=1,
     VLOOKUP(A1410,Season_Winners!A:B,2,FALSE),
     "")</f>
        <v/>
      </c>
      <c r="N1410" s="2"/>
    </row>
    <row r="1411" spans="1:14" hidden="1" x14ac:dyDescent="0.3">
      <c r="A1411" t="s">
        <v>460</v>
      </c>
      <c r="B1411">
        <v>27</v>
      </c>
      <c r="C1411" t="s">
        <v>564</v>
      </c>
      <c r="D1411" t="str">
        <f t="shared" si="110"/>
        <v>13.03.2017</v>
      </c>
      <c r="E1411" s="1">
        <v>0.86458333333333337</v>
      </c>
      <c r="F1411" t="s">
        <v>23</v>
      </c>
      <c r="G1411" t="s">
        <v>187</v>
      </c>
      <c r="H1411" s="2">
        <v>46023</v>
      </c>
      <c r="I1411" s="3" t="str">
        <f t="shared" si="111"/>
        <v/>
      </c>
      <c r="J1411" t="str">
        <f t="shared" si="112"/>
        <v/>
      </c>
      <c r="K1411" t="str">
        <f t="shared" si="113"/>
        <v/>
      </c>
      <c r="L1411" t="str">
        <f t="shared" si="114"/>
        <v/>
      </c>
      <c r="M1411" t="str">
        <f>IF(COUNTIF($A$2:A1411,A1411)=1,
     VLOOKUP(A1411,Season_Winners!A:B,2,FALSE),
     "")</f>
        <v/>
      </c>
      <c r="N1411" s="2"/>
    </row>
    <row r="1412" spans="1:14" x14ac:dyDescent="0.3">
      <c r="A1412" t="s">
        <v>460</v>
      </c>
      <c r="B1412">
        <v>28</v>
      </c>
      <c r="C1412" t="s">
        <v>565</v>
      </c>
      <c r="D1412" t="str">
        <f t="shared" si="110"/>
        <v>17.03.2017</v>
      </c>
      <c r="E1412" s="1">
        <v>0.86458333333333337</v>
      </c>
      <c r="F1412" t="s">
        <v>338</v>
      </c>
      <c r="G1412" t="s">
        <v>34</v>
      </c>
      <c r="H1412" t="s">
        <v>18</v>
      </c>
      <c r="I1412" t="str">
        <f t="shared" si="111"/>
        <v>1-0</v>
      </c>
      <c r="J1412" t="str">
        <f t="shared" si="112"/>
        <v>1</v>
      </c>
      <c r="K1412" t="str">
        <f t="shared" si="113"/>
        <v>0</v>
      </c>
      <c r="L1412" t="str">
        <f t="shared" si="114"/>
        <v>UD Las Palmas</v>
      </c>
      <c r="M1412" t="str">
        <f>IF(COUNTIF($A$2:A1412,A1412)=1,
     VLOOKUP(A1412,Season_Winners!A:B,2,FALSE),
     "")</f>
        <v/>
      </c>
    </row>
    <row r="1413" spans="1:14" hidden="1" x14ac:dyDescent="0.3">
      <c r="A1413" t="s">
        <v>460</v>
      </c>
      <c r="B1413">
        <v>28</v>
      </c>
      <c r="C1413" t="s">
        <v>566</v>
      </c>
      <c r="D1413" t="str">
        <f t="shared" si="110"/>
        <v>18.03.2017</v>
      </c>
      <c r="E1413" s="1">
        <v>0.54166666666666663</v>
      </c>
      <c r="F1413" t="s">
        <v>187</v>
      </c>
      <c r="G1413" t="s">
        <v>36</v>
      </c>
      <c r="H1413" s="2">
        <v>46023</v>
      </c>
      <c r="I1413" s="3" t="str">
        <f t="shared" si="111"/>
        <v/>
      </c>
      <c r="J1413" t="str">
        <f t="shared" si="112"/>
        <v/>
      </c>
      <c r="K1413" t="str">
        <f t="shared" si="113"/>
        <v/>
      </c>
      <c r="L1413" t="str">
        <f t="shared" si="114"/>
        <v/>
      </c>
      <c r="M1413" t="str">
        <f>IF(COUNTIF($A$2:A1413,A1413)=1,
     VLOOKUP(A1413,Season_Winners!A:B,2,FALSE),
     "")</f>
        <v/>
      </c>
      <c r="N1413" s="2"/>
    </row>
    <row r="1414" spans="1:14" hidden="1" x14ac:dyDescent="0.3">
      <c r="A1414" t="s">
        <v>460</v>
      </c>
      <c r="B1414">
        <v>28</v>
      </c>
      <c r="C1414" t="s">
        <v>566</v>
      </c>
      <c r="D1414" t="str">
        <f t="shared" si="110"/>
        <v>18.03.2017</v>
      </c>
      <c r="E1414" s="1">
        <v>0.67708333333333337</v>
      </c>
      <c r="F1414" t="s">
        <v>15</v>
      </c>
      <c r="G1414" t="s">
        <v>25</v>
      </c>
      <c r="H1414" s="2">
        <v>46054</v>
      </c>
      <c r="I1414" s="3" t="str">
        <f t="shared" si="111"/>
        <v/>
      </c>
      <c r="J1414" t="str">
        <f t="shared" si="112"/>
        <v/>
      </c>
      <c r="K1414" t="str">
        <f t="shared" si="113"/>
        <v/>
      </c>
      <c r="L1414" t="str">
        <f t="shared" si="114"/>
        <v/>
      </c>
      <c r="M1414" t="str">
        <f>IF(COUNTIF($A$2:A1414,A1414)=1,
     VLOOKUP(A1414,Season_Winners!A:B,2,FALSE),
     "")</f>
        <v/>
      </c>
      <c r="N1414" s="2"/>
    </row>
    <row r="1415" spans="1:14" x14ac:dyDescent="0.3">
      <c r="A1415" t="s">
        <v>460</v>
      </c>
      <c r="B1415">
        <v>28</v>
      </c>
      <c r="C1415" t="s">
        <v>566</v>
      </c>
      <c r="D1415" t="str">
        <f t="shared" si="110"/>
        <v>18.03.2017</v>
      </c>
      <c r="E1415" s="1">
        <v>0.77083333333333337</v>
      </c>
      <c r="F1415" t="s">
        <v>464</v>
      </c>
      <c r="G1415" t="s">
        <v>10</v>
      </c>
      <c r="H1415" t="s">
        <v>18</v>
      </c>
      <c r="I1415" t="str">
        <f t="shared" si="111"/>
        <v>1-0</v>
      </c>
      <c r="J1415" t="str">
        <f t="shared" si="112"/>
        <v>1</v>
      </c>
      <c r="K1415" t="str">
        <f t="shared" si="113"/>
        <v>0</v>
      </c>
      <c r="L1415" t="str">
        <f t="shared" si="114"/>
        <v>Deportivo AlavÃ©s</v>
      </c>
      <c r="M1415" t="str">
        <f>IF(COUNTIF($A$2:A1415,A1415)=1,
     VLOOKUP(A1415,Season_Winners!A:B,2,FALSE),
     "")</f>
        <v/>
      </c>
    </row>
    <row r="1416" spans="1:14" x14ac:dyDescent="0.3">
      <c r="A1416" t="s">
        <v>460</v>
      </c>
      <c r="B1416">
        <v>28</v>
      </c>
      <c r="C1416" t="s">
        <v>566</v>
      </c>
      <c r="D1416" t="str">
        <f t="shared" si="110"/>
        <v>18.03.2017</v>
      </c>
      <c r="E1416" s="1">
        <v>0.86458333333333337</v>
      </c>
      <c r="F1416" t="s">
        <v>26</v>
      </c>
      <c r="G1416" t="s">
        <v>23</v>
      </c>
      <c r="H1416" t="s">
        <v>12</v>
      </c>
      <c r="I1416" t="str">
        <f t="shared" si="111"/>
        <v>2-0</v>
      </c>
      <c r="J1416" t="str">
        <f t="shared" si="112"/>
        <v>2</v>
      </c>
      <c r="K1416" t="str">
        <f t="shared" si="113"/>
        <v>0</v>
      </c>
      <c r="L1416" t="str">
        <f t="shared" si="114"/>
        <v>Real Betis</v>
      </c>
      <c r="M1416" t="str">
        <f>IF(COUNTIF($A$2:A1416,A1416)=1,
     VLOOKUP(A1416,Season_Winners!A:B,2,FALSE),
     "")</f>
        <v/>
      </c>
    </row>
    <row r="1417" spans="1:14" x14ac:dyDescent="0.3">
      <c r="A1417" t="s">
        <v>460</v>
      </c>
      <c r="B1417">
        <v>28</v>
      </c>
      <c r="C1417" t="s">
        <v>567</v>
      </c>
      <c r="D1417" t="str">
        <f t="shared" si="110"/>
        <v>19.03.2017</v>
      </c>
      <c r="E1417" s="1">
        <v>0.5</v>
      </c>
      <c r="F1417" t="s">
        <v>466</v>
      </c>
      <c r="G1417" t="s">
        <v>17</v>
      </c>
      <c r="H1417" t="s">
        <v>41</v>
      </c>
      <c r="I1417" t="str">
        <f t="shared" si="111"/>
        <v>0-0</v>
      </c>
      <c r="J1417" t="str">
        <f t="shared" si="112"/>
        <v>0</v>
      </c>
      <c r="K1417" t="str">
        <f t="shared" si="113"/>
        <v>0</v>
      </c>
      <c r="L1417" t="str">
        <f t="shared" si="114"/>
        <v>Draw</v>
      </c>
      <c r="M1417" t="str">
        <f>IF(COUNTIF($A$2:A1417,A1417)=1,
     VLOOKUP(A1417,Season_Winners!A:B,2,FALSE),
     "")</f>
        <v/>
      </c>
    </row>
    <row r="1418" spans="1:14" hidden="1" x14ac:dyDescent="0.3">
      <c r="A1418" t="s">
        <v>460</v>
      </c>
      <c r="B1418">
        <v>28</v>
      </c>
      <c r="C1418" t="s">
        <v>567</v>
      </c>
      <c r="D1418" t="str">
        <f t="shared" si="110"/>
        <v>19.03.2017</v>
      </c>
      <c r="E1418" s="1">
        <v>0.67708333333333337</v>
      </c>
      <c r="F1418" t="s">
        <v>28</v>
      </c>
      <c r="G1418" t="s">
        <v>27</v>
      </c>
      <c r="H1418" s="2">
        <v>46025</v>
      </c>
      <c r="I1418" s="3" t="str">
        <f t="shared" si="111"/>
        <v/>
      </c>
      <c r="J1418" t="str">
        <f t="shared" si="112"/>
        <v/>
      </c>
      <c r="K1418" t="str">
        <f t="shared" si="113"/>
        <v/>
      </c>
      <c r="L1418" t="str">
        <f t="shared" si="114"/>
        <v/>
      </c>
      <c r="M1418" t="str">
        <f>IF(COUNTIF($A$2:A1418,A1418)=1,
     VLOOKUP(A1418,Season_Winners!A:B,2,FALSE),
     "")</f>
        <v/>
      </c>
      <c r="N1418" s="2"/>
    </row>
    <row r="1419" spans="1:14" x14ac:dyDescent="0.3">
      <c r="A1419" t="s">
        <v>460</v>
      </c>
      <c r="B1419">
        <v>28</v>
      </c>
      <c r="C1419" t="s">
        <v>567</v>
      </c>
      <c r="D1419" t="str">
        <f t="shared" si="110"/>
        <v>19.03.2017</v>
      </c>
      <c r="E1419" s="1">
        <v>0.77083333333333337</v>
      </c>
      <c r="F1419" t="s">
        <v>182</v>
      </c>
      <c r="G1419" t="s">
        <v>35</v>
      </c>
      <c r="H1419" t="s">
        <v>42</v>
      </c>
      <c r="I1419" t="str">
        <f t="shared" si="111"/>
        <v>0-1</v>
      </c>
      <c r="J1419" t="str">
        <f t="shared" si="112"/>
        <v>0</v>
      </c>
      <c r="K1419" t="str">
        <f t="shared" si="113"/>
        <v>1</v>
      </c>
      <c r="L1419" t="str">
        <f t="shared" si="114"/>
        <v>RC Celta</v>
      </c>
      <c r="M1419" t="str">
        <f>IF(COUNTIF($A$2:A1419,A1419)=1,
     VLOOKUP(A1419,Season_Winners!A:B,2,FALSE),
     "")</f>
        <v/>
      </c>
    </row>
    <row r="1420" spans="1:14" hidden="1" x14ac:dyDescent="0.3">
      <c r="A1420" t="s">
        <v>460</v>
      </c>
      <c r="B1420">
        <v>28</v>
      </c>
      <c r="C1420" t="s">
        <v>567</v>
      </c>
      <c r="D1420" t="str">
        <f t="shared" si="110"/>
        <v>19.03.2017</v>
      </c>
      <c r="E1420" s="1">
        <v>0.77083333333333337</v>
      </c>
      <c r="F1420" t="s">
        <v>340</v>
      </c>
      <c r="G1420" t="s">
        <v>24</v>
      </c>
      <c r="H1420" s="2">
        <v>46025</v>
      </c>
      <c r="I1420" s="3" t="str">
        <f t="shared" si="111"/>
        <v/>
      </c>
      <c r="J1420" t="str">
        <f t="shared" si="112"/>
        <v/>
      </c>
      <c r="K1420" t="str">
        <f t="shared" si="113"/>
        <v/>
      </c>
      <c r="L1420" t="str">
        <f t="shared" si="114"/>
        <v/>
      </c>
      <c r="M1420" t="str">
        <f>IF(COUNTIF($A$2:A1420,A1420)=1,
     VLOOKUP(A1420,Season_Winners!A:B,2,FALSE),
     "")</f>
        <v/>
      </c>
      <c r="N1420" s="2"/>
    </row>
    <row r="1421" spans="1:14" hidden="1" x14ac:dyDescent="0.3">
      <c r="A1421" t="s">
        <v>460</v>
      </c>
      <c r="B1421">
        <v>28</v>
      </c>
      <c r="C1421" t="s">
        <v>567</v>
      </c>
      <c r="D1421" t="str">
        <f t="shared" si="110"/>
        <v>19.03.2017</v>
      </c>
      <c r="E1421" s="1">
        <v>0.86458333333333337</v>
      </c>
      <c r="F1421" t="s">
        <v>20</v>
      </c>
      <c r="G1421" t="s">
        <v>16</v>
      </c>
      <c r="H1421" s="2">
        <v>46057</v>
      </c>
      <c r="I1421" s="3" t="str">
        <f t="shared" si="111"/>
        <v/>
      </c>
      <c r="J1421" t="str">
        <f t="shared" si="112"/>
        <v/>
      </c>
      <c r="K1421" t="str">
        <f t="shared" si="113"/>
        <v/>
      </c>
      <c r="L1421" t="str">
        <f t="shared" si="114"/>
        <v/>
      </c>
      <c r="M1421" t="str">
        <f>IF(COUNTIF($A$2:A1421,A1421)=1,
     VLOOKUP(A1421,Season_Winners!A:B,2,FALSE),
     "")</f>
        <v/>
      </c>
      <c r="N1421" s="2"/>
    </row>
    <row r="1422" spans="1:14" hidden="1" x14ac:dyDescent="0.3">
      <c r="A1422" t="s">
        <v>460</v>
      </c>
      <c r="B1422">
        <v>29</v>
      </c>
      <c r="C1422" t="s">
        <v>568</v>
      </c>
      <c r="D1422" t="str">
        <f t="shared" si="110"/>
        <v>31.03.2017</v>
      </c>
      <c r="E1422" s="1">
        <v>0.86458333333333337</v>
      </c>
      <c r="F1422" t="s">
        <v>36</v>
      </c>
      <c r="G1422" t="s">
        <v>26</v>
      </c>
      <c r="H1422" s="2">
        <v>46024</v>
      </c>
      <c r="I1422" s="3" t="str">
        <f t="shared" si="111"/>
        <v/>
      </c>
      <c r="J1422" t="str">
        <f t="shared" si="112"/>
        <v/>
      </c>
      <c r="K1422" t="str">
        <f t="shared" si="113"/>
        <v/>
      </c>
      <c r="L1422" t="str">
        <f t="shared" si="114"/>
        <v/>
      </c>
      <c r="M1422" t="str">
        <f>IF(COUNTIF($A$2:A1422,A1422)=1,
     VLOOKUP(A1422,Season_Winners!A:B,2,FALSE),
     "")</f>
        <v/>
      </c>
      <c r="N1422" s="2"/>
    </row>
    <row r="1423" spans="1:14" hidden="1" x14ac:dyDescent="0.3">
      <c r="A1423" t="s">
        <v>460</v>
      </c>
      <c r="B1423">
        <v>29</v>
      </c>
      <c r="C1423" t="s">
        <v>569</v>
      </c>
      <c r="D1423" t="str">
        <f t="shared" si="110"/>
        <v>01.04.2017</v>
      </c>
      <c r="E1423" s="1">
        <v>0.54166666666666663</v>
      </c>
      <c r="F1423" t="s">
        <v>34</v>
      </c>
      <c r="G1423" t="s">
        <v>187</v>
      </c>
      <c r="H1423" s="2">
        <v>46083</v>
      </c>
      <c r="I1423" s="3" t="str">
        <f t="shared" si="111"/>
        <v/>
      </c>
      <c r="J1423" t="str">
        <f t="shared" si="112"/>
        <v/>
      </c>
      <c r="K1423" t="str">
        <f t="shared" si="113"/>
        <v/>
      </c>
      <c r="L1423" t="str">
        <f t="shared" si="114"/>
        <v/>
      </c>
      <c r="M1423" t="str">
        <f>IF(COUNTIF($A$2:A1423,A1423)=1,
     VLOOKUP(A1423,Season_Winners!A:B,2,FALSE),
     "")</f>
        <v/>
      </c>
      <c r="N1423" s="2"/>
    </row>
    <row r="1424" spans="1:14" hidden="1" x14ac:dyDescent="0.3">
      <c r="A1424" t="s">
        <v>460</v>
      </c>
      <c r="B1424">
        <v>29</v>
      </c>
      <c r="C1424" t="s">
        <v>569</v>
      </c>
      <c r="D1424" t="str">
        <f t="shared" si="110"/>
        <v>01.04.2017</v>
      </c>
      <c r="E1424" s="1">
        <v>0.67708333333333337</v>
      </c>
      <c r="F1424" t="s">
        <v>23</v>
      </c>
      <c r="G1424" t="s">
        <v>15</v>
      </c>
      <c r="H1424" s="2">
        <v>46054</v>
      </c>
      <c r="I1424" s="3" t="str">
        <f t="shared" si="111"/>
        <v/>
      </c>
      <c r="J1424" t="str">
        <f t="shared" si="112"/>
        <v/>
      </c>
      <c r="K1424" t="str">
        <f t="shared" si="113"/>
        <v/>
      </c>
      <c r="L1424" t="str">
        <f t="shared" si="114"/>
        <v/>
      </c>
      <c r="M1424" t="str">
        <f>IF(COUNTIF($A$2:A1424,A1424)=1,
     VLOOKUP(A1424,Season_Winners!A:B,2,FALSE),
     "")</f>
        <v/>
      </c>
      <c r="N1424" s="2"/>
    </row>
    <row r="1425" spans="1:14" hidden="1" x14ac:dyDescent="0.3">
      <c r="A1425" t="s">
        <v>460</v>
      </c>
      <c r="B1425">
        <v>29</v>
      </c>
      <c r="C1425" t="s">
        <v>569</v>
      </c>
      <c r="D1425" t="str">
        <f t="shared" si="110"/>
        <v>01.04.2017</v>
      </c>
      <c r="E1425" s="1">
        <v>0.77083333333333337</v>
      </c>
      <c r="F1425" t="s">
        <v>10</v>
      </c>
      <c r="G1425" t="s">
        <v>466</v>
      </c>
      <c r="H1425" s="2">
        <v>46023</v>
      </c>
      <c r="I1425" s="3" t="str">
        <f t="shared" si="111"/>
        <v/>
      </c>
      <c r="J1425" t="str">
        <f t="shared" si="112"/>
        <v/>
      </c>
      <c r="K1425" t="str">
        <f t="shared" si="113"/>
        <v/>
      </c>
      <c r="L1425" t="str">
        <f t="shared" si="114"/>
        <v/>
      </c>
      <c r="M1425" t="str">
        <f>IF(COUNTIF($A$2:A1425,A1425)=1,
     VLOOKUP(A1425,Season_Winners!A:B,2,FALSE),
     "")</f>
        <v/>
      </c>
      <c r="N1425" s="2"/>
    </row>
    <row r="1426" spans="1:14" x14ac:dyDescent="0.3">
      <c r="A1426" t="s">
        <v>460</v>
      </c>
      <c r="B1426">
        <v>29</v>
      </c>
      <c r="C1426" t="s">
        <v>569</v>
      </c>
      <c r="D1426" t="str">
        <f t="shared" si="110"/>
        <v>01.04.2017</v>
      </c>
      <c r="E1426" s="1">
        <v>0.86458333333333337</v>
      </c>
      <c r="F1426" t="s">
        <v>17</v>
      </c>
      <c r="G1426" t="s">
        <v>1425</v>
      </c>
      <c r="H1426" t="s">
        <v>54</v>
      </c>
      <c r="I1426" t="str">
        <f t="shared" si="111"/>
        <v>0-2</v>
      </c>
      <c r="J1426" t="str">
        <f t="shared" si="112"/>
        <v>0</v>
      </c>
      <c r="K1426" t="str">
        <f t="shared" si="113"/>
        <v>2</v>
      </c>
      <c r="L1426" t="str">
        <f t="shared" si="114"/>
        <v>Atlético de Madrid</v>
      </c>
      <c r="M1426" t="str">
        <f>IF(COUNTIF($A$2:A1426,A1426)=1,
     VLOOKUP(A1426,Season_Winners!A:B,2,FALSE),
     "")</f>
        <v/>
      </c>
    </row>
    <row r="1427" spans="1:14" x14ac:dyDescent="0.3">
      <c r="A1427" t="s">
        <v>460</v>
      </c>
      <c r="B1427">
        <v>29</v>
      </c>
      <c r="C1427" t="s">
        <v>570</v>
      </c>
      <c r="D1427" t="str">
        <f t="shared" si="110"/>
        <v>02.04.2017</v>
      </c>
      <c r="E1427" s="1">
        <v>0.5</v>
      </c>
      <c r="F1427" t="s">
        <v>27</v>
      </c>
      <c r="G1427" t="s">
        <v>340</v>
      </c>
      <c r="H1427" t="s">
        <v>41</v>
      </c>
      <c r="I1427" t="str">
        <f t="shared" si="111"/>
        <v>0-0</v>
      </c>
      <c r="J1427" t="str">
        <f t="shared" si="112"/>
        <v>0</v>
      </c>
      <c r="K1427" t="str">
        <f t="shared" si="113"/>
        <v>0</v>
      </c>
      <c r="L1427" t="str">
        <f t="shared" si="114"/>
        <v>Draw</v>
      </c>
      <c r="M1427" t="str">
        <f>IF(COUNTIF($A$2:A1427,A1427)=1,
     VLOOKUP(A1427,Season_Winners!A:B,2,FALSE),
     "")</f>
        <v/>
      </c>
    </row>
    <row r="1428" spans="1:14" x14ac:dyDescent="0.3">
      <c r="A1428" t="s">
        <v>460</v>
      </c>
      <c r="B1428">
        <v>29</v>
      </c>
      <c r="C1428" t="s">
        <v>570</v>
      </c>
      <c r="D1428" t="str">
        <f t="shared" si="110"/>
        <v>02.04.2017</v>
      </c>
      <c r="E1428" s="1">
        <v>0.67708333333333337</v>
      </c>
      <c r="F1428" t="s">
        <v>25</v>
      </c>
      <c r="G1428" t="s">
        <v>464</v>
      </c>
      <c r="H1428" t="s">
        <v>32</v>
      </c>
      <c r="I1428" t="str">
        <f t="shared" si="111"/>
        <v>3-0</v>
      </c>
      <c r="J1428" t="str">
        <f t="shared" si="112"/>
        <v>3</v>
      </c>
      <c r="K1428" t="str">
        <f t="shared" si="113"/>
        <v>0</v>
      </c>
      <c r="L1428" t="str">
        <f t="shared" si="114"/>
        <v>Real Madrid</v>
      </c>
      <c r="M1428" t="str">
        <f>IF(COUNTIF($A$2:A1428,A1428)=1,
     VLOOKUP(A1428,Season_Winners!A:B,2,FALSE),
     "")</f>
        <v/>
      </c>
    </row>
    <row r="1429" spans="1:14" x14ac:dyDescent="0.3">
      <c r="A1429" t="s">
        <v>460</v>
      </c>
      <c r="B1429">
        <v>29</v>
      </c>
      <c r="C1429" t="s">
        <v>570</v>
      </c>
      <c r="D1429" t="str">
        <f t="shared" si="110"/>
        <v>02.04.2017</v>
      </c>
      <c r="E1429" s="1">
        <v>0.77083333333333337</v>
      </c>
      <c r="F1429" t="s">
        <v>16</v>
      </c>
      <c r="G1429" t="s">
        <v>182</v>
      </c>
      <c r="H1429" t="s">
        <v>32</v>
      </c>
      <c r="I1429" t="str">
        <f t="shared" si="111"/>
        <v>3-0</v>
      </c>
      <c r="J1429" t="str">
        <f t="shared" si="112"/>
        <v>3</v>
      </c>
      <c r="K1429" t="str">
        <f t="shared" si="113"/>
        <v>0</v>
      </c>
      <c r="L1429" t="str">
        <f t="shared" si="114"/>
        <v>Valencia CF</v>
      </c>
      <c r="M1429" t="str">
        <f>IF(COUNTIF($A$2:A1429,A1429)=1,
     VLOOKUP(A1429,Season_Winners!A:B,2,FALSE),
     "")</f>
        <v/>
      </c>
    </row>
    <row r="1430" spans="1:14" hidden="1" x14ac:dyDescent="0.3">
      <c r="A1430" t="s">
        <v>460</v>
      </c>
      <c r="B1430">
        <v>29</v>
      </c>
      <c r="C1430" t="s">
        <v>570</v>
      </c>
      <c r="D1430" t="str">
        <f t="shared" si="110"/>
        <v>02.04.2017</v>
      </c>
      <c r="E1430" s="1">
        <v>0.86458333333333337</v>
      </c>
      <c r="F1430" t="s">
        <v>24</v>
      </c>
      <c r="G1430" t="s">
        <v>20</v>
      </c>
      <c r="H1430" s="2">
        <v>46113</v>
      </c>
      <c r="I1430" s="3" t="str">
        <f t="shared" si="111"/>
        <v/>
      </c>
      <c r="J1430" t="str">
        <f t="shared" si="112"/>
        <v/>
      </c>
      <c r="K1430" t="str">
        <f t="shared" si="113"/>
        <v/>
      </c>
      <c r="L1430" t="str">
        <f t="shared" si="114"/>
        <v/>
      </c>
      <c r="M1430" t="str">
        <f>IF(COUNTIF($A$2:A1430,A1430)=1,
     VLOOKUP(A1430,Season_Winners!A:B,2,FALSE),
     "")</f>
        <v/>
      </c>
      <c r="N1430" s="2"/>
    </row>
    <row r="1431" spans="1:14" hidden="1" x14ac:dyDescent="0.3">
      <c r="A1431" t="s">
        <v>460</v>
      </c>
      <c r="B1431">
        <v>29</v>
      </c>
      <c r="C1431" t="s">
        <v>571</v>
      </c>
      <c r="D1431" t="str">
        <f t="shared" si="110"/>
        <v>03.04.2017</v>
      </c>
      <c r="E1431" s="1">
        <v>0.86458333333333337</v>
      </c>
      <c r="F1431" t="s">
        <v>35</v>
      </c>
      <c r="G1431" t="s">
        <v>338</v>
      </c>
      <c r="H1431" s="2">
        <v>46025</v>
      </c>
      <c r="I1431" s="3" t="str">
        <f t="shared" si="111"/>
        <v/>
      </c>
      <c r="J1431" t="str">
        <f t="shared" si="112"/>
        <v/>
      </c>
      <c r="K1431" t="str">
        <f t="shared" si="113"/>
        <v/>
      </c>
      <c r="L1431" t="str">
        <f t="shared" si="114"/>
        <v/>
      </c>
      <c r="M1431" t="str">
        <f>IF(COUNTIF($A$2:A1431,A1431)=1,
     VLOOKUP(A1431,Season_Winners!A:B,2,FALSE),
     "")</f>
        <v/>
      </c>
      <c r="N1431" s="2"/>
    </row>
    <row r="1432" spans="1:14" x14ac:dyDescent="0.3">
      <c r="A1432" t="s">
        <v>460</v>
      </c>
      <c r="B1432">
        <v>30</v>
      </c>
      <c r="C1432" t="s">
        <v>572</v>
      </c>
      <c r="D1432" t="str">
        <f t="shared" si="110"/>
        <v>04.04.2017</v>
      </c>
      <c r="E1432" s="1">
        <v>0.8125</v>
      </c>
      <c r="F1432" t="s">
        <v>15</v>
      </c>
      <c r="G1432" t="s">
        <v>36</v>
      </c>
      <c r="H1432" t="s">
        <v>12</v>
      </c>
      <c r="I1432" t="str">
        <f t="shared" si="111"/>
        <v>2-0</v>
      </c>
      <c r="J1432" t="str">
        <f t="shared" si="112"/>
        <v>2</v>
      </c>
      <c r="K1432" t="str">
        <f t="shared" si="113"/>
        <v>0</v>
      </c>
      <c r="L1432" t="str">
        <f t="shared" si="114"/>
        <v>Athletic Club</v>
      </c>
      <c r="M1432" t="str">
        <f>IF(COUNTIF($A$2:A1432,A1432)=1,
     VLOOKUP(A1432,Season_Winners!A:B,2,FALSE),
     "")</f>
        <v/>
      </c>
    </row>
    <row r="1433" spans="1:14" x14ac:dyDescent="0.3">
      <c r="A1433" t="s">
        <v>460</v>
      </c>
      <c r="B1433">
        <v>30</v>
      </c>
      <c r="C1433" t="s">
        <v>572</v>
      </c>
      <c r="D1433" t="str">
        <f t="shared" si="110"/>
        <v>04.04.2017</v>
      </c>
      <c r="E1433" s="1">
        <v>0.89583333333333337</v>
      </c>
      <c r="F1433" t="s">
        <v>1425</v>
      </c>
      <c r="G1433" t="s">
        <v>10</v>
      </c>
      <c r="H1433" t="s">
        <v>18</v>
      </c>
      <c r="I1433" t="str">
        <f t="shared" si="111"/>
        <v>1-0</v>
      </c>
      <c r="J1433" t="str">
        <f t="shared" si="112"/>
        <v>1</v>
      </c>
      <c r="K1433" t="str">
        <f t="shared" si="113"/>
        <v>0</v>
      </c>
      <c r="L1433" t="str">
        <f t="shared" si="114"/>
        <v>Atlético de Madrid</v>
      </c>
      <c r="M1433" t="str">
        <f>IF(COUNTIF($A$2:A1433,A1433)=1,
     VLOOKUP(A1433,Season_Winners!A:B,2,FALSE),
     "")</f>
        <v/>
      </c>
    </row>
    <row r="1434" spans="1:14" x14ac:dyDescent="0.3">
      <c r="A1434" t="s">
        <v>460</v>
      </c>
      <c r="B1434">
        <v>30</v>
      </c>
      <c r="C1434" t="s">
        <v>572</v>
      </c>
      <c r="D1434" t="str">
        <f t="shared" si="110"/>
        <v>04.04.2017</v>
      </c>
      <c r="E1434" s="1">
        <v>0.89583333333333337</v>
      </c>
      <c r="F1434" t="s">
        <v>26</v>
      </c>
      <c r="G1434" t="s">
        <v>34</v>
      </c>
      <c r="H1434" t="s">
        <v>42</v>
      </c>
      <c r="I1434" t="str">
        <f t="shared" si="111"/>
        <v>0-1</v>
      </c>
      <c r="J1434" t="str">
        <f t="shared" si="112"/>
        <v>0</v>
      </c>
      <c r="K1434" t="str">
        <f t="shared" si="113"/>
        <v>1</v>
      </c>
      <c r="L1434" t="str">
        <f t="shared" si="114"/>
        <v>Villarreal CF</v>
      </c>
      <c r="M1434" t="str">
        <f>IF(COUNTIF($A$2:A1434,A1434)=1,
     VLOOKUP(A1434,Season_Winners!A:B,2,FALSE),
     "")</f>
        <v/>
      </c>
    </row>
    <row r="1435" spans="1:14" x14ac:dyDescent="0.3">
      <c r="A1435" t="s">
        <v>460</v>
      </c>
      <c r="B1435">
        <v>30</v>
      </c>
      <c r="C1435" t="s">
        <v>573</v>
      </c>
      <c r="D1435" t="str">
        <f t="shared" si="110"/>
        <v>05.04.2017</v>
      </c>
      <c r="E1435" s="1">
        <v>0.8125</v>
      </c>
      <c r="F1435" t="s">
        <v>20</v>
      </c>
      <c r="G1435" t="s">
        <v>27</v>
      </c>
      <c r="H1435" t="s">
        <v>32</v>
      </c>
      <c r="I1435" t="str">
        <f t="shared" si="111"/>
        <v>3-0</v>
      </c>
      <c r="J1435" t="str">
        <f t="shared" si="112"/>
        <v>3</v>
      </c>
      <c r="K1435" t="str">
        <f t="shared" si="113"/>
        <v>0</v>
      </c>
      <c r="L1435" t="str">
        <f t="shared" si="114"/>
        <v>FC Barcelona</v>
      </c>
      <c r="M1435" t="str">
        <f>IF(COUNTIF($A$2:A1435,A1435)=1,
     VLOOKUP(A1435,Season_Winners!A:B,2,FALSE),
     "")</f>
        <v/>
      </c>
    </row>
    <row r="1436" spans="1:14" x14ac:dyDescent="0.3">
      <c r="A1436" t="s">
        <v>460</v>
      </c>
      <c r="B1436">
        <v>30</v>
      </c>
      <c r="C1436" t="s">
        <v>573</v>
      </c>
      <c r="D1436" t="str">
        <f t="shared" si="110"/>
        <v>05.04.2017</v>
      </c>
      <c r="E1436" s="1">
        <v>0.85416666666666663</v>
      </c>
      <c r="F1436" t="s">
        <v>464</v>
      </c>
      <c r="G1436" t="s">
        <v>23</v>
      </c>
      <c r="H1436" t="s">
        <v>42</v>
      </c>
      <c r="I1436" t="str">
        <f t="shared" si="111"/>
        <v>0-1</v>
      </c>
      <c r="J1436" t="str">
        <f t="shared" si="112"/>
        <v>0</v>
      </c>
      <c r="K1436" t="str">
        <f t="shared" si="113"/>
        <v>1</v>
      </c>
      <c r="L1436" t="str">
        <f t="shared" si="114"/>
        <v>CA Osasuna</v>
      </c>
      <c r="M1436" t="str">
        <f>IF(COUNTIF($A$2:A1436,A1436)=1,
     VLOOKUP(A1436,Season_Winners!A:B,2,FALSE),
     "")</f>
        <v/>
      </c>
    </row>
    <row r="1437" spans="1:14" x14ac:dyDescent="0.3">
      <c r="A1437" t="s">
        <v>460</v>
      </c>
      <c r="B1437">
        <v>30</v>
      </c>
      <c r="C1437" t="s">
        <v>573</v>
      </c>
      <c r="D1437" t="str">
        <f t="shared" si="110"/>
        <v>05.04.2017</v>
      </c>
      <c r="E1437" s="1">
        <v>0.85416666666666663</v>
      </c>
      <c r="F1437" t="s">
        <v>182</v>
      </c>
      <c r="G1437" t="s">
        <v>24</v>
      </c>
      <c r="H1437" t="s">
        <v>41</v>
      </c>
      <c r="I1437" t="str">
        <f t="shared" si="111"/>
        <v>0-0</v>
      </c>
      <c r="J1437" t="str">
        <f t="shared" si="112"/>
        <v>0</v>
      </c>
      <c r="K1437" t="str">
        <f t="shared" si="113"/>
        <v>0</v>
      </c>
      <c r="L1437" t="str">
        <f t="shared" si="114"/>
        <v>Draw</v>
      </c>
      <c r="M1437" t="str">
        <f>IF(COUNTIF($A$2:A1437,A1437)=1,
     VLOOKUP(A1437,Season_Winners!A:B,2,FALSE),
     "")</f>
        <v/>
      </c>
    </row>
    <row r="1438" spans="1:14" x14ac:dyDescent="0.3">
      <c r="A1438" t="s">
        <v>460</v>
      </c>
      <c r="B1438">
        <v>30</v>
      </c>
      <c r="C1438" t="s">
        <v>573</v>
      </c>
      <c r="D1438" t="str">
        <f t="shared" si="110"/>
        <v>05.04.2017</v>
      </c>
      <c r="E1438" s="1">
        <v>0.85416666666666663</v>
      </c>
      <c r="F1438" t="s">
        <v>340</v>
      </c>
      <c r="G1438" t="s">
        <v>17</v>
      </c>
      <c r="H1438" t="s">
        <v>42</v>
      </c>
      <c r="I1438" t="str">
        <f t="shared" si="111"/>
        <v>0-1</v>
      </c>
      <c r="J1438" t="str">
        <f t="shared" si="112"/>
        <v>0</v>
      </c>
      <c r="K1438" t="str">
        <f t="shared" si="113"/>
        <v>1</v>
      </c>
      <c r="L1438" t="str">
        <f t="shared" si="114"/>
        <v>MÃ¡laga CF</v>
      </c>
      <c r="M1438" t="str">
        <f>IF(COUNTIF($A$2:A1438,A1438)=1,
     VLOOKUP(A1438,Season_Winners!A:B,2,FALSE),
     "")</f>
        <v/>
      </c>
    </row>
    <row r="1439" spans="1:14" hidden="1" x14ac:dyDescent="0.3">
      <c r="A1439" t="s">
        <v>460</v>
      </c>
      <c r="B1439">
        <v>30</v>
      </c>
      <c r="C1439" t="s">
        <v>573</v>
      </c>
      <c r="D1439" t="str">
        <f t="shared" si="110"/>
        <v>05.04.2017</v>
      </c>
      <c r="E1439" s="1">
        <v>0.89583333333333337</v>
      </c>
      <c r="F1439" t="s">
        <v>466</v>
      </c>
      <c r="G1439" t="s">
        <v>25</v>
      </c>
      <c r="H1439" s="2">
        <v>46114</v>
      </c>
      <c r="I1439" s="3" t="str">
        <f t="shared" si="111"/>
        <v/>
      </c>
      <c r="J1439" t="str">
        <f t="shared" si="112"/>
        <v/>
      </c>
      <c r="K1439" t="str">
        <f t="shared" si="113"/>
        <v/>
      </c>
      <c r="L1439" t="str">
        <f t="shared" si="114"/>
        <v/>
      </c>
      <c r="M1439" t="str">
        <f>IF(COUNTIF($A$2:A1439,A1439)=1,
     VLOOKUP(A1439,Season_Winners!A:B,2,FALSE),
     "")</f>
        <v/>
      </c>
      <c r="N1439" s="2"/>
    </row>
    <row r="1440" spans="1:14" hidden="1" x14ac:dyDescent="0.3">
      <c r="A1440" t="s">
        <v>460</v>
      </c>
      <c r="B1440">
        <v>30</v>
      </c>
      <c r="C1440" t="s">
        <v>574</v>
      </c>
      <c r="D1440" t="str">
        <f t="shared" si="110"/>
        <v>06.04.2017</v>
      </c>
      <c r="E1440" s="1">
        <v>0.8125</v>
      </c>
      <c r="F1440" t="s">
        <v>187</v>
      </c>
      <c r="G1440" t="s">
        <v>338</v>
      </c>
      <c r="H1440" s="2">
        <v>46025</v>
      </c>
      <c r="I1440" s="3" t="str">
        <f t="shared" si="111"/>
        <v/>
      </c>
      <c r="J1440" t="str">
        <f t="shared" si="112"/>
        <v/>
      </c>
      <c r="K1440" t="str">
        <f t="shared" si="113"/>
        <v/>
      </c>
      <c r="L1440" t="str">
        <f t="shared" si="114"/>
        <v/>
      </c>
      <c r="M1440" t="str">
        <f>IF(COUNTIF($A$2:A1440,A1440)=1,
     VLOOKUP(A1440,Season_Winners!A:B,2,FALSE),
     "")</f>
        <v/>
      </c>
      <c r="N1440" s="2"/>
    </row>
    <row r="1441" spans="1:14" hidden="1" x14ac:dyDescent="0.3">
      <c r="A1441" t="s">
        <v>460</v>
      </c>
      <c r="B1441">
        <v>30</v>
      </c>
      <c r="C1441" t="s">
        <v>574</v>
      </c>
      <c r="D1441" t="str">
        <f t="shared" si="110"/>
        <v>06.04.2017</v>
      </c>
      <c r="E1441" s="1">
        <v>0.89583333333333337</v>
      </c>
      <c r="F1441" t="s">
        <v>16</v>
      </c>
      <c r="G1441" t="s">
        <v>35</v>
      </c>
      <c r="H1441" s="2">
        <v>46056</v>
      </c>
      <c r="I1441" s="3" t="str">
        <f t="shared" si="111"/>
        <v/>
      </c>
      <c r="J1441" t="str">
        <f t="shared" si="112"/>
        <v/>
      </c>
      <c r="K1441" t="str">
        <f t="shared" si="113"/>
        <v/>
      </c>
      <c r="L1441" t="str">
        <f t="shared" si="114"/>
        <v/>
      </c>
      <c r="M1441" t="str">
        <f>IF(COUNTIF($A$2:A1441,A1441)=1,
     VLOOKUP(A1441,Season_Winners!A:B,2,FALSE),
     "")</f>
        <v/>
      </c>
      <c r="N1441" s="2"/>
    </row>
    <row r="1442" spans="1:14" hidden="1" x14ac:dyDescent="0.3">
      <c r="A1442" t="s">
        <v>460</v>
      </c>
      <c r="B1442">
        <v>31</v>
      </c>
      <c r="C1442" t="s">
        <v>575</v>
      </c>
      <c r="D1442" t="str">
        <f t="shared" si="110"/>
        <v>07.04.2017</v>
      </c>
      <c r="E1442" s="1">
        <v>0.86458333333333337</v>
      </c>
      <c r="F1442" t="s">
        <v>34</v>
      </c>
      <c r="G1442" t="s">
        <v>15</v>
      </c>
      <c r="H1442" s="2">
        <v>46025</v>
      </c>
      <c r="I1442" s="3" t="str">
        <f t="shared" si="111"/>
        <v/>
      </c>
      <c r="J1442" t="str">
        <f t="shared" si="112"/>
        <v/>
      </c>
      <c r="K1442" t="str">
        <f t="shared" si="113"/>
        <v/>
      </c>
      <c r="L1442" t="str">
        <f t="shared" si="114"/>
        <v/>
      </c>
      <c r="M1442" t="str">
        <f>IF(COUNTIF($A$2:A1442,A1442)=1,
     VLOOKUP(A1442,Season_Winners!A:B,2,FALSE),
     "")</f>
        <v/>
      </c>
      <c r="N1442" s="2"/>
    </row>
    <row r="1443" spans="1:14" x14ac:dyDescent="0.3">
      <c r="A1443" t="s">
        <v>460</v>
      </c>
      <c r="B1443">
        <v>31</v>
      </c>
      <c r="C1443" t="s">
        <v>576</v>
      </c>
      <c r="D1443" t="str">
        <f t="shared" si="110"/>
        <v>08.04.2017</v>
      </c>
      <c r="E1443" s="1">
        <v>0.54166666666666663</v>
      </c>
      <c r="F1443" t="s">
        <v>36</v>
      </c>
      <c r="G1443" t="s">
        <v>464</v>
      </c>
      <c r="H1443" t="s">
        <v>18</v>
      </c>
      <c r="I1443" t="str">
        <f t="shared" si="111"/>
        <v>1-0</v>
      </c>
      <c r="J1443" t="str">
        <f t="shared" si="112"/>
        <v>1</v>
      </c>
      <c r="K1443" t="str">
        <f t="shared" si="113"/>
        <v>0</v>
      </c>
      <c r="L1443" t="str">
        <f t="shared" si="114"/>
        <v>RCD Espanyol de Barcelona</v>
      </c>
      <c r="M1443" t="str">
        <f>IF(COUNTIF($A$2:A1443,A1443)=1,
     VLOOKUP(A1443,Season_Winners!A:B,2,FALSE),
     "")</f>
        <v/>
      </c>
    </row>
    <row r="1444" spans="1:14" hidden="1" x14ac:dyDescent="0.3">
      <c r="A1444" t="s">
        <v>460</v>
      </c>
      <c r="B1444">
        <v>31</v>
      </c>
      <c r="C1444" t="s">
        <v>576</v>
      </c>
      <c r="D1444" t="str">
        <f t="shared" si="110"/>
        <v>08.04.2017</v>
      </c>
      <c r="E1444" s="1">
        <v>0.67708333333333337</v>
      </c>
      <c r="F1444" t="s">
        <v>25</v>
      </c>
      <c r="G1444" t="s">
        <v>28</v>
      </c>
      <c r="H1444" s="2">
        <v>46023</v>
      </c>
      <c r="I1444" s="3" t="str">
        <f t="shared" si="111"/>
        <v/>
      </c>
      <c r="J1444" t="str">
        <f t="shared" si="112"/>
        <v/>
      </c>
      <c r="K1444" t="str">
        <f t="shared" si="113"/>
        <v/>
      </c>
      <c r="L1444" t="str">
        <f t="shared" si="114"/>
        <v/>
      </c>
      <c r="M1444" t="str">
        <f>IF(COUNTIF($A$2:A1444,A1444)=1,
     VLOOKUP(A1444,Season_Winners!A:B,2,FALSE),
     "")</f>
        <v/>
      </c>
      <c r="N1444" s="2"/>
    </row>
    <row r="1445" spans="1:14" hidden="1" x14ac:dyDescent="0.3">
      <c r="A1445" t="s">
        <v>460</v>
      </c>
      <c r="B1445">
        <v>31</v>
      </c>
      <c r="C1445" t="s">
        <v>576</v>
      </c>
      <c r="D1445" t="str">
        <f t="shared" si="110"/>
        <v>08.04.2017</v>
      </c>
      <c r="E1445" s="1">
        <v>0.77083333333333337</v>
      </c>
      <c r="F1445" t="s">
        <v>27</v>
      </c>
      <c r="G1445" t="s">
        <v>182</v>
      </c>
      <c r="H1445" s="2">
        <v>46057</v>
      </c>
      <c r="I1445" s="3" t="str">
        <f t="shared" si="111"/>
        <v/>
      </c>
      <c r="J1445" t="str">
        <f t="shared" si="112"/>
        <v/>
      </c>
      <c r="K1445" t="str">
        <f t="shared" si="113"/>
        <v/>
      </c>
      <c r="L1445" t="str">
        <f t="shared" si="114"/>
        <v/>
      </c>
      <c r="M1445" t="str">
        <f>IF(COUNTIF($A$2:A1445,A1445)=1,
     VLOOKUP(A1445,Season_Winners!A:B,2,FALSE),
     "")</f>
        <v/>
      </c>
      <c r="N1445" s="2"/>
    </row>
    <row r="1446" spans="1:14" x14ac:dyDescent="0.3">
      <c r="A1446" t="s">
        <v>460</v>
      </c>
      <c r="B1446">
        <v>31</v>
      </c>
      <c r="C1446" t="s">
        <v>576</v>
      </c>
      <c r="D1446" t="str">
        <f t="shared" si="110"/>
        <v>08.04.2017</v>
      </c>
      <c r="E1446" s="1">
        <v>0.86458333333333337</v>
      </c>
      <c r="F1446" t="s">
        <v>17</v>
      </c>
      <c r="G1446" t="s">
        <v>20</v>
      </c>
      <c r="H1446" t="s">
        <v>12</v>
      </c>
      <c r="I1446" t="str">
        <f t="shared" si="111"/>
        <v>2-0</v>
      </c>
      <c r="J1446" t="str">
        <f t="shared" si="112"/>
        <v>2</v>
      </c>
      <c r="K1446" t="str">
        <f t="shared" si="113"/>
        <v>0</v>
      </c>
      <c r="L1446" t="str">
        <f t="shared" si="114"/>
        <v>MÃ¡laga CF</v>
      </c>
      <c r="M1446" t="str">
        <f>IF(COUNTIF($A$2:A1446,A1446)=1,
     VLOOKUP(A1446,Season_Winners!A:B,2,FALSE),
     "")</f>
        <v/>
      </c>
    </row>
    <row r="1447" spans="1:14" hidden="1" x14ac:dyDescent="0.3">
      <c r="A1447" t="s">
        <v>460</v>
      </c>
      <c r="B1447">
        <v>31</v>
      </c>
      <c r="C1447" t="s">
        <v>577</v>
      </c>
      <c r="D1447" t="str">
        <f t="shared" si="110"/>
        <v>09.04.2017</v>
      </c>
      <c r="E1447" s="1">
        <v>0.5</v>
      </c>
      <c r="F1447" t="s">
        <v>24</v>
      </c>
      <c r="G1447" t="s">
        <v>16</v>
      </c>
      <c r="H1447" s="2">
        <v>46082</v>
      </c>
      <c r="I1447" s="3" t="str">
        <f t="shared" si="111"/>
        <v/>
      </c>
      <c r="J1447" t="str">
        <f t="shared" si="112"/>
        <v/>
      </c>
      <c r="K1447" t="str">
        <f t="shared" si="113"/>
        <v/>
      </c>
      <c r="L1447" t="str">
        <f t="shared" si="114"/>
        <v/>
      </c>
      <c r="M1447" t="str">
        <f>IF(COUNTIF($A$2:A1447,A1447)=1,
     VLOOKUP(A1447,Season_Winners!A:B,2,FALSE),
     "")</f>
        <v/>
      </c>
      <c r="N1447" s="2"/>
    </row>
    <row r="1448" spans="1:14" x14ac:dyDescent="0.3">
      <c r="A1448" t="s">
        <v>460</v>
      </c>
      <c r="B1448">
        <v>31</v>
      </c>
      <c r="C1448" t="s">
        <v>577</v>
      </c>
      <c r="D1448" t="str">
        <f t="shared" si="110"/>
        <v>09.04.2017</v>
      </c>
      <c r="E1448" s="1">
        <v>0.67708333333333337</v>
      </c>
      <c r="F1448" t="s">
        <v>35</v>
      </c>
      <c r="G1448" t="s">
        <v>187</v>
      </c>
      <c r="H1448" t="s">
        <v>54</v>
      </c>
      <c r="I1448" t="str">
        <f t="shared" si="111"/>
        <v>0-2</v>
      </c>
      <c r="J1448" t="str">
        <f t="shared" si="112"/>
        <v>0</v>
      </c>
      <c r="K1448" t="str">
        <f t="shared" si="113"/>
        <v>2</v>
      </c>
      <c r="L1448" t="str">
        <f t="shared" si="114"/>
        <v>SD Eibar</v>
      </c>
      <c r="M1448" t="str">
        <f>IF(COUNTIF($A$2:A1448,A1448)=1,
     VLOOKUP(A1448,Season_Winners!A:B,2,FALSE),
     "")</f>
        <v/>
      </c>
    </row>
    <row r="1449" spans="1:14" hidden="1" x14ac:dyDescent="0.3">
      <c r="A1449" t="s">
        <v>460</v>
      </c>
      <c r="B1449">
        <v>31</v>
      </c>
      <c r="C1449" t="s">
        <v>577</v>
      </c>
      <c r="D1449" t="str">
        <f t="shared" si="110"/>
        <v>09.04.2017</v>
      </c>
      <c r="E1449" s="1">
        <v>0.77083333333333337</v>
      </c>
      <c r="F1449" t="s">
        <v>23</v>
      </c>
      <c r="G1449" t="s">
        <v>466</v>
      </c>
      <c r="H1449" s="2">
        <v>46024</v>
      </c>
      <c r="I1449" s="3" t="str">
        <f t="shared" si="111"/>
        <v/>
      </c>
      <c r="J1449" t="str">
        <f t="shared" si="112"/>
        <v/>
      </c>
      <c r="K1449" t="str">
        <f t="shared" si="113"/>
        <v/>
      </c>
      <c r="L1449" t="str">
        <f t="shared" si="114"/>
        <v/>
      </c>
      <c r="M1449" t="str">
        <f>IF(COUNTIF($A$2:A1449,A1449)=1,
     VLOOKUP(A1449,Season_Winners!A:B,2,FALSE),
     "")</f>
        <v/>
      </c>
      <c r="N1449" s="2"/>
    </row>
    <row r="1450" spans="1:14" hidden="1" x14ac:dyDescent="0.3">
      <c r="A1450" t="s">
        <v>460</v>
      </c>
      <c r="B1450">
        <v>31</v>
      </c>
      <c r="C1450" t="s">
        <v>577</v>
      </c>
      <c r="D1450" t="str">
        <f t="shared" si="110"/>
        <v>09.04.2017</v>
      </c>
      <c r="E1450" s="1">
        <v>0.86458333333333337</v>
      </c>
      <c r="F1450" t="s">
        <v>338</v>
      </c>
      <c r="G1450" t="s">
        <v>26</v>
      </c>
      <c r="H1450" s="2">
        <v>46026</v>
      </c>
      <c r="I1450" s="3" t="str">
        <f t="shared" si="111"/>
        <v/>
      </c>
      <c r="J1450" t="str">
        <f t="shared" si="112"/>
        <v/>
      </c>
      <c r="K1450" t="str">
        <f t="shared" si="113"/>
        <v/>
      </c>
      <c r="L1450" t="str">
        <f t="shared" si="114"/>
        <v/>
      </c>
      <c r="M1450" t="str">
        <f>IF(COUNTIF($A$2:A1450,A1450)=1,
     VLOOKUP(A1450,Season_Winners!A:B,2,FALSE),
     "")</f>
        <v/>
      </c>
      <c r="N1450" s="2"/>
    </row>
    <row r="1451" spans="1:14" hidden="1" x14ac:dyDescent="0.3">
      <c r="A1451" t="s">
        <v>460</v>
      </c>
      <c r="B1451">
        <v>31</v>
      </c>
      <c r="C1451" t="s">
        <v>578</v>
      </c>
      <c r="D1451" t="str">
        <f t="shared" si="110"/>
        <v>10.04.2017</v>
      </c>
      <c r="E1451" s="1">
        <v>0.86458333333333337</v>
      </c>
      <c r="F1451" t="s">
        <v>10</v>
      </c>
      <c r="G1451" t="s">
        <v>340</v>
      </c>
      <c r="H1451" s="2">
        <v>46025</v>
      </c>
      <c r="I1451" s="3" t="str">
        <f t="shared" si="111"/>
        <v/>
      </c>
      <c r="J1451" t="str">
        <f t="shared" si="112"/>
        <v/>
      </c>
      <c r="K1451" t="str">
        <f t="shared" si="113"/>
        <v/>
      </c>
      <c r="L1451" t="str">
        <f t="shared" si="114"/>
        <v/>
      </c>
      <c r="M1451" t="str">
        <f>IF(COUNTIF($A$2:A1451,A1451)=1,
     VLOOKUP(A1451,Season_Winners!A:B,2,FALSE),
     "")</f>
        <v/>
      </c>
      <c r="N1451" s="2"/>
    </row>
    <row r="1452" spans="1:14" hidden="1" x14ac:dyDescent="0.3">
      <c r="A1452" t="s">
        <v>460</v>
      </c>
      <c r="B1452">
        <v>32</v>
      </c>
      <c r="C1452" t="s">
        <v>579</v>
      </c>
      <c r="D1452" t="str">
        <f t="shared" si="110"/>
        <v>14.04.2017</v>
      </c>
      <c r="E1452" s="1">
        <v>0.86458333333333337</v>
      </c>
      <c r="F1452" t="s">
        <v>15</v>
      </c>
      <c r="G1452" t="s">
        <v>338</v>
      </c>
      <c r="H1452" s="2">
        <v>46027</v>
      </c>
      <c r="I1452" s="3" t="str">
        <f t="shared" si="111"/>
        <v/>
      </c>
      <c r="J1452" t="str">
        <f t="shared" si="112"/>
        <v/>
      </c>
      <c r="K1452" t="str">
        <f t="shared" si="113"/>
        <v/>
      </c>
      <c r="L1452" t="str">
        <f t="shared" si="114"/>
        <v/>
      </c>
      <c r="M1452" t="str">
        <f>IF(COUNTIF($A$2:A1452,A1452)=1,
     VLOOKUP(A1452,Season_Winners!A:B,2,FALSE),
     "")</f>
        <v/>
      </c>
      <c r="N1452" s="2"/>
    </row>
    <row r="1453" spans="1:14" x14ac:dyDescent="0.3">
      <c r="A1453" t="s">
        <v>460</v>
      </c>
      <c r="B1453">
        <v>32</v>
      </c>
      <c r="C1453" t="s">
        <v>580</v>
      </c>
      <c r="D1453" t="str">
        <f t="shared" si="110"/>
        <v>15.04.2017</v>
      </c>
      <c r="E1453" s="1">
        <v>0.54166666666666663</v>
      </c>
      <c r="F1453" t="s">
        <v>182</v>
      </c>
      <c r="G1453" t="s">
        <v>17</v>
      </c>
      <c r="H1453" t="s">
        <v>12</v>
      </c>
      <c r="I1453" t="str">
        <f t="shared" si="111"/>
        <v>2-0</v>
      </c>
      <c r="J1453" t="str">
        <f t="shared" si="112"/>
        <v>2</v>
      </c>
      <c r="K1453" t="str">
        <f t="shared" si="113"/>
        <v>0</v>
      </c>
      <c r="L1453" t="str">
        <f t="shared" si="114"/>
        <v>RC Deportivo</v>
      </c>
      <c r="M1453" t="str">
        <f>IF(COUNTIF($A$2:A1453,A1453)=1,
     VLOOKUP(A1453,Season_Winners!A:B,2,FALSE),
     "")</f>
        <v/>
      </c>
    </row>
    <row r="1454" spans="1:14" hidden="1" x14ac:dyDescent="0.3">
      <c r="A1454" t="s">
        <v>460</v>
      </c>
      <c r="B1454">
        <v>32</v>
      </c>
      <c r="C1454" t="s">
        <v>580</v>
      </c>
      <c r="D1454" t="str">
        <f t="shared" si="110"/>
        <v>15.04.2017</v>
      </c>
      <c r="E1454" s="1">
        <v>0.67708333333333337</v>
      </c>
      <c r="F1454" t="s">
        <v>340</v>
      </c>
      <c r="G1454" t="s">
        <v>25</v>
      </c>
      <c r="H1454" s="2">
        <v>46083</v>
      </c>
      <c r="I1454" s="3" t="str">
        <f t="shared" si="111"/>
        <v/>
      </c>
      <c r="J1454" t="str">
        <f t="shared" si="112"/>
        <v/>
      </c>
      <c r="K1454" t="str">
        <f t="shared" si="113"/>
        <v/>
      </c>
      <c r="L1454" t="str">
        <f t="shared" si="114"/>
        <v/>
      </c>
      <c r="M1454" t="str">
        <f>IF(COUNTIF($A$2:A1454,A1454)=1,
     VLOOKUP(A1454,Season_Winners!A:B,2,FALSE),
     "")</f>
        <v/>
      </c>
      <c r="N1454" s="2"/>
    </row>
    <row r="1455" spans="1:14" x14ac:dyDescent="0.3">
      <c r="A1455" t="s">
        <v>460</v>
      </c>
      <c r="B1455">
        <v>32</v>
      </c>
      <c r="C1455" t="s">
        <v>580</v>
      </c>
      <c r="D1455" t="str">
        <f t="shared" si="110"/>
        <v>15.04.2017</v>
      </c>
      <c r="E1455" s="1">
        <v>0.77083333333333337</v>
      </c>
      <c r="F1455" t="s">
        <v>1425</v>
      </c>
      <c r="G1455" t="s">
        <v>23</v>
      </c>
      <c r="H1455" t="s">
        <v>32</v>
      </c>
      <c r="I1455" t="str">
        <f t="shared" si="111"/>
        <v>3-0</v>
      </c>
      <c r="J1455" t="str">
        <f t="shared" si="112"/>
        <v>3</v>
      </c>
      <c r="K1455" t="str">
        <f t="shared" si="113"/>
        <v>0</v>
      </c>
      <c r="L1455" t="str">
        <f t="shared" si="114"/>
        <v>Atlético de Madrid</v>
      </c>
      <c r="M1455" t="str">
        <f>IF(COUNTIF($A$2:A1455,A1455)=1,
     VLOOKUP(A1455,Season_Winners!A:B,2,FALSE),
     "")</f>
        <v/>
      </c>
    </row>
    <row r="1456" spans="1:14" hidden="1" x14ac:dyDescent="0.3">
      <c r="A1456" t="s">
        <v>460</v>
      </c>
      <c r="B1456">
        <v>32</v>
      </c>
      <c r="C1456" t="s">
        <v>580</v>
      </c>
      <c r="D1456" t="str">
        <f t="shared" si="110"/>
        <v>15.04.2017</v>
      </c>
      <c r="E1456" s="1">
        <v>0.86458333333333337</v>
      </c>
      <c r="F1456" t="s">
        <v>20</v>
      </c>
      <c r="G1456" t="s">
        <v>10</v>
      </c>
      <c r="H1456" s="2">
        <v>46056</v>
      </c>
      <c r="I1456" s="3" t="str">
        <f t="shared" si="111"/>
        <v/>
      </c>
      <c r="J1456" t="str">
        <f t="shared" si="112"/>
        <v/>
      </c>
      <c r="K1456" t="str">
        <f t="shared" si="113"/>
        <v/>
      </c>
      <c r="L1456" t="str">
        <f t="shared" si="114"/>
        <v/>
      </c>
      <c r="M1456" t="str">
        <f>IF(COUNTIF($A$2:A1456,A1456)=1,
     VLOOKUP(A1456,Season_Winners!A:B,2,FALSE),
     "")</f>
        <v/>
      </c>
      <c r="N1456" s="2"/>
    </row>
    <row r="1457" spans="1:14" x14ac:dyDescent="0.3">
      <c r="A1457" t="s">
        <v>460</v>
      </c>
      <c r="B1457">
        <v>32</v>
      </c>
      <c r="C1457" t="s">
        <v>581</v>
      </c>
      <c r="D1457" t="str">
        <f t="shared" si="110"/>
        <v>16.04.2017</v>
      </c>
      <c r="E1457" s="1">
        <v>0.5</v>
      </c>
      <c r="F1457" t="s">
        <v>466</v>
      </c>
      <c r="G1457" t="s">
        <v>36</v>
      </c>
      <c r="H1457" t="s">
        <v>42</v>
      </c>
      <c r="I1457" t="str">
        <f t="shared" si="111"/>
        <v>0-1</v>
      </c>
      <c r="J1457" t="str">
        <f t="shared" si="112"/>
        <v>0</v>
      </c>
      <c r="K1457" t="str">
        <f t="shared" si="113"/>
        <v>1</v>
      </c>
      <c r="L1457" t="str">
        <f t="shared" si="114"/>
        <v>RCD Espanyol de Barcelona</v>
      </c>
      <c r="M1457" t="str">
        <f>IF(COUNTIF($A$2:A1457,A1457)=1,
     VLOOKUP(A1457,Season_Winners!A:B,2,FALSE),
     "")</f>
        <v/>
      </c>
    </row>
    <row r="1458" spans="1:14" x14ac:dyDescent="0.3">
      <c r="A1458" t="s">
        <v>460</v>
      </c>
      <c r="B1458">
        <v>32</v>
      </c>
      <c r="C1458" t="s">
        <v>581</v>
      </c>
      <c r="D1458" t="str">
        <f t="shared" si="110"/>
        <v>16.04.2017</v>
      </c>
      <c r="E1458" s="1">
        <v>0.67708333333333337</v>
      </c>
      <c r="F1458" t="s">
        <v>16</v>
      </c>
      <c r="G1458" t="s">
        <v>27</v>
      </c>
      <c r="H1458" t="s">
        <v>41</v>
      </c>
      <c r="I1458" t="str">
        <f t="shared" si="111"/>
        <v>0-0</v>
      </c>
      <c r="J1458" t="str">
        <f t="shared" si="112"/>
        <v>0</v>
      </c>
      <c r="K1458" t="str">
        <f t="shared" si="113"/>
        <v>0</v>
      </c>
      <c r="L1458" t="str">
        <f t="shared" si="114"/>
        <v>Draw</v>
      </c>
      <c r="M1458" t="str">
        <f>IF(COUNTIF($A$2:A1458,A1458)=1,
     VLOOKUP(A1458,Season_Winners!A:B,2,FALSE),
     "")</f>
        <v/>
      </c>
    </row>
    <row r="1459" spans="1:14" x14ac:dyDescent="0.3">
      <c r="A1459" t="s">
        <v>460</v>
      </c>
      <c r="B1459">
        <v>32</v>
      </c>
      <c r="C1459" t="s">
        <v>581</v>
      </c>
      <c r="D1459" t="str">
        <f t="shared" si="110"/>
        <v>16.04.2017</v>
      </c>
      <c r="E1459" s="1">
        <v>0.77083333333333337</v>
      </c>
      <c r="F1459" t="s">
        <v>26</v>
      </c>
      <c r="G1459" t="s">
        <v>187</v>
      </c>
      <c r="H1459" t="s">
        <v>12</v>
      </c>
      <c r="I1459" t="str">
        <f t="shared" si="111"/>
        <v>2-0</v>
      </c>
      <c r="J1459" t="str">
        <f t="shared" si="112"/>
        <v>2</v>
      </c>
      <c r="K1459" t="str">
        <f t="shared" si="113"/>
        <v>0</v>
      </c>
      <c r="L1459" t="str">
        <f t="shared" si="114"/>
        <v>Real Betis</v>
      </c>
      <c r="M1459" t="str">
        <f>IF(COUNTIF($A$2:A1459,A1459)=1,
     VLOOKUP(A1459,Season_Winners!A:B,2,FALSE),
     "")</f>
        <v/>
      </c>
    </row>
    <row r="1460" spans="1:14" x14ac:dyDescent="0.3">
      <c r="A1460" t="s">
        <v>460</v>
      </c>
      <c r="B1460">
        <v>32</v>
      </c>
      <c r="C1460" t="s">
        <v>581</v>
      </c>
      <c r="D1460" t="str">
        <f t="shared" si="110"/>
        <v>16.04.2017</v>
      </c>
      <c r="E1460" s="1">
        <v>0.86458333333333337</v>
      </c>
      <c r="F1460" t="s">
        <v>24</v>
      </c>
      <c r="G1460" t="s">
        <v>35</v>
      </c>
      <c r="H1460" t="s">
        <v>46</v>
      </c>
      <c r="I1460" t="str">
        <f t="shared" si="111"/>
        <v>0-3</v>
      </c>
      <c r="J1460" t="str">
        <f t="shared" si="112"/>
        <v>0</v>
      </c>
      <c r="K1460" t="str">
        <f t="shared" si="113"/>
        <v>3</v>
      </c>
      <c r="L1460" t="str">
        <f t="shared" si="114"/>
        <v>RC Celta</v>
      </c>
      <c r="M1460" t="str">
        <f>IF(COUNTIF($A$2:A1460,A1460)=1,
     VLOOKUP(A1460,Season_Winners!A:B,2,FALSE),
     "")</f>
        <v/>
      </c>
    </row>
    <row r="1461" spans="1:14" hidden="1" x14ac:dyDescent="0.3">
      <c r="A1461" t="s">
        <v>460</v>
      </c>
      <c r="B1461">
        <v>32</v>
      </c>
      <c r="C1461" t="s">
        <v>582</v>
      </c>
      <c r="D1461" t="str">
        <f t="shared" si="110"/>
        <v>17.04.2017</v>
      </c>
      <c r="E1461" s="1">
        <v>0.86458333333333337</v>
      </c>
      <c r="F1461" t="s">
        <v>464</v>
      </c>
      <c r="G1461" t="s">
        <v>34</v>
      </c>
      <c r="H1461" s="2">
        <v>46024</v>
      </c>
      <c r="I1461" s="3" t="str">
        <f t="shared" si="111"/>
        <v/>
      </c>
      <c r="J1461" t="str">
        <f t="shared" si="112"/>
        <v/>
      </c>
      <c r="K1461" t="str">
        <f t="shared" si="113"/>
        <v/>
      </c>
      <c r="L1461" t="str">
        <f t="shared" si="114"/>
        <v/>
      </c>
      <c r="M1461" t="str">
        <f>IF(COUNTIF($A$2:A1461,A1461)=1,
     VLOOKUP(A1461,Season_Winners!A:B,2,FALSE),
     "")</f>
        <v/>
      </c>
      <c r="N1461" s="2"/>
    </row>
    <row r="1462" spans="1:14" x14ac:dyDescent="0.3">
      <c r="A1462" t="s">
        <v>460</v>
      </c>
      <c r="B1462">
        <v>33</v>
      </c>
      <c r="C1462" t="s">
        <v>583</v>
      </c>
      <c r="D1462" t="str">
        <f t="shared" si="110"/>
        <v>21.04.2017</v>
      </c>
      <c r="E1462" s="1">
        <v>0.875</v>
      </c>
      <c r="F1462" t="s">
        <v>27</v>
      </c>
      <c r="G1462" t="s">
        <v>24</v>
      </c>
      <c r="H1462" t="s">
        <v>12</v>
      </c>
      <c r="I1462" t="str">
        <f t="shared" si="111"/>
        <v>2-0</v>
      </c>
      <c r="J1462" t="str">
        <f t="shared" si="112"/>
        <v>2</v>
      </c>
      <c r="K1462" t="str">
        <f t="shared" si="113"/>
        <v>0</v>
      </c>
      <c r="L1462" t="str">
        <f t="shared" si="114"/>
        <v>Sevilla FC</v>
      </c>
      <c r="M1462" t="str">
        <f>IF(COUNTIF($A$2:A1462,A1462)=1,
     VLOOKUP(A1462,Season_Winners!A:B,2,FALSE),
     "")</f>
        <v/>
      </c>
    </row>
    <row r="1463" spans="1:14" x14ac:dyDescent="0.3">
      <c r="A1463" t="s">
        <v>460</v>
      </c>
      <c r="B1463">
        <v>33</v>
      </c>
      <c r="C1463" t="s">
        <v>584</v>
      </c>
      <c r="D1463" t="str">
        <f t="shared" si="110"/>
        <v>22.04.2017</v>
      </c>
      <c r="E1463" s="1">
        <v>0.54166666666666663</v>
      </c>
      <c r="F1463" t="s">
        <v>17</v>
      </c>
      <c r="G1463" t="s">
        <v>16</v>
      </c>
      <c r="H1463" t="s">
        <v>12</v>
      </c>
      <c r="I1463" t="str">
        <f t="shared" si="111"/>
        <v>2-0</v>
      </c>
      <c r="J1463" t="str">
        <f t="shared" si="112"/>
        <v>2</v>
      </c>
      <c r="K1463" t="str">
        <f t="shared" si="113"/>
        <v>0</v>
      </c>
      <c r="L1463" t="str">
        <f t="shared" si="114"/>
        <v>MÃ¡laga CF</v>
      </c>
      <c r="M1463" t="str">
        <f>IF(COUNTIF($A$2:A1463,A1463)=1,
     VLOOKUP(A1463,Season_Winners!A:B,2,FALSE),
     "")</f>
        <v/>
      </c>
    </row>
    <row r="1464" spans="1:14" hidden="1" x14ac:dyDescent="0.3">
      <c r="A1464" t="s">
        <v>460</v>
      </c>
      <c r="B1464">
        <v>33</v>
      </c>
      <c r="C1464" t="s">
        <v>584</v>
      </c>
      <c r="D1464" t="str">
        <f t="shared" si="110"/>
        <v>22.04.2017</v>
      </c>
      <c r="E1464" s="1">
        <v>0.67708333333333337</v>
      </c>
      <c r="F1464" t="s">
        <v>34</v>
      </c>
      <c r="G1464" t="s">
        <v>466</v>
      </c>
      <c r="H1464" s="2">
        <v>46024</v>
      </c>
      <c r="I1464" s="3" t="str">
        <f t="shared" si="111"/>
        <v/>
      </c>
      <c r="J1464" t="str">
        <f t="shared" si="112"/>
        <v/>
      </c>
      <c r="K1464" t="str">
        <f t="shared" si="113"/>
        <v/>
      </c>
      <c r="L1464" t="str">
        <f t="shared" si="114"/>
        <v/>
      </c>
      <c r="M1464" t="str">
        <f>IF(COUNTIF($A$2:A1464,A1464)=1,
     VLOOKUP(A1464,Season_Winners!A:B,2,FALSE),
     "")</f>
        <v/>
      </c>
      <c r="N1464" s="2"/>
    </row>
    <row r="1465" spans="1:14" hidden="1" x14ac:dyDescent="0.3">
      <c r="A1465" t="s">
        <v>460</v>
      </c>
      <c r="B1465">
        <v>33</v>
      </c>
      <c r="C1465" t="s">
        <v>584</v>
      </c>
      <c r="D1465" t="str">
        <f t="shared" si="110"/>
        <v>22.04.2017</v>
      </c>
      <c r="E1465" s="1">
        <v>0.77083333333333337</v>
      </c>
      <c r="F1465" t="s">
        <v>23</v>
      </c>
      <c r="G1465" t="s">
        <v>340</v>
      </c>
      <c r="H1465" s="2">
        <v>46055</v>
      </c>
      <c r="I1465" s="3" t="str">
        <f t="shared" si="111"/>
        <v/>
      </c>
      <c r="J1465" t="str">
        <f t="shared" si="112"/>
        <v/>
      </c>
      <c r="K1465" t="str">
        <f t="shared" si="113"/>
        <v/>
      </c>
      <c r="L1465" t="str">
        <f t="shared" si="114"/>
        <v/>
      </c>
      <c r="M1465" t="str">
        <f>IF(COUNTIF($A$2:A1465,A1465)=1,
     VLOOKUP(A1465,Season_Winners!A:B,2,FALSE),
     "")</f>
        <v/>
      </c>
      <c r="N1465" s="2"/>
    </row>
    <row r="1466" spans="1:14" x14ac:dyDescent="0.3">
      <c r="A1466" t="s">
        <v>460</v>
      </c>
      <c r="B1466">
        <v>33</v>
      </c>
      <c r="C1466" t="s">
        <v>584</v>
      </c>
      <c r="D1466" t="str">
        <f t="shared" si="110"/>
        <v>22.04.2017</v>
      </c>
      <c r="E1466" s="1">
        <v>0.86458333333333337</v>
      </c>
      <c r="F1466" t="s">
        <v>36</v>
      </c>
      <c r="G1466" t="s">
        <v>1425</v>
      </c>
      <c r="H1466" t="s">
        <v>42</v>
      </c>
      <c r="I1466" t="str">
        <f t="shared" si="111"/>
        <v>0-1</v>
      </c>
      <c r="J1466" t="str">
        <f t="shared" si="112"/>
        <v>0</v>
      </c>
      <c r="K1466" t="str">
        <f t="shared" si="113"/>
        <v>1</v>
      </c>
      <c r="L1466" t="str">
        <f t="shared" si="114"/>
        <v>Atlético de Madrid</v>
      </c>
      <c r="M1466" t="str">
        <f>IF(COUNTIF($A$2:A1466,A1466)=1,
     VLOOKUP(A1466,Season_Winners!A:B,2,FALSE),
     "")</f>
        <v/>
      </c>
    </row>
    <row r="1467" spans="1:14" x14ac:dyDescent="0.3">
      <c r="A1467" t="s">
        <v>460</v>
      </c>
      <c r="B1467">
        <v>33</v>
      </c>
      <c r="C1467" t="s">
        <v>585</v>
      </c>
      <c r="D1467" t="str">
        <f t="shared" si="110"/>
        <v>23.04.2017</v>
      </c>
      <c r="E1467" s="1">
        <v>0.5</v>
      </c>
      <c r="F1467" t="s">
        <v>10</v>
      </c>
      <c r="G1467" t="s">
        <v>182</v>
      </c>
      <c r="H1467" t="s">
        <v>18</v>
      </c>
      <c r="I1467" t="str">
        <f t="shared" si="111"/>
        <v>1-0</v>
      </c>
      <c r="J1467" t="str">
        <f t="shared" si="112"/>
        <v>1</v>
      </c>
      <c r="K1467" t="str">
        <f t="shared" si="113"/>
        <v>0</v>
      </c>
      <c r="L1467" t="str">
        <f t="shared" si="114"/>
        <v>Real Sociedad</v>
      </c>
      <c r="M1467" t="str">
        <f>IF(COUNTIF($A$2:A1467,A1467)=1,
     VLOOKUP(A1467,Season_Winners!A:B,2,FALSE),
     "")</f>
        <v/>
      </c>
    </row>
    <row r="1468" spans="1:14" x14ac:dyDescent="0.3">
      <c r="A1468" t="s">
        <v>460</v>
      </c>
      <c r="B1468">
        <v>33</v>
      </c>
      <c r="C1468" t="s">
        <v>585</v>
      </c>
      <c r="D1468" t="str">
        <f t="shared" si="110"/>
        <v>23.04.2017</v>
      </c>
      <c r="E1468" s="1">
        <v>0.67708333333333337</v>
      </c>
      <c r="F1468" t="s">
        <v>35</v>
      </c>
      <c r="G1468" t="s">
        <v>26</v>
      </c>
      <c r="H1468" t="s">
        <v>42</v>
      </c>
      <c r="I1468" t="str">
        <f t="shared" si="111"/>
        <v>0-1</v>
      </c>
      <c r="J1468" t="str">
        <f t="shared" si="112"/>
        <v>0</v>
      </c>
      <c r="K1468" t="str">
        <f t="shared" si="113"/>
        <v>1</v>
      </c>
      <c r="L1468" t="str">
        <f t="shared" si="114"/>
        <v>Real Betis</v>
      </c>
      <c r="M1468" t="str">
        <f>IF(COUNTIF($A$2:A1468,A1468)=1,
     VLOOKUP(A1468,Season_Winners!A:B,2,FALSE),
     "")</f>
        <v/>
      </c>
    </row>
    <row r="1469" spans="1:14" hidden="1" x14ac:dyDescent="0.3">
      <c r="A1469" t="s">
        <v>460</v>
      </c>
      <c r="B1469">
        <v>33</v>
      </c>
      <c r="C1469" t="s">
        <v>585</v>
      </c>
      <c r="D1469" t="str">
        <f t="shared" si="110"/>
        <v>23.04.2017</v>
      </c>
      <c r="E1469" s="1">
        <v>0.77083333333333337</v>
      </c>
      <c r="F1469" t="s">
        <v>338</v>
      </c>
      <c r="G1469" t="s">
        <v>464</v>
      </c>
      <c r="H1469" s="2">
        <v>46023</v>
      </c>
      <c r="I1469" s="3" t="str">
        <f t="shared" si="111"/>
        <v/>
      </c>
      <c r="J1469" t="str">
        <f t="shared" si="112"/>
        <v/>
      </c>
      <c r="K1469" t="str">
        <f t="shared" si="113"/>
        <v/>
      </c>
      <c r="L1469" t="str">
        <f t="shared" si="114"/>
        <v/>
      </c>
      <c r="M1469" t="str">
        <f>IF(COUNTIF($A$2:A1469,A1469)=1,
     VLOOKUP(A1469,Season_Winners!A:B,2,FALSE),
     "")</f>
        <v/>
      </c>
      <c r="N1469" s="2"/>
    </row>
    <row r="1470" spans="1:14" hidden="1" x14ac:dyDescent="0.3">
      <c r="A1470" t="s">
        <v>460</v>
      </c>
      <c r="B1470">
        <v>33</v>
      </c>
      <c r="C1470" t="s">
        <v>585</v>
      </c>
      <c r="D1470" t="str">
        <f t="shared" si="110"/>
        <v>23.04.2017</v>
      </c>
      <c r="E1470" s="1">
        <v>0.86458333333333337</v>
      </c>
      <c r="F1470" t="s">
        <v>25</v>
      </c>
      <c r="G1470" t="s">
        <v>20</v>
      </c>
      <c r="H1470" s="2">
        <v>46083</v>
      </c>
      <c r="I1470" s="3" t="str">
        <f t="shared" si="111"/>
        <v/>
      </c>
      <c r="J1470" t="str">
        <f t="shared" si="112"/>
        <v/>
      </c>
      <c r="K1470" t="str">
        <f t="shared" si="113"/>
        <v/>
      </c>
      <c r="L1470" t="str">
        <f t="shared" si="114"/>
        <v/>
      </c>
      <c r="M1470" t="str">
        <f>IF(COUNTIF($A$2:A1470,A1470)=1,
     VLOOKUP(A1470,Season_Winners!A:B,2,FALSE),
     "")</f>
        <v/>
      </c>
      <c r="N1470" s="2"/>
    </row>
    <row r="1471" spans="1:14" x14ac:dyDescent="0.3">
      <c r="A1471" t="s">
        <v>460</v>
      </c>
      <c r="B1471">
        <v>33</v>
      </c>
      <c r="C1471" t="s">
        <v>586</v>
      </c>
      <c r="D1471" t="str">
        <f t="shared" si="110"/>
        <v>24.04.2017</v>
      </c>
      <c r="E1471" s="1">
        <v>0.86458333333333337</v>
      </c>
      <c r="F1471" t="s">
        <v>187</v>
      </c>
      <c r="G1471" t="s">
        <v>15</v>
      </c>
      <c r="H1471" t="s">
        <v>42</v>
      </c>
      <c r="I1471" t="str">
        <f t="shared" si="111"/>
        <v>0-1</v>
      </c>
      <c r="J1471" t="str">
        <f t="shared" si="112"/>
        <v>0</v>
      </c>
      <c r="K1471" t="str">
        <f t="shared" si="113"/>
        <v>1</v>
      </c>
      <c r="L1471" t="str">
        <f t="shared" si="114"/>
        <v>Athletic Club</v>
      </c>
      <c r="M1471" t="str">
        <f>IF(COUNTIF($A$2:A1471,A1471)=1,
     VLOOKUP(A1471,Season_Winners!A:B,2,FALSE),
     "")</f>
        <v/>
      </c>
    </row>
    <row r="1472" spans="1:14" hidden="1" x14ac:dyDescent="0.3">
      <c r="A1472" t="s">
        <v>460</v>
      </c>
      <c r="B1472">
        <v>34</v>
      </c>
      <c r="C1472" t="s">
        <v>587</v>
      </c>
      <c r="D1472" t="str">
        <f t="shared" si="110"/>
        <v>25.04.2017</v>
      </c>
      <c r="E1472" s="1">
        <v>0.8125</v>
      </c>
      <c r="F1472" t="s">
        <v>340</v>
      </c>
      <c r="G1472" t="s">
        <v>36</v>
      </c>
      <c r="H1472" s="2">
        <v>46023</v>
      </c>
      <c r="I1472" s="3" t="str">
        <f t="shared" si="111"/>
        <v/>
      </c>
      <c r="J1472" t="str">
        <f t="shared" si="112"/>
        <v/>
      </c>
      <c r="K1472" t="str">
        <f t="shared" si="113"/>
        <v/>
      </c>
      <c r="L1472" t="str">
        <f t="shared" si="114"/>
        <v/>
      </c>
      <c r="M1472" t="str">
        <f>IF(COUNTIF($A$2:A1472,A1472)=1,
     VLOOKUP(A1472,Season_Winners!A:B,2,FALSE),
     "")</f>
        <v/>
      </c>
      <c r="N1472" s="2"/>
    </row>
    <row r="1473" spans="1:14" x14ac:dyDescent="0.3">
      <c r="A1473" t="s">
        <v>460</v>
      </c>
      <c r="B1473">
        <v>34</v>
      </c>
      <c r="C1473" t="s">
        <v>587</v>
      </c>
      <c r="D1473" t="str">
        <f t="shared" si="110"/>
        <v>25.04.2017</v>
      </c>
      <c r="E1473" s="1">
        <v>0.85416666666666663</v>
      </c>
      <c r="F1473" t="s">
        <v>24</v>
      </c>
      <c r="G1473" t="s">
        <v>17</v>
      </c>
      <c r="H1473" t="s">
        <v>54</v>
      </c>
      <c r="I1473" t="str">
        <f t="shared" si="111"/>
        <v>0-2</v>
      </c>
      <c r="J1473" t="str">
        <f t="shared" si="112"/>
        <v>0</v>
      </c>
      <c r="K1473" t="str">
        <f t="shared" si="113"/>
        <v>2</v>
      </c>
      <c r="L1473" t="str">
        <f t="shared" si="114"/>
        <v>MÃ¡laga CF</v>
      </c>
      <c r="M1473" t="str">
        <f>IF(COUNTIF($A$2:A1473,A1473)=1,
     VLOOKUP(A1473,Season_Winners!A:B,2,FALSE),
     "")</f>
        <v/>
      </c>
    </row>
    <row r="1474" spans="1:14" x14ac:dyDescent="0.3">
      <c r="A1474" t="s">
        <v>460</v>
      </c>
      <c r="B1474">
        <v>34</v>
      </c>
      <c r="C1474" t="s">
        <v>587</v>
      </c>
      <c r="D1474" t="str">
        <f t="shared" ref="D1474:D1537" si="115">RIGHT(C1474,10)</f>
        <v>25.04.2017</v>
      </c>
      <c r="E1474" s="1">
        <v>0.89583333333333337</v>
      </c>
      <c r="F1474" t="s">
        <v>1425</v>
      </c>
      <c r="G1474" t="s">
        <v>34</v>
      </c>
      <c r="H1474" t="s">
        <v>42</v>
      </c>
      <c r="I1474" t="str">
        <f t="shared" ref="I1474:I1537" si="116">IF(ISNUMBER(SEARCH("-",H1474)),H1474,"")</f>
        <v>0-1</v>
      </c>
      <c r="J1474" t="str">
        <f t="shared" ref="J1474:J1537" si="117">IF(I1474="","",LEFT(I1474,FIND("-",I1474)-1))</f>
        <v>0</v>
      </c>
      <c r="K1474" t="str">
        <f t="shared" ref="K1474:K1537" si="118">IF(I1474="","",RIGHT(I1474,LEN(I1474)-FIND("-",I1474)))</f>
        <v>1</v>
      </c>
      <c r="L1474" t="str">
        <f t="shared" ref="L1474:L1537" si="119">IF(I1474="","",IF(J1474&gt;K1474,F1474,IF(K1474&gt;J1474,G1474,"Draw")))</f>
        <v>Villarreal CF</v>
      </c>
      <c r="M1474" t="str">
        <f>IF(COUNTIF($A$2:A1474,A1474)=1,
     VLOOKUP(A1474,Season_Winners!A:B,2,FALSE),
     "")</f>
        <v/>
      </c>
    </row>
    <row r="1475" spans="1:14" hidden="1" x14ac:dyDescent="0.3">
      <c r="A1475" t="s">
        <v>460</v>
      </c>
      <c r="B1475">
        <v>34</v>
      </c>
      <c r="C1475" t="s">
        <v>588</v>
      </c>
      <c r="D1475" t="str">
        <f t="shared" si="115"/>
        <v>26.04.2017</v>
      </c>
      <c r="E1475" s="1">
        <v>0.8125</v>
      </c>
      <c r="F1475" t="s">
        <v>20</v>
      </c>
      <c r="G1475" t="s">
        <v>23</v>
      </c>
      <c r="H1475" s="2">
        <v>46029</v>
      </c>
      <c r="I1475" s="3" t="str">
        <f t="shared" si="116"/>
        <v/>
      </c>
      <c r="J1475" t="str">
        <f t="shared" si="117"/>
        <v/>
      </c>
      <c r="K1475" t="str">
        <f t="shared" si="118"/>
        <v/>
      </c>
      <c r="L1475" t="str">
        <f t="shared" si="119"/>
        <v/>
      </c>
      <c r="M1475" t="str">
        <f>IF(COUNTIF($A$2:A1475,A1475)=1,
     VLOOKUP(A1475,Season_Winners!A:B,2,FALSE),
     "")</f>
        <v/>
      </c>
      <c r="N1475" s="2"/>
    </row>
    <row r="1476" spans="1:14" hidden="1" x14ac:dyDescent="0.3">
      <c r="A1476" t="s">
        <v>460</v>
      </c>
      <c r="B1476">
        <v>34</v>
      </c>
      <c r="C1476" t="s">
        <v>588</v>
      </c>
      <c r="D1476" t="str">
        <f t="shared" si="115"/>
        <v>26.04.2017</v>
      </c>
      <c r="E1476" s="1">
        <v>0.85416666666666663</v>
      </c>
      <c r="F1476" t="s">
        <v>16</v>
      </c>
      <c r="G1476" t="s">
        <v>10</v>
      </c>
      <c r="H1476" s="2">
        <v>46083</v>
      </c>
      <c r="I1476" s="3" t="str">
        <f t="shared" si="116"/>
        <v/>
      </c>
      <c r="J1476" t="str">
        <f t="shared" si="117"/>
        <v/>
      </c>
      <c r="K1476" t="str">
        <f t="shared" si="118"/>
        <v/>
      </c>
      <c r="L1476" t="str">
        <f t="shared" si="119"/>
        <v/>
      </c>
      <c r="M1476" t="str">
        <f>IF(COUNTIF($A$2:A1476,A1476)=1,
     VLOOKUP(A1476,Season_Winners!A:B,2,FALSE),
     "")</f>
        <v/>
      </c>
      <c r="N1476" s="2"/>
    </row>
    <row r="1477" spans="1:14" x14ac:dyDescent="0.3">
      <c r="A1477" t="s">
        <v>460</v>
      </c>
      <c r="B1477">
        <v>34</v>
      </c>
      <c r="C1477" t="s">
        <v>588</v>
      </c>
      <c r="D1477" t="str">
        <f t="shared" si="115"/>
        <v>26.04.2017</v>
      </c>
      <c r="E1477" s="1">
        <v>0.85416666666666663</v>
      </c>
      <c r="F1477" t="s">
        <v>466</v>
      </c>
      <c r="G1477" t="s">
        <v>338</v>
      </c>
      <c r="H1477" t="s">
        <v>32</v>
      </c>
      <c r="I1477" t="str">
        <f t="shared" si="116"/>
        <v>3-0</v>
      </c>
      <c r="J1477" t="str">
        <f t="shared" si="117"/>
        <v>3</v>
      </c>
      <c r="K1477" t="str">
        <f t="shared" si="118"/>
        <v>0</v>
      </c>
      <c r="L1477" t="str">
        <f t="shared" si="119"/>
        <v>CD LeganÃ©s</v>
      </c>
      <c r="M1477" t="str">
        <f>IF(COUNTIF($A$2:A1477,A1477)=1,
     VLOOKUP(A1477,Season_Winners!A:B,2,FALSE),
     "")</f>
        <v/>
      </c>
    </row>
    <row r="1478" spans="1:14" hidden="1" x14ac:dyDescent="0.3">
      <c r="A1478" t="s">
        <v>460</v>
      </c>
      <c r="B1478">
        <v>34</v>
      </c>
      <c r="C1478" t="s">
        <v>588</v>
      </c>
      <c r="D1478" t="str">
        <f t="shared" si="115"/>
        <v>26.04.2017</v>
      </c>
      <c r="E1478" s="1">
        <v>0.89583333333333337</v>
      </c>
      <c r="F1478" t="s">
        <v>182</v>
      </c>
      <c r="G1478" t="s">
        <v>25</v>
      </c>
      <c r="H1478" s="2">
        <v>46175</v>
      </c>
      <c r="I1478" s="3" t="str">
        <f t="shared" si="116"/>
        <v/>
      </c>
      <c r="J1478" t="str">
        <f t="shared" si="117"/>
        <v/>
      </c>
      <c r="K1478" t="str">
        <f t="shared" si="118"/>
        <v/>
      </c>
      <c r="L1478" t="str">
        <f t="shared" si="119"/>
        <v/>
      </c>
      <c r="M1478" t="str">
        <f>IF(COUNTIF($A$2:A1478,A1478)=1,
     VLOOKUP(A1478,Season_Winners!A:B,2,FALSE),
     "")</f>
        <v/>
      </c>
      <c r="N1478" s="2"/>
    </row>
    <row r="1479" spans="1:14" x14ac:dyDescent="0.3">
      <c r="A1479" t="s">
        <v>460</v>
      </c>
      <c r="B1479">
        <v>34</v>
      </c>
      <c r="C1479" t="s">
        <v>589</v>
      </c>
      <c r="D1479" t="str">
        <f t="shared" si="115"/>
        <v>27.04.2017</v>
      </c>
      <c r="E1479" s="1">
        <v>0.8125</v>
      </c>
      <c r="F1479" t="s">
        <v>464</v>
      </c>
      <c r="G1479" t="s">
        <v>187</v>
      </c>
      <c r="H1479" t="s">
        <v>41</v>
      </c>
      <c r="I1479" t="str">
        <f t="shared" si="116"/>
        <v>0-0</v>
      </c>
      <c r="J1479" t="str">
        <f t="shared" si="117"/>
        <v>0</v>
      </c>
      <c r="K1479" t="str">
        <f t="shared" si="118"/>
        <v>0</v>
      </c>
      <c r="L1479" t="str">
        <f t="shared" si="119"/>
        <v>Draw</v>
      </c>
      <c r="M1479" t="str">
        <f>IF(COUNTIF($A$2:A1479,A1479)=1,
     VLOOKUP(A1479,Season_Winners!A:B,2,FALSE),
     "")</f>
        <v/>
      </c>
    </row>
    <row r="1480" spans="1:14" hidden="1" x14ac:dyDescent="0.3">
      <c r="A1480" t="s">
        <v>460</v>
      </c>
      <c r="B1480">
        <v>34</v>
      </c>
      <c r="C1480" t="s">
        <v>589</v>
      </c>
      <c r="D1480" t="str">
        <f t="shared" si="115"/>
        <v>27.04.2017</v>
      </c>
      <c r="E1480" s="1">
        <v>0.85416666666666663</v>
      </c>
      <c r="F1480" t="s">
        <v>27</v>
      </c>
      <c r="G1480" t="s">
        <v>35</v>
      </c>
      <c r="H1480" s="2">
        <v>46024</v>
      </c>
      <c r="I1480" s="3" t="str">
        <f t="shared" si="116"/>
        <v/>
      </c>
      <c r="J1480" t="str">
        <f t="shared" si="117"/>
        <v/>
      </c>
      <c r="K1480" t="str">
        <f t="shared" si="118"/>
        <v/>
      </c>
      <c r="L1480" t="str">
        <f t="shared" si="119"/>
        <v/>
      </c>
      <c r="M1480" t="str">
        <f>IF(COUNTIF($A$2:A1480,A1480)=1,
     VLOOKUP(A1480,Season_Winners!A:B,2,FALSE),
     "")</f>
        <v/>
      </c>
      <c r="N1480" s="2"/>
    </row>
    <row r="1481" spans="1:14" hidden="1" x14ac:dyDescent="0.3">
      <c r="A1481" t="s">
        <v>460</v>
      </c>
      <c r="B1481">
        <v>34</v>
      </c>
      <c r="C1481" t="s">
        <v>589</v>
      </c>
      <c r="D1481" t="str">
        <f t="shared" si="115"/>
        <v>27.04.2017</v>
      </c>
      <c r="E1481" s="1">
        <v>0.89583333333333337</v>
      </c>
      <c r="F1481" t="s">
        <v>15</v>
      </c>
      <c r="G1481" t="s">
        <v>26</v>
      </c>
      <c r="H1481" s="2">
        <v>46024</v>
      </c>
      <c r="I1481" s="3" t="str">
        <f t="shared" si="116"/>
        <v/>
      </c>
      <c r="J1481" t="str">
        <f t="shared" si="117"/>
        <v/>
      </c>
      <c r="K1481" t="str">
        <f t="shared" si="118"/>
        <v/>
      </c>
      <c r="L1481" t="str">
        <f t="shared" si="119"/>
        <v/>
      </c>
      <c r="M1481" t="str">
        <f>IF(COUNTIF($A$2:A1481,A1481)=1,
     VLOOKUP(A1481,Season_Winners!A:B,2,FALSE),
     "")</f>
        <v/>
      </c>
      <c r="N1481" s="2"/>
    </row>
    <row r="1482" spans="1:14" hidden="1" x14ac:dyDescent="0.3">
      <c r="A1482" t="s">
        <v>460</v>
      </c>
      <c r="B1482">
        <v>35</v>
      </c>
      <c r="C1482" t="s">
        <v>590</v>
      </c>
      <c r="D1482" t="str">
        <f t="shared" si="115"/>
        <v>28.04.2017</v>
      </c>
      <c r="E1482" s="1">
        <v>0.86458333333333337</v>
      </c>
      <c r="F1482" t="s">
        <v>34</v>
      </c>
      <c r="G1482" t="s">
        <v>340</v>
      </c>
      <c r="H1482" s="2">
        <v>46025</v>
      </c>
      <c r="I1482" s="3" t="str">
        <f t="shared" si="116"/>
        <v/>
      </c>
      <c r="J1482" t="str">
        <f t="shared" si="117"/>
        <v/>
      </c>
      <c r="K1482" t="str">
        <f t="shared" si="118"/>
        <v/>
      </c>
      <c r="L1482" t="str">
        <f t="shared" si="119"/>
        <v/>
      </c>
      <c r="M1482" t="str">
        <f>IF(COUNTIF($A$2:A1482,A1482)=1,
     VLOOKUP(A1482,Season_Winners!A:B,2,FALSE),
     "")</f>
        <v/>
      </c>
      <c r="N1482" s="2"/>
    </row>
    <row r="1483" spans="1:14" hidden="1" x14ac:dyDescent="0.3">
      <c r="A1483" t="s">
        <v>460</v>
      </c>
      <c r="B1483">
        <v>35</v>
      </c>
      <c r="C1483" t="s">
        <v>591</v>
      </c>
      <c r="D1483" t="str">
        <f t="shared" si="115"/>
        <v>29.04.2017</v>
      </c>
      <c r="E1483" s="1">
        <v>0.54166666666666663</v>
      </c>
      <c r="F1483" t="s">
        <v>10</v>
      </c>
      <c r="G1483" t="s">
        <v>24</v>
      </c>
      <c r="H1483" s="2">
        <v>46024</v>
      </c>
      <c r="I1483" s="3" t="str">
        <f t="shared" si="116"/>
        <v/>
      </c>
      <c r="J1483" t="str">
        <f t="shared" si="117"/>
        <v/>
      </c>
      <c r="K1483" t="str">
        <f t="shared" si="118"/>
        <v/>
      </c>
      <c r="L1483" t="str">
        <f t="shared" si="119"/>
        <v/>
      </c>
      <c r="M1483" t="str">
        <f>IF(COUNTIF($A$2:A1483,A1483)=1,
     VLOOKUP(A1483,Season_Winners!A:B,2,FALSE),
     "")</f>
        <v/>
      </c>
      <c r="N1483" s="2"/>
    </row>
    <row r="1484" spans="1:14" hidden="1" x14ac:dyDescent="0.3">
      <c r="A1484" t="s">
        <v>460</v>
      </c>
      <c r="B1484">
        <v>35</v>
      </c>
      <c r="C1484" t="s">
        <v>591</v>
      </c>
      <c r="D1484" t="str">
        <f t="shared" si="115"/>
        <v>29.04.2017</v>
      </c>
      <c r="E1484" s="1">
        <v>0.67708333333333337</v>
      </c>
      <c r="F1484" t="s">
        <v>25</v>
      </c>
      <c r="G1484" t="s">
        <v>16</v>
      </c>
      <c r="H1484" s="2">
        <v>46024</v>
      </c>
      <c r="I1484" s="3" t="str">
        <f t="shared" si="116"/>
        <v/>
      </c>
      <c r="J1484" t="str">
        <f t="shared" si="117"/>
        <v/>
      </c>
      <c r="K1484" t="str">
        <f t="shared" si="118"/>
        <v/>
      </c>
      <c r="L1484" t="str">
        <f t="shared" si="119"/>
        <v/>
      </c>
      <c r="M1484" t="str">
        <f>IF(COUNTIF($A$2:A1484,A1484)=1,
     VLOOKUP(A1484,Season_Winners!A:B,2,FALSE),
     "")</f>
        <v/>
      </c>
      <c r="N1484" s="2"/>
    </row>
    <row r="1485" spans="1:14" x14ac:dyDescent="0.3">
      <c r="A1485" t="s">
        <v>460</v>
      </c>
      <c r="B1485">
        <v>35</v>
      </c>
      <c r="C1485" t="s">
        <v>591</v>
      </c>
      <c r="D1485" t="str">
        <f t="shared" si="115"/>
        <v>29.04.2017</v>
      </c>
      <c r="E1485" s="1">
        <v>0.77083333333333337</v>
      </c>
      <c r="F1485" t="s">
        <v>338</v>
      </c>
      <c r="G1485" t="s">
        <v>1425</v>
      </c>
      <c r="H1485" t="s">
        <v>72</v>
      </c>
      <c r="I1485" t="str">
        <f t="shared" si="116"/>
        <v>0-5</v>
      </c>
      <c r="J1485" t="str">
        <f t="shared" si="117"/>
        <v>0</v>
      </c>
      <c r="K1485" t="str">
        <f t="shared" si="118"/>
        <v>5</v>
      </c>
      <c r="L1485" t="str">
        <f t="shared" si="119"/>
        <v>Atlético de Madrid</v>
      </c>
      <c r="M1485" t="str">
        <f>IF(COUNTIF($A$2:A1485,A1485)=1,
     VLOOKUP(A1485,Season_Winners!A:B,2,FALSE),
     "")</f>
        <v/>
      </c>
    </row>
    <row r="1486" spans="1:14" x14ac:dyDescent="0.3">
      <c r="A1486" t="s">
        <v>460</v>
      </c>
      <c r="B1486">
        <v>35</v>
      </c>
      <c r="C1486" t="s">
        <v>591</v>
      </c>
      <c r="D1486" t="str">
        <f t="shared" si="115"/>
        <v>29.04.2017</v>
      </c>
      <c r="E1486" s="1">
        <v>0.86458333333333337</v>
      </c>
      <c r="F1486" t="s">
        <v>36</v>
      </c>
      <c r="G1486" t="s">
        <v>20</v>
      </c>
      <c r="H1486" t="s">
        <v>46</v>
      </c>
      <c r="I1486" t="str">
        <f t="shared" si="116"/>
        <v>0-3</v>
      </c>
      <c r="J1486" t="str">
        <f t="shared" si="117"/>
        <v>0</v>
      </c>
      <c r="K1486" t="str">
        <f t="shared" si="118"/>
        <v>3</v>
      </c>
      <c r="L1486" t="str">
        <f t="shared" si="119"/>
        <v>FC Barcelona</v>
      </c>
      <c r="M1486" t="str">
        <f>IF(COUNTIF($A$2:A1486,A1486)=1,
     VLOOKUP(A1486,Season_Winners!A:B,2,FALSE),
     "")</f>
        <v/>
      </c>
    </row>
    <row r="1487" spans="1:14" hidden="1" x14ac:dyDescent="0.3">
      <c r="A1487" t="s">
        <v>460</v>
      </c>
      <c r="B1487">
        <v>35</v>
      </c>
      <c r="C1487" t="s">
        <v>592</v>
      </c>
      <c r="D1487" t="str">
        <f t="shared" si="115"/>
        <v>30.04.2017</v>
      </c>
      <c r="E1487" s="1">
        <v>0.5</v>
      </c>
      <c r="F1487" t="s">
        <v>23</v>
      </c>
      <c r="G1487" t="s">
        <v>182</v>
      </c>
      <c r="H1487" s="2">
        <v>46055</v>
      </c>
      <c r="I1487" s="3" t="str">
        <f t="shared" si="116"/>
        <v/>
      </c>
      <c r="J1487" t="str">
        <f t="shared" si="117"/>
        <v/>
      </c>
      <c r="K1487" t="str">
        <f t="shared" si="118"/>
        <v/>
      </c>
      <c r="L1487" t="str">
        <f t="shared" si="119"/>
        <v/>
      </c>
      <c r="M1487" t="str">
        <f>IF(COUNTIF($A$2:A1487,A1487)=1,
     VLOOKUP(A1487,Season_Winners!A:B,2,FALSE),
     "")</f>
        <v/>
      </c>
      <c r="N1487" s="2"/>
    </row>
    <row r="1488" spans="1:14" hidden="1" x14ac:dyDescent="0.3">
      <c r="A1488" t="s">
        <v>460</v>
      </c>
      <c r="B1488">
        <v>35</v>
      </c>
      <c r="C1488" t="s">
        <v>592</v>
      </c>
      <c r="D1488" t="str">
        <f t="shared" si="115"/>
        <v>30.04.2017</v>
      </c>
      <c r="E1488" s="1">
        <v>0.67708333333333337</v>
      </c>
      <c r="F1488" t="s">
        <v>26</v>
      </c>
      <c r="G1488" t="s">
        <v>464</v>
      </c>
      <c r="H1488" s="2">
        <v>46113</v>
      </c>
      <c r="I1488" s="3" t="str">
        <f t="shared" si="116"/>
        <v/>
      </c>
      <c r="J1488" t="str">
        <f t="shared" si="117"/>
        <v/>
      </c>
      <c r="K1488" t="str">
        <f t="shared" si="118"/>
        <v/>
      </c>
      <c r="L1488" t="str">
        <f t="shared" si="119"/>
        <v/>
      </c>
      <c r="M1488" t="str">
        <f>IF(COUNTIF($A$2:A1488,A1488)=1,
     VLOOKUP(A1488,Season_Winners!A:B,2,FALSE),
     "")</f>
        <v/>
      </c>
      <c r="N1488" s="2"/>
    </row>
    <row r="1489" spans="1:14" x14ac:dyDescent="0.3">
      <c r="A1489" t="s">
        <v>460</v>
      </c>
      <c r="B1489">
        <v>35</v>
      </c>
      <c r="C1489" t="s">
        <v>592</v>
      </c>
      <c r="D1489" t="str">
        <f t="shared" si="115"/>
        <v>30.04.2017</v>
      </c>
      <c r="E1489" s="1">
        <v>0.77083333333333337</v>
      </c>
      <c r="F1489" t="s">
        <v>187</v>
      </c>
      <c r="G1489" t="s">
        <v>466</v>
      </c>
      <c r="H1489" t="s">
        <v>12</v>
      </c>
      <c r="I1489" t="str">
        <f t="shared" si="116"/>
        <v>2-0</v>
      </c>
      <c r="J1489" t="str">
        <f t="shared" si="117"/>
        <v>2</v>
      </c>
      <c r="K1489" t="str">
        <f t="shared" si="118"/>
        <v>0</v>
      </c>
      <c r="L1489" t="str">
        <f t="shared" si="119"/>
        <v>SD Eibar</v>
      </c>
      <c r="M1489" t="str">
        <f>IF(COUNTIF($A$2:A1489,A1489)=1,
     VLOOKUP(A1489,Season_Winners!A:B,2,FALSE),
     "")</f>
        <v/>
      </c>
    </row>
    <row r="1490" spans="1:14" x14ac:dyDescent="0.3">
      <c r="A1490" t="s">
        <v>460</v>
      </c>
      <c r="B1490">
        <v>35</v>
      </c>
      <c r="C1490" t="s">
        <v>592</v>
      </c>
      <c r="D1490" t="str">
        <f t="shared" si="115"/>
        <v>30.04.2017</v>
      </c>
      <c r="E1490" s="1">
        <v>0.86458333333333337</v>
      </c>
      <c r="F1490" t="s">
        <v>35</v>
      </c>
      <c r="G1490" t="s">
        <v>15</v>
      </c>
      <c r="H1490" t="s">
        <v>46</v>
      </c>
      <c r="I1490" t="str">
        <f t="shared" si="116"/>
        <v>0-3</v>
      </c>
      <c r="J1490" t="str">
        <f t="shared" si="117"/>
        <v>0</v>
      </c>
      <c r="K1490" t="str">
        <f t="shared" si="118"/>
        <v>3</v>
      </c>
      <c r="L1490" t="str">
        <f t="shared" si="119"/>
        <v>Athletic Club</v>
      </c>
      <c r="M1490" t="str">
        <f>IF(COUNTIF($A$2:A1490,A1490)=1,
     VLOOKUP(A1490,Season_Winners!A:B,2,FALSE),
     "")</f>
        <v/>
      </c>
    </row>
    <row r="1491" spans="1:14" hidden="1" x14ac:dyDescent="0.3">
      <c r="A1491" t="s">
        <v>460</v>
      </c>
      <c r="B1491">
        <v>35</v>
      </c>
      <c r="C1491" t="s">
        <v>593</v>
      </c>
      <c r="D1491" t="str">
        <f t="shared" si="115"/>
        <v>01.05.2017</v>
      </c>
      <c r="E1491" s="1">
        <v>0.875</v>
      </c>
      <c r="F1491" t="s">
        <v>17</v>
      </c>
      <c r="G1491" t="s">
        <v>27</v>
      </c>
      <c r="H1491" s="2">
        <v>46057</v>
      </c>
      <c r="I1491" s="3" t="str">
        <f t="shared" si="116"/>
        <v/>
      </c>
      <c r="J1491" t="str">
        <f t="shared" si="117"/>
        <v/>
      </c>
      <c r="K1491" t="str">
        <f t="shared" si="118"/>
        <v/>
      </c>
      <c r="L1491" t="str">
        <f t="shared" si="119"/>
        <v/>
      </c>
      <c r="M1491" t="str">
        <f>IF(COUNTIF($A$2:A1491,A1491)=1,
     VLOOKUP(A1491,Season_Winners!A:B,2,FALSE),
     "")</f>
        <v/>
      </c>
      <c r="N1491" s="2"/>
    </row>
    <row r="1492" spans="1:14" hidden="1" x14ac:dyDescent="0.3">
      <c r="A1492" t="s">
        <v>460</v>
      </c>
      <c r="B1492">
        <v>36</v>
      </c>
      <c r="C1492" t="s">
        <v>594</v>
      </c>
      <c r="D1492" t="str">
        <f t="shared" si="115"/>
        <v>05.05.2017</v>
      </c>
      <c r="E1492" s="1">
        <v>0.875</v>
      </c>
      <c r="F1492" t="s">
        <v>27</v>
      </c>
      <c r="G1492" t="s">
        <v>10</v>
      </c>
      <c r="H1492" s="2">
        <v>46023</v>
      </c>
      <c r="I1492" s="3" t="str">
        <f t="shared" si="116"/>
        <v/>
      </c>
      <c r="J1492" t="str">
        <f t="shared" si="117"/>
        <v/>
      </c>
      <c r="K1492" t="str">
        <f t="shared" si="118"/>
        <v/>
      </c>
      <c r="L1492" t="str">
        <f t="shared" si="119"/>
        <v/>
      </c>
      <c r="M1492" t="str">
        <f>IF(COUNTIF($A$2:A1492,A1492)=1,
     VLOOKUP(A1492,Season_Winners!A:B,2,FALSE),
     "")</f>
        <v/>
      </c>
      <c r="N1492" s="2"/>
    </row>
    <row r="1493" spans="1:14" x14ac:dyDescent="0.3">
      <c r="A1493" t="s">
        <v>460</v>
      </c>
      <c r="B1493">
        <v>36</v>
      </c>
      <c r="C1493" t="s">
        <v>595</v>
      </c>
      <c r="D1493" t="str">
        <f t="shared" si="115"/>
        <v>06.05.2017</v>
      </c>
      <c r="E1493" s="1">
        <v>0.54166666666666663</v>
      </c>
      <c r="F1493" t="s">
        <v>340</v>
      </c>
      <c r="G1493" t="s">
        <v>338</v>
      </c>
      <c r="H1493" t="s">
        <v>18</v>
      </c>
      <c r="I1493" t="str">
        <f t="shared" si="116"/>
        <v>1-0</v>
      </c>
      <c r="J1493" t="str">
        <f t="shared" si="117"/>
        <v>1</v>
      </c>
      <c r="K1493" t="str">
        <f t="shared" si="118"/>
        <v>0</v>
      </c>
      <c r="L1493" t="str">
        <f t="shared" si="119"/>
        <v>Real Sporting</v>
      </c>
      <c r="M1493" t="str">
        <f>IF(COUNTIF($A$2:A1493,A1493)=1,
     VLOOKUP(A1493,Season_Winners!A:B,2,FALSE),
     "")</f>
        <v/>
      </c>
    </row>
    <row r="1494" spans="1:14" x14ac:dyDescent="0.3">
      <c r="A1494" t="s">
        <v>460</v>
      </c>
      <c r="B1494">
        <v>36</v>
      </c>
      <c r="C1494" t="s">
        <v>595</v>
      </c>
      <c r="D1494" t="str">
        <f t="shared" si="115"/>
        <v>06.05.2017</v>
      </c>
      <c r="E1494" s="1">
        <v>0.67708333333333337</v>
      </c>
      <c r="F1494" t="s">
        <v>1425</v>
      </c>
      <c r="G1494" t="s">
        <v>187</v>
      </c>
      <c r="H1494" t="s">
        <v>18</v>
      </c>
      <c r="I1494" t="str">
        <f t="shared" si="116"/>
        <v>1-0</v>
      </c>
      <c r="J1494" t="str">
        <f t="shared" si="117"/>
        <v>1</v>
      </c>
      <c r="K1494" t="str">
        <f t="shared" si="118"/>
        <v>0</v>
      </c>
      <c r="L1494" t="str">
        <f t="shared" si="119"/>
        <v>Atlético de Madrid</v>
      </c>
      <c r="M1494" t="str">
        <f>IF(COUNTIF($A$2:A1494,A1494)=1,
     VLOOKUP(A1494,Season_Winners!A:B,2,FALSE),
     "")</f>
        <v/>
      </c>
    </row>
    <row r="1495" spans="1:14" hidden="1" x14ac:dyDescent="0.3">
      <c r="A1495" t="s">
        <v>460</v>
      </c>
      <c r="B1495">
        <v>36</v>
      </c>
      <c r="C1495" t="s">
        <v>595</v>
      </c>
      <c r="D1495" t="str">
        <f t="shared" si="115"/>
        <v>06.05.2017</v>
      </c>
      <c r="E1495" s="1">
        <v>0.77083333333333337</v>
      </c>
      <c r="F1495" t="s">
        <v>20</v>
      </c>
      <c r="G1495" t="s">
        <v>34</v>
      </c>
      <c r="H1495" s="2">
        <v>46026</v>
      </c>
      <c r="I1495" s="3" t="str">
        <f t="shared" si="116"/>
        <v/>
      </c>
      <c r="J1495" t="str">
        <f t="shared" si="117"/>
        <v/>
      </c>
      <c r="K1495" t="str">
        <f t="shared" si="118"/>
        <v/>
      </c>
      <c r="L1495" t="str">
        <f t="shared" si="119"/>
        <v/>
      </c>
      <c r="M1495" t="str">
        <f>IF(COUNTIF($A$2:A1495,A1495)=1,
     VLOOKUP(A1495,Season_Winners!A:B,2,FALSE),
     "")</f>
        <v/>
      </c>
      <c r="N1495" s="2"/>
    </row>
    <row r="1496" spans="1:14" x14ac:dyDescent="0.3">
      <c r="A1496" t="s">
        <v>460</v>
      </c>
      <c r="B1496">
        <v>36</v>
      </c>
      <c r="C1496" t="s">
        <v>595</v>
      </c>
      <c r="D1496" t="str">
        <f t="shared" si="115"/>
        <v>06.05.2017</v>
      </c>
      <c r="E1496" s="1">
        <v>0.86458333333333337</v>
      </c>
      <c r="F1496" t="s">
        <v>24</v>
      </c>
      <c r="G1496" t="s">
        <v>25</v>
      </c>
      <c r="H1496" t="s">
        <v>53</v>
      </c>
      <c r="I1496" t="str">
        <f t="shared" si="116"/>
        <v>0-4</v>
      </c>
      <c r="J1496" t="str">
        <f t="shared" si="117"/>
        <v>0</v>
      </c>
      <c r="K1496" t="str">
        <f t="shared" si="118"/>
        <v>4</v>
      </c>
      <c r="L1496" t="str">
        <f t="shared" si="119"/>
        <v>Real Madrid</v>
      </c>
      <c r="M1496" t="str">
        <f>IF(COUNTIF($A$2:A1496,A1496)=1,
     VLOOKUP(A1496,Season_Winners!A:B,2,FALSE),
     "")</f>
        <v/>
      </c>
    </row>
    <row r="1497" spans="1:14" x14ac:dyDescent="0.3">
      <c r="A1497" t="s">
        <v>460</v>
      </c>
      <c r="B1497">
        <v>36</v>
      </c>
      <c r="C1497" t="s">
        <v>596</v>
      </c>
      <c r="D1497" t="str">
        <f t="shared" si="115"/>
        <v>07.05.2017</v>
      </c>
      <c r="E1497" s="1">
        <v>0.5</v>
      </c>
      <c r="F1497" t="s">
        <v>464</v>
      </c>
      <c r="G1497" t="s">
        <v>15</v>
      </c>
      <c r="H1497" t="s">
        <v>18</v>
      </c>
      <c r="I1497" t="str">
        <f t="shared" si="116"/>
        <v>1-0</v>
      </c>
      <c r="J1497" t="str">
        <f t="shared" si="117"/>
        <v>1</v>
      </c>
      <c r="K1497" t="str">
        <f t="shared" si="118"/>
        <v>0</v>
      </c>
      <c r="L1497" t="str">
        <f t="shared" si="119"/>
        <v>Deportivo AlavÃ©s</v>
      </c>
      <c r="M1497" t="str">
        <f>IF(COUNTIF($A$2:A1497,A1497)=1,
     VLOOKUP(A1497,Season_Winners!A:B,2,FALSE),
     "")</f>
        <v/>
      </c>
    </row>
    <row r="1498" spans="1:14" hidden="1" x14ac:dyDescent="0.3">
      <c r="A1498" t="s">
        <v>460</v>
      </c>
      <c r="B1498">
        <v>36</v>
      </c>
      <c r="C1498" t="s">
        <v>596</v>
      </c>
      <c r="D1498" t="str">
        <f t="shared" si="115"/>
        <v>07.05.2017</v>
      </c>
      <c r="E1498" s="1">
        <v>0.67708333333333337</v>
      </c>
      <c r="F1498" t="s">
        <v>16</v>
      </c>
      <c r="G1498" t="s">
        <v>23</v>
      </c>
      <c r="H1498" s="2">
        <v>46026</v>
      </c>
      <c r="I1498" s="3" t="str">
        <f t="shared" si="116"/>
        <v/>
      </c>
      <c r="J1498" t="str">
        <f t="shared" si="117"/>
        <v/>
      </c>
      <c r="K1498" t="str">
        <f t="shared" si="118"/>
        <v/>
      </c>
      <c r="L1498" t="str">
        <f t="shared" si="119"/>
        <v/>
      </c>
      <c r="M1498" t="str">
        <f>IF(COUNTIF($A$2:A1498,A1498)=1,
     VLOOKUP(A1498,Season_Winners!A:B,2,FALSE),
     "")</f>
        <v/>
      </c>
      <c r="N1498" s="2"/>
    </row>
    <row r="1499" spans="1:14" hidden="1" x14ac:dyDescent="0.3">
      <c r="A1499" t="s">
        <v>460</v>
      </c>
      <c r="B1499">
        <v>36</v>
      </c>
      <c r="C1499" t="s">
        <v>596</v>
      </c>
      <c r="D1499" t="str">
        <f t="shared" si="115"/>
        <v>07.05.2017</v>
      </c>
      <c r="E1499" s="1">
        <v>0.77083333333333337</v>
      </c>
      <c r="F1499" t="s">
        <v>182</v>
      </c>
      <c r="G1499" t="s">
        <v>36</v>
      </c>
      <c r="H1499" s="2">
        <v>46054</v>
      </c>
      <c r="I1499" s="3" t="str">
        <f t="shared" si="116"/>
        <v/>
      </c>
      <c r="J1499" t="str">
        <f t="shared" si="117"/>
        <v/>
      </c>
      <c r="K1499" t="str">
        <f t="shared" si="118"/>
        <v/>
      </c>
      <c r="L1499" t="str">
        <f t="shared" si="119"/>
        <v/>
      </c>
      <c r="M1499" t="str">
        <f>IF(COUNTIF($A$2:A1499,A1499)=1,
     VLOOKUP(A1499,Season_Winners!A:B,2,FALSE),
     "")</f>
        <v/>
      </c>
      <c r="N1499" s="2"/>
    </row>
    <row r="1500" spans="1:14" x14ac:dyDescent="0.3">
      <c r="A1500" t="s">
        <v>460</v>
      </c>
      <c r="B1500">
        <v>36</v>
      </c>
      <c r="C1500" t="s">
        <v>596</v>
      </c>
      <c r="D1500" t="str">
        <f t="shared" si="115"/>
        <v>07.05.2017</v>
      </c>
      <c r="E1500" s="1">
        <v>0.86458333333333337</v>
      </c>
      <c r="F1500" t="s">
        <v>17</v>
      </c>
      <c r="G1500" t="s">
        <v>35</v>
      </c>
      <c r="H1500" t="s">
        <v>32</v>
      </c>
      <c r="I1500" t="str">
        <f t="shared" si="116"/>
        <v>3-0</v>
      </c>
      <c r="J1500" t="str">
        <f t="shared" si="117"/>
        <v>3</v>
      </c>
      <c r="K1500" t="str">
        <f t="shared" si="118"/>
        <v>0</v>
      </c>
      <c r="L1500" t="str">
        <f t="shared" si="119"/>
        <v>MÃ¡laga CF</v>
      </c>
      <c r="M1500" t="str">
        <f>IF(COUNTIF($A$2:A1500,A1500)=1,
     VLOOKUP(A1500,Season_Winners!A:B,2,FALSE),
     "")</f>
        <v/>
      </c>
    </row>
    <row r="1501" spans="1:14" x14ac:dyDescent="0.3">
      <c r="A1501" t="s">
        <v>460</v>
      </c>
      <c r="B1501">
        <v>36</v>
      </c>
      <c r="C1501" t="s">
        <v>597</v>
      </c>
      <c r="D1501" t="str">
        <f t="shared" si="115"/>
        <v>08.05.2017</v>
      </c>
      <c r="E1501" s="1">
        <v>0.86458333333333337</v>
      </c>
      <c r="F1501" t="s">
        <v>466</v>
      </c>
      <c r="G1501" t="s">
        <v>26</v>
      </c>
      <c r="H1501" t="s">
        <v>88</v>
      </c>
      <c r="I1501" t="str">
        <f t="shared" si="116"/>
        <v>4-0</v>
      </c>
      <c r="J1501" t="str">
        <f t="shared" si="117"/>
        <v>4</v>
      </c>
      <c r="K1501" t="str">
        <f t="shared" si="118"/>
        <v>0</v>
      </c>
      <c r="L1501" t="str">
        <f t="shared" si="119"/>
        <v>CD LeganÃ©s</v>
      </c>
      <c r="M1501" t="str">
        <f>IF(COUNTIF($A$2:A1501,A1501)=1,
     VLOOKUP(A1501,Season_Winners!A:B,2,FALSE),
     "")</f>
        <v/>
      </c>
    </row>
    <row r="1502" spans="1:14" x14ac:dyDescent="0.3">
      <c r="A1502" t="s">
        <v>460</v>
      </c>
      <c r="B1502">
        <v>37</v>
      </c>
      <c r="C1502" t="s">
        <v>598</v>
      </c>
      <c r="D1502" t="str">
        <f t="shared" si="115"/>
        <v>13.05.2017</v>
      </c>
      <c r="E1502" s="1">
        <v>0.66666666666666663</v>
      </c>
      <c r="F1502" t="s">
        <v>36</v>
      </c>
      <c r="G1502" t="s">
        <v>16</v>
      </c>
      <c r="H1502" t="s">
        <v>42</v>
      </c>
      <c r="I1502" t="str">
        <f t="shared" si="116"/>
        <v>0-1</v>
      </c>
      <c r="J1502" t="str">
        <f t="shared" si="117"/>
        <v>0</v>
      </c>
      <c r="K1502" t="str">
        <f t="shared" si="118"/>
        <v>1</v>
      </c>
      <c r="L1502" t="str">
        <f t="shared" si="119"/>
        <v>Valencia CF</v>
      </c>
      <c r="M1502" t="str">
        <f>IF(COUNTIF($A$2:A1502,A1502)=1,
     VLOOKUP(A1502,Season_Winners!A:B,2,FALSE),
     "")</f>
        <v/>
      </c>
    </row>
    <row r="1503" spans="1:14" hidden="1" x14ac:dyDescent="0.3">
      <c r="A1503" t="s">
        <v>460</v>
      </c>
      <c r="B1503">
        <v>37</v>
      </c>
      <c r="C1503" t="s">
        <v>598</v>
      </c>
      <c r="D1503" t="str">
        <f t="shared" si="115"/>
        <v>13.05.2017</v>
      </c>
      <c r="E1503" s="1">
        <v>0.77083333333333337</v>
      </c>
      <c r="F1503" t="s">
        <v>23</v>
      </c>
      <c r="G1503" t="s">
        <v>24</v>
      </c>
      <c r="H1503" s="2">
        <v>46024</v>
      </c>
      <c r="I1503" s="3" t="str">
        <f t="shared" si="116"/>
        <v/>
      </c>
      <c r="J1503" t="str">
        <f t="shared" si="117"/>
        <v/>
      </c>
      <c r="K1503" t="str">
        <f t="shared" si="118"/>
        <v/>
      </c>
      <c r="L1503" t="str">
        <f t="shared" si="119"/>
        <v/>
      </c>
      <c r="M1503" t="str">
        <f>IF(COUNTIF($A$2:A1503,A1503)=1,
     VLOOKUP(A1503,Season_Winners!A:B,2,FALSE),
     "")</f>
        <v/>
      </c>
      <c r="N1503" s="2"/>
    </row>
    <row r="1504" spans="1:14" hidden="1" x14ac:dyDescent="0.3">
      <c r="A1504" t="s">
        <v>460</v>
      </c>
      <c r="B1504">
        <v>37</v>
      </c>
      <c r="C1504" t="s">
        <v>599</v>
      </c>
      <c r="D1504" t="str">
        <f t="shared" si="115"/>
        <v>14.05.2017</v>
      </c>
      <c r="E1504" s="1">
        <v>0.66666666666666663</v>
      </c>
      <c r="F1504" t="s">
        <v>464</v>
      </c>
      <c r="G1504" t="s">
        <v>35</v>
      </c>
      <c r="H1504" s="2">
        <v>46025</v>
      </c>
      <c r="I1504" s="3" t="str">
        <f t="shared" si="116"/>
        <v/>
      </c>
      <c r="J1504" t="str">
        <f t="shared" si="117"/>
        <v/>
      </c>
      <c r="K1504" t="str">
        <f t="shared" si="118"/>
        <v/>
      </c>
      <c r="L1504" t="str">
        <f t="shared" si="119"/>
        <v/>
      </c>
      <c r="M1504" t="str">
        <f>IF(COUNTIF($A$2:A1504,A1504)=1,
     VLOOKUP(A1504,Season_Winners!A:B,2,FALSE),
     "")</f>
        <v/>
      </c>
      <c r="N1504" s="2"/>
    </row>
    <row r="1505" spans="1:14" hidden="1" x14ac:dyDescent="0.3">
      <c r="A1505" t="s">
        <v>460</v>
      </c>
      <c r="B1505">
        <v>37</v>
      </c>
      <c r="C1505" t="s">
        <v>599</v>
      </c>
      <c r="D1505" t="str">
        <f t="shared" si="115"/>
        <v>14.05.2017</v>
      </c>
      <c r="E1505" s="1">
        <v>0.83333333333333337</v>
      </c>
      <c r="F1505" t="s">
        <v>15</v>
      </c>
      <c r="G1505" t="s">
        <v>466</v>
      </c>
      <c r="H1505" s="2">
        <v>46023</v>
      </c>
      <c r="I1505" s="3" t="str">
        <f t="shared" si="116"/>
        <v/>
      </c>
      <c r="J1505" t="str">
        <f t="shared" si="117"/>
        <v/>
      </c>
      <c r="K1505" t="str">
        <f t="shared" si="118"/>
        <v/>
      </c>
      <c r="L1505" t="str">
        <f t="shared" si="119"/>
        <v/>
      </c>
      <c r="M1505" t="str">
        <f>IF(COUNTIF($A$2:A1505,A1505)=1,
     VLOOKUP(A1505,Season_Winners!A:B,2,FALSE),
     "")</f>
        <v/>
      </c>
      <c r="N1505" s="2"/>
    </row>
    <row r="1506" spans="1:14" hidden="1" x14ac:dyDescent="0.3">
      <c r="A1506" t="s">
        <v>460</v>
      </c>
      <c r="B1506">
        <v>37</v>
      </c>
      <c r="C1506" t="s">
        <v>599</v>
      </c>
      <c r="D1506" t="str">
        <f t="shared" si="115"/>
        <v>14.05.2017</v>
      </c>
      <c r="E1506" s="1">
        <v>0.83333333333333337</v>
      </c>
      <c r="F1506" t="s">
        <v>26</v>
      </c>
      <c r="G1506" t="s">
        <v>28</v>
      </c>
      <c r="H1506" s="2">
        <v>46023</v>
      </c>
      <c r="I1506" s="3" t="str">
        <f t="shared" si="116"/>
        <v/>
      </c>
      <c r="J1506" t="str">
        <f t="shared" si="117"/>
        <v/>
      </c>
      <c r="K1506" t="str">
        <f t="shared" si="118"/>
        <v/>
      </c>
      <c r="L1506" t="str">
        <f t="shared" si="119"/>
        <v/>
      </c>
      <c r="M1506" t="str">
        <f>IF(COUNTIF($A$2:A1506,A1506)=1,
     VLOOKUP(A1506,Season_Winners!A:B,2,FALSE),
     "")</f>
        <v/>
      </c>
      <c r="N1506" s="2"/>
    </row>
    <row r="1507" spans="1:14" hidden="1" x14ac:dyDescent="0.3">
      <c r="A1507" t="s">
        <v>460</v>
      </c>
      <c r="B1507">
        <v>37</v>
      </c>
      <c r="C1507" t="s">
        <v>599</v>
      </c>
      <c r="D1507" t="str">
        <f t="shared" si="115"/>
        <v>14.05.2017</v>
      </c>
      <c r="E1507" s="1">
        <v>0.83333333333333337</v>
      </c>
      <c r="F1507" t="s">
        <v>25</v>
      </c>
      <c r="G1507" t="s">
        <v>27</v>
      </c>
      <c r="H1507" s="2">
        <v>46026</v>
      </c>
      <c r="I1507" s="3" t="str">
        <f t="shared" si="116"/>
        <v/>
      </c>
      <c r="J1507" t="str">
        <f t="shared" si="117"/>
        <v/>
      </c>
      <c r="K1507" t="str">
        <f t="shared" si="118"/>
        <v/>
      </c>
      <c r="L1507" t="str">
        <f t="shared" si="119"/>
        <v/>
      </c>
      <c r="M1507" t="str">
        <f>IF(COUNTIF($A$2:A1507,A1507)=1,
     VLOOKUP(A1507,Season_Winners!A:B,2,FALSE),
     "")</f>
        <v/>
      </c>
      <c r="N1507" s="2"/>
    </row>
    <row r="1508" spans="1:14" hidden="1" x14ac:dyDescent="0.3">
      <c r="A1508" t="s">
        <v>460</v>
      </c>
      <c r="B1508">
        <v>37</v>
      </c>
      <c r="C1508" t="s">
        <v>599</v>
      </c>
      <c r="D1508" t="str">
        <f t="shared" si="115"/>
        <v>14.05.2017</v>
      </c>
      <c r="E1508" s="1">
        <v>0.83333333333333337</v>
      </c>
      <c r="F1508" t="s">
        <v>10</v>
      </c>
      <c r="G1508" t="s">
        <v>17</v>
      </c>
      <c r="H1508" s="2">
        <v>46055</v>
      </c>
      <c r="I1508" s="3" t="str">
        <f t="shared" si="116"/>
        <v/>
      </c>
      <c r="J1508" t="str">
        <f t="shared" si="117"/>
        <v/>
      </c>
      <c r="K1508" t="str">
        <f t="shared" si="118"/>
        <v/>
      </c>
      <c r="L1508" t="str">
        <f t="shared" si="119"/>
        <v/>
      </c>
      <c r="M1508" t="str">
        <f>IF(COUNTIF($A$2:A1508,A1508)=1,
     VLOOKUP(A1508,Season_Winners!A:B,2,FALSE),
     "")</f>
        <v/>
      </c>
      <c r="N1508" s="2"/>
    </row>
    <row r="1509" spans="1:14" x14ac:dyDescent="0.3">
      <c r="A1509" t="s">
        <v>460</v>
      </c>
      <c r="B1509">
        <v>37</v>
      </c>
      <c r="C1509" t="s">
        <v>599</v>
      </c>
      <c r="D1509" t="str">
        <f t="shared" si="115"/>
        <v>14.05.2017</v>
      </c>
      <c r="E1509" s="1">
        <v>0.83333333333333337</v>
      </c>
      <c r="F1509" t="s">
        <v>34</v>
      </c>
      <c r="G1509" t="s">
        <v>182</v>
      </c>
      <c r="H1509" t="s">
        <v>41</v>
      </c>
      <c r="I1509" t="str">
        <f t="shared" si="116"/>
        <v>0-0</v>
      </c>
      <c r="J1509" t="str">
        <f t="shared" si="117"/>
        <v>0</v>
      </c>
      <c r="K1509" t="str">
        <f t="shared" si="118"/>
        <v>0</v>
      </c>
      <c r="L1509" t="str">
        <f t="shared" si="119"/>
        <v>Draw</v>
      </c>
      <c r="M1509" t="str">
        <f>IF(COUNTIF($A$2:A1509,A1509)=1,
     VLOOKUP(A1509,Season_Winners!A:B,2,FALSE),
     "")</f>
        <v/>
      </c>
    </row>
    <row r="1510" spans="1:14" x14ac:dyDescent="0.3">
      <c r="A1510" t="s">
        <v>460</v>
      </c>
      <c r="B1510">
        <v>37</v>
      </c>
      <c r="C1510" t="s">
        <v>599</v>
      </c>
      <c r="D1510" t="str">
        <f t="shared" si="115"/>
        <v>14.05.2017</v>
      </c>
      <c r="E1510" s="1">
        <v>0.83333333333333337</v>
      </c>
      <c r="F1510" t="s">
        <v>187</v>
      </c>
      <c r="G1510" t="s">
        <v>340</v>
      </c>
      <c r="H1510" t="s">
        <v>42</v>
      </c>
      <c r="I1510" t="str">
        <f t="shared" si="116"/>
        <v>0-1</v>
      </c>
      <c r="J1510" t="str">
        <f t="shared" si="117"/>
        <v>0</v>
      </c>
      <c r="K1510" t="str">
        <f t="shared" si="118"/>
        <v>1</v>
      </c>
      <c r="L1510" t="str">
        <f t="shared" si="119"/>
        <v>Real Sporting</v>
      </c>
      <c r="M1510" t="str">
        <f>IF(COUNTIF($A$2:A1510,A1510)=1,
     VLOOKUP(A1510,Season_Winners!A:B,2,FALSE),
     "")</f>
        <v/>
      </c>
    </row>
    <row r="1511" spans="1:14" hidden="1" x14ac:dyDescent="0.3">
      <c r="A1511" t="s">
        <v>460</v>
      </c>
      <c r="B1511">
        <v>37</v>
      </c>
      <c r="C1511" t="s">
        <v>599</v>
      </c>
      <c r="D1511" t="str">
        <f t="shared" si="115"/>
        <v>14.05.2017</v>
      </c>
      <c r="E1511" s="1">
        <v>0.83333333333333337</v>
      </c>
      <c r="F1511" t="s">
        <v>338</v>
      </c>
      <c r="G1511" t="s">
        <v>20</v>
      </c>
      <c r="H1511" s="2">
        <v>46113</v>
      </c>
      <c r="I1511" s="3" t="str">
        <f t="shared" si="116"/>
        <v/>
      </c>
      <c r="J1511" t="str">
        <f t="shared" si="117"/>
        <v/>
      </c>
      <c r="K1511" t="str">
        <f t="shared" si="118"/>
        <v/>
      </c>
      <c r="L1511" t="str">
        <f t="shared" si="119"/>
        <v/>
      </c>
      <c r="M1511" t="str">
        <f>IF(COUNTIF($A$2:A1511,A1511)=1,
     VLOOKUP(A1511,Season_Winners!A:B,2,FALSE),
     "")</f>
        <v/>
      </c>
      <c r="N1511" s="2"/>
    </row>
    <row r="1512" spans="1:14" hidden="1" x14ac:dyDescent="0.3">
      <c r="A1512" t="s">
        <v>460</v>
      </c>
      <c r="B1512">
        <v>38</v>
      </c>
      <c r="C1512" t="s">
        <v>600</v>
      </c>
      <c r="D1512" t="str">
        <f t="shared" si="115"/>
        <v>19.05.2017</v>
      </c>
      <c r="E1512" s="1">
        <v>0.86458333333333337</v>
      </c>
      <c r="F1512" t="s">
        <v>24</v>
      </c>
      <c r="G1512" t="s">
        <v>36</v>
      </c>
      <c r="H1512" s="2">
        <v>46054</v>
      </c>
      <c r="I1512" s="3" t="str">
        <f t="shared" si="116"/>
        <v/>
      </c>
      <c r="J1512" t="str">
        <f t="shared" si="117"/>
        <v/>
      </c>
      <c r="K1512" t="str">
        <f t="shared" si="118"/>
        <v/>
      </c>
      <c r="L1512" t="str">
        <f t="shared" si="119"/>
        <v/>
      </c>
      <c r="M1512" t="str">
        <f>IF(COUNTIF($A$2:A1512,A1512)=1,
     VLOOKUP(A1512,Season_Winners!A:B,2,FALSE),
     "")</f>
        <v/>
      </c>
      <c r="N1512" s="2"/>
    </row>
    <row r="1513" spans="1:14" hidden="1" x14ac:dyDescent="0.3">
      <c r="A1513" t="s">
        <v>460</v>
      </c>
      <c r="B1513">
        <v>38</v>
      </c>
      <c r="C1513" t="s">
        <v>601</v>
      </c>
      <c r="D1513" t="str">
        <f t="shared" si="115"/>
        <v>20.05.2017</v>
      </c>
      <c r="E1513" s="1">
        <v>0.70833333333333337</v>
      </c>
      <c r="F1513" t="s">
        <v>340</v>
      </c>
      <c r="G1513" t="s">
        <v>26</v>
      </c>
      <c r="H1513" s="2">
        <v>46055</v>
      </c>
      <c r="I1513" s="3" t="str">
        <f t="shared" si="116"/>
        <v/>
      </c>
      <c r="J1513" t="str">
        <f t="shared" si="117"/>
        <v/>
      </c>
      <c r="K1513" t="str">
        <f t="shared" si="118"/>
        <v/>
      </c>
      <c r="L1513" t="str">
        <f t="shared" si="119"/>
        <v/>
      </c>
      <c r="M1513" t="str">
        <f>IF(COUNTIF($A$2:A1513,A1513)=1,
     VLOOKUP(A1513,Season_Winners!A:B,2,FALSE),
     "")</f>
        <v/>
      </c>
      <c r="N1513" s="2"/>
    </row>
    <row r="1514" spans="1:14" x14ac:dyDescent="0.3">
      <c r="A1514" t="s">
        <v>460</v>
      </c>
      <c r="B1514">
        <v>38</v>
      </c>
      <c r="C1514" t="s">
        <v>601</v>
      </c>
      <c r="D1514" t="str">
        <f t="shared" si="115"/>
        <v>20.05.2017</v>
      </c>
      <c r="E1514" s="1">
        <v>0.79166666666666663</v>
      </c>
      <c r="F1514" t="s">
        <v>182</v>
      </c>
      <c r="G1514" t="s">
        <v>338</v>
      </c>
      <c r="H1514" t="s">
        <v>32</v>
      </c>
      <c r="I1514" t="str">
        <f t="shared" si="116"/>
        <v>3-0</v>
      </c>
      <c r="J1514" t="str">
        <f t="shared" si="117"/>
        <v>3</v>
      </c>
      <c r="K1514" t="str">
        <f t="shared" si="118"/>
        <v>0</v>
      </c>
      <c r="L1514" t="str">
        <f t="shared" si="119"/>
        <v>RC Deportivo</v>
      </c>
      <c r="M1514" t="str">
        <f>IF(COUNTIF($A$2:A1514,A1514)=1,
     VLOOKUP(A1514,Season_Winners!A:B,2,FALSE),
     "")</f>
        <v/>
      </c>
    </row>
    <row r="1515" spans="1:14" hidden="1" x14ac:dyDescent="0.3">
      <c r="A1515" t="s">
        <v>460</v>
      </c>
      <c r="B1515">
        <v>38</v>
      </c>
      <c r="C1515" t="s">
        <v>601</v>
      </c>
      <c r="D1515" t="str">
        <f t="shared" si="115"/>
        <v>20.05.2017</v>
      </c>
      <c r="E1515" s="1">
        <v>0.79166666666666663</v>
      </c>
      <c r="F1515" t="s">
        <v>466</v>
      </c>
      <c r="G1515" t="s">
        <v>464</v>
      </c>
      <c r="H1515" s="2">
        <v>46023</v>
      </c>
      <c r="I1515" s="3" t="str">
        <f t="shared" si="116"/>
        <v/>
      </c>
      <c r="J1515" t="str">
        <f t="shared" si="117"/>
        <v/>
      </c>
      <c r="K1515" t="str">
        <f t="shared" si="118"/>
        <v/>
      </c>
      <c r="L1515" t="str">
        <f t="shared" si="119"/>
        <v/>
      </c>
      <c r="M1515" t="str">
        <f>IF(COUNTIF($A$2:A1515,A1515)=1,
     VLOOKUP(A1515,Season_Winners!A:B,2,FALSE),
     "")</f>
        <v/>
      </c>
      <c r="N1515" s="2"/>
    </row>
    <row r="1516" spans="1:14" x14ac:dyDescent="0.3">
      <c r="A1516" t="s">
        <v>460</v>
      </c>
      <c r="B1516">
        <v>38</v>
      </c>
      <c r="C1516" t="s">
        <v>601</v>
      </c>
      <c r="D1516" t="str">
        <f t="shared" si="115"/>
        <v>20.05.2017</v>
      </c>
      <c r="E1516" s="1">
        <v>0.875</v>
      </c>
      <c r="F1516" t="s">
        <v>27</v>
      </c>
      <c r="G1516" t="s">
        <v>23</v>
      </c>
      <c r="H1516" t="s">
        <v>40</v>
      </c>
      <c r="I1516" t="str">
        <f t="shared" si="116"/>
        <v>5-0</v>
      </c>
      <c r="J1516" t="str">
        <f t="shared" si="117"/>
        <v>5</v>
      </c>
      <c r="K1516" t="str">
        <f t="shared" si="118"/>
        <v>0</v>
      </c>
      <c r="L1516" t="str">
        <f t="shared" si="119"/>
        <v>Sevilla FC</v>
      </c>
      <c r="M1516" t="str">
        <f>IF(COUNTIF($A$2:A1516,A1516)=1,
     VLOOKUP(A1516,Season_Winners!A:B,2,FALSE),
     "")</f>
        <v/>
      </c>
    </row>
    <row r="1517" spans="1:14" hidden="1" x14ac:dyDescent="0.3">
      <c r="A1517" t="s">
        <v>460</v>
      </c>
      <c r="B1517">
        <v>38</v>
      </c>
      <c r="C1517" t="s">
        <v>602</v>
      </c>
      <c r="D1517" t="str">
        <f t="shared" si="115"/>
        <v>21.05.2017</v>
      </c>
      <c r="E1517" s="1">
        <v>0.69791666666666663</v>
      </c>
      <c r="F1517" t="s">
        <v>28</v>
      </c>
      <c r="G1517" t="s">
        <v>15</v>
      </c>
      <c r="H1517" s="2">
        <v>46025</v>
      </c>
      <c r="I1517" s="3" t="str">
        <f t="shared" si="116"/>
        <v/>
      </c>
      <c r="J1517" t="str">
        <f t="shared" si="117"/>
        <v/>
      </c>
      <c r="K1517" t="str">
        <f t="shared" si="118"/>
        <v/>
      </c>
      <c r="L1517" t="str">
        <f t="shared" si="119"/>
        <v/>
      </c>
      <c r="M1517" t="str">
        <f>IF(COUNTIF($A$2:A1517,A1517)=1,
     VLOOKUP(A1517,Season_Winners!A:B,2,FALSE),
     "")</f>
        <v/>
      </c>
      <c r="N1517" s="2"/>
    </row>
    <row r="1518" spans="1:14" hidden="1" x14ac:dyDescent="0.3">
      <c r="A1518" t="s">
        <v>460</v>
      </c>
      <c r="B1518">
        <v>38</v>
      </c>
      <c r="C1518" t="s">
        <v>602</v>
      </c>
      <c r="D1518" t="str">
        <f t="shared" si="115"/>
        <v>21.05.2017</v>
      </c>
      <c r="E1518" s="1">
        <v>0.69791666666666663</v>
      </c>
      <c r="F1518" t="s">
        <v>35</v>
      </c>
      <c r="G1518" t="s">
        <v>10</v>
      </c>
      <c r="H1518" s="2">
        <v>46055</v>
      </c>
      <c r="I1518" s="3" t="str">
        <f t="shared" si="116"/>
        <v/>
      </c>
      <c r="J1518" t="str">
        <f t="shared" si="117"/>
        <v/>
      </c>
      <c r="K1518" t="str">
        <f t="shared" si="118"/>
        <v/>
      </c>
      <c r="L1518" t="str">
        <f t="shared" si="119"/>
        <v/>
      </c>
      <c r="M1518" t="str">
        <f>IF(COUNTIF($A$2:A1518,A1518)=1,
     VLOOKUP(A1518,Season_Winners!A:B,2,FALSE),
     "")</f>
        <v/>
      </c>
      <c r="N1518" s="2"/>
    </row>
    <row r="1519" spans="1:14" hidden="1" x14ac:dyDescent="0.3">
      <c r="A1519" t="s">
        <v>460</v>
      </c>
      <c r="B1519">
        <v>38</v>
      </c>
      <c r="C1519" t="s">
        <v>602</v>
      </c>
      <c r="D1519" t="str">
        <f t="shared" si="115"/>
        <v>21.05.2017</v>
      </c>
      <c r="E1519" s="1">
        <v>0.69791666666666663</v>
      </c>
      <c r="F1519" t="s">
        <v>16</v>
      </c>
      <c r="G1519" t="s">
        <v>34</v>
      </c>
      <c r="H1519" s="2">
        <v>46082</v>
      </c>
      <c r="I1519" s="3" t="str">
        <f t="shared" si="116"/>
        <v/>
      </c>
      <c r="J1519" t="str">
        <f t="shared" si="117"/>
        <v/>
      </c>
      <c r="K1519" t="str">
        <f t="shared" si="118"/>
        <v/>
      </c>
      <c r="L1519" t="str">
        <f t="shared" si="119"/>
        <v/>
      </c>
      <c r="M1519" t="str">
        <f>IF(COUNTIF($A$2:A1519,A1519)=1,
     VLOOKUP(A1519,Season_Winners!A:B,2,FALSE),
     "")</f>
        <v/>
      </c>
      <c r="N1519" s="2"/>
    </row>
    <row r="1520" spans="1:14" hidden="1" x14ac:dyDescent="0.3">
      <c r="A1520" t="s">
        <v>460</v>
      </c>
      <c r="B1520">
        <v>38</v>
      </c>
      <c r="C1520" t="s">
        <v>602</v>
      </c>
      <c r="D1520" t="str">
        <f t="shared" si="115"/>
        <v>21.05.2017</v>
      </c>
      <c r="E1520" s="1">
        <v>0.83333333333333337</v>
      </c>
      <c r="F1520" t="s">
        <v>20</v>
      </c>
      <c r="G1520" t="s">
        <v>187</v>
      </c>
      <c r="H1520" s="2">
        <v>46057</v>
      </c>
      <c r="I1520" s="3" t="str">
        <f t="shared" si="116"/>
        <v/>
      </c>
      <c r="J1520" t="str">
        <f t="shared" si="117"/>
        <v/>
      </c>
      <c r="K1520" t="str">
        <f t="shared" si="118"/>
        <v/>
      </c>
      <c r="L1520" t="str">
        <f t="shared" si="119"/>
        <v/>
      </c>
      <c r="M1520" t="str">
        <f>IF(COUNTIF($A$2:A1520,A1520)=1,
     VLOOKUP(A1520,Season_Winners!A:B,2,FALSE),
     "")</f>
        <v/>
      </c>
      <c r="N1520" s="2"/>
    </row>
    <row r="1521" spans="1:14" x14ac:dyDescent="0.3">
      <c r="A1521" t="s">
        <v>460</v>
      </c>
      <c r="B1521">
        <v>38</v>
      </c>
      <c r="C1521" t="s">
        <v>602</v>
      </c>
      <c r="D1521" t="str">
        <f t="shared" si="115"/>
        <v>21.05.2017</v>
      </c>
      <c r="E1521" s="1">
        <v>0.83333333333333337</v>
      </c>
      <c r="F1521" t="s">
        <v>17</v>
      </c>
      <c r="G1521" t="s">
        <v>25</v>
      </c>
      <c r="H1521" t="s">
        <v>54</v>
      </c>
      <c r="I1521" t="str">
        <f t="shared" si="116"/>
        <v>0-2</v>
      </c>
      <c r="J1521" t="str">
        <f t="shared" si="117"/>
        <v>0</v>
      </c>
      <c r="K1521" t="str">
        <f t="shared" si="118"/>
        <v>2</v>
      </c>
      <c r="L1521" t="str">
        <f t="shared" si="119"/>
        <v>Real Madrid</v>
      </c>
      <c r="M1521" t="str">
        <f>IF(COUNTIF($A$2:A1521,A1521)=1,
     VLOOKUP(A1521,Season_Winners!A:B,2,FALSE),
     "")</f>
        <v/>
      </c>
    </row>
    <row r="1522" spans="1:14" x14ac:dyDescent="0.3">
      <c r="A1522" t="s">
        <v>603</v>
      </c>
      <c r="B1522">
        <v>1</v>
      </c>
      <c r="C1522" t="s">
        <v>604</v>
      </c>
      <c r="D1522" t="str">
        <f t="shared" si="115"/>
        <v>18.08.2017</v>
      </c>
      <c r="E1522" s="1">
        <v>0.84375</v>
      </c>
      <c r="F1522" t="s">
        <v>466</v>
      </c>
      <c r="G1522" t="s">
        <v>464</v>
      </c>
      <c r="H1522" t="s">
        <v>18</v>
      </c>
      <c r="I1522" t="str">
        <f t="shared" si="116"/>
        <v>1-0</v>
      </c>
      <c r="J1522" t="str">
        <f t="shared" si="117"/>
        <v>1</v>
      </c>
      <c r="K1522" t="str">
        <f t="shared" si="118"/>
        <v>0</v>
      </c>
      <c r="L1522" t="str">
        <f t="shared" si="119"/>
        <v>CD LeganÃ©s</v>
      </c>
      <c r="M1522" t="str">
        <f>IF(COUNTIF($A$2:A1522,A1522)=1,
     VLOOKUP(A1522,Season_Winners!A:B,2,FALSE),
     "")</f>
        <v>FC Barcelona</v>
      </c>
    </row>
    <row r="1523" spans="1:14" x14ac:dyDescent="0.3">
      <c r="A1523" t="s">
        <v>603</v>
      </c>
      <c r="B1523">
        <v>1</v>
      </c>
      <c r="C1523" t="s">
        <v>604</v>
      </c>
      <c r="D1523" t="str">
        <f t="shared" si="115"/>
        <v>18.08.2017</v>
      </c>
      <c r="E1523" s="1">
        <v>0.92708333333333337</v>
      </c>
      <c r="F1523" t="s">
        <v>16</v>
      </c>
      <c r="G1523" t="s">
        <v>338</v>
      </c>
      <c r="H1523" t="s">
        <v>18</v>
      </c>
      <c r="I1523" t="str">
        <f t="shared" si="116"/>
        <v>1-0</v>
      </c>
      <c r="J1523" t="str">
        <f t="shared" si="117"/>
        <v>1</v>
      </c>
      <c r="K1523" t="str">
        <f t="shared" si="118"/>
        <v>0</v>
      </c>
      <c r="L1523" t="str">
        <f t="shared" si="119"/>
        <v>Valencia CF</v>
      </c>
      <c r="M1523" t="str">
        <f>IF(COUNTIF($A$2:A1523,A1523)=1,
     VLOOKUP(A1523,Season_Winners!A:B,2,FALSE),
     "")</f>
        <v/>
      </c>
    </row>
    <row r="1524" spans="1:14" hidden="1" x14ac:dyDescent="0.3">
      <c r="A1524" t="s">
        <v>603</v>
      </c>
      <c r="B1524">
        <v>1</v>
      </c>
      <c r="C1524" t="s">
        <v>605</v>
      </c>
      <c r="D1524" t="str">
        <f t="shared" si="115"/>
        <v>19.08.2017</v>
      </c>
      <c r="E1524" s="1">
        <v>0.76041666666666663</v>
      </c>
      <c r="F1524" t="s">
        <v>35</v>
      </c>
      <c r="G1524" t="s">
        <v>10</v>
      </c>
      <c r="H1524" s="2">
        <v>46083</v>
      </c>
      <c r="I1524" s="3" t="str">
        <f t="shared" si="116"/>
        <v/>
      </c>
      <c r="J1524" t="str">
        <f t="shared" si="117"/>
        <v/>
      </c>
      <c r="K1524" t="str">
        <f t="shared" si="118"/>
        <v/>
      </c>
      <c r="L1524" t="str">
        <f t="shared" si="119"/>
        <v/>
      </c>
      <c r="M1524" t="str">
        <f>IF(COUNTIF($A$2:A1524,A1524)=1,
     VLOOKUP(A1524,Season_Winners!A:B,2,FALSE),
     "")</f>
        <v/>
      </c>
      <c r="N1524" s="2"/>
    </row>
    <row r="1525" spans="1:14" hidden="1" x14ac:dyDescent="0.3">
      <c r="A1525" t="s">
        <v>603</v>
      </c>
      <c r="B1525">
        <v>1</v>
      </c>
      <c r="C1525" t="s">
        <v>605</v>
      </c>
      <c r="D1525" t="str">
        <f t="shared" si="115"/>
        <v>19.08.2017</v>
      </c>
      <c r="E1525" s="1">
        <v>0.84375</v>
      </c>
      <c r="F1525" t="s">
        <v>606</v>
      </c>
      <c r="G1525" t="s">
        <v>28</v>
      </c>
      <c r="H1525" s="2">
        <v>46055</v>
      </c>
      <c r="I1525" s="3" t="str">
        <f t="shared" si="116"/>
        <v/>
      </c>
      <c r="J1525" t="str">
        <f t="shared" si="117"/>
        <v/>
      </c>
      <c r="K1525" t="str">
        <f t="shared" si="118"/>
        <v/>
      </c>
      <c r="L1525" t="str">
        <f t="shared" si="119"/>
        <v/>
      </c>
      <c r="M1525" t="str">
        <f>IF(COUNTIF($A$2:A1525,A1525)=1,
     VLOOKUP(A1525,Season_Winners!A:B,2,FALSE),
     "")</f>
        <v/>
      </c>
      <c r="N1525" s="2"/>
    </row>
    <row r="1526" spans="1:14" hidden="1" x14ac:dyDescent="0.3">
      <c r="A1526" t="s">
        <v>603</v>
      </c>
      <c r="B1526">
        <v>1</v>
      </c>
      <c r="C1526" t="s">
        <v>605</v>
      </c>
      <c r="D1526" t="str">
        <f t="shared" si="115"/>
        <v>19.08.2017</v>
      </c>
      <c r="E1526" s="1">
        <v>0.92708333333333337</v>
      </c>
      <c r="F1526" t="s">
        <v>27</v>
      </c>
      <c r="G1526" t="s">
        <v>36</v>
      </c>
      <c r="H1526" s="2">
        <v>46023</v>
      </c>
      <c r="I1526" s="3" t="str">
        <f t="shared" si="116"/>
        <v/>
      </c>
      <c r="J1526" t="str">
        <f t="shared" si="117"/>
        <v/>
      </c>
      <c r="K1526" t="str">
        <f t="shared" si="118"/>
        <v/>
      </c>
      <c r="L1526" t="str">
        <f t="shared" si="119"/>
        <v/>
      </c>
      <c r="M1526" t="str">
        <f>IF(COUNTIF($A$2:A1526,A1526)=1,
     VLOOKUP(A1526,Season_Winners!A:B,2,FALSE),
     "")</f>
        <v/>
      </c>
      <c r="N1526" s="2"/>
    </row>
    <row r="1527" spans="1:14" x14ac:dyDescent="0.3">
      <c r="A1527" t="s">
        <v>603</v>
      </c>
      <c r="B1527">
        <v>1</v>
      </c>
      <c r="C1527" t="s">
        <v>607</v>
      </c>
      <c r="D1527" t="str">
        <f t="shared" si="115"/>
        <v>20.08.2017</v>
      </c>
      <c r="E1527" s="1">
        <v>0.76041666666666663</v>
      </c>
      <c r="F1527" t="s">
        <v>15</v>
      </c>
      <c r="G1527" t="s">
        <v>11</v>
      </c>
      <c r="H1527" t="s">
        <v>41</v>
      </c>
      <c r="I1527" t="str">
        <f t="shared" si="116"/>
        <v>0-0</v>
      </c>
      <c r="J1527" t="str">
        <f t="shared" si="117"/>
        <v>0</v>
      </c>
      <c r="K1527" t="str">
        <f t="shared" si="118"/>
        <v>0</v>
      </c>
      <c r="L1527" t="str">
        <f t="shared" si="119"/>
        <v>Draw</v>
      </c>
      <c r="M1527" t="str">
        <f>IF(COUNTIF($A$2:A1527,A1527)=1,
     VLOOKUP(A1527,Season_Winners!A:B,2,FALSE),
     "")</f>
        <v/>
      </c>
    </row>
    <row r="1528" spans="1:14" x14ac:dyDescent="0.3">
      <c r="A1528" t="s">
        <v>603</v>
      </c>
      <c r="B1528">
        <v>1</v>
      </c>
      <c r="C1528" t="s">
        <v>607</v>
      </c>
      <c r="D1528" t="str">
        <f t="shared" si="115"/>
        <v>20.08.2017</v>
      </c>
      <c r="E1528" s="1">
        <v>0.84375</v>
      </c>
      <c r="F1528" t="s">
        <v>20</v>
      </c>
      <c r="G1528" t="s">
        <v>26</v>
      </c>
      <c r="H1528" t="s">
        <v>12</v>
      </c>
      <c r="I1528" t="str">
        <f t="shared" si="116"/>
        <v>2-0</v>
      </c>
      <c r="J1528" t="str">
        <f t="shared" si="117"/>
        <v>2</v>
      </c>
      <c r="K1528" t="str">
        <f t="shared" si="118"/>
        <v>0</v>
      </c>
      <c r="L1528" t="str">
        <f t="shared" si="119"/>
        <v>FC Barcelona</v>
      </c>
      <c r="M1528" t="str">
        <f>IF(COUNTIF($A$2:A1528,A1528)=1,
     VLOOKUP(A1528,Season_Winners!A:B,2,FALSE),
     "")</f>
        <v/>
      </c>
    </row>
    <row r="1529" spans="1:14" x14ac:dyDescent="0.3">
      <c r="A1529" t="s">
        <v>603</v>
      </c>
      <c r="B1529">
        <v>1</v>
      </c>
      <c r="C1529" t="s">
        <v>607</v>
      </c>
      <c r="D1529" t="str">
        <f t="shared" si="115"/>
        <v>20.08.2017</v>
      </c>
      <c r="E1529" s="1">
        <v>0.92708333333333337</v>
      </c>
      <c r="F1529" t="s">
        <v>182</v>
      </c>
      <c r="G1529" t="s">
        <v>25</v>
      </c>
      <c r="H1529" t="s">
        <v>46</v>
      </c>
      <c r="I1529" t="str">
        <f t="shared" si="116"/>
        <v>0-3</v>
      </c>
      <c r="J1529" t="str">
        <f t="shared" si="117"/>
        <v>0</v>
      </c>
      <c r="K1529" t="str">
        <f t="shared" si="118"/>
        <v>3</v>
      </c>
      <c r="L1529" t="str">
        <f t="shared" si="119"/>
        <v>Real Madrid</v>
      </c>
      <c r="M1529" t="str">
        <f>IF(COUNTIF($A$2:A1529,A1529)=1,
     VLOOKUP(A1529,Season_Winners!A:B,2,FALSE),
     "")</f>
        <v/>
      </c>
    </row>
    <row r="1530" spans="1:14" x14ac:dyDescent="0.3">
      <c r="A1530" t="s">
        <v>603</v>
      </c>
      <c r="B1530">
        <v>1</v>
      </c>
      <c r="C1530" t="s">
        <v>608</v>
      </c>
      <c r="D1530" t="str">
        <f t="shared" si="115"/>
        <v>21.08.2017</v>
      </c>
      <c r="E1530" s="1">
        <v>0.84375</v>
      </c>
      <c r="F1530" t="s">
        <v>21</v>
      </c>
      <c r="G1530" t="s">
        <v>34</v>
      </c>
      <c r="H1530" t="s">
        <v>18</v>
      </c>
      <c r="I1530" t="str">
        <f t="shared" si="116"/>
        <v>1-0</v>
      </c>
      <c r="J1530" t="str">
        <f t="shared" si="117"/>
        <v>1</v>
      </c>
      <c r="K1530" t="str">
        <f t="shared" si="118"/>
        <v>0</v>
      </c>
      <c r="L1530" t="str">
        <f t="shared" si="119"/>
        <v>Levante UD</v>
      </c>
      <c r="M1530" t="str">
        <f>IF(COUNTIF($A$2:A1530,A1530)=1,
     VLOOKUP(A1530,Season_Winners!A:B,2,FALSE),
     "")</f>
        <v/>
      </c>
    </row>
    <row r="1531" spans="1:14" x14ac:dyDescent="0.3">
      <c r="A1531" t="s">
        <v>603</v>
      </c>
      <c r="B1531">
        <v>1</v>
      </c>
      <c r="C1531" t="s">
        <v>608</v>
      </c>
      <c r="D1531" t="str">
        <f t="shared" si="115"/>
        <v>21.08.2017</v>
      </c>
      <c r="E1531" s="1">
        <v>0.91666666666666663</v>
      </c>
      <c r="F1531" t="s">
        <v>17</v>
      </c>
      <c r="G1531" t="s">
        <v>187</v>
      </c>
      <c r="H1531" t="s">
        <v>42</v>
      </c>
      <c r="I1531" t="str">
        <f t="shared" si="116"/>
        <v>0-1</v>
      </c>
      <c r="J1531" t="str">
        <f t="shared" si="117"/>
        <v>0</v>
      </c>
      <c r="K1531" t="str">
        <f t="shared" si="118"/>
        <v>1</v>
      </c>
      <c r="L1531" t="str">
        <f t="shared" si="119"/>
        <v>SD Eibar</v>
      </c>
      <c r="M1531" t="str">
        <f>IF(COUNTIF($A$2:A1531,A1531)=1,
     VLOOKUP(A1531,Season_Winners!A:B,2,FALSE),
     "")</f>
        <v/>
      </c>
    </row>
    <row r="1532" spans="1:14" x14ac:dyDescent="0.3">
      <c r="A1532" t="s">
        <v>603</v>
      </c>
      <c r="B1532">
        <v>2</v>
      </c>
      <c r="C1532" t="s">
        <v>610</v>
      </c>
      <c r="D1532" t="str">
        <f t="shared" si="115"/>
        <v>25.08.2017</v>
      </c>
      <c r="E1532" s="1">
        <v>0.84375</v>
      </c>
      <c r="F1532" t="s">
        <v>10</v>
      </c>
      <c r="G1532" t="s">
        <v>34</v>
      </c>
      <c r="H1532" t="s">
        <v>32</v>
      </c>
      <c r="I1532" t="str">
        <f t="shared" si="116"/>
        <v>3-0</v>
      </c>
      <c r="J1532" t="str">
        <f t="shared" si="117"/>
        <v>3</v>
      </c>
      <c r="K1532" t="str">
        <f t="shared" si="118"/>
        <v>0</v>
      </c>
      <c r="L1532" t="str">
        <f t="shared" si="119"/>
        <v>Real Sociedad</v>
      </c>
      <c r="M1532" t="str">
        <f>IF(COUNTIF($A$2:A1532,A1532)=1,
     VLOOKUP(A1532,Season_Winners!A:B,2,FALSE),
     "")</f>
        <v/>
      </c>
    </row>
    <row r="1533" spans="1:14" hidden="1" x14ac:dyDescent="0.3">
      <c r="A1533" t="s">
        <v>603</v>
      </c>
      <c r="B1533">
        <v>2</v>
      </c>
      <c r="C1533" t="s">
        <v>610</v>
      </c>
      <c r="D1533" t="str">
        <f t="shared" si="115"/>
        <v>25.08.2017</v>
      </c>
      <c r="E1533" s="1">
        <v>0.91666666666666663</v>
      </c>
      <c r="F1533" t="s">
        <v>26</v>
      </c>
      <c r="G1533" t="s">
        <v>35</v>
      </c>
      <c r="H1533" s="2">
        <v>46024</v>
      </c>
      <c r="I1533" s="3" t="str">
        <f t="shared" si="116"/>
        <v/>
      </c>
      <c r="J1533" t="str">
        <f t="shared" si="117"/>
        <v/>
      </c>
      <c r="K1533" t="str">
        <f t="shared" si="118"/>
        <v/>
      </c>
      <c r="L1533" t="str">
        <f t="shared" si="119"/>
        <v/>
      </c>
      <c r="M1533" t="str">
        <f>IF(COUNTIF($A$2:A1533,A1533)=1,
     VLOOKUP(A1533,Season_Winners!A:B,2,FALSE),
     "")</f>
        <v/>
      </c>
      <c r="N1533" s="2"/>
    </row>
    <row r="1534" spans="1:14" x14ac:dyDescent="0.3">
      <c r="A1534" t="s">
        <v>603</v>
      </c>
      <c r="B1534">
        <v>2</v>
      </c>
      <c r="C1534" t="s">
        <v>611</v>
      </c>
      <c r="D1534" t="str">
        <f t="shared" si="115"/>
        <v>26.08.2017</v>
      </c>
      <c r="E1534" s="1">
        <v>0.76041666666666663</v>
      </c>
      <c r="F1534" t="s">
        <v>464</v>
      </c>
      <c r="G1534" t="s">
        <v>20</v>
      </c>
      <c r="H1534" t="s">
        <v>54</v>
      </c>
      <c r="I1534" t="str">
        <f t="shared" si="116"/>
        <v>0-2</v>
      </c>
      <c r="J1534" t="str">
        <f t="shared" si="117"/>
        <v>0</v>
      </c>
      <c r="K1534" t="str">
        <f t="shared" si="118"/>
        <v>2</v>
      </c>
      <c r="L1534" t="str">
        <f t="shared" si="119"/>
        <v>FC Barcelona</v>
      </c>
      <c r="M1534" t="str">
        <f>IF(COUNTIF($A$2:A1534,A1534)=1,
     VLOOKUP(A1534,Season_Winners!A:B,2,FALSE),
     "")</f>
        <v/>
      </c>
    </row>
    <row r="1535" spans="1:14" hidden="1" x14ac:dyDescent="0.3">
      <c r="A1535" t="s">
        <v>603</v>
      </c>
      <c r="B1535">
        <v>2</v>
      </c>
      <c r="C1535" t="s">
        <v>611</v>
      </c>
      <c r="D1535" t="str">
        <f t="shared" si="115"/>
        <v>26.08.2017</v>
      </c>
      <c r="E1535" s="1">
        <v>0.84375</v>
      </c>
      <c r="F1535" t="s">
        <v>21</v>
      </c>
      <c r="G1535" t="s">
        <v>182</v>
      </c>
      <c r="H1535" s="2">
        <v>46055</v>
      </c>
      <c r="I1535" s="3" t="str">
        <f t="shared" si="116"/>
        <v/>
      </c>
      <c r="J1535" t="str">
        <f t="shared" si="117"/>
        <v/>
      </c>
      <c r="K1535" t="str">
        <f t="shared" si="118"/>
        <v/>
      </c>
      <c r="L1535" t="str">
        <f t="shared" si="119"/>
        <v/>
      </c>
      <c r="M1535" t="str">
        <f>IF(COUNTIF($A$2:A1535,A1535)=1,
     VLOOKUP(A1535,Season_Winners!A:B,2,FALSE),
     "")</f>
        <v/>
      </c>
      <c r="N1535" s="2"/>
    </row>
    <row r="1536" spans="1:14" x14ac:dyDescent="0.3">
      <c r="A1536" t="s">
        <v>603</v>
      </c>
      <c r="B1536">
        <v>2</v>
      </c>
      <c r="C1536" t="s">
        <v>611</v>
      </c>
      <c r="D1536" t="str">
        <f t="shared" si="115"/>
        <v>26.08.2017</v>
      </c>
      <c r="E1536" s="1">
        <v>0.84375</v>
      </c>
      <c r="F1536" t="s">
        <v>606</v>
      </c>
      <c r="G1536" t="s">
        <v>17</v>
      </c>
      <c r="H1536" t="s">
        <v>18</v>
      </c>
      <c r="I1536" t="str">
        <f t="shared" si="116"/>
        <v>1-0</v>
      </c>
      <c r="J1536" t="str">
        <f t="shared" si="117"/>
        <v>1</v>
      </c>
      <c r="K1536" t="str">
        <f t="shared" si="118"/>
        <v>0</v>
      </c>
      <c r="L1536" t="str">
        <f t="shared" si="119"/>
        <v>Girona FC</v>
      </c>
      <c r="M1536" t="str">
        <f>IF(COUNTIF($A$2:A1536,A1536)=1,
     VLOOKUP(A1536,Season_Winners!A:B,2,FALSE),
     "")</f>
        <v/>
      </c>
    </row>
    <row r="1537" spans="1:14" hidden="1" x14ac:dyDescent="0.3">
      <c r="A1537" t="s">
        <v>603</v>
      </c>
      <c r="B1537">
        <v>2</v>
      </c>
      <c r="C1537" t="s">
        <v>611</v>
      </c>
      <c r="D1537" t="str">
        <f t="shared" si="115"/>
        <v>26.08.2017</v>
      </c>
      <c r="E1537" s="1">
        <v>0.92708333333333337</v>
      </c>
      <c r="F1537" t="s">
        <v>338</v>
      </c>
      <c r="G1537" t="s">
        <v>28</v>
      </c>
      <c r="H1537" s="2">
        <v>46143</v>
      </c>
      <c r="I1537" s="3" t="str">
        <f t="shared" si="116"/>
        <v/>
      </c>
      <c r="J1537" t="str">
        <f t="shared" si="117"/>
        <v/>
      </c>
      <c r="K1537" t="str">
        <f t="shared" si="118"/>
        <v/>
      </c>
      <c r="L1537" t="str">
        <f t="shared" si="119"/>
        <v/>
      </c>
      <c r="M1537" t="str">
        <f>IF(COUNTIF($A$2:A1537,A1537)=1,
     VLOOKUP(A1537,Season_Winners!A:B,2,FALSE),
     "")</f>
        <v/>
      </c>
      <c r="N1537" s="2"/>
    </row>
    <row r="1538" spans="1:14" x14ac:dyDescent="0.3">
      <c r="A1538" t="s">
        <v>603</v>
      </c>
      <c r="B1538">
        <v>2</v>
      </c>
      <c r="C1538" t="s">
        <v>613</v>
      </c>
      <c r="D1538" t="str">
        <f t="shared" ref="D1538:D1601" si="120">RIGHT(C1538,10)</f>
        <v>27.08.2017</v>
      </c>
      <c r="E1538" s="1">
        <v>0.76041666666666663</v>
      </c>
      <c r="F1538" t="s">
        <v>36</v>
      </c>
      <c r="G1538" t="s">
        <v>466</v>
      </c>
      <c r="H1538" t="s">
        <v>42</v>
      </c>
      <c r="I1538" t="str">
        <f t="shared" ref="I1538:I1601" si="121">IF(ISNUMBER(SEARCH("-",H1538)),H1538,"")</f>
        <v>0-1</v>
      </c>
      <c r="J1538" t="str">
        <f t="shared" ref="J1538:J1601" si="122">IF(I1538="","",LEFT(I1538,FIND("-",I1538)-1))</f>
        <v>0</v>
      </c>
      <c r="K1538" t="str">
        <f t="shared" ref="K1538:K1601" si="123">IF(I1538="","",RIGHT(I1538,LEN(I1538)-FIND("-",I1538)))</f>
        <v>1</v>
      </c>
      <c r="L1538" t="str">
        <f t="shared" ref="L1538:L1601" si="124">IF(I1538="","",IF(J1538&gt;K1538,F1538,IF(K1538&gt;J1538,G1538,"Draw")))</f>
        <v>CD LeganÃ©s</v>
      </c>
      <c r="M1538" t="str">
        <f>IF(COUNTIF($A$2:A1538,A1538)=1,
     VLOOKUP(A1538,Season_Winners!A:B,2,FALSE),
     "")</f>
        <v/>
      </c>
    </row>
    <row r="1539" spans="1:14" x14ac:dyDescent="0.3">
      <c r="A1539" t="s">
        <v>603</v>
      </c>
      <c r="B1539">
        <v>2</v>
      </c>
      <c r="C1539" t="s">
        <v>613</v>
      </c>
      <c r="D1539" t="str">
        <f t="shared" si="120"/>
        <v>27.08.2017</v>
      </c>
      <c r="E1539" s="1">
        <v>0.76041666666666663</v>
      </c>
      <c r="F1539" t="s">
        <v>187</v>
      </c>
      <c r="G1539" t="s">
        <v>15</v>
      </c>
      <c r="H1539" t="s">
        <v>42</v>
      </c>
      <c r="I1539" t="str">
        <f t="shared" si="121"/>
        <v>0-1</v>
      </c>
      <c r="J1539" t="str">
        <f t="shared" si="122"/>
        <v>0</v>
      </c>
      <c r="K1539" t="str">
        <f t="shared" si="123"/>
        <v>1</v>
      </c>
      <c r="L1539" t="str">
        <f t="shared" si="124"/>
        <v>Athletic Club</v>
      </c>
      <c r="M1539" t="str">
        <f>IF(COUNTIF($A$2:A1539,A1539)=1,
     VLOOKUP(A1539,Season_Winners!A:B,2,FALSE),
     "")</f>
        <v/>
      </c>
    </row>
    <row r="1540" spans="1:14" x14ac:dyDescent="0.3">
      <c r="A1540" t="s">
        <v>603</v>
      </c>
      <c r="B1540">
        <v>2</v>
      </c>
      <c r="C1540" t="s">
        <v>613</v>
      </c>
      <c r="D1540" t="str">
        <f t="shared" si="120"/>
        <v>27.08.2017</v>
      </c>
      <c r="E1540" s="1">
        <v>0.84375</v>
      </c>
      <c r="F1540" t="s">
        <v>11</v>
      </c>
      <c r="G1540" t="s">
        <v>27</v>
      </c>
      <c r="H1540" t="s">
        <v>42</v>
      </c>
      <c r="I1540" t="str">
        <f t="shared" si="121"/>
        <v>0-1</v>
      </c>
      <c r="J1540" t="str">
        <f t="shared" si="122"/>
        <v>0</v>
      </c>
      <c r="K1540" t="str">
        <f t="shared" si="123"/>
        <v>1</v>
      </c>
      <c r="L1540" t="str">
        <f t="shared" si="124"/>
        <v>Sevilla FC</v>
      </c>
      <c r="M1540" t="str">
        <f>IF(COUNTIF($A$2:A1540,A1540)=1,
     VLOOKUP(A1540,Season_Winners!A:B,2,FALSE),
     "")</f>
        <v/>
      </c>
    </row>
    <row r="1541" spans="1:14" hidden="1" x14ac:dyDescent="0.3">
      <c r="A1541" t="s">
        <v>603</v>
      </c>
      <c r="B1541">
        <v>2</v>
      </c>
      <c r="C1541" t="s">
        <v>613</v>
      </c>
      <c r="D1541" t="str">
        <f t="shared" si="120"/>
        <v>27.08.2017</v>
      </c>
      <c r="E1541" s="1">
        <v>0.92708333333333337</v>
      </c>
      <c r="F1541" t="s">
        <v>25</v>
      </c>
      <c r="G1541" t="s">
        <v>16</v>
      </c>
      <c r="H1541" s="2">
        <v>46055</v>
      </c>
      <c r="I1541" s="3" t="str">
        <f t="shared" si="121"/>
        <v/>
      </c>
      <c r="J1541" t="str">
        <f t="shared" si="122"/>
        <v/>
      </c>
      <c r="K1541" t="str">
        <f t="shared" si="123"/>
        <v/>
      </c>
      <c r="L1541" t="str">
        <f t="shared" si="124"/>
        <v/>
      </c>
      <c r="M1541" t="str">
        <f>IF(COUNTIF($A$2:A1541,A1541)=1,
     VLOOKUP(A1541,Season_Winners!A:B,2,FALSE),
     "")</f>
        <v/>
      </c>
      <c r="N1541" s="2"/>
    </row>
    <row r="1542" spans="1:14" hidden="1" x14ac:dyDescent="0.3">
      <c r="A1542" t="s">
        <v>603</v>
      </c>
      <c r="B1542">
        <v>3</v>
      </c>
      <c r="C1542" t="s">
        <v>615</v>
      </c>
      <c r="D1542" t="str">
        <f t="shared" si="120"/>
        <v>08.09.2017</v>
      </c>
      <c r="E1542" s="1">
        <v>0.875</v>
      </c>
      <c r="F1542" t="s">
        <v>466</v>
      </c>
      <c r="G1542" t="s">
        <v>11</v>
      </c>
      <c r="H1542" s="2">
        <v>46054</v>
      </c>
      <c r="I1542" s="3" t="str">
        <f t="shared" si="121"/>
        <v/>
      </c>
      <c r="J1542" t="str">
        <f t="shared" si="122"/>
        <v/>
      </c>
      <c r="K1542" t="str">
        <f t="shared" si="123"/>
        <v/>
      </c>
      <c r="L1542" t="str">
        <f t="shared" si="124"/>
        <v/>
      </c>
      <c r="M1542" t="str">
        <f>IF(COUNTIF($A$2:A1542,A1542)=1,
     VLOOKUP(A1542,Season_Winners!A:B,2,FALSE),
     "")</f>
        <v/>
      </c>
      <c r="N1542" s="2"/>
    </row>
    <row r="1543" spans="1:14" hidden="1" x14ac:dyDescent="0.3">
      <c r="A1543" t="s">
        <v>603</v>
      </c>
      <c r="B1543">
        <v>3</v>
      </c>
      <c r="C1543" t="s">
        <v>616</v>
      </c>
      <c r="D1543" t="str">
        <f t="shared" si="120"/>
        <v>09.09.2017</v>
      </c>
      <c r="E1543" s="1">
        <v>0.54166666666666663</v>
      </c>
      <c r="F1543" t="s">
        <v>25</v>
      </c>
      <c r="G1543" t="s">
        <v>21</v>
      </c>
      <c r="H1543" s="2">
        <v>46023</v>
      </c>
      <c r="I1543" s="3" t="str">
        <f t="shared" si="121"/>
        <v/>
      </c>
      <c r="J1543" t="str">
        <f t="shared" si="122"/>
        <v/>
      </c>
      <c r="K1543" t="str">
        <f t="shared" si="123"/>
        <v/>
      </c>
      <c r="L1543" t="str">
        <f t="shared" si="124"/>
        <v/>
      </c>
      <c r="M1543" t="str">
        <f>IF(COUNTIF($A$2:A1543,A1543)=1,
     VLOOKUP(A1543,Season_Winners!A:B,2,FALSE),
     "")</f>
        <v/>
      </c>
      <c r="N1543" s="2"/>
    </row>
    <row r="1544" spans="1:14" x14ac:dyDescent="0.3">
      <c r="A1544" t="s">
        <v>603</v>
      </c>
      <c r="B1544">
        <v>3</v>
      </c>
      <c r="C1544" t="s">
        <v>616</v>
      </c>
      <c r="D1544" t="str">
        <f t="shared" si="120"/>
        <v>09.09.2017</v>
      </c>
      <c r="E1544" s="1">
        <v>0.67708333333333337</v>
      </c>
      <c r="F1544" t="s">
        <v>16</v>
      </c>
      <c r="G1544" t="s">
        <v>1425</v>
      </c>
      <c r="H1544" t="s">
        <v>41</v>
      </c>
      <c r="I1544" t="str">
        <f t="shared" si="121"/>
        <v>0-0</v>
      </c>
      <c r="J1544" t="str">
        <f t="shared" si="122"/>
        <v>0</v>
      </c>
      <c r="K1544" t="str">
        <f t="shared" si="123"/>
        <v>0</v>
      </c>
      <c r="L1544" t="str">
        <f t="shared" si="124"/>
        <v>Draw</v>
      </c>
      <c r="M1544" t="str">
        <f>IF(COUNTIF($A$2:A1544,A1544)=1,
     VLOOKUP(A1544,Season_Winners!A:B,2,FALSE),
     "")</f>
        <v/>
      </c>
    </row>
    <row r="1545" spans="1:14" x14ac:dyDescent="0.3">
      <c r="A1545" t="s">
        <v>603</v>
      </c>
      <c r="B1545">
        <v>3</v>
      </c>
      <c r="C1545" t="s">
        <v>616</v>
      </c>
      <c r="D1545" t="str">
        <f t="shared" si="120"/>
        <v>09.09.2017</v>
      </c>
      <c r="E1545" s="1">
        <v>0.77083333333333337</v>
      </c>
      <c r="F1545" t="s">
        <v>27</v>
      </c>
      <c r="G1545" t="s">
        <v>187</v>
      </c>
      <c r="H1545" t="s">
        <v>32</v>
      </c>
      <c r="I1545" t="str">
        <f t="shared" si="121"/>
        <v>3-0</v>
      </c>
      <c r="J1545" t="str">
        <f t="shared" si="122"/>
        <v>3</v>
      </c>
      <c r="K1545" t="str">
        <f t="shared" si="123"/>
        <v>0</v>
      </c>
      <c r="L1545" t="str">
        <f t="shared" si="124"/>
        <v>Sevilla FC</v>
      </c>
      <c r="M1545" t="str">
        <f>IF(COUNTIF($A$2:A1545,A1545)=1,
     VLOOKUP(A1545,Season_Winners!A:B,2,FALSE),
     "")</f>
        <v/>
      </c>
    </row>
    <row r="1546" spans="1:14" x14ac:dyDescent="0.3">
      <c r="A1546" t="s">
        <v>603</v>
      </c>
      <c r="B1546">
        <v>3</v>
      </c>
      <c r="C1546" t="s">
        <v>616</v>
      </c>
      <c r="D1546" t="str">
        <f t="shared" si="120"/>
        <v>09.09.2017</v>
      </c>
      <c r="E1546" s="1">
        <v>0.86458333333333337</v>
      </c>
      <c r="F1546" t="s">
        <v>20</v>
      </c>
      <c r="G1546" t="s">
        <v>36</v>
      </c>
      <c r="H1546" t="s">
        <v>40</v>
      </c>
      <c r="I1546" t="str">
        <f t="shared" si="121"/>
        <v>5-0</v>
      </c>
      <c r="J1546" t="str">
        <f t="shared" si="122"/>
        <v>5</v>
      </c>
      <c r="K1546" t="str">
        <f t="shared" si="123"/>
        <v>0</v>
      </c>
      <c r="L1546" t="str">
        <f t="shared" si="124"/>
        <v>FC Barcelona</v>
      </c>
      <c r="M1546" t="str">
        <f>IF(COUNTIF($A$2:A1546,A1546)=1,
     VLOOKUP(A1546,Season_Winners!A:B,2,FALSE),
     "")</f>
        <v/>
      </c>
    </row>
    <row r="1547" spans="1:14" hidden="1" x14ac:dyDescent="0.3">
      <c r="A1547" t="s">
        <v>603</v>
      </c>
      <c r="B1547">
        <v>3</v>
      </c>
      <c r="C1547" t="s">
        <v>617</v>
      </c>
      <c r="D1547" t="str">
        <f t="shared" si="120"/>
        <v>10.09.2017</v>
      </c>
      <c r="E1547" s="1">
        <v>0.5</v>
      </c>
      <c r="F1547" t="s">
        <v>182</v>
      </c>
      <c r="G1547" t="s">
        <v>10</v>
      </c>
      <c r="H1547" s="2">
        <v>46114</v>
      </c>
      <c r="I1547" s="3" t="str">
        <f t="shared" si="121"/>
        <v/>
      </c>
      <c r="J1547" t="str">
        <f t="shared" si="122"/>
        <v/>
      </c>
      <c r="K1547" t="str">
        <f t="shared" si="123"/>
        <v/>
      </c>
      <c r="L1547" t="str">
        <f t="shared" si="124"/>
        <v/>
      </c>
      <c r="M1547" t="str">
        <f>IF(COUNTIF($A$2:A1547,A1547)=1,
     VLOOKUP(A1547,Season_Winners!A:B,2,FALSE),
     "")</f>
        <v/>
      </c>
      <c r="N1547" s="2"/>
    </row>
    <row r="1548" spans="1:14" x14ac:dyDescent="0.3">
      <c r="A1548" t="s">
        <v>603</v>
      </c>
      <c r="B1548">
        <v>3</v>
      </c>
      <c r="C1548" t="s">
        <v>617</v>
      </c>
      <c r="D1548" t="str">
        <f t="shared" si="120"/>
        <v>10.09.2017</v>
      </c>
      <c r="E1548" s="1">
        <v>0.67708333333333337</v>
      </c>
      <c r="F1548" t="s">
        <v>15</v>
      </c>
      <c r="G1548" t="s">
        <v>606</v>
      </c>
      <c r="H1548" t="s">
        <v>12</v>
      </c>
      <c r="I1548" t="str">
        <f t="shared" si="121"/>
        <v>2-0</v>
      </c>
      <c r="J1548" t="str">
        <f t="shared" si="122"/>
        <v>2</v>
      </c>
      <c r="K1548" t="str">
        <f t="shared" si="123"/>
        <v>0</v>
      </c>
      <c r="L1548" t="str">
        <f t="shared" si="124"/>
        <v>Athletic Club</v>
      </c>
      <c r="M1548" t="str">
        <f>IF(COUNTIF($A$2:A1548,A1548)=1,
     VLOOKUP(A1548,Season_Winners!A:B,2,FALSE),
     "")</f>
        <v/>
      </c>
    </row>
    <row r="1549" spans="1:14" x14ac:dyDescent="0.3">
      <c r="A1549" t="s">
        <v>603</v>
      </c>
      <c r="B1549">
        <v>3</v>
      </c>
      <c r="C1549" t="s">
        <v>617</v>
      </c>
      <c r="D1549" t="str">
        <f t="shared" si="120"/>
        <v>10.09.2017</v>
      </c>
      <c r="E1549" s="1">
        <v>0.77083333333333337</v>
      </c>
      <c r="F1549" t="s">
        <v>35</v>
      </c>
      <c r="G1549" t="s">
        <v>464</v>
      </c>
      <c r="H1549" t="s">
        <v>18</v>
      </c>
      <c r="I1549" t="str">
        <f t="shared" si="121"/>
        <v>1-0</v>
      </c>
      <c r="J1549" t="str">
        <f t="shared" si="122"/>
        <v>1</v>
      </c>
      <c r="K1549" t="str">
        <f t="shared" si="123"/>
        <v>0</v>
      </c>
      <c r="L1549" t="str">
        <f t="shared" si="124"/>
        <v>RC Celta</v>
      </c>
      <c r="M1549" t="str">
        <f>IF(COUNTIF($A$2:A1549,A1549)=1,
     VLOOKUP(A1549,Season_Winners!A:B,2,FALSE),
     "")</f>
        <v/>
      </c>
    </row>
    <row r="1550" spans="1:14" hidden="1" x14ac:dyDescent="0.3">
      <c r="A1550" t="s">
        <v>603</v>
      </c>
      <c r="B1550">
        <v>3</v>
      </c>
      <c r="C1550" t="s">
        <v>617</v>
      </c>
      <c r="D1550" t="str">
        <f t="shared" si="120"/>
        <v>10.09.2017</v>
      </c>
      <c r="E1550" s="1">
        <v>0.86458333333333337</v>
      </c>
      <c r="F1550" t="s">
        <v>34</v>
      </c>
      <c r="G1550" t="s">
        <v>26</v>
      </c>
      <c r="H1550" s="2">
        <v>46025</v>
      </c>
      <c r="I1550" s="3" t="str">
        <f t="shared" si="121"/>
        <v/>
      </c>
      <c r="J1550" t="str">
        <f t="shared" si="122"/>
        <v/>
      </c>
      <c r="K1550" t="str">
        <f t="shared" si="123"/>
        <v/>
      </c>
      <c r="L1550" t="str">
        <f t="shared" si="124"/>
        <v/>
      </c>
      <c r="M1550" t="str">
        <f>IF(COUNTIF($A$2:A1550,A1550)=1,
     VLOOKUP(A1550,Season_Winners!A:B,2,FALSE),
     "")</f>
        <v/>
      </c>
      <c r="N1550" s="2"/>
    </row>
    <row r="1551" spans="1:14" hidden="1" x14ac:dyDescent="0.3">
      <c r="A1551" t="s">
        <v>603</v>
      </c>
      <c r="B1551">
        <v>3</v>
      </c>
      <c r="C1551" t="s">
        <v>618</v>
      </c>
      <c r="D1551" t="str">
        <f t="shared" si="120"/>
        <v>11.09.2017</v>
      </c>
      <c r="E1551" s="1">
        <v>0.875</v>
      </c>
      <c r="F1551" t="s">
        <v>17</v>
      </c>
      <c r="G1551" t="s">
        <v>338</v>
      </c>
      <c r="H1551" s="2">
        <v>46082</v>
      </c>
      <c r="I1551" s="3" t="str">
        <f t="shared" si="121"/>
        <v/>
      </c>
      <c r="J1551" t="str">
        <f t="shared" si="122"/>
        <v/>
      </c>
      <c r="K1551" t="str">
        <f t="shared" si="123"/>
        <v/>
      </c>
      <c r="L1551" t="str">
        <f t="shared" si="124"/>
        <v/>
      </c>
      <c r="M1551" t="str">
        <f>IF(COUNTIF($A$2:A1551,A1551)=1,
     VLOOKUP(A1551,Season_Winners!A:B,2,FALSE),
     "")</f>
        <v/>
      </c>
      <c r="N1551" s="2"/>
    </row>
    <row r="1552" spans="1:14" x14ac:dyDescent="0.3">
      <c r="A1552" t="s">
        <v>603</v>
      </c>
      <c r="B1552">
        <v>4</v>
      </c>
      <c r="C1552" t="s">
        <v>619</v>
      </c>
      <c r="D1552" t="str">
        <f t="shared" si="120"/>
        <v>15.09.2017</v>
      </c>
      <c r="E1552" s="1">
        <v>0.875</v>
      </c>
      <c r="F1552" t="s">
        <v>187</v>
      </c>
      <c r="G1552" t="s">
        <v>466</v>
      </c>
      <c r="H1552" t="s">
        <v>18</v>
      </c>
      <c r="I1552" t="str">
        <f t="shared" si="121"/>
        <v>1-0</v>
      </c>
      <c r="J1552" t="str">
        <f t="shared" si="122"/>
        <v>1</v>
      </c>
      <c r="K1552" t="str">
        <f t="shared" si="123"/>
        <v>0</v>
      </c>
      <c r="L1552" t="str">
        <f t="shared" si="124"/>
        <v>SD Eibar</v>
      </c>
      <c r="M1552" t="str">
        <f>IF(COUNTIF($A$2:A1552,A1552)=1,
     VLOOKUP(A1552,Season_Winners!A:B,2,FALSE),
     "")</f>
        <v/>
      </c>
    </row>
    <row r="1553" spans="1:14" hidden="1" x14ac:dyDescent="0.3">
      <c r="A1553" t="s">
        <v>603</v>
      </c>
      <c r="B1553">
        <v>4</v>
      </c>
      <c r="C1553" t="s">
        <v>620</v>
      </c>
      <c r="D1553" t="str">
        <f t="shared" si="120"/>
        <v>16.09.2017</v>
      </c>
      <c r="E1553" s="1">
        <v>0.54166666666666663</v>
      </c>
      <c r="F1553" t="s">
        <v>21</v>
      </c>
      <c r="G1553" t="s">
        <v>16</v>
      </c>
      <c r="H1553" s="2">
        <v>46023</v>
      </c>
      <c r="I1553" s="3" t="str">
        <f t="shared" si="121"/>
        <v/>
      </c>
      <c r="J1553" t="str">
        <f t="shared" si="122"/>
        <v/>
      </c>
      <c r="K1553" t="str">
        <f t="shared" si="123"/>
        <v/>
      </c>
      <c r="L1553" t="str">
        <f t="shared" si="124"/>
        <v/>
      </c>
      <c r="M1553" t="str">
        <f>IF(COUNTIF($A$2:A1553,A1553)=1,
     VLOOKUP(A1553,Season_Winners!A:B,2,FALSE),
     "")</f>
        <v/>
      </c>
      <c r="N1553" s="2"/>
    </row>
    <row r="1554" spans="1:14" hidden="1" x14ac:dyDescent="0.3">
      <c r="A1554" t="s">
        <v>603</v>
      </c>
      <c r="B1554">
        <v>4</v>
      </c>
      <c r="C1554" t="s">
        <v>620</v>
      </c>
      <c r="D1554" t="str">
        <f t="shared" si="120"/>
        <v>16.09.2017</v>
      </c>
      <c r="E1554" s="1">
        <v>0.67708333333333337</v>
      </c>
      <c r="F1554" t="s">
        <v>11</v>
      </c>
      <c r="G1554" t="s">
        <v>20</v>
      </c>
      <c r="H1554" s="2">
        <v>46054</v>
      </c>
      <c r="I1554" s="3" t="str">
        <f t="shared" si="121"/>
        <v/>
      </c>
      <c r="J1554" t="str">
        <f t="shared" si="122"/>
        <v/>
      </c>
      <c r="K1554" t="str">
        <f t="shared" si="123"/>
        <v/>
      </c>
      <c r="L1554" t="str">
        <f t="shared" si="124"/>
        <v/>
      </c>
      <c r="M1554" t="str">
        <f>IF(COUNTIF($A$2:A1554,A1554)=1,
     VLOOKUP(A1554,Season_Winners!A:B,2,FALSE),
     "")</f>
        <v/>
      </c>
      <c r="N1554" s="2"/>
    </row>
    <row r="1555" spans="1:14" hidden="1" x14ac:dyDescent="0.3">
      <c r="A1555" t="s">
        <v>603</v>
      </c>
      <c r="B1555">
        <v>4</v>
      </c>
      <c r="C1555" t="s">
        <v>620</v>
      </c>
      <c r="D1555" t="str">
        <f t="shared" si="120"/>
        <v>16.09.2017</v>
      </c>
      <c r="E1555" s="1">
        <v>0.77083333333333337</v>
      </c>
      <c r="F1555" t="s">
        <v>26</v>
      </c>
      <c r="G1555" t="s">
        <v>182</v>
      </c>
      <c r="H1555" s="2">
        <v>46024</v>
      </c>
      <c r="I1555" s="3" t="str">
        <f t="shared" si="121"/>
        <v/>
      </c>
      <c r="J1555" t="str">
        <f t="shared" si="122"/>
        <v/>
      </c>
      <c r="K1555" t="str">
        <f t="shared" si="123"/>
        <v/>
      </c>
      <c r="L1555" t="str">
        <f t="shared" si="124"/>
        <v/>
      </c>
      <c r="M1555" t="str">
        <f>IF(COUNTIF($A$2:A1555,A1555)=1,
     VLOOKUP(A1555,Season_Winners!A:B,2,FALSE),
     "")</f>
        <v/>
      </c>
      <c r="N1555" s="2"/>
    </row>
    <row r="1556" spans="1:14" x14ac:dyDescent="0.3">
      <c r="A1556" t="s">
        <v>603</v>
      </c>
      <c r="B1556">
        <v>4</v>
      </c>
      <c r="C1556" t="s">
        <v>620</v>
      </c>
      <c r="D1556" t="str">
        <f t="shared" si="120"/>
        <v>16.09.2017</v>
      </c>
      <c r="E1556" s="1">
        <v>0.86458333333333337</v>
      </c>
      <c r="F1556" t="s">
        <v>1425</v>
      </c>
      <c r="G1556" t="s">
        <v>17</v>
      </c>
      <c r="H1556" t="s">
        <v>18</v>
      </c>
      <c r="I1556" t="str">
        <f t="shared" si="121"/>
        <v>1-0</v>
      </c>
      <c r="J1556" t="str">
        <f t="shared" si="122"/>
        <v>1</v>
      </c>
      <c r="K1556" t="str">
        <f t="shared" si="123"/>
        <v>0</v>
      </c>
      <c r="L1556" t="str">
        <f t="shared" si="124"/>
        <v>Atlético de Madrid</v>
      </c>
      <c r="M1556" t="str">
        <f>IF(COUNTIF($A$2:A1556,A1556)=1,
     VLOOKUP(A1556,Season_Winners!A:B,2,FALSE),
     "")</f>
        <v/>
      </c>
    </row>
    <row r="1557" spans="1:14" x14ac:dyDescent="0.3">
      <c r="A1557" t="s">
        <v>603</v>
      </c>
      <c r="B1557">
        <v>4</v>
      </c>
      <c r="C1557" t="s">
        <v>621</v>
      </c>
      <c r="D1557" t="str">
        <f t="shared" si="120"/>
        <v>17.09.2017</v>
      </c>
      <c r="E1557" s="1">
        <v>0.5</v>
      </c>
      <c r="F1557" t="s">
        <v>464</v>
      </c>
      <c r="G1557" t="s">
        <v>34</v>
      </c>
      <c r="H1557" t="s">
        <v>46</v>
      </c>
      <c r="I1557" t="str">
        <f t="shared" si="121"/>
        <v>0-3</v>
      </c>
      <c r="J1557" t="str">
        <f t="shared" si="122"/>
        <v>0</v>
      </c>
      <c r="K1557" t="str">
        <f t="shared" si="123"/>
        <v>3</v>
      </c>
      <c r="L1557" t="str">
        <f t="shared" si="124"/>
        <v>Villarreal CF</v>
      </c>
      <c r="M1557" t="str">
        <f>IF(COUNTIF($A$2:A1557,A1557)=1,
     VLOOKUP(A1557,Season_Winners!A:B,2,FALSE),
     "")</f>
        <v/>
      </c>
    </row>
    <row r="1558" spans="1:14" x14ac:dyDescent="0.3">
      <c r="A1558" t="s">
        <v>603</v>
      </c>
      <c r="B1558">
        <v>4</v>
      </c>
      <c r="C1558" t="s">
        <v>621</v>
      </c>
      <c r="D1558" t="str">
        <f t="shared" si="120"/>
        <v>17.09.2017</v>
      </c>
      <c r="E1558" s="1">
        <v>0.67708333333333337</v>
      </c>
      <c r="F1558" t="s">
        <v>606</v>
      </c>
      <c r="G1558" t="s">
        <v>27</v>
      </c>
      <c r="H1558" t="s">
        <v>42</v>
      </c>
      <c r="I1558" t="str">
        <f t="shared" si="121"/>
        <v>0-1</v>
      </c>
      <c r="J1558" t="str">
        <f t="shared" si="122"/>
        <v>0</v>
      </c>
      <c r="K1558" t="str">
        <f t="shared" si="123"/>
        <v>1</v>
      </c>
      <c r="L1558" t="str">
        <f t="shared" si="124"/>
        <v>Sevilla FC</v>
      </c>
      <c r="M1558" t="str">
        <f>IF(COUNTIF($A$2:A1558,A1558)=1,
     VLOOKUP(A1558,Season_Winners!A:B,2,FALSE),
     "")</f>
        <v/>
      </c>
    </row>
    <row r="1559" spans="1:14" x14ac:dyDescent="0.3">
      <c r="A1559" t="s">
        <v>603</v>
      </c>
      <c r="B1559">
        <v>4</v>
      </c>
      <c r="C1559" t="s">
        <v>621</v>
      </c>
      <c r="D1559" t="str">
        <f t="shared" si="120"/>
        <v>17.09.2017</v>
      </c>
      <c r="E1559" s="1">
        <v>0.77083333333333337</v>
      </c>
      <c r="F1559" t="s">
        <v>338</v>
      </c>
      <c r="G1559" t="s">
        <v>15</v>
      </c>
      <c r="H1559" t="s">
        <v>18</v>
      </c>
      <c r="I1559" t="str">
        <f t="shared" si="121"/>
        <v>1-0</v>
      </c>
      <c r="J1559" t="str">
        <f t="shared" si="122"/>
        <v>1</v>
      </c>
      <c r="K1559" t="str">
        <f t="shared" si="123"/>
        <v>0</v>
      </c>
      <c r="L1559" t="str">
        <f t="shared" si="124"/>
        <v>UD Las Palmas</v>
      </c>
      <c r="M1559" t="str">
        <f>IF(COUNTIF($A$2:A1559,A1559)=1,
     VLOOKUP(A1559,Season_Winners!A:B,2,FALSE),
     "")</f>
        <v/>
      </c>
    </row>
    <row r="1560" spans="1:14" hidden="1" x14ac:dyDescent="0.3">
      <c r="A1560" t="s">
        <v>603</v>
      </c>
      <c r="B1560">
        <v>4</v>
      </c>
      <c r="C1560" t="s">
        <v>621</v>
      </c>
      <c r="D1560" t="str">
        <f t="shared" si="120"/>
        <v>17.09.2017</v>
      </c>
      <c r="E1560" s="1">
        <v>0.86458333333333337</v>
      </c>
      <c r="F1560" t="s">
        <v>10</v>
      </c>
      <c r="G1560" t="s">
        <v>25</v>
      </c>
      <c r="H1560" s="2">
        <v>46082</v>
      </c>
      <c r="I1560" s="3" t="str">
        <f t="shared" si="121"/>
        <v/>
      </c>
      <c r="J1560" t="str">
        <f t="shared" si="122"/>
        <v/>
      </c>
      <c r="K1560" t="str">
        <f t="shared" si="123"/>
        <v/>
      </c>
      <c r="L1560" t="str">
        <f t="shared" si="124"/>
        <v/>
      </c>
      <c r="M1560" t="str">
        <f>IF(COUNTIF($A$2:A1560,A1560)=1,
     VLOOKUP(A1560,Season_Winners!A:B,2,FALSE),
     "")</f>
        <v/>
      </c>
      <c r="N1560" s="2"/>
    </row>
    <row r="1561" spans="1:14" hidden="1" x14ac:dyDescent="0.3">
      <c r="A1561" t="s">
        <v>603</v>
      </c>
      <c r="B1561">
        <v>4</v>
      </c>
      <c r="C1561" t="s">
        <v>622</v>
      </c>
      <c r="D1561" t="str">
        <f t="shared" si="120"/>
        <v>18.09.2017</v>
      </c>
      <c r="E1561" s="1">
        <v>0.875</v>
      </c>
      <c r="F1561" t="s">
        <v>36</v>
      </c>
      <c r="G1561" t="s">
        <v>35</v>
      </c>
      <c r="H1561" s="2">
        <v>46024</v>
      </c>
      <c r="I1561" s="3" t="str">
        <f t="shared" si="121"/>
        <v/>
      </c>
      <c r="J1561" t="str">
        <f t="shared" si="122"/>
        <v/>
      </c>
      <c r="K1561" t="str">
        <f t="shared" si="123"/>
        <v/>
      </c>
      <c r="L1561" t="str">
        <f t="shared" si="124"/>
        <v/>
      </c>
      <c r="M1561" t="str">
        <f>IF(COUNTIF($A$2:A1561,A1561)=1,
     VLOOKUP(A1561,Season_Winners!A:B,2,FALSE),
     "")</f>
        <v/>
      </c>
      <c r="N1561" s="2"/>
    </row>
    <row r="1562" spans="1:14" x14ac:dyDescent="0.3">
      <c r="A1562" t="s">
        <v>603</v>
      </c>
      <c r="B1562">
        <v>5</v>
      </c>
      <c r="C1562" t="s">
        <v>623</v>
      </c>
      <c r="D1562" t="str">
        <f t="shared" si="120"/>
        <v>19.09.2017</v>
      </c>
      <c r="E1562" s="1">
        <v>0.83333333333333337</v>
      </c>
      <c r="F1562" t="s">
        <v>16</v>
      </c>
      <c r="G1562" t="s">
        <v>17</v>
      </c>
      <c r="H1562" t="s">
        <v>40</v>
      </c>
      <c r="I1562" t="str">
        <f t="shared" si="121"/>
        <v>5-0</v>
      </c>
      <c r="J1562" t="str">
        <f t="shared" si="122"/>
        <v>5</v>
      </c>
      <c r="K1562" t="str">
        <f t="shared" si="123"/>
        <v>0</v>
      </c>
      <c r="L1562" t="str">
        <f t="shared" si="124"/>
        <v>Valencia CF</v>
      </c>
      <c r="M1562" t="str">
        <f>IF(COUNTIF($A$2:A1562,A1562)=1,
     VLOOKUP(A1562,Season_Winners!A:B,2,FALSE),
     "")</f>
        <v/>
      </c>
    </row>
    <row r="1563" spans="1:14" hidden="1" x14ac:dyDescent="0.3">
      <c r="A1563" t="s">
        <v>603</v>
      </c>
      <c r="B1563">
        <v>5</v>
      </c>
      <c r="C1563" t="s">
        <v>623</v>
      </c>
      <c r="D1563" t="str">
        <f t="shared" si="120"/>
        <v>19.09.2017</v>
      </c>
      <c r="E1563" s="1">
        <v>0.91666666666666663</v>
      </c>
      <c r="F1563" t="s">
        <v>20</v>
      </c>
      <c r="G1563" t="s">
        <v>187</v>
      </c>
      <c r="H1563" s="2">
        <v>46028</v>
      </c>
      <c r="I1563" s="3" t="str">
        <f t="shared" si="121"/>
        <v/>
      </c>
      <c r="J1563" t="str">
        <f t="shared" si="122"/>
        <v/>
      </c>
      <c r="K1563" t="str">
        <f t="shared" si="123"/>
        <v/>
      </c>
      <c r="L1563" t="str">
        <f t="shared" si="124"/>
        <v/>
      </c>
      <c r="M1563" t="str">
        <f>IF(COUNTIF($A$2:A1563,A1563)=1,
     VLOOKUP(A1563,Season_Winners!A:B,2,FALSE),
     "")</f>
        <v/>
      </c>
      <c r="N1563" s="2"/>
    </row>
    <row r="1564" spans="1:14" hidden="1" x14ac:dyDescent="0.3">
      <c r="A1564" t="s">
        <v>603</v>
      </c>
      <c r="B1564">
        <v>5</v>
      </c>
      <c r="C1564" t="s">
        <v>624</v>
      </c>
      <c r="D1564" t="str">
        <f t="shared" si="120"/>
        <v>20.09.2017</v>
      </c>
      <c r="E1564" s="1">
        <v>0.83333333333333337</v>
      </c>
      <c r="F1564" t="s">
        <v>15</v>
      </c>
      <c r="G1564" t="s">
        <v>28</v>
      </c>
      <c r="H1564" s="2">
        <v>46054</v>
      </c>
      <c r="I1564" s="3" t="str">
        <f t="shared" si="121"/>
        <v/>
      </c>
      <c r="J1564" t="str">
        <f t="shared" si="122"/>
        <v/>
      </c>
      <c r="K1564" t="str">
        <f t="shared" si="123"/>
        <v/>
      </c>
      <c r="L1564" t="str">
        <f t="shared" si="124"/>
        <v/>
      </c>
      <c r="M1564" t="str">
        <f>IF(COUNTIF($A$2:A1564,A1564)=1,
     VLOOKUP(A1564,Season_Winners!A:B,2,FALSE),
     "")</f>
        <v/>
      </c>
      <c r="N1564" s="2"/>
    </row>
    <row r="1565" spans="1:14" x14ac:dyDescent="0.3">
      <c r="A1565" t="s">
        <v>603</v>
      </c>
      <c r="B1565">
        <v>5</v>
      </c>
      <c r="C1565" t="s">
        <v>624</v>
      </c>
      <c r="D1565" t="str">
        <f t="shared" si="120"/>
        <v>20.09.2017</v>
      </c>
      <c r="E1565" s="1">
        <v>0.83333333333333337</v>
      </c>
      <c r="F1565" t="s">
        <v>466</v>
      </c>
      <c r="G1565" t="s">
        <v>606</v>
      </c>
      <c r="H1565" t="s">
        <v>41</v>
      </c>
      <c r="I1565" t="str">
        <f t="shared" si="121"/>
        <v>0-0</v>
      </c>
      <c r="J1565" t="str">
        <f t="shared" si="122"/>
        <v>0</v>
      </c>
      <c r="K1565" t="str">
        <f t="shared" si="123"/>
        <v>0</v>
      </c>
      <c r="L1565" t="str">
        <f t="shared" si="124"/>
        <v>Draw</v>
      </c>
      <c r="M1565" t="str">
        <f>IF(COUNTIF($A$2:A1565,A1565)=1,
     VLOOKUP(A1565,Season_Winners!A:B,2,FALSE),
     "")</f>
        <v/>
      </c>
    </row>
    <row r="1566" spans="1:14" x14ac:dyDescent="0.3">
      <c r="A1566" t="s">
        <v>603</v>
      </c>
      <c r="B1566">
        <v>5</v>
      </c>
      <c r="C1566" t="s">
        <v>624</v>
      </c>
      <c r="D1566" t="str">
        <f t="shared" si="120"/>
        <v>20.09.2017</v>
      </c>
      <c r="E1566" s="1">
        <v>0.875</v>
      </c>
      <c r="F1566" t="s">
        <v>182</v>
      </c>
      <c r="G1566" t="s">
        <v>464</v>
      </c>
      <c r="H1566" t="s">
        <v>18</v>
      </c>
      <c r="I1566" t="str">
        <f t="shared" si="121"/>
        <v>1-0</v>
      </c>
      <c r="J1566" t="str">
        <f t="shared" si="122"/>
        <v>1</v>
      </c>
      <c r="K1566" t="str">
        <f t="shared" si="123"/>
        <v>0</v>
      </c>
      <c r="L1566" t="str">
        <f t="shared" si="124"/>
        <v>RC Deportivo</v>
      </c>
      <c r="M1566" t="str">
        <f>IF(COUNTIF($A$2:A1566,A1566)=1,
     VLOOKUP(A1566,Season_Winners!A:B,2,FALSE),
     "")</f>
        <v/>
      </c>
    </row>
    <row r="1567" spans="1:14" x14ac:dyDescent="0.3">
      <c r="A1567" t="s">
        <v>603</v>
      </c>
      <c r="B1567">
        <v>5</v>
      </c>
      <c r="C1567" t="s">
        <v>624</v>
      </c>
      <c r="D1567" t="str">
        <f t="shared" si="120"/>
        <v>20.09.2017</v>
      </c>
      <c r="E1567" s="1">
        <v>0.91666666666666663</v>
      </c>
      <c r="F1567" t="s">
        <v>25</v>
      </c>
      <c r="G1567" t="s">
        <v>26</v>
      </c>
      <c r="H1567" t="s">
        <v>42</v>
      </c>
      <c r="I1567" t="str">
        <f t="shared" si="121"/>
        <v>0-1</v>
      </c>
      <c r="J1567" t="str">
        <f t="shared" si="122"/>
        <v>0</v>
      </c>
      <c r="K1567" t="str">
        <f t="shared" si="123"/>
        <v>1</v>
      </c>
      <c r="L1567" t="str">
        <f t="shared" si="124"/>
        <v>Real Betis</v>
      </c>
      <c r="M1567" t="str">
        <f>IF(COUNTIF($A$2:A1567,A1567)=1,
     VLOOKUP(A1567,Season_Winners!A:B,2,FALSE),
     "")</f>
        <v/>
      </c>
    </row>
    <row r="1568" spans="1:14" x14ac:dyDescent="0.3">
      <c r="A1568" t="s">
        <v>603</v>
      </c>
      <c r="B1568">
        <v>5</v>
      </c>
      <c r="C1568" t="s">
        <v>624</v>
      </c>
      <c r="D1568" t="str">
        <f t="shared" si="120"/>
        <v>20.09.2017</v>
      </c>
      <c r="E1568" s="1">
        <v>0.91666666666666663</v>
      </c>
      <c r="F1568" t="s">
        <v>27</v>
      </c>
      <c r="G1568" t="s">
        <v>338</v>
      </c>
      <c r="H1568" t="s">
        <v>18</v>
      </c>
      <c r="I1568" t="str">
        <f t="shared" si="121"/>
        <v>1-0</v>
      </c>
      <c r="J1568" t="str">
        <f t="shared" si="122"/>
        <v>1</v>
      </c>
      <c r="K1568" t="str">
        <f t="shared" si="123"/>
        <v>0</v>
      </c>
      <c r="L1568" t="str">
        <f t="shared" si="124"/>
        <v>Sevilla FC</v>
      </c>
      <c r="M1568" t="str">
        <f>IF(COUNTIF($A$2:A1568,A1568)=1,
     VLOOKUP(A1568,Season_Winners!A:B,2,FALSE),
     "")</f>
        <v/>
      </c>
    </row>
    <row r="1569" spans="1:14" x14ac:dyDescent="0.3">
      <c r="A1569" t="s">
        <v>603</v>
      </c>
      <c r="B1569">
        <v>5</v>
      </c>
      <c r="C1569" t="s">
        <v>625</v>
      </c>
      <c r="D1569" t="str">
        <f t="shared" si="120"/>
        <v>21.09.2017</v>
      </c>
      <c r="E1569" s="1">
        <v>0.83333333333333337</v>
      </c>
      <c r="F1569" t="s">
        <v>34</v>
      </c>
      <c r="G1569" t="s">
        <v>36</v>
      </c>
      <c r="H1569" t="s">
        <v>41</v>
      </c>
      <c r="I1569" t="str">
        <f t="shared" si="121"/>
        <v>0-0</v>
      </c>
      <c r="J1569" t="str">
        <f t="shared" si="122"/>
        <v>0</v>
      </c>
      <c r="K1569" t="str">
        <f t="shared" si="123"/>
        <v>0</v>
      </c>
      <c r="L1569" t="str">
        <f t="shared" si="124"/>
        <v>Draw</v>
      </c>
      <c r="M1569" t="str">
        <f>IF(COUNTIF($A$2:A1569,A1569)=1,
     VLOOKUP(A1569,Season_Winners!A:B,2,FALSE),
     "")</f>
        <v/>
      </c>
    </row>
    <row r="1570" spans="1:14" hidden="1" x14ac:dyDescent="0.3">
      <c r="A1570" t="s">
        <v>603</v>
      </c>
      <c r="B1570">
        <v>5</v>
      </c>
      <c r="C1570" t="s">
        <v>625</v>
      </c>
      <c r="D1570" t="str">
        <f t="shared" si="120"/>
        <v>21.09.2017</v>
      </c>
      <c r="E1570" s="1">
        <v>0.875</v>
      </c>
      <c r="F1570" t="s">
        <v>35</v>
      </c>
      <c r="G1570" t="s">
        <v>11</v>
      </c>
      <c r="H1570" s="2">
        <v>46023</v>
      </c>
      <c r="I1570" s="3" t="str">
        <f t="shared" si="121"/>
        <v/>
      </c>
      <c r="J1570" t="str">
        <f t="shared" si="122"/>
        <v/>
      </c>
      <c r="K1570" t="str">
        <f t="shared" si="123"/>
        <v/>
      </c>
      <c r="L1570" t="str">
        <f t="shared" si="124"/>
        <v/>
      </c>
      <c r="M1570" t="str">
        <f>IF(COUNTIF($A$2:A1570,A1570)=1,
     VLOOKUP(A1570,Season_Winners!A:B,2,FALSE),
     "")</f>
        <v/>
      </c>
      <c r="N1570" s="2"/>
    </row>
    <row r="1571" spans="1:14" x14ac:dyDescent="0.3">
      <c r="A1571" t="s">
        <v>603</v>
      </c>
      <c r="B1571">
        <v>5</v>
      </c>
      <c r="C1571" t="s">
        <v>625</v>
      </c>
      <c r="D1571" t="str">
        <f t="shared" si="120"/>
        <v>21.09.2017</v>
      </c>
      <c r="E1571" s="1">
        <v>0.91666666666666663</v>
      </c>
      <c r="F1571" t="s">
        <v>21</v>
      </c>
      <c r="G1571" t="s">
        <v>10</v>
      </c>
      <c r="H1571" t="s">
        <v>32</v>
      </c>
      <c r="I1571" t="str">
        <f t="shared" si="121"/>
        <v>3-0</v>
      </c>
      <c r="J1571" t="str">
        <f t="shared" si="122"/>
        <v>3</v>
      </c>
      <c r="K1571" t="str">
        <f t="shared" si="123"/>
        <v>0</v>
      </c>
      <c r="L1571" t="str">
        <f t="shared" si="124"/>
        <v>Levante UD</v>
      </c>
      <c r="M1571" t="str">
        <f>IF(COUNTIF($A$2:A1571,A1571)=1,
     VLOOKUP(A1571,Season_Winners!A:B,2,FALSE),
     "")</f>
        <v/>
      </c>
    </row>
    <row r="1572" spans="1:14" x14ac:dyDescent="0.3">
      <c r="A1572" t="s">
        <v>603</v>
      </c>
      <c r="B1572">
        <v>6</v>
      </c>
      <c r="C1572" t="s">
        <v>626</v>
      </c>
      <c r="D1572" t="str">
        <f t="shared" si="120"/>
        <v>23.09.2017</v>
      </c>
      <c r="E1572" s="1">
        <v>0.54166666666666663</v>
      </c>
      <c r="F1572" t="s">
        <v>1425</v>
      </c>
      <c r="G1572" t="s">
        <v>27</v>
      </c>
      <c r="H1572" t="s">
        <v>12</v>
      </c>
      <c r="I1572" t="str">
        <f t="shared" si="121"/>
        <v>2-0</v>
      </c>
      <c r="J1572" t="str">
        <f t="shared" si="122"/>
        <v>2</v>
      </c>
      <c r="K1572" t="str">
        <f t="shared" si="123"/>
        <v>0</v>
      </c>
      <c r="L1572" t="str">
        <f t="shared" si="124"/>
        <v>Atlético de Madrid</v>
      </c>
      <c r="M1572" t="str">
        <f>IF(COUNTIF($A$2:A1572,A1572)=1,
     VLOOKUP(A1572,Season_Winners!A:B,2,FALSE),
     "")</f>
        <v/>
      </c>
    </row>
    <row r="1573" spans="1:14" hidden="1" x14ac:dyDescent="0.3">
      <c r="A1573" t="s">
        <v>603</v>
      </c>
      <c r="B1573">
        <v>6</v>
      </c>
      <c r="C1573" t="s">
        <v>626</v>
      </c>
      <c r="D1573" t="str">
        <f t="shared" si="120"/>
        <v>23.09.2017</v>
      </c>
      <c r="E1573" s="1">
        <v>0.67708333333333337</v>
      </c>
      <c r="F1573" t="s">
        <v>464</v>
      </c>
      <c r="G1573" t="s">
        <v>25</v>
      </c>
      <c r="H1573" s="2">
        <v>46054</v>
      </c>
      <c r="I1573" s="3" t="str">
        <f t="shared" si="121"/>
        <v/>
      </c>
      <c r="J1573" t="str">
        <f t="shared" si="122"/>
        <v/>
      </c>
      <c r="K1573" t="str">
        <f t="shared" si="123"/>
        <v/>
      </c>
      <c r="L1573" t="str">
        <f t="shared" si="124"/>
        <v/>
      </c>
      <c r="M1573" t="str">
        <f>IF(COUNTIF($A$2:A1573,A1573)=1,
     VLOOKUP(A1573,Season_Winners!A:B,2,FALSE),
     "")</f>
        <v/>
      </c>
      <c r="N1573" s="2"/>
    </row>
    <row r="1574" spans="1:14" hidden="1" x14ac:dyDescent="0.3">
      <c r="A1574" t="s">
        <v>603</v>
      </c>
      <c r="B1574">
        <v>6</v>
      </c>
      <c r="C1574" t="s">
        <v>626</v>
      </c>
      <c r="D1574" t="str">
        <f t="shared" si="120"/>
        <v>23.09.2017</v>
      </c>
      <c r="E1574" s="1">
        <v>0.77083333333333337</v>
      </c>
      <c r="F1574" t="s">
        <v>17</v>
      </c>
      <c r="G1574" t="s">
        <v>15</v>
      </c>
      <c r="H1574" s="2">
        <v>46084</v>
      </c>
      <c r="I1574" s="3" t="str">
        <f t="shared" si="121"/>
        <v/>
      </c>
      <c r="J1574" t="str">
        <f t="shared" si="122"/>
        <v/>
      </c>
      <c r="K1574" t="str">
        <f t="shared" si="123"/>
        <v/>
      </c>
      <c r="L1574" t="str">
        <f t="shared" si="124"/>
        <v/>
      </c>
      <c r="M1574" t="str">
        <f>IF(COUNTIF($A$2:A1574,A1574)=1,
     VLOOKUP(A1574,Season_Winners!A:B,2,FALSE),
     "")</f>
        <v/>
      </c>
      <c r="N1574" s="2"/>
    </row>
    <row r="1575" spans="1:14" x14ac:dyDescent="0.3">
      <c r="A1575" t="s">
        <v>603</v>
      </c>
      <c r="B1575">
        <v>6</v>
      </c>
      <c r="C1575" t="s">
        <v>626</v>
      </c>
      <c r="D1575" t="str">
        <f t="shared" si="120"/>
        <v>23.09.2017</v>
      </c>
      <c r="E1575" s="1">
        <v>0.86458333333333337</v>
      </c>
      <c r="F1575" t="s">
        <v>606</v>
      </c>
      <c r="G1575" t="s">
        <v>20</v>
      </c>
      <c r="H1575" t="s">
        <v>46</v>
      </c>
      <c r="I1575" t="str">
        <f t="shared" si="121"/>
        <v>0-3</v>
      </c>
      <c r="J1575" t="str">
        <f t="shared" si="122"/>
        <v>0</v>
      </c>
      <c r="K1575" t="str">
        <f t="shared" si="123"/>
        <v>3</v>
      </c>
      <c r="L1575" t="str">
        <f t="shared" si="124"/>
        <v>FC Barcelona</v>
      </c>
      <c r="M1575" t="str">
        <f>IF(COUNTIF($A$2:A1575,A1575)=1,
     VLOOKUP(A1575,Season_Winners!A:B,2,FALSE),
     "")</f>
        <v/>
      </c>
    </row>
    <row r="1576" spans="1:14" hidden="1" x14ac:dyDescent="0.3">
      <c r="A1576" t="s">
        <v>603</v>
      </c>
      <c r="B1576">
        <v>6</v>
      </c>
      <c r="C1576" t="s">
        <v>627</v>
      </c>
      <c r="D1576" t="str">
        <f t="shared" si="120"/>
        <v>24.09.2017</v>
      </c>
      <c r="E1576" s="1">
        <v>0.5</v>
      </c>
      <c r="F1576" t="s">
        <v>36</v>
      </c>
      <c r="G1576" t="s">
        <v>182</v>
      </c>
      <c r="H1576" s="2">
        <v>46026</v>
      </c>
      <c r="I1576" s="3" t="str">
        <f t="shared" si="121"/>
        <v/>
      </c>
      <c r="J1576" t="str">
        <f t="shared" si="122"/>
        <v/>
      </c>
      <c r="K1576" t="str">
        <f t="shared" si="123"/>
        <v/>
      </c>
      <c r="L1576" t="str">
        <f t="shared" si="124"/>
        <v/>
      </c>
      <c r="M1576" t="str">
        <f>IF(COUNTIF($A$2:A1576,A1576)=1,
     VLOOKUP(A1576,Season_Winners!A:B,2,FALSE),
     "")</f>
        <v/>
      </c>
      <c r="N1576" s="2"/>
    </row>
    <row r="1577" spans="1:14" x14ac:dyDescent="0.3">
      <c r="A1577" t="s">
        <v>603</v>
      </c>
      <c r="B1577">
        <v>6</v>
      </c>
      <c r="C1577" t="s">
        <v>627</v>
      </c>
      <c r="D1577" t="str">
        <f t="shared" si="120"/>
        <v>24.09.2017</v>
      </c>
      <c r="E1577" s="1">
        <v>0.67708333333333337</v>
      </c>
      <c r="F1577" t="s">
        <v>11</v>
      </c>
      <c r="G1577" t="s">
        <v>34</v>
      </c>
      <c r="H1577" t="s">
        <v>88</v>
      </c>
      <c r="I1577" t="str">
        <f t="shared" si="121"/>
        <v>4-0</v>
      </c>
      <c r="J1577" t="str">
        <f t="shared" si="122"/>
        <v>4</v>
      </c>
      <c r="K1577" t="str">
        <f t="shared" si="123"/>
        <v>0</v>
      </c>
      <c r="L1577" t="str">
        <f t="shared" si="124"/>
        <v>Getafe CF</v>
      </c>
      <c r="M1577" t="str">
        <f>IF(COUNTIF($A$2:A1577,A1577)=1,
     VLOOKUP(A1577,Season_Winners!A:B,2,FALSE),
     "")</f>
        <v/>
      </c>
    </row>
    <row r="1578" spans="1:14" x14ac:dyDescent="0.3">
      <c r="A1578" t="s">
        <v>603</v>
      </c>
      <c r="B1578">
        <v>6</v>
      </c>
      <c r="C1578" t="s">
        <v>627</v>
      </c>
      <c r="D1578" t="str">
        <f t="shared" si="120"/>
        <v>24.09.2017</v>
      </c>
      <c r="E1578" s="1">
        <v>0.77083333333333337</v>
      </c>
      <c r="F1578" t="s">
        <v>187</v>
      </c>
      <c r="G1578" t="s">
        <v>35</v>
      </c>
      <c r="H1578" t="s">
        <v>53</v>
      </c>
      <c r="I1578" t="str">
        <f t="shared" si="121"/>
        <v>0-4</v>
      </c>
      <c r="J1578" t="str">
        <f t="shared" si="122"/>
        <v>0</v>
      </c>
      <c r="K1578" t="str">
        <f t="shared" si="123"/>
        <v>4</v>
      </c>
      <c r="L1578" t="str">
        <f t="shared" si="124"/>
        <v>RC Celta</v>
      </c>
      <c r="M1578" t="str">
        <f>IF(COUNTIF($A$2:A1578,A1578)=1,
     VLOOKUP(A1578,Season_Winners!A:B,2,FALSE),
     "")</f>
        <v/>
      </c>
    </row>
    <row r="1579" spans="1:14" x14ac:dyDescent="0.3">
      <c r="A1579" t="s">
        <v>603</v>
      </c>
      <c r="B1579">
        <v>6</v>
      </c>
      <c r="C1579" t="s">
        <v>627</v>
      </c>
      <c r="D1579" t="str">
        <f t="shared" si="120"/>
        <v>24.09.2017</v>
      </c>
      <c r="E1579" s="1">
        <v>0.77083333333333337</v>
      </c>
      <c r="F1579" t="s">
        <v>338</v>
      </c>
      <c r="G1579" t="s">
        <v>466</v>
      </c>
      <c r="H1579" t="s">
        <v>54</v>
      </c>
      <c r="I1579" t="str">
        <f t="shared" si="121"/>
        <v>0-2</v>
      </c>
      <c r="J1579" t="str">
        <f t="shared" si="122"/>
        <v>0</v>
      </c>
      <c r="K1579" t="str">
        <f t="shared" si="123"/>
        <v>2</v>
      </c>
      <c r="L1579" t="str">
        <f t="shared" si="124"/>
        <v>CD LeganÃ©s</v>
      </c>
      <c r="M1579" t="str">
        <f>IF(COUNTIF($A$2:A1579,A1579)=1,
     VLOOKUP(A1579,Season_Winners!A:B,2,FALSE),
     "")</f>
        <v/>
      </c>
    </row>
    <row r="1580" spans="1:14" hidden="1" x14ac:dyDescent="0.3">
      <c r="A1580" t="s">
        <v>603</v>
      </c>
      <c r="B1580">
        <v>6</v>
      </c>
      <c r="C1580" t="s">
        <v>627</v>
      </c>
      <c r="D1580" t="str">
        <f t="shared" si="120"/>
        <v>24.09.2017</v>
      </c>
      <c r="E1580" s="1">
        <v>0.86458333333333337</v>
      </c>
      <c r="F1580" t="s">
        <v>10</v>
      </c>
      <c r="G1580" t="s">
        <v>16</v>
      </c>
      <c r="H1580" s="2">
        <v>46083</v>
      </c>
      <c r="I1580" s="3" t="str">
        <f t="shared" si="121"/>
        <v/>
      </c>
      <c r="J1580" t="str">
        <f t="shared" si="122"/>
        <v/>
      </c>
      <c r="K1580" t="str">
        <f t="shared" si="123"/>
        <v/>
      </c>
      <c r="L1580" t="str">
        <f t="shared" si="124"/>
        <v/>
      </c>
      <c r="M1580" t="str">
        <f>IF(COUNTIF($A$2:A1580,A1580)=1,
     VLOOKUP(A1580,Season_Winners!A:B,2,FALSE),
     "")</f>
        <v/>
      </c>
      <c r="N1580" s="2"/>
    </row>
    <row r="1581" spans="1:14" x14ac:dyDescent="0.3">
      <c r="A1581" t="s">
        <v>603</v>
      </c>
      <c r="B1581">
        <v>6</v>
      </c>
      <c r="C1581" t="s">
        <v>628</v>
      </c>
      <c r="D1581" t="str">
        <f t="shared" si="120"/>
        <v>25.09.2017</v>
      </c>
      <c r="E1581" s="1">
        <v>0.875</v>
      </c>
      <c r="F1581" t="s">
        <v>26</v>
      </c>
      <c r="G1581" t="s">
        <v>21</v>
      </c>
      <c r="H1581" t="s">
        <v>88</v>
      </c>
      <c r="I1581" t="str">
        <f t="shared" si="121"/>
        <v>4-0</v>
      </c>
      <c r="J1581" t="str">
        <f t="shared" si="122"/>
        <v>4</v>
      </c>
      <c r="K1581" t="str">
        <f t="shared" si="123"/>
        <v>0</v>
      </c>
      <c r="L1581" t="str">
        <f t="shared" si="124"/>
        <v>Real Betis</v>
      </c>
      <c r="M1581" t="str">
        <f>IF(COUNTIF($A$2:A1581,A1581)=1,
     VLOOKUP(A1581,Season_Winners!A:B,2,FALSE),
     "")</f>
        <v/>
      </c>
    </row>
    <row r="1582" spans="1:14" hidden="1" x14ac:dyDescent="0.3">
      <c r="A1582" t="s">
        <v>603</v>
      </c>
      <c r="B1582">
        <v>7</v>
      </c>
      <c r="C1582" t="s">
        <v>629</v>
      </c>
      <c r="D1582" t="str">
        <f t="shared" si="120"/>
        <v>29.09.2017</v>
      </c>
      <c r="E1582" s="1">
        <v>0.875</v>
      </c>
      <c r="F1582" t="s">
        <v>35</v>
      </c>
      <c r="G1582" t="s">
        <v>606</v>
      </c>
      <c r="H1582" s="2">
        <v>46084</v>
      </c>
      <c r="I1582" s="3" t="str">
        <f t="shared" si="121"/>
        <v/>
      </c>
      <c r="J1582" t="str">
        <f t="shared" si="122"/>
        <v/>
      </c>
      <c r="K1582" t="str">
        <f t="shared" si="123"/>
        <v/>
      </c>
      <c r="L1582" t="str">
        <f t="shared" si="124"/>
        <v/>
      </c>
      <c r="M1582" t="str">
        <f>IF(COUNTIF($A$2:A1582,A1582)=1,
     VLOOKUP(A1582,Season_Winners!A:B,2,FALSE),
     "")</f>
        <v/>
      </c>
      <c r="N1582" s="2"/>
    </row>
    <row r="1583" spans="1:14" hidden="1" x14ac:dyDescent="0.3">
      <c r="A1583" t="s">
        <v>603</v>
      </c>
      <c r="B1583">
        <v>7</v>
      </c>
      <c r="C1583" t="s">
        <v>630</v>
      </c>
      <c r="D1583" t="str">
        <f t="shared" si="120"/>
        <v>30.09.2017</v>
      </c>
      <c r="E1583" s="1">
        <v>0.54166666666666663</v>
      </c>
      <c r="F1583" t="s">
        <v>182</v>
      </c>
      <c r="G1583" t="s">
        <v>11</v>
      </c>
      <c r="H1583" s="2">
        <v>46024</v>
      </c>
      <c r="I1583" s="3" t="str">
        <f t="shared" si="121"/>
        <v/>
      </c>
      <c r="J1583" t="str">
        <f t="shared" si="122"/>
        <v/>
      </c>
      <c r="K1583" t="str">
        <f t="shared" si="123"/>
        <v/>
      </c>
      <c r="L1583" t="str">
        <f t="shared" si="124"/>
        <v/>
      </c>
      <c r="M1583" t="str">
        <f>IF(COUNTIF($A$2:A1583,A1583)=1,
     VLOOKUP(A1583,Season_Winners!A:B,2,FALSE),
     "")</f>
        <v/>
      </c>
      <c r="N1583" s="2"/>
    </row>
    <row r="1584" spans="1:14" x14ac:dyDescent="0.3">
      <c r="A1584" t="s">
        <v>603</v>
      </c>
      <c r="B1584">
        <v>7</v>
      </c>
      <c r="C1584" t="s">
        <v>630</v>
      </c>
      <c r="D1584" t="str">
        <f t="shared" si="120"/>
        <v>30.09.2017</v>
      </c>
      <c r="E1584" s="1">
        <v>0.67708333333333337</v>
      </c>
      <c r="F1584" t="s">
        <v>27</v>
      </c>
      <c r="G1584" t="s">
        <v>17</v>
      </c>
      <c r="H1584" t="s">
        <v>12</v>
      </c>
      <c r="I1584" t="str">
        <f t="shared" si="121"/>
        <v>2-0</v>
      </c>
      <c r="J1584" t="str">
        <f t="shared" si="122"/>
        <v>2</v>
      </c>
      <c r="K1584" t="str">
        <f t="shared" si="123"/>
        <v>0</v>
      </c>
      <c r="L1584" t="str">
        <f t="shared" si="124"/>
        <v>Sevilla FC</v>
      </c>
      <c r="M1584" t="str">
        <f>IF(COUNTIF($A$2:A1584,A1584)=1,
     VLOOKUP(A1584,Season_Winners!A:B,2,FALSE),
     "")</f>
        <v/>
      </c>
    </row>
    <row r="1585" spans="1:14" x14ac:dyDescent="0.3">
      <c r="A1585" t="s">
        <v>603</v>
      </c>
      <c r="B1585">
        <v>7</v>
      </c>
      <c r="C1585" t="s">
        <v>630</v>
      </c>
      <c r="D1585" t="str">
        <f t="shared" si="120"/>
        <v>30.09.2017</v>
      </c>
      <c r="E1585" s="1">
        <v>0.77083333333333337</v>
      </c>
      <c r="F1585" t="s">
        <v>21</v>
      </c>
      <c r="G1585" t="s">
        <v>464</v>
      </c>
      <c r="H1585" t="s">
        <v>54</v>
      </c>
      <c r="I1585" t="str">
        <f t="shared" si="121"/>
        <v>0-2</v>
      </c>
      <c r="J1585" t="str">
        <f t="shared" si="122"/>
        <v>0</v>
      </c>
      <c r="K1585" t="str">
        <f t="shared" si="123"/>
        <v>2</v>
      </c>
      <c r="L1585" t="str">
        <f t="shared" si="124"/>
        <v>Deportivo AlavÃ©s</v>
      </c>
      <c r="M1585" t="str">
        <f>IF(COUNTIF($A$2:A1585,A1585)=1,
     VLOOKUP(A1585,Season_Winners!A:B,2,FALSE),
     "")</f>
        <v/>
      </c>
    </row>
    <row r="1586" spans="1:14" x14ac:dyDescent="0.3">
      <c r="A1586" t="s">
        <v>603</v>
      </c>
      <c r="B1586">
        <v>7</v>
      </c>
      <c r="C1586" t="s">
        <v>630</v>
      </c>
      <c r="D1586" t="str">
        <f t="shared" si="120"/>
        <v>30.09.2017</v>
      </c>
      <c r="E1586" s="1">
        <v>0.86458333333333337</v>
      </c>
      <c r="F1586" t="s">
        <v>466</v>
      </c>
      <c r="G1586" t="s">
        <v>1425</v>
      </c>
      <c r="H1586" t="s">
        <v>41</v>
      </c>
      <c r="I1586" t="str">
        <f t="shared" si="121"/>
        <v>0-0</v>
      </c>
      <c r="J1586" t="str">
        <f t="shared" si="122"/>
        <v>0</v>
      </c>
      <c r="K1586" t="str">
        <f t="shared" si="123"/>
        <v>0</v>
      </c>
      <c r="L1586" t="str">
        <f t="shared" si="124"/>
        <v>Draw</v>
      </c>
      <c r="M1586" t="str">
        <f>IF(COUNTIF($A$2:A1586,A1586)=1,
     VLOOKUP(A1586,Season_Winners!A:B,2,FALSE),
     "")</f>
        <v/>
      </c>
    </row>
    <row r="1587" spans="1:14" hidden="1" x14ac:dyDescent="0.3">
      <c r="A1587" t="s">
        <v>603</v>
      </c>
      <c r="B1587">
        <v>7</v>
      </c>
      <c r="C1587" t="s">
        <v>631</v>
      </c>
      <c r="D1587" t="str">
        <f t="shared" si="120"/>
        <v>01.10.2017</v>
      </c>
      <c r="E1587" s="1">
        <v>0.5</v>
      </c>
      <c r="F1587" t="s">
        <v>10</v>
      </c>
      <c r="G1587" t="s">
        <v>26</v>
      </c>
      <c r="H1587" s="2">
        <v>46116</v>
      </c>
      <c r="I1587" s="3" t="str">
        <f t="shared" si="121"/>
        <v/>
      </c>
      <c r="J1587" t="str">
        <f t="shared" si="122"/>
        <v/>
      </c>
      <c r="K1587" t="str">
        <f t="shared" si="123"/>
        <v/>
      </c>
      <c r="L1587" t="str">
        <f t="shared" si="124"/>
        <v/>
      </c>
      <c r="M1587" t="str">
        <f>IF(COUNTIF($A$2:A1587,A1587)=1,
     VLOOKUP(A1587,Season_Winners!A:B,2,FALSE),
     "")</f>
        <v/>
      </c>
      <c r="N1587" s="2"/>
    </row>
    <row r="1588" spans="1:14" x14ac:dyDescent="0.3">
      <c r="A1588" t="s">
        <v>603</v>
      </c>
      <c r="B1588">
        <v>7</v>
      </c>
      <c r="C1588" t="s">
        <v>631</v>
      </c>
      <c r="D1588" t="str">
        <f t="shared" si="120"/>
        <v>01.10.2017</v>
      </c>
      <c r="E1588" s="1">
        <v>0.67708333333333337</v>
      </c>
      <c r="F1588" t="s">
        <v>20</v>
      </c>
      <c r="G1588" t="s">
        <v>338</v>
      </c>
      <c r="H1588" t="s">
        <v>32</v>
      </c>
      <c r="I1588" t="str">
        <f t="shared" si="121"/>
        <v>3-0</v>
      </c>
      <c r="J1588" t="str">
        <f t="shared" si="122"/>
        <v>3</v>
      </c>
      <c r="K1588" t="str">
        <f t="shared" si="123"/>
        <v>0</v>
      </c>
      <c r="L1588" t="str">
        <f t="shared" si="124"/>
        <v>FC Barcelona</v>
      </c>
      <c r="M1588" t="str">
        <f>IF(COUNTIF($A$2:A1588,A1588)=1,
     VLOOKUP(A1588,Season_Winners!A:B,2,FALSE),
     "")</f>
        <v/>
      </c>
    </row>
    <row r="1589" spans="1:14" hidden="1" x14ac:dyDescent="0.3">
      <c r="A1589" t="s">
        <v>603</v>
      </c>
      <c r="B1589">
        <v>7</v>
      </c>
      <c r="C1589" t="s">
        <v>631</v>
      </c>
      <c r="D1589" t="str">
        <f t="shared" si="120"/>
        <v>01.10.2017</v>
      </c>
      <c r="E1589" s="1">
        <v>0.77083333333333337</v>
      </c>
      <c r="F1589" t="s">
        <v>16</v>
      </c>
      <c r="G1589" t="s">
        <v>15</v>
      </c>
      <c r="H1589" s="2">
        <v>46056</v>
      </c>
      <c r="I1589" s="3" t="str">
        <f t="shared" si="121"/>
        <v/>
      </c>
      <c r="J1589" t="str">
        <f t="shared" si="122"/>
        <v/>
      </c>
      <c r="K1589" t="str">
        <f t="shared" si="123"/>
        <v/>
      </c>
      <c r="L1589" t="str">
        <f t="shared" si="124"/>
        <v/>
      </c>
      <c r="M1589" t="str">
        <f>IF(COUNTIF($A$2:A1589,A1589)=1,
     VLOOKUP(A1589,Season_Winners!A:B,2,FALSE),
     "")</f>
        <v/>
      </c>
      <c r="N1589" s="2"/>
    </row>
    <row r="1590" spans="1:14" x14ac:dyDescent="0.3">
      <c r="A1590" t="s">
        <v>603</v>
      </c>
      <c r="B1590">
        <v>7</v>
      </c>
      <c r="C1590" t="s">
        <v>631</v>
      </c>
      <c r="D1590" t="str">
        <f t="shared" si="120"/>
        <v>01.10.2017</v>
      </c>
      <c r="E1590" s="1">
        <v>0.77083333333333337</v>
      </c>
      <c r="F1590" t="s">
        <v>34</v>
      </c>
      <c r="G1590" t="s">
        <v>187</v>
      </c>
      <c r="H1590" t="s">
        <v>32</v>
      </c>
      <c r="I1590" t="str">
        <f t="shared" si="121"/>
        <v>3-0</v>
      </c>
      <c r="J1590" t="str">
        <f t="shared" si="122"/>
        <v>3</v>
      </c>
      <c r="K1590" t="str">
        <f t="shared" si="123"/>
        <v>0</v>
      </c>
      <c r="L1590" t="str">
        <f t="shared" si="124"/>
        <v>Villarreal CF</v>
      </c>
      <c r="M1590" t="str">
        <f>IF(COUNTIF($A$2:A1590,A1590)=1,
     VLOOKUP(A1590,Season_Winners!A:B,2,FALSE),
     "")</f>
        <v/>
      </c>
    </row>
    <row r="1591" spans="1:14" x14ac:dyDescent="0.3">
      <c r="A1591" t="s">
        <v>603</v>
      </c>
      <c r="B1591">
        <v>7</v>
      </c>
      <c r="C1591" t="s">
        <v>631</v>
      </c>
      <c r="D1591" t="str">
        <f t="shared" si="120"/>
        <v>01.10.2017</v>
      </c>
      <c r="E1591" s="1">
        <v>0.86458333333333337</v>
      </c>
      <c r="F1591" t="s">
        <v>25</v>
      </c>
      <c r="G1591" t="s">
        <v>36</v>
      </c>
      <c r="H1591" t="s">
        <v>12</v>
      </c>
      <c r="I1591" t="str">
        <f t="shared" si="121"/>
        <v>2-0</v>
      </c>
      <c r="J1591" t="str">
        <f t="shared" si="122"/>
        <v>2</v>
      </c>
      <c r="K1591" t="str">
        <f t="shared" si="123"/>
        <v>0</v>
      </c>
      <c r="L1591" t="str">
        <f t="shared" si="124"/>
        <v>Real Madrid</v>
      </c>
      <c r="M1591" t="str">
        <f>IF(COUNTIF($A$2:A1591,A1591)=1,
     VLOOKUP(A1591,Season_Winners!A:B,2,FALSE),
     "")</f>
        <v/>
      </c>
    </row>
    <row r="1592" spans="1:14" x14ac:dyDescent="0.3">
      <c r="A1592" t="s">
        <v>603</v>
      </c>
      <c r="B1592">
        <v>8</v>
      </c>
      <c r="C1592" t="s">
        <v>632</v>
      </c>
      <c r="D1592" t="str">
        <f t="shared" si="120"/>
        <v>13.10.2017</v>
      </c>
      <c r="E1592" s="1">
        <v>0.875</v>
      </c>
      <c r="F1592" t="s">
        <v>36</v>
      </c>
      <c r="G1592" t="s">
        <v>21</v>
      </c>
      <c r="H1592" t="s">
        <v>41</v>
      </c>
      <c r="I1592" t="str">
        <f t="shared" si="121"/>
        <v>0-0</v>
      </c>
      <c r="J1592" t="str">
        <f t="shared" si="122"/>
        <v>0</v>
      </c>
      <c r="K1592" t="str">
        <f t="shared" si="123"/>
        <v>0</v>
      </c>
      <c r="L1592" t="str">
        <f t="shared" si="124"/>
        <v>Draw</v>
      </c>
      <c r="M1592" t="str">
        <f>IF(COUNTIF($A$2:A1592,A1592)=1,
     VLOOKUP(A1592,Season_Winners!A:B,2,FALSE),
     "")</f>
        <v/>
      </c>
    </row>
    <row r="1593" spans="1:14" x14ac:dyDescent="0.3">
      <c r="A1593" t="s">
        <v>603</v>
      </c>
      <c r="B1593">
        <v>8</v>
      </c>
      <c r="C1593" t="s">
        <v>633</v>
      </c>
      <c r="D1593" t="str">
        <f t="shared" si="120"/>
        <v>14.10.2017</v>
      </c>
      <c r="E1593" s="1">
        <v>0.54166666666666663</v>
      </c>
      <c r="F1593" t="s">
        <v>15</v>
      </c>
      <c r="G1593" t="s">
        <v>27</v>
      </c>
      <c r="H1593" t="s">
        <v>18</v>
      </c>
      <c r="I1593" t="str">
        <f t="shared" si="121"/>
        <v>1-0</v>
      </c>
      <c r="J1593" t="str">
        <f t="shared" si="122"/>
        <v>1</v>
      </c>
      <c r="K1593" t="str">
        <f t="shared" si="123"/>
        <v>0</v>
      </c>
      <c r="L1593" t="str">
        <f t="shared" si="124"/>
        <v>Athletic Club</v>
      </c>
      <c r="M1593" t="str">
        <f>IF(COUNTIF($A$2:A1593,A1593)=1,
     VLOOKUP(A1593,Season_Winners!A:B,2,FALSE),
     "")</f>
        <v/>
      </c>
    </row>
    <row r="1594" spans="1:14" hidden="1" x14ac:dyDescent="0.3">
      <c r="A1594" t="s">
        <v>603</v>
      </c>
      <c r="B1594">
        <v>8</v>
      </c>
      <c r="C1594" t="s">
        <v>633</v>
      </c>
      <c r="D1594" t="str">
        <f t="shared" si="120"/>
        <v>14.10.2017</v>
      </c>
      <c r="E1594" s="1">
        <v>0.67708333333333337</v>
      </c>
      <c r="F1594" t="s">
        <v>11</v>
      </c>
      <c r="G1594" t="s">
        <v>25</v>
      </c>
      <c r="H1594" s="2">
        <v>46054</v>
      </c>
      <c r="I1594" s="3" t="str">
        <f t="shared" si="121"/>
        <v/>
      </c>
      <c r="J1594" t="str">
        <f t="shared" si="122"/>
        <v/>
      </c>
      <c r="K1594" t="str">
        <f t="shared" si="123"/>
        <v/>
      </c>
      <c r="L1594" t="str">
        <f t="shared" si="124"/>
        <v/>
      </c>
      <c r="M1594" t="str">
        <f>IF(COUNTIF($A$2:A1594,A1594)=1,
     VLOOKUP(A1594,Season_Winners!A:B,2,FALSE),
     "")</f>
        <v/>
      </c>
      <c r="N1594" s="2"/>
    </row>
    <row r="1595" spans="1:14" x14ac:dyDescent="0.3">
      <c r="A1595" t="s">
        <v>603</v>
      </c>
      <c r="B1595">
        <v>8</v>
      </c>
      <c r="C1595" t="s">
        <v>633</v>
      </c>
      <c r="D1595" t="str">
        <f t="shared" si="120"/>
        <v>14.10.2017</v>
      </c>
      <c r="E1595" s="1">
        <v>0.77083333333333337</v>
      </c>
      <c r="F1595" t="s">
        <v>464</v>
      </c>
      <c r="G1595" t="s">
        <v>10</v>
      </c>
      <c r="H1595" t="s">
        <v>54</v>
      </c>
      <c r="I1595" t="str">
        <f t="shared" si="121"/>
        <v>0-2</v>
      </c>
      <c r="J1595" t="str">
        <f t="shared" si="122"/>
        <v>0</v>
      </c>
      <c r="K1595" t="str">
        <f t="shared" si="123"/>
        <v>2</v>
      </c>
      <c r="L1595" t="str">
        <f t="shared" si="124"/>
        <v>Real Sociedad</v>
      </c>
      <c r="M1595" t="str">
        <f>IF(COUNTIF($A$2:A1595,A1595)=1,
     VLOOKUP(A1595,Season_Winners!A:B,2,FALSE),
     "")</f>
        <v/>
      </c>
    </row>
    <row r="1596" spans="1:14" hidden="1" x14ac:dyDescent="0.3">
      <c r="A1596" t="s">
        <v>603</v>
      </c>
      <c r="B1596">
        <v>8</v>
      </c>
      <c r="C1596" t="s">
        <v>633</v>
      </c>
      <c r="D1596" t="str">
        <f t="shared" si="120"/>
        <v>14.10.2017</v>
      </c>
      <c r="E1596" s="1">
        <v>0.86458333333333337</v>
      </c>
      <c r="F1596" t="s">
        <v>28</v>
      </c>
      <c r="G1596" t="s">
        <v>20</v>
      </c>
      <c r="H1596" s="2">
        <v>46023</v>
      </c>
      <c r="I1596" s="3" t="str">
        <f t="shared" si="121"/>
        <v/>
      </c>
      <c r="J1596" t="str">
        <f t="shared" si="122"/>
        <v/>
      </c>
      <c r="K1596" t="str">
        <f t="shared" si="123"/>
        <v/>
      </c>
      <c r="L1596" t="str">
        <f t="shared" si="124"/>
        <v/>
      </c>
      <c r="M1596" t="str">
        <f>IF(COUNTIF($A$2:A1596,A1596)=1,
     VLOOKUP(A1596,Season_Winners!A:B,2,FALSE),
     "")</f>
        <v/>
      </c>
      <c r="N1596" s="2"/>
    </row>
    <row r="1597" spans="1:14" x14ac:dyDescent="0.3">
      <c r="A1597" t="s">
        <v>603</v>
      </c>
      <c r="B1597">
        <v>8</v>
      </c>
      <c r="C1597" t="s">
        <v>634</v>
      </c>
      <c r="D1597" t="str">
        <f t="shared" si="120"/>
        <v>15.10.2017</v>
      </c>
      <c r="E1597" s="1">
        <v>0.5</v>
      </c>
      <c r="F1597" t="s">
        <v>187</v>
      </c>
      <c r="G1597" t="s">
        <v>182</v>
      </c>
      <c r="H1597" t="s">
        <v>41</v>
      </c>
      <c r="I1597" t="str">
        <f t="shared" si="121"/>
        <v>0-0</v>
      </c>
      <c r="J1597" t="str">
        <f t="shared" si="122"/>
        <v>0</v>
      </c>
      <c r="K1597" t="str">
        <f t="shared" si="123"/>
        <v>0</v>
      </c>
      <c r="L1597" t="str">
        <f t="shared" si="124"/>
        <v>Draw</v>
      </c>
      <c r="M1597" t="str">
        <f>IF(COUNTIF($A$2:A1597,A1597)=1,
     VLOOKUP(A1597,Season_Winners!A:B,2,FALSE),
     "")</f>
        <v/>
      </c>
    </row>
    <row r="1598" spans="1:14" hidden="1" x14ac:dyDescent="0.3">
      <c r="A1598" t="s">
        <v>603</v>
      </c>
      <c r="B1598">
        <v>8</v>
      </c>
      <c r="C1598" t="s">
        <v>634</v>
      </c>
      <c r="D1598" t="str">
        <f t="shared" si="120"/>
        <v>15.10.2017</v>
      </c>
      <c r="E1598" s="1">
        <v>0.67708333333333337</v>
      </c>
      <c r="F1598" t="s">
        <v>606</v>
      </c>
      <c r="G1598" t="s">
        <v>34</v>
      </c>
      <c r="H1598" s="2">
        <v>46054</v>
      </c>
      <c r="I1598" s="3" t="str">
        <f t="shared" si="121"/>
        <v/>
      </c>
      <c r="J1598" t="str">
        <f t="shared" si="122"/>
        <v/>
      </c>
      <c r="K1598" t="str">
        <f t="shared" si="123"/>
        <v/>
      </c>
      <c r="L1598" t="str">
        <f t="shared" si="124"/>
        <v/>
      </c>
      <c r="M1598" t="str">
        <f>IF(COUNTIF($A$2:A1598,A1598)=1,
     VLOOKUP(A1598,Season_Winners!A:B,2,FALSE),
     "")</f>
        <v/>
      </c>
      <c r="N1598" s="2"/>
    </row>
    <row r="1599" spans="1:14" x14ac:dyDescent="0.3">
      <c r="A1599" t="s">
        <v>603</v>
      </c>
      <c r="B1599">
        <v>8</v>
      </c>
      <c r="C1599" t="s">
        <v>634</v>
      </c>
      <c r="D1599" t="str">
        <f t="shared" si="120"/>
        <v>15.10.2017</v>
      </c>
      <c r="E1599" s="1">
        <v>0.77083333333333337</v>
      </c>
      <c r="F1599" t="s">
        <v>17</v>
      </c>
      <c r="G1599" t="s">
        <v>466</v>
      </c>
      <c r="H1599" t="s">
        <v>54</v>
      </c>
      <c r="I1599" t="str">
        <f t="shared" si="121"/>
        <v>0-2</v>
      </c>
      <c r="J1599" t="str">
        <f t="shared" si="122"/>
        <v>0</v>
      </c>
      <c r="K1599" t="str">
        <f t="shared" si="123"/>
        <v>2</v>
      </c>
      <c r="L1599" t="str">
        <f t="shared" si="124"/>
        <v>CD LeganÃ©s</v>
      </c>
      <c r="M1599" t="str">
        <f>IF(COUNTIF($A$2:A1599,A1599)=1,
     VLOOKUP(A1599,Season_Winners!A:B,2,FALSE),
     "")</f>
        <v/>
      </c>
    </row>
    <row r="1600" spans="1:14" hidden="1" x14ac:dyDescent="0.3">
      <c r="A1600" t="s">
        <v>603</v>
      </c>
      <c r="B1600">
        <v>8</v>
      </c>
      <c r="C1600" t="s">
        <v>634</v>
      </c>
      <c r="D1600" t="str">
        <f t="shared" si="120"/>
        <v>15.10.2017</v>
      </c>
      <c r="E1600" s="1">
        <v>0.86458333333333337</v>
      </c>
      <c r="F1600" t="s">
        <v>26</v>
      </c>
      <c r="G1600" t="s">
        <v>16</v>
      </c>
      <c r="H1600" s="2">
        <v>46176</v>
      </c>
      <c r="I1600" s="3" t="str">
        <f t="shared" si="121"/>
        <v/>
      </c>
      <c r="J1600" t="str">
        <f t="shared" si="122"/>
        <v/>
      </c>
      <c r="K1600" t="str">
        <f t="shared" si="123"/>
        <v/>
      </c>
      <c r="L1600" t="str">
        <f t="shared" si="124"/>
        <v/>
      </c>
      <c r="M1600" t="str">
        <f>IF(COUNTIF($A$2:A1600,A1600)=1,
     VLOOKUP(A1600,Season_Winners!A:B,2,FALSE),
     "")</f>
        <v/>
      </c>
      <c r="N1600" s="2"/>
    </row>
    <row r="1601" spans="1:14" hidden="1" x14ac:dyDescent="0.3">
      <c r="A1601" t="s">
        <v>603</v>
      </c>
      <c r="B1601">
        <v>8</v>
      </c>
      <c r="C1601" t="s">
        <v>635</v>
      </c>
      <c r="D1601" t="str">
        <f t="shared" si="120"/>
        <v>16.10.2017</v>
      </c>
      <c r="E1601" s="1">
        <v>0.875</v>
      </c>
      <c r="F1601" t="s">
        <v>338</v>
      </c>
      <c r="G1601" t="s">
        <v>35</v>
      </c>
      <c r="H1601" s="2">
        <v>46144</v>
      </c>
      <c r="I1601" s="3" t="str">
        <f t="shared" si="121"/>
        <v/>
      </c>
      <c r="J1601" t="str">
        <f t="shared" si="122"/>
        <v/>
      </c>
      <c r="K1601" t="str">
        <f t="shared" si="123"/>
        <v/>
      </c>
      <c r="L1601" t="str">
        <f t="shared" si="124"/>
        <v/>
      </c>
      <c r="M1601" t="str">
        <f>IF(COUNTIF($A$2:A1601,A1601)=1,
     VLOOKUP(A1601,Season_Winners!A:B,2,FALSE),
     "")</f>
        <v/>
      </c>
      <c r="N1601" s="2"/>
    </row>
    <row r="1602" spans="1:14" hidden="1" x14ac:dyDescent="0.3">
      <c r="A1602" t="s">
        <v>603</v>
      </c>
      <c r="B1602">
        <v>9</v>
      </c>
      <c r="C1602" t="s">
        <v>636</v>
      </c>
      <c r="D1602" t="str">
        <f t="shared" ref="D1602:D1665" si="125">RIGHT(C1602,10)</f>
        <v>21.10.2017</v>
      </c>
      <c r="E1602" s="1">
        <v>0.54166666666666663</v>
      </c>
      <c r="F1602" t="s">
        <v>21</v>
      </c>
      <c r="G1602" t="s">
        <v>11</v>
      </c>
      <c r="H1602" s="2">
        <v>46023</v>
      </c>
      <c r="I1602" s="3" t="str">
        <f t="shared" ref="I1602:I1665" si="126">IF(ISNUMBER(SEARCH("-",H1602)),H1602,"")</f>
        <v/>
      </c>
      <c r="J1602" t="str">
        <f t="shared" ref="J1602:J1665" si="127">IF(I1602="","",LEFT(I1602,FIND("-",I1602)-1))</f>
        <v/>
      </c>
      <c r="K1602" t="str">
        <f t="shared" ref="K1602:K1665" si="128">IF(I1602="","",RIGHT(I1602,LEN(I1602)-FIND("-",I1602)))</f>
        <v/>
      </c>
      <c r="L1602" t="str">
        <f t="shared" ref="L1602:L1665" si="129">IF(I1602="","",IF(J1602&gt;K1602,F1602,IF(K1602&gt;J1602,G1602,"Draw")))</f>
        <v/>
      </c>
      <c r="M1602" t="str">
        <f>IF(COUNTIF($A$2:A1602,A1602)=1,
     VLOOKUP(A1602,Season_Winners!A:B,2,FALSE),
     "")</f>
        <v/>
      </c>
      <c r="N1602" s="2"/>
    </row>
    <row r="1603" spans="1:14" x14ac:dyDescent="0.3">
      <c r="A1603" t="s">
        <v>603</v>
      </c>
      <c r="B1603">
        <v>9</v>
      </c>
      <c r="C1603" t="s">
        <v>636</v>
      </c>
      <c r="D1603" t="str">
        <f t="shared" si="125"/>
        <v>21.10.2017</v>
      </c>
      <c r="E1603" s="1">
        <v>0.67708333333333337</v>
      </c>
      <c r="F1603" t="s">
        <v>26</v>
      </c>
      <c r="G1603" t="s">
        <v>464</v>
      </c>
      <c r="H1603" t="s">
        <v>12</v>
      </c>
      <c r="I1603" t="str">
        <f t="shared" si="126"/>
        <v>2-0</v>
      </c>
      <c r="J1603" t="str">
        <f t="shared" si="127"/>
        <v>2</v>
      </c>
      <c r="K1603" t="str">
        <f t="shared" si="128"/>
        <v>0</v>
      </c>
      <c r="L1603" t="str">
        <f t="shared" si="129"/>
        <v>Real Betis</v>
      </c>
      <c r="M1603" t="str">
        <f>IF(COUNTIF($A$2:A1603,A1603)=1,
     VLOOKUP(A1603,Season_Winners!A:B,2,FALSE),
     "")</f>
        <v/>
      </c>
    </row>
    <row r="1604" spans="1:14" x14ac:dyDescent="0.3">
      <c r="A1604" t="s">
        <v>603</v>
      </c>
      <c r="B1604">
        <v>9</v>
      </c>
      <c r="C1604" t="s">
        <v>636</v>
      </c>
      <c r="D1604" t="str">
        <f t="shared" si="125"/>
        <v>21.10.2017</v>
      </c>
      <c r="E1604" s="1">
        <v>0.77083333333333337</v>
      </c>
      <c r="F1604" t="s">
        <v>16</v>
      </c>
      <c r="G1604" t="s">
        <v>27</v>
      </c>
      <c r="H1604" t="s">
        <v>88</v>
      </c>
      <c r="I1604" t="str">
        <f t="shared" si="126"/>
        <v>4-0</v>
      </c>
      <c r="J1604" t="str">
        <f t="shared" si="127"/>
        <v>4</v>
      </c>
      <c r="K1604" t="str">
        <f t="shared" si="128"/>
        <v>0</v>
      </c>
      <c r="L1604" t="str">
        <f t="shared" si="129"/>
        <v>Valencia CF</v>
      </c>
      <c r="M1604" t="str">
        <f>IF(COUNTIF($A$2:A1604,A1604)=1,
     VLOOKUP(A1604,Season_Winners!A:B,2,FALSE),
     "")</f>
        <v/>
      </c>
    </row>
    <row r="1605" spans="1:14" x14ac:dyDescent="0.3">
      <c r="A1605" t="s">
        <v>603</v>
      </c>
      <c r="B1605">
        <v>9</v>
      </c>
      <c r="C1605" t="s">
        <v>636</v>
      </c>
      <c r="D1605" t="str">
        <f t="shared" si="125"/>
        <v>21.10.2017</v>
      </c>
      <c r="E1605" s="1">
        <v>0.86458333333333337</v>
      </c>
      <c r="F1605" t="s">
        <v>20</v>
      </c>
      <c r="G1605" t="s">
        <v>17</v>
      </c>
      <c r="H1605" t="s">
        <v>12</v>
      </c>
      <c r="I1605" t="str">
        <f t="shared" si="126"/>
        <v>2-0</v>
      </c>
      <c r="J1605" t="str">
        <f t="shared" si="127"/>
        <v>2</v>
      </c>
      <c r="K1605" t="str">
        <f t="shared" si="128"/>
        <v>0</v>
      </c>
      <c r="L1605" t="str">
        <f t="shared" si="129"/>
        <v>FC Barcelona</v>
      </c>
      <c r="M1605" t="str">
        <f>IF(COUNTIF($A$2:A1605,A1605)=1,
     VLOOKUP(A1605,Season_Winners!A:B,2,FALSE),
     "")</f>
        <v/>
      </c>
    </row>
    <row r="1606" spans="1:14" x14ac:dyDescent="0.3">
      <c r="A1606" t="s">
        <v>603</v>
      </c>
      <c r="B1606">
        <v>9</v>
      </c>
      <c r="C1606" t="s">
        <v>637</v>
      </c>
      <c r="D1606" t="str">
        <f t="shared" si="125"/>
        <v>22.10.2017</v>
      </c>
      <c r="E1606" s="1">
        <v>0.5</v>
      </c>
      <c r="F1606" t="s">
        <v>34</v>
      </c>
      <c r="G1606" t="s">
        <v>338</v>
      </c>
      <c r="H1606" t="s">
        <v>88</v>
      </c>
      <c r="I1606" t="str">
        <f t="shared" si="126"/>
        <v>4-0</v>
      </c>
      <c r="J1606" t="str">
        <f t="shared" si="127"/>
        <v>4</v>
      </c>
      <c r="K1606" t="str">
        <f t="shared" si="128"/>
        <v>0</v>
      </c>
      <c r="L1606" t="str">
        <f t="shared" si="129"/>
        <v>Villarreal CF</v>
      </c>
      <c r="M1606" t="str">
        <f>IF(COUNTIF($A$2:A1606,A1606)=1,
     VLOOKUP(A1606,Season_Winners!A:B,2,FALSE),
     "")</f>
        <v/>
      </c>
    </row>
    <row r="1607" spans="1:14" x14ac:dyDescent="0.3">
      <c r="A1607" t="s">
        <v>603</v>
      </c>
      <c r="B1607">
        <v>9</v>
      </c>
      <c r="C1607" t="s">
        <v>637</v>
      </c>
      <c r="D1607" t="str">
        <f t="shared" si="125"/>
        <v>22.10.2017</v>
      </c>
      <c r="E1607" s="1">
        <v>0.67708333333333337</v>
      </c>
      <c r="F1607" t="s">
        <v>35</v>
      </c>
      <c r="G1607" t="s">
        <v>1425</v>
      </c>
      <c r="H1607" t="s">
        <v>42</v>
      </c>
      <c r="I1607" t="str">
        <f t="shared" si="126"/>
        <v>0-1</v>
      </c>
      <c r="J1607" t="str">
        <f t="shared" si="127"/>
        <v>0</v>
      </c>
      <c r="K1607" t="str">
        <f t="shared" si="128"/>
        <v>1</v>
      </c>
      <c r="L1607" t="str">
        <f t="shared" si="129"/>
        <v>Atlético de Madrid</v>
      </c>
      <c r="M1607" t="str">
        <f>IF(COUNTIF($A$2:A1607,A1607)=1,
     VLOOKUP(A1607,Season_Winners!A:B,2,FALSE),
     "")</f>
        <v/>
      </c>
    </row>
    <row r="1608" spans="1:14" x14ac:dyDescent="0.3">
      <c r="A1608" t="s">
        <v>603</v>
      </c>
      <c r="B1608">
        <v>9</v>
      </c>
      <c r="C1608" t="s">
        <v>637</v>
      </c>
      <c r="D1608" t="str">
        <f t="shared" si="125"/>
        <v>22.10.2017</v>
      </c>
      <c r="E1608" s="1">
        <v>0.77083333333333337</v>
      </c>
      <c r="F1608" t="s">
        <v>466</v>
      </c>
      <c r="G1608" t="s">
        <v>15</v>
      </c>
      <c r="H1608" t="s">
        <v>18</v>
      </c>
      <c r="I1608" t="str">
        <f t="shared" si="126"/>
        <v>1-0</v>
      </c>
      <c r="J1608" t="str">
        <f t="shared" si="127"/>
        <v>1</v>
      </c>
      <c r="K1608" t="str">
        <f t="shared" si="128"/>
        <v>0</v>
      </c>
      <c r="L1608" t="str">
        <f t="shared" si="129"/>
        <v>CD LeganÃ©s</v>
      </c>
      <c r="M1608" t="str">
        <f>IF(COUNTIF($A$2:A1608,A1608)=1,
     VLOOKUP(A1608,Season_Winners!A:B,2,FALSE),
     "")</f>
        <v/>
      </c>
    </row>
    <row r="1609" spans="1:14" x14ac:dyDescent="0.3">
      <c r="A1609" t="s">
        <v>603</v>
      </c>
      <c r="B1609">
        <v>9</v>
      </c>
      <c r="C1609" t="s">
        <v>637</v>
      </c>
      <c r="D1609" t="str">
        <f t="shared" si="125"/>
        <v>22.10.2017</v>
      </c>
      <c r="E1609" s="1">
        <v>0.86458333333333337</v>
      </c>
      <c r="F1609" t="s">
        <v>25</v>
      </c>
      <c r="G1609" t="s">
        <v>187</v>
      </c>
      <c r="H1609" t="s">
        <v>32</v>
      </c>
      <c r="I1609" t="str">
        <f t="shared" si="126"/>
        <v>3-0</v>
      </c>
      <c r="J1609" t="str">
        <f t="shared" si="127"/>
        <v>3</v>
      </c>
      <c r="K1609" t="str">
        <f t="shared" si="128"/>
        <v>0</v>
      </c>
      <c r="L1609" t="str">
        <f t="shared" si="129"/>
        <v>Real Madrid</v>
      </c>
      <c r="M1609" t="str">
        <f>IF(COUNTIF($A$2:A1609,A1609)=1,
     VLOOKUP(A1609,Season_Winners!A:B,2,FALSE),
     "")</f>
        <v/>
      </c>
    </row>
    <row r="1610" spans="1:14" hidden="1" x14ac:dyDescent="0.3">
      <c r="A1610" t="s">
        <v>603</v>
      </c>
      <c r="B1610">
        <v>9</v>
      </c>
      <c r="C1610" t="s">
        <v>638</v>
      </c>
      <c r="D1610" t="str">
        <f t="shared" si="125"/>
        <v>23.10.2017</v>
      </c>
      <c r="E1610" s="1">
        <v>0.83333333333333337</v>
      </c>
      <c r="F1610" t="s">
        <v>10</v>
      </c>
      <c r="G1610" t="s">
        <v>36</v>
      </c>
      <c r="H1610" s="2">
        <v>46023</v>
      </c>
      <c r="I1610" s="3" t="str">
        <f t="shared" si="126"/>
        <v/>
      </c>
      <c r="J1610" t="str">
        <f t="shared" si="127"/>
        <v/>
      </c>
      <c r="K1610" t="str">
        <f t="shared" si="128"/>
        <v/>
      </c>
      <c r="L1610" t="str">
        <f t="shared" si="129"/>
        <v/>
      </c>
      <c r="M1610" t="str">
        <f>IF(COUNTIF($A$2:A1610,A1610)=1,
     VLOOKUP(A1610,Season_Winners!A:B,2,FALSE),
     "")</f>
        <v/>
      </c>
      <c r="N1610" s="2"/>
    </row>
    <row r="1611" spans="1:14" hidden="1" x14ac:dyDescent="0.3">
      <c r="A1611" t="s">
        <v>603</v>
      </c>
      <c r="B1611">
        <v>9</v>
      </c>
      <c r="C1611" t="s">
        <v>638</v>
      </c>
      <c r="D1611" t="str">
        <f t="shared" si="125"/>
        <v>23.10.2017</v>
      </c>
      <c r="E1611" s="1">
        <v>0.875</v>
      </c>
      <c r="F1611" t="s">
        <v>182</v>
      </c>
      <c r="G1611" t="s">
        <v>606</v>
      </c>
      <c r="H1611" s="2">
        <v>46054</v>
      </c>
      <c r="I1611" s="3" t="str">
        <f t="shared" si="126"/>
        <v/>
      </c>
      <c r="J1611" t="str">
        <f t="shared" si="127"/>
        <v/>
      </c>
      <c r="K1611" t="str">
        <f t="shared" si="128"/>
        <v/>
      </c>
      <c r="L1611" t="str">
        <f t="shared" si="129"/>
        <v/>
      </c>
      <c r="M1611" t="str">
        <f>IF(COUNTIF($A$2:A1611,A1611)=1,
     VLOOKUP(A1611,Season_Winners!A:B,2,FALSE),
     "")</f>
        <v/>
      </c>
      <c r="N1611" s="2"/>
    </row>
    <row r="1612" spans="1:14" hidden="1" x14ac:dyDescent="0.3">
      <c r="A1612" t="s">
        <v>603</v>
      </c>
      <c r="B1612">
        <v>10</v>
      </c>
      <c r="C1612" t="s">
        <v>639</v>
      </c>
      <c r="D1612" t="str">
        <f t="shared" si="125"/>
        <v>28.10.2017</v>
      </c>
      <c r="E1612" s="1">
        <v>0.54166666666666663</v>
      </c>
      <c r="F1612" t="s">
        <v>464</v>
      </c>
      <c r="G1612" t="s">
        <v>16</v>
      </c>
      <c r="H1612" s="2">
        <v>46054</v>
      </c>
      <c r="I1612" s="3" t="str">
        <f t="shared" si="126"/>
        <v/>
      </c>
      <c r="J1612" t="str">
        <f t="shared" si="127"/>
        <v/>
      </c>
      <c r="K1612" t="str">
        <f t="shared" si="128"/>
        <v/>
      </c>
      <c r="L1612" t="str">
        <f t="shared" si="129"/>
        <v/>
      </c>
      <c r="M1612" t="str">
        <f>IF(COUNTIF($A$2:A1612,A1612)=1,
     VLOOKUP(A1612,Season_Winners!A:B,2,FALSE),
     "")</f>
        <v/>
      </c>
      <c r="N1612" s="2"/>
    </row>
    <row r="1613" spans="1:14" hidden="1" x14ac:dyDescent="0.3">
      <c r="A1613" t="s">
        <v>603</v>
      </c>
      <c r="B1613">
        <v>10</v>
      </c>
      <c r="C1613" t="s">
        <v>639</v>
      </c>
      <c r="D1613" t="str">
        <f t="shared" si="125"/>
        <v>28.10.2017</v>
      </c>
      <c r="E1613" s="1">
        <v>0.77083333333333337</v>
      </c>
      <c r="F1613" t="s">
        <v>28</v>
      </c>
      <c r="G1613" t="s">
        <v>34</v>
      </c>
      <c r="H1613" s="2">
        <v>46023</v>
      </c>
      <c r="I1613" s="3" t="str">
        <f t="shared" si="126"/>
        <v/>
      </c>
      <c r="J1613" t="str">
        <f t="shared" si="127"/>
        <v/>
      </c>
      <c r="K1613" t="str">
        <f t="shared" si="128"/>
        <v/>
      </c>
      <c r="L1613" t="str">
        <f t="shared" si="129"/>
        <v/>
      </c>
      <c r="M1613" t="str">
        <f>IF(COUNTIF($A$2:A1613,A1613)=1,
     VLOOKUP(A1613,Season_Winners!A:B,2,FALSE),
     "")</f>
        <v/>
      </c>
      <c r="N1613" s="2"/>
    </row>
    <row r="1614" spans="1:14" x14ac:dyDescent="0.3">
      <c r="A1614" t="s">
        <v>603</v>
      </c>
      <c r="B1614">
        <v>10</v>
      </c>
      <c r="C1614" t="s">
        <v>639</v>
      </c>
      <c r="D1614" t="str">
        <f t="shared" si="125"/>
        <v>28.10.2017</v>
      </c>
      <c r="E1614" s="1">
        <v>0.86458333333333337</v>
      </c>
      <c r="F1614" t="s">
        <v>15</v>
      </c>
      <c r="G1614" t="s">
        <v>20</v>
      </c>
      <c r="H1614" t="s">
        <v>54</v>
      </c>
      <c r="I1614" t="str">
        <f t="shared" si="126"/>
        <v>0-2</v>
      </c>
      <c r="J1614" t="str">
        <f t="shared" si="127"/>
        <v>0</v>
      </c>
      <c r="K1614" t="str">
        <f t="shared" si="128"/>
        <v>2</v>
      </c>
      <c r="L1614" t="str">
        <f t="shared" si="129"/>
        <v>FC Barcelona</v>
      </c>
      <c r="M1614" t="str">
        <f>IF(COUNTIF($A$2:A1614,A1614)=1,
     VLOOKUP(A1614,Season_Winners!A:B,2,FALSE),
     "")</f>
        <v/>
      </c>
    </row>
    <row r="1615" spans="1:14" hidden="1" x14ac:dyDescent="0.3">
      <c r="A1615" t="s">
        <v>603</v>
      </c>
      <c r="B1615">
        <v>10</v>
      </c>
      <c r="C1615" t="s">
        <v>639</v>
      </c>
      <c r="D1615" t="str">
        <f t="shared" si="125"/>
        <v>28.10.2017</v>
      </c>
      <c r="E1615" s="1">
        <v>0.9375</v>
      </c>
      <c r="F1615" t="s">
        <v>27</v>
      </c>
      <c r="G1615" t="s">
        <v>466</v>
      </c>
      <c r="H1615" s="2">
        <v>46024</v>
      </c>
      <c r="I1615" s="3" t="str">
        <f t="shared" si="126"/>
        <v/>
      </c>
      <c r="J1615" t="str">
        <f t="shared" si="127"/>
        <v/>
      </c>
      <c r="K1615" t="str">
        <f t="shared" si="128"/>
        <v/>
      </c>
      <c r="L1615" t="str">
        <f t="shared" si="129"/>
        <v/>
      </c>
      <c r="M1615" t="str">
        <f>IF(COUNTIF($A$2:A1615,A1615)=1,
     VLOOKUP(A1615,Season_Winners!A:B,2,FALSE),
     "")</f>
        <v/>
      </c>
      <c r="N1615" s="2"/>
    </row>
    <row r="1616" spans="1:14" hidden="1" x14ac:dyDescent="0.3">
      <c r="A1616" t="s">
        <v>603</v>
      </c>
      <c r="B1616">
        <v>10</v>
      </c>
      <c r="C1616" t="s">
        <v>640</v>
      </c>
      <c r="D1616" t="str">
        <f t="shared" si="125"/>
        <v>29.10.2017</v>
      </c>
      <c r="E1616" s="1">
        <v>0.5</v>
      </c>
      <c r="F1616" t="s">
        <v>11</v>
      </c>
      <c r="G1616" t="s">
        <v>10</v>
      </c>
      <c r="H1616" s="2">
        <v>46024</v>
      </c>
      <c r="I1616" s="3" t="str">
        <f t="shared" si="126"/>
        <v/>
      </c>
      <c r="J1616" t="str">
        <f t="shared" si="127"/>
        <v/>
      </c>
      <c r="K1616" t="str">
        <f t="shared" si="128"/>
        <v/>
      </c>
      <c r="L1616" t="str">
        <f t="shared" si="129"/>
        <v/>
      </c>
      <c r="M1616" t="str">
        <f>IF(COUNTIF($A$2:A1616,A1616)=1,
     VLOOKUP(A1616,Season_Winners!A:B,2,FALSE),
     "")</f>
        <v/>
      </c>
      <c r="N1616" s="2"/>
    </row>
    <row r="1617" spans="1:14" hidden="1" x14ac:dyDescent="0.3">
      <c r="A1617" t="s">
        <v>603</v>
      </c>
      <c r="B1617">
        <v>10</v>
      </c>
      <c r="C1617" t="s">
        <v>640</v>
      </c>
      <c r="D1617" t="str">
        <f t="shared" si="125"/>
        <v>29.10.2017</v>
      </c>
      <c r="E1617" s="1">
        <v>0.67708333333333337</v>
      </c>
      <c r="F1617" t="s">
        <v>606</v>
      </c>
      <c r="G1617" t="s">
        <v>25</v>
      </c>
      <c r="H1617" s="2">
        <v>46024</v>
      </c>
      <c r="I1617" s="3" t="str">
        <f t="shared" si="126"/>
        <v/>
      </c>
      <c r="J1617" t="str">
        <f t="shared" si="127"/>
        <v/>
      </c>
      <c r="K1617" t="str">
        <f t="shared" si="128"/>
        <v/>
      </c>
      <c r="L1617" t="str">
        <f t="shared" si="129"/>
        <v/>
      </c>
      <c r="M1617" t="str">
        <f>IF(COUNTIF($A$2:A1617,A1617)=1,
     VLOOKUP(A1617,Season_Winners!A:B,2,FALSE),
     "")</f>
        <v/>
      </c>
      <c r="N1617" s="2"/>
    </row>
    <row r="1618" spans="1:14" hidden="1" x14ac:dyDescent="0.3">
      <c r="A1618" t="s">
        <v>603</v>
      </c>
      <c r="B1618">
        <v>10</v>
      </c>
      <c r="C1618" t="s">
        <v>640</v>
      </c>
      <c r="D1618" t="str">
        <f t="shared" si="125"/>
        <v>29.10.2017</v>
      </c>
      <c r="E1618" s="1">
        <v>0.77083333333333337</v>
      </c>
      <c r="F1618" t="s">
        <v>187</v>
      </c>
      <c r="G1618" t="s">
        <v>21</v>
      </c>
      <c r="H1618" s="2">
        <v>46055</v>
      </c>
      <c r="I1618" s="3" t="str">
        <f t="shared" si="126"/>
        <v/>
      </c>
      <c r="J1618" t="str">
        <f t="shared" si="127"/>
        <v/>
      </c>
      <c r="K1618" t="str">
        <f t="shared" si="128"/>
        <v/>
      </c>
      <c r="L1618" t="str">
        <f t="shared" si="129"/>
        <v/>
      </c>
      <c r="M1618" t="str">
        <f>IF(COUNTIF($A$2:A1618,A1618)=1,
     VLOOKUP(A1618,Season_Winners!A:B,2,FALSE),
     "")</f>
        <v/>
      </c>
      <c r="N1618" s="2"/>
    </row>
    <row r="1619" spans="1:14" hidden="1" x14ac:dyDescent="0.3">
      <c r="A1619" t="s">
        <v>603</v>
      </c>
      <c r="B1619">
        <v>10</v>
      </c>
      <c r="C1619" t="s">
        <v>640</v>
      </c>
      <c r="D1619" t="str">
        <f t="shared" si="125"/>
        <v>29.10.2017</v>
      </c>
      <c r="E1619" s="1">
        <v>0.86458333333333337</v>
      </c>
      <c r="F1619" t="s">
        <v>17</v>
      </c>
      <c r="G1619" t="s">
        <v>35</v>
      </c>
      <c r="H1619" s="2">
        <v>46024</v>
      </c>
      <c r="I1619" s="3" t="str">
        <f t="shared" si="126"/>
        <v/>
      </c>
      <c r="J1619" t="str">
        <f t="shared" si="127"/>
        <v/>
      </c>
      <c r="K1619" t="str">
        <f t="shared" si="128"/>
        <v/>
      </c>
      <c r="L1619" t="str">
        <f t="shared" si="129"/>
        <v/>
      </c>
      <c r="M1619" t="str">
        <f>IF(COUNTIF($A$2:A1619,A1619)=1,
     VLOOKUP(A1619,Season_Winners!A:B,2,FALSE),
     "")</f>
        <v/>
      </c>
      <c r="N1619" s="2"/>
    </row>
    <row r="1620" spans="1:14" x14ac:dyDescent="0.3">
      <c r="A1620" t="s">
        <v>603</v>
      </c>
      <c r="B1620">
        <v>10</v>
      </c>
      <c r="C1620" t="s">
        <v>641</v>
      </c>
      <c r="D1620" t="str">
        <f t="shared" si="125"/>
        <v>30.10.2017</v>
      </c>
      <c r="E1620" s="1">
        <v>0.875</v>
      </c>
      <c r="F1620" t="s">
        <v>36</v>
      </c>
      <c r="G1620" t="s">
        <v>26</v>
      </c>
      <c r="H1620" t="s">
        <v>18</v>
      </c>
      <c r="I1620" t="str">
        <f t="shared" si="126"/>
        <v>1-0</v>
      </c>
      <c r="J1620" t="str">
        <f t="shared" si="127"/>
        <v>1</v>
      </c>
      <c r="K1620" t="str">
        <f t="shared" si="128"/>
        <v>0</v>
      </c>
      <c r="L1620" t="str">
        <f t="shared" si="129"/>
        <v>RCD Espanyol de Barcelona</v>
      </c>
      <c r="M1620" t="str">
        <f>IF(COUNTIF($A$2:A1620,A1620)=1,
     VLOOKUP(A1620,Season_Winners!A:B,2,FALSE),
     "")</f>
        <v/>
      </c>
    </row>
    <row r="1621" spans="1:14" hidden="1" x14ac:dyDescent="0.3">
      <c r="A1621" t="s">
        <v>603</v>
      </c>
      <c r="B1621">
        <v>10</v>
      </c>
      <c r="C1621" t="s">
        <v>641</v>
      </c>
      <c r="D1621" t="str">
        <f t="shared" si="125"/>
        <v>30.10.2017</v>
      </c>
      <c r="E1621" s="1">
        <v>0.875</v>
      </c>
      <c r="F1621" t="s">
        <v>338</v>
      </c>
      <c r="G1621" t="s">
        <v>182</v>
      </c>
      <c r="H1621" s="2">
        <v>46082</v>
      </c>
      <c r="I1621" s="3" t="str">
        <f t="shared" si="126"/>
        <v/>
      </c>
      <c r="J1621" t="str">
        <f t="shared" si="127"/>
        <v/>
      </c>
      <c r="K1621" t="str">
        <f t="shared" si="128"/>
        <v/>
      </c>
      <c r="L1621" t="str">
        <f t="shared" si="129"/>
        <v/>
      </c>
      <c r="M1621" t="str">
        <f>IF(COUNTIF($A$2:A1621,A1621)=1,
     VLOOKUP(A1621,Season_Winners!A:B,2,FALSE),
     "")</f>
        <v/>
      </c>
      <c r="N1621" s="2"/>
    </row>
    <row r="1622" spans="1:14" hidden="1" x14ac:dyDescent="0.3">
      <c r="A1622" t="s">
        <v>603</v>
      </c>
      <c r="B1622">
        <v>11</v>
      </c>
      <c r="C1622" t="s">
        <v>642</v>
      </c>
      <c r="D1622" t="str">
        <f t="shared" si="125"/>
        <v>03.11.2017</v>
      </c>
      <c r="E1622" s="1">
        <v>0.875</v>
      </c>
      <c r="F1622" t="s">
        <v>26</v>
      </c>
      <c r="G1622" t="s">
        <v>11</v>
      </c>
      <c r="H1622" s="2">
        <v>46055</v>
      </c>
      <c r="I1622" s="3" t="str">
        <f t="shared" si="126"/>
        <v/>
      </c>
      <c r="J1622" t="str">
        <f t="shared" si="127"/>
        <v/>
      </c>
      <c r="K1622" t="str">
        <f t="shared" si="128"/>
        <v/>
      </c>
      <c r="L1622" t="str">
        <f t="shared" si="129"/>
        <v/>
      </c>
      <c r="M1622" t="str">
        <f>IF(COUNTIF($A$2:A1622,A1622)=1,
     VLOOKUP(A1622,Season_Winners!A:B,2,FALSE),
     "")</f>
        <v/>
      </c>
      <c r="N1622" s="2"/>
    </row>
    <row r="1623" spans="1:14" x14ac:dyDescent="0.3">
      <c r="A1623" t="s">
        <v>603</v>
      </c>
      <c r="B1623">
        <v>11</v>
      </c>
      <c r="C1623" t="s">
        <v>643</v>
      </c>
      <c r="D1623" t="str">
        <f t="shared" si="125"/>
        <v>04.11.2017</v>
      </c>
      <c r="E1623" s="1">
        <v>0.54166666666666663</v>
      </c>
      <c r="F1623" t="s">
        <v>16</v>
      </c>
      <c r="G1623" t="s">
        <v>466</v>
      </c>
      <c r="H1623" t="s">
        <v>32</v>
      </c>
      <c r="I1623" t="str">
        <f t="shared" si="126"/>
        <v>3-0</v>
      </c>
      <c r="J1623" t="str">
        <f t="shared" si="127"/>
        <v>3</v>
      </c>
      <c r="K1623" t="str">
        <f t="shared" si="128"/>
        <v>0</v>
      </c>
      <c r="L1623" t="str">
        <f t="shared" si="129"/>
        <v>Valencia CF</v>
      </c>
      <c r="M1623" t="str">
        <f>IF(COUNTIF($A$2:A1623,A1623)=1,
     VLOOKUP(A1623,Season_Winners!A:B,2,FALSE),
     "")</f>
        <v/>
      </c>
    </row>
    <row r="1624" spans="1:14" x14ac:dyDescent="0.3">
      <c r="A1624" t="s">
        <v>603</v>
      </c>
      <c r="B1624">
        <v>11</v>
      </c>
      <c r="C1624" t="s">
        <v>643</v>
      </c>
      <c r="D1624" t="str">
        <f t="shared" si="125"/>
        <v>04.11.2017</v>
      </c>
      <c r="E1624" s="1">
        <v>0.67708333333333337</v>
      </c>
      <c r="F1624" t="s">
        <v>182</v>
      </c>
      <c r="G1624" t="s">
        <v>1425</v>
      </c>
      <c r="H1624" t="s">
        <v>42</v>
      </c>
      <c r="I1624" t="str">
        <f t="shared" si="126"/>
        <v>0-1</v>
      </c>
      <c r="J1624" t="str">
        <f t="shared" si="127"/>
        <v>0</v>
      </c>
      <c r="K1624" t="str">
        <f t="shared" si="128"/>
        <v>1</v>
      </c>
      <c r="L1624" t="str">
        <f t="shared" si="129"/>
        <v>Atlético de Madrid</v>
      </c>
      <c r="M1624" t="str">
        <f>IF(COUNTIF($A$2:A1624,A1624)=1,
     VLOOKUP(A1624,Season_Winners!A:B,2,FALSE),
     "")</f>
        <v/>
      </c>
    </row>
    <row r="1625" spans="1:14" x14ac:dyDescent="0.3">
      <c r="A1625" t="s">
        <v>603</v>
      </c>
      <c r="B1625">
        <v>11</v>
      </c>
      <c r="C1625" t="s">
        <v>643</v>
      </c>
      <c r="D1625" t="str">
        <f t="shared" si="125"/>
        <v>04.11.2017</v>
      </c>
      <c r="E1625" s="1">
        <v>0.77083333333333337</v>
      </c>
      <c r="F1625" t="s">
        <v>464</v>
      </c>
      <c r="G1625" t="s">
        <v>36</v>
      </c>
      <c r="H1625" t="s">
        <v>18</v>
      </c>
      <c r="I1625" t="str">
        <f t="shared" si="126"/>
        <v>1-0</v>
      </c>
      <c r="J1625" t="str">
        <f t="shared" si="127"/>
        <v>1</v>
      </c>
      <c r="K1625" t="str">
        <f t="shared" si="128"/>
        <v>0</v>
      </c>
      <c r="L1625" t="str">
        <f t="shared" si="129"/>
        <v>Deportivo AlavÃ©s</v>
      </c>
      <c r="M1625" t="str">
        <f>IF(COUNTIF($A$2:A1625,A1625)=1,
     VLOOKUP(A1625,Season_Winners!A:B,2,FALSE),
     "")</f>
        <v/>
      </c>
    </row>
    <row r="1626" spans="1:14" hidden="1" x14ac:dyDescent="0.3">
      <c r="A1626" t="s">
        <v>603</v>
      </c>
      <c r="B1626">
        <v>11</v>
      </c>
      <c r="C1626" t="s">
        <v>643</v>
      </c>
      <c r="D1626" t="str">
        <f t="shared" si="125"/>
        <v>04.11.2017</v>
      </c>
      <c r="E1626" s="1">
        <v>0.86458333333333337</v>
      </c>
      <c r="F1626" t="s">
        <v>20</v>
      </c>
      <c r="G1626" t="s">
        <v>27</v>
      </c>
      <c r="H1626" s="2">
        <v>46024</v>
      </c>
      <c r="I1626" s="3" t="str">
        <f t="shared" si="126"/>
        <v/>
      </c>
      <c r="J1626" t="str">
        <f t="shared" si="127"/>
        <v/>
      </c>
      <c r="K1626" t="str">
        <f t="shared" si="128"/>
        <v/>
      </c>
      <c r="L1626" t="str">
        <f t="shared" si="129"/>
        <v/>
      </c>
      <c r="M1626" t="str">
        <f>IF(COUNTIF($A$2:A1626,A1626)=1,
     VLOOKUP(A1626,Season_Winners!A:B,2,FALSE),
     "")</f>
        <v/>
      </c>
      <c r="N1626" s="2"/>
    </row>
    <row r="1627" spans="1:14" hidden="1" x14ac:dyDescent="0.3">
      <c r="A1627" t="s">
        <v>603</v>
      </c>
      <c r="B1627">
        <v>11</v>
      </c>
      <c r="C1627" t="s">
        <v>644</v>
      </c>
      <c r="D1627" t="str">
        <f t="shared" si="125"/>
        <v>05.11.2017</v>
      </c>
      <c r="E1627" s="1">
        <v>0.5</v>
      </c>
      <c r="F1627" t="s">
        <v>21</v>
      </c>
      <c r="G1627" t="s">
        <v>606</v>
      </c>
      <c r="H1627" s="2">
        <v>46054</v>
      </c>
      <c r="I1627" s="3" t="str">
        <f t="shared" si="126"/>
        <v/>
      </c>
      <c r="J1627" t="str">
        <f t="shared" si="127"/>
        <v/>
      </c>
      <c r="K1627" t="str">
        <f t="shared" si="128"/>
        <v/>
      </c>
      <c r="L1627" t="str">
        <f t="shared" si="129"/>
        <v/>
      </c>
      <c r="M1627" t="str">
        <f>IF(COUNTIF($A$2:A1627,A1627)=1,
     VLOOKUP(A1627,Season_Winners!A:B,2,FALSE),
     "")</f>
        <v/>
      </c>
      <c r="N1627" s="2"/>
    </row>
    <row r="1628" spans="1:14" hidden="1" x14ac:dyDescent="0.3">
      <c r="A1628" t="s">
        <v>603</v>
      </c>
      <c r="B1628">
        <v>11</v>
      </c>
      <c r="C1628" t="s">
        <v>644</v>
      </c>
      <c r="D1628" t="str">
        <f t="shared" si="125"/>
        <v>05.11.2017</v>
      </c>
      <c r="E1628" s="1">
        <v>0.67708333333333337</v>
      </c>
      <c r="F1628" t="s">
        <v>35</v>
      </c>
      <c r="G1628" t="s">
        <v>15</v>
      </c>
      <c r="H1628" s="2">
        <v>46025</v>
      </c>
      <c r="I1628" s="3" t="str">
        <f t="shared" si="126"/>
        <v/>
      </c>
      <c r="J1628" t="str">
        <f t="shared" si="127"/>
        <v/>
      </c>
      <c r="K1628" t="str">
        <f t="shared" si="128"/>
        <v/>
      </c>
      <c r="L1628" t="str">
        <f t="shared" si="129"/>
        <v/>
      </c>
      <c r="M1628" t="str">
        <f>IF(COUNTIF($A$2:A1628,A1628)=1,
     VLOOKUP(A1628,Season_Winners!A:B,2,FALSE),
     "")</f>
        <v/>
      </c>
      <c r="N1628" s="2"/>
    </row>
    <row r="1629" spans="1:14" hidden="1" x14ac:dyDescent="0.3">
      <c r="A1629" t="s">
        <v>603</v>
      </c>
      <c r="B1629">
        <v>11</v>
      </c>
      <c r="C1629" t="s">
        <v>644</v>
      </c>
      <c r="D1629" t="str">
        <f t="shared" si="125"/>
        <v>05.11.2017</v>
      </c>
      <c r="E1629" s="1">
        <v>0.77083333333333337</v>
      </c>
      <c r="F1629" t="s">
        <v>10</v>
      </c>
      <c r="G1629" t="s">
        <v>187</v>
      </c>
      <c r="H1629" s="2">
        <v>46025</v>
      </c>
      <c r="I1629" s="3" t="str">
        <f t="shared" si="126"/>
        <v/>
      </c>
      <c r="J1629" t="str">
        <f t="shared" si="127"/>
        <v/>
      </c>
      <c r="K1629" t="str">
        <f t="shared" si="128"/>
        <v/>
      </c>
      <c r="L1629" t="str">
        <f t="shared" si="129"/>
        <v/>
      </c>
      <c r="M1629" t="str">
        <f>IF(COUNTIF($A$2:A1629,A1629)=1,
     VLOOKUP(A1629,Season_Winners!A:B,2,FALSE),
     "")</f>
        <v/>
      </c>
      <c r="N1629" s="2"/>
    </row>
    <row r="1630" spans="1:14" x14ac:dyDescent="0.3">
      <c r="A1630" t="s">
        <v>603</v>
      </c>
      <c r="B1630">
        <v>11</v>
      </c>
      <c r="C1630" t="s">
        <v>644</v>
      </c>
      <c r="D1630" t="str">
        <f t="shared" si="125"/>
        <v>05.11.2017</v>
      </c>
      <c r="E1630" s="1">
        <v>0.77083333333333337</v>
      </c>
      <c r="F1630" t="s">
        <v>34</v>
      </c>
      <c r="G1630" t="s">
        <v>17</v>
      </c>
      <c r="H1630" t="s">
        <v>12</v>
      </c>
      <c r="I1630" t="str">
        <f t="shared" si="126"/>
        <v>2-0</v>
      </c>
      <c r="J1630" t="str">
        <f t="shared" si="127"/>
        <v>2</v>
      </c>
      <c r="K1630" t="str">
        <f t="shared" si="128"/>
        <v>0</v>
      </c>
      <c r="L1630" t="str">
        <f t="shared" si="129"/>
        <v>Villarreal CF</v>
      </c>
      <c r="M1630" t="str">
        <f>IF(COUNTIF($A$2:A1630,A1630)=1,
     VLOOKUP(A1630,Season_Winners!A:B,2,FALSE),
     "")</f>
        <v/>
      </c>
    </row>
    <row r="1631" spans="1:14" x14ac:dyDescent="0.3">
      <c r="A1631" t="s">
        <v>603</v>
      </c>
      <c r="B1631">
        <v>11</v>
      </c>
      <c r="C1631" t="s">
        <v>644</v>
      </c>
      <c r="D1631" t="str">
        <f t="shared" si="125"/>
        <v>05.11.2017</v>
      </c>
      <c r="E1631" s="1">
        <v>0.86458333333333337</v>
      </c>
      <c r="F1631" t="s">
        <v>25</v>
      </c>
      <c r="G1631" t="s">
        <v>338</v>
      </c>
      <c r="H1631" t="s">
        <v>32</v>
      </c>
      <c r="I1631" t="str">
        <f t="shared" si="126"/>
        <v>3-0</v>
      </c>
      <c r="J1631" t="str">
        <f t="shared" si="127"/>
        <v>3</v>
      </c>
      <c r="K1631" t="str">
        <f t="shared" si="128"/>
        <v>0</v>
      </c>
      <c r="L1631" t="str">
        <f t="shared" si="129"/>
        <v>Real Madrid</v>
      </c>
      <c r="M1631" t="str">
        <f>IF(COUNTIF($A$2:A1631,A1631)=1,
     VLOOKUP(A1631,Season_Winners!A:B,2,FALSE),
     "")</f>
        <v/>
      </c>
    </row>
    <row r="1632" spans="1:14" hidden="1" x14ac:dyDescent="0.3">
      <c r="A1632" t="s">
        <v>603</v>
      </c>
      <c r="B1632">
        <v>12</v>
      </c>
      <c r="C1632" t="s">
        <v>645</v>
      </c>
      <c r="D1632" t="str">
        <f t="shared" si="125"/>
        <v>17.11.2017</v>
      </c>
      <c r="E1632" s="1">
        <v>0.875</v>
      </c>
      <c r="F1632" t="s">
        <v>606</v>
      </c>
      <c r="G1632" t="s">
        <v>10</v>
      </c>
      <c r="H1632" s="2">
        <v>46023</v>
      </c>
      <c r="I1632" s="3" t="str">
        <f t="shared" si="126"/>
        <v/>
      </c>
      <c r="J1632" t="str">
        <f t="shared" si="127"/>
        <v/>
      </c>
      <c r="K1632" t="str">
        <f t="shared" si="128"/>
        <v/>
      </c>
      <c r="L1632" t="str">
        <f t="shared" si="129"/>
        <v/>
      </c>
      <c r="M1632" t="str">
        <f>IF(COUNTIF($A$2:A1632,A1632)=1,
     VLOOKUP(A1632,Season_Winners!A:B,2,FALSE),
     "")</f>
        <v/>
      </c>
      <c r="N1632" s="2"/>
    </row>
    <row r="1633" spans="1:14" hidden="1" x14ac:dyDescent="0.3">
      <c r="A1633" t="s">
        <v>603</v>
      </c>
      <c r="B1633">
        <v>12</v>
      </c>
      <c r="C1633" t="s">
        <v>646</v>
      </c>
      <c r="D1633" t="str">
        <f t="shared" si="125"/>
        <v>18.11.2017</v>
      </c>
      <c r="E1633" s="1">
        <v>0.54166666666666663</v>
      </c>
      <c r="F1633" t="s">
        <v>11</v>
      </c>
      <c r="G1633" t="s">
        <v>464</v>
      </c>
      <c r="H1633" s="2">
        <v>46026</v>
      </c>
      <c r="I1633" s="3" t="str">
        <f t="shared" si="126"/>
        <v/>
      </c>
      <c r="J1633" t="str">
        <f t="shared" si="127"/>
        <v/>
      </c>
      <c r="K1633" t="str">
        <f t="shared" si="128"/>
        <v/>
      </c>
      <c r="L1633" t="str">
        <f t="shared" si="129"/>
        <v/>
      </c>
      <c r="M1633" t="str">
        <f>IF(COUNTIF($A$2:A1633,A1633)=1,
     VLOOKUP(A1633,Season_Winners!A:B,2,FALSE),
     "")</f>
        <v/>
      </c>
      <c r="N1633" s="2"/>
    </row>
    <row r="1634" spans="1:14" x14ac:dyDescent="0.3">
      <c r="A1634" t="s">
        <v>603</v>
      </c>
      <c r="B1634">
        <v>12</v>
      </c>
      <c r="C1634" t="s">
        <v>646</v>
      </c>
      <c r="D1634" t="str">
        <f t="shared" si="125"/>
        <v>18.11.2017</v>
      </c>
      <c r="E1634" s="1">
        <v>0.67708333333333337</v>
      </c>
      <c r="F1634" t="s">
        <v>466</v>
      </c>
      <c r="G1634" t="s">
        <v>20</v>
      </c>
      <c r="H1634" t="s">
        <v>46</v>
      </c>
      <c r="I1634" t="str">
        <f t="shared" si="126"/>
        <v>0-3</v>
      </c>
      <c r="J1634" t="str">
        <f t="shared" si="127"/>
        <v>0</v>
      </c>
      <c r="K1634" t="str">
        <f t="shared" si="128"/>
        <v>3</v>
      </c>
      <c r="L1634" t="str">
        <f t="shared" si="129"/>
        <v>FC Barcelona</v>
      </c>
      <c r="M1634" t="str">
        <f>IF(COUNTIF($A$2:A1634,A1634)=1,
     VLOOKUP(A1634,Season_Winners!A:B,2,FALSE),
     "")</f>
        <v/>
      </c>
    </row>
    <row r="1635" spans="1:14" hidden="1" x14ac:dyDescent="0.3">
      <c r="A1635" t="s">
        <v>603</v>
      </c>
      <c r="B1635">
        <v>12</v>
      </c>
      <c r="C1635" t="s">
        <v>646</v>
      </c>
      <c r="D1635" t="str">
        <f t="shared" si="125"/>
        <v>18.11.2017</v>
      </c>
      <c r="E1635" s="1">
        <v>0.77083333333333337</v>
      </c>
      <c r="F1635" t="s">
        <v>27</v>
      </c>
      <c r="G1635" t="s">
        <v>35</v>
      </c>
      <c r="H1635" s="2">
        <v>46024</v>
      </c>
      <c r="I1635" s="3" t="str">
        <f t="shared" si="126"/>
        <v/>
      </c>
      <c r="J1635" t="str">
        <f t="shared" si="127"/>
        <v/>
      </c>
      <c r="K1635" t="str">
        <f t="shared" si="128"/>
        <v/>
      </c>
      <c r="L1635" t="str">
        <f t="shared" si="129"/>
        <v/>
      </c>
      <c r="M1635" t="str">
        <f>IF(COUNTIF($A$2:A1635,A1635)=1,
     VLOOKUP(A1635,Season_Winners!A:B,2,FALSE),
     "")</f>
        <v/>
      </c>
      <c r="N1635" s="2"/>
    </row>
    <row r="1636" spans="1:14" x14ac:dyDescent="0.3">
      <c r="A1636" t="s">
        <v>603</v>
      </c>
      <c r="B1636">
        <v>12</v>
      </c>
      <c r="C1636" t="s">
        <v>646</v>
      </c>
      <c r="D1636" t="str">
        <f t="shared" si="125"/>
        <v>18.11.2017</v>
      </c>
      <c r="E1636" s="1">
        <v>0.86458333333333337</v>
      </c>
      <c r="F1636" t="s">
        <v>1425</v>
      </c>
      <c r="G1636" t="s">
        <v>25</v>
      </c>
      <c r="H1636" t="s">
        <v>41</v>
      </c>
      <c r="I1636" t="str">
        <f t="shared" si="126"/>
        <v>0-0</v>
      </c>
      <c r="J1636" t="str">
        <f t="shared" si="127"/>
        <v>0</v>
      </c>
      <c r="K1636" t="str">
        <f t="shared" si="128"/>
        <v>0</v>
      </c>
      <c r="L1636" t="str">
        <f t="shared" si="129"/>
        <v>Draw</v>
      </c>
      <c r="M1636" t="str">
        <f>IF(COUNTIF($A$2:A1636,A1636)=1,
     VLOOKUP(A1636,Season_Winners!A:B,2,FALSE),
     "")</f>
        <v/>
      </c>
    </row>
    <row r="1637" spans="1:14" hidden="1" x14ac:dyDescent="0.3">
      <c r="A1637" t="s">
        <v>603</v>
      </c>
      <c r="B1637">
        <v>12</v>
      </c>
      <c r="C1637" t="s">
        <v>647</v>
      </c>
      <c r="D1637" t="str">
        <f t="shared" si="125"/>
        <v>19.11.2017</v>
      </c>
      <c r="E1637" s="1">
        <v>0.5</v>
      </c>
      <c r="F1637" t="s">
        <v>17</v>
      </c>
      <c r="G1637" t="s">
        <v>182</v>
      </c>
      <c r="H1637" s="2">
        <v>46056</v>
      </c>
      <c r="I1637" s="3" t="str">
        <f t="shared" si="126"/>
        <v/>
      </c>
      <c r="J1637" t="str">
        <f t="shared" si="127"/>
        <v/>
      </c>
      <c r="K1637" t="str">
        <f t="shared" si="128"/>
        <v/>
      </c>
      <c r="L1637" t="str">
        <f t="shared" si="129"/>
        <v/>
      </c>
      <c r="M1637" t="str">
        <f>IF(COUNTIF($A$2:A1637,A1637)=1,
     VLOOKUP(A1637,Season_Winners!A:B,2,FALSE),
     "")</f>
        <v/>
      </c>
      <c r="N1637" s="2"/>
    </row>
    <row r="1638" spans="1:14" x14ac:dyDescent="0.3">
      <c r="A1638" t="s">
        <v>603</v>
      </c>
      <c r="B1638">
        <v>12</v>
      </c>
      <c r="C1638" t="s">
        <v>647</v>
      </c>
      <c r="D1638" t="str">
        <f t="shared" si="125"/>
        <v>19.11.2017</v>
      </c>
      <c r="E1638" s="1">
        <v>0.67708333333333337</v>
      </c>
      <c r="F1638" t="s">
        <v>36</v>
      </c>
      <c r="G1638" t="s">
        <v>16</v>
      </c>
      <c r="H1638" t="s">
        <v>54</v>
      </c>
      <c r="I1638" t="str">
        <f t="shared" si="126"/>
        <v>0-2</v>
      </c>
      <c r="J1638" t="str">
        <f t="shared" si="127"/>
        <v>0</v>
      </c>
      <c r="K1638" t="str">
        <f t="shared" si="128"/>
        <v>2</v>
      </c>
      <c r="L1638" t="str">
        <f t="shared" si="129"/>
        <v>Valencia CF</v>
      </c>
      <c r="M1638" t="str">
        <f>IF(COUNTIF($A$2:A1638,A1638)=1,
     VLOOKUP(A1638,Season_Winners!A:B,2,FALSE),
     "")</f>
        <v/>
      </c>
    </row>
    <row r="1639" spans="1:14" x14ac:dyDescent="0.3">
      <c r="A1639" t="s">
        <v>603</v>
      </c>
      <c r="B1639">
        <v>12</v>
      </c>
      <c r="C1639" t="s">
        <v>647</v>
      </c>
      <c r="D1639" t="str">
        <f t="shared" si="125"/>
        <v>19.11.2017</v>
      </c>
      <c r="E1639" s="1">
        <v>0.77083333333333337</v>
      </c>
      <c r="F1639" t="s">
        <v>338</v>
      </c>
      <c r="G1639" t="s">
        <v>21</v>
      </c>
      <c r="H1639" t="s">
        <v>54</v>
      </c>
      <c r="I1639" t="str">
        <f t="shared" si="126"/>
        <v>0-2</v>
      </c>
      <c r="J1639" t="str">
        <f t="shared" si="127"/>
        <v>0</v>
      </c>
      <c r="K1639" t="str">
        <f t="shared" si="128"/>
        <v>2</v>
      </c>
      <c r="L1639" t="str">
        <f t="shared" si="129"/>
        <v>Levante UD</v>
      </c>
      <c r="M1639" t="str">
        <f>IF(COUNTIF($A$2:A1639,A1639)=1,
     VLOOKUP(A1639,Season_Winners!A:B,2,FALSE),
     "")</f>
        <v/>
      </c>
    </row>
    <row r="1640" spans="1:14" hidden="1" x14ac:dyDescent="0.3">
      <c r="A1640" t="s">
        <v>603</v>
      </c>
      <c r="B1640">
        <v>12</v>
      </c>
      <c r="C1640" t="s">
        <v>647</v>
      </c>
      <c r="D1640" t="str">
        <f t="shared" si="125"/>
        <v>19.11.2017</v>
      </c>
      <c r="E1640" s="1">
        <v>0.86458333333333337</v>
      </c>
      <c r="F1640" t="s">
        <v>15</v>
      </c>
      <c r="G1640" t="s">
        <v>34</v>
      </c>
      <c r="H1640" s="2">
        <v>46023</v>
      </c>
      <c r="I1640" s="3" t="str">
        <f t="shared" si="126"/>
        <v/>
      </c>
      <c r="J1640" t="str">
        <f t="shared" si="127"/>
        <v/>
      </c>
      <c r="K1640" t="str">
        <f t="shared" si="128"/>
        <v/>
      </c>
      <c r="L1640" t="str">
        <f t="shared" si="129"/>
        <v/>
      </c>
      <c r="M1640" t="str">
        <f>IF(COUNTIF($A$2:A1640,A1640)=1,
     VLOOKUP(A1640,Season_Winners!A:B,2,FALSE),
     "")</f>
        <v/>
      </c>
      <c r="N1640" s="2"/>
    </row>
    <row r="1641" spans="1:14" x14ac:dyDescent="0.3">
      <c r="A1641" t="s">
        <v>603</v>
      </c>
      <c r="B1641">
        <v>12</v>
      </c>
      <c r="C1641" t="s">
        <v>648</v>
      </c>
      <c r="D1641" t="str">
        <f t="shared" si="125"/>
        <v>20.11.2017</v>
      </c>
      <c r="E1641" s="1">
        <v>0.875</v>
      </c>
      <c r="F1641" t="s">
        <v>187</v>
      </c>
      <c r="G1641" t="s">
        <v>26</v>
      </c>
      <c r="H1641" t="s">
        <v>40</v>
      </c>
      <c r="I1641" t="str">
        <f t="shared" si="126"/>
        <v>5-0</v>
      </c>
      <c r="J1641" t="str">
        <f t="shared" si="127"/>
        <v>5</v>
      </c>
      <c r="K1641" t="str">
        <f t="shared" si="128"/>
        <v>0</v>
      </c>
      <c r="L1641" t="str">
        <f t="shared" si="129"/>
        <v>SD Eibar</v>
      </c>
      <c r="M1641" t="str">
        <f>IF(COUNTIF($A$2:A1641,A1641)=1,
     VLOOKUP(A1641,Season_Winners!A:B,2,FALSE),
     "")</f>
        <v/>
      </c>
    </row>
    <row r="1642" spans="1:14" x14ac:dyDescent="0.3">
      <c r="A1642" t="s">
        <v>603</v>
      </c>
      <c r="B1642">
        <v>13</v>
      </c>
      <c r="C1642" t="s">
        <v>649</v>
      </c>
      <c r="D1642" t="str">
        <f t="shared" si="125"/>
        <v>24.11.2017</v>
      </c>
      <c r="E1642" s="1">
        <v>0.875</v>
      </c>
      <c r="F1642" t="s">
        <v>35</v>
      </c>
      <c r="G1642" t="s">
        <v>466</v>
      </c>
      <c r="H1642" t="s">
        <v>18</v>
      </c>
      <c r="I1642" t="str">
        <f t="shared" si="126"/>
        <v>1-0</v>
      </c>
      <c r="J1642" t="str">
        <f t="shared" si="127"/>
        <v>1</v>
      </c>
      <c r="K1642" t="str">
        <f t="shared" si="128"/>
        <v>0</v>
      </c>
      <c r="L1642" t="str">
        <f t="shared" si="129"/>
        <v>RC Celta</v>
      </c>
      <c r="M1642" t="str">
        <f>IF(COUNTIF($A$2:A1642,A1642)=1,
     VLOOKUP(A1642,Season_Winners!A:B,2,FALSE),
     "")</f>
        <v/>
      </c>
    </row>
    <row r="1643" spans="1:14" hidden="1" x14ac:dyDescent="0.3">
      <c r="A1643" t="s">
        <v>603</v>
      </c>
      <c r="B1643">
        <v>13</v>
      </c>
      <c r="C1643" t="s">
        <v>650</v>
      </c>
      <c r="D1643" t="str">
        <f t="shared" si="125"/>
        <v>25.11.2017</v>
      </c>
      <c r="E1643" s="1">
        <v>0.54166666666666663</v>
      </c>
      <c r="F1643" t="s">
        <v>464</v>
      </c>
      <c r="G1643" t="s">
        <v>187</v>
      </c>
      <c r="H1643" s="2">
        <v>46054</v>
      </c>
      <c r="I1643" s="3" t="str">
        <f t="shared" si="126"/>
        <v/>
      </c>
      <c r="J1643" t="str">
        <f t="shared" si="127"/>
        <v/>
      </c>
      <c r="K1643" t="str">
        <f t="shared" si="128"/>
        <v/>
      </c>
      <c r="L1643" t="str">
        <f t="shared" si="129"/>
        <v/>
      </c>
      <c r="M1643" t="str">
        <f>IF(COUNTIF($A$2:A1643,A1643)=1,
     VLOOKUP(A1643,Season_Winners!A:B,2,FALSE),
     "")</f>
        <v/>
      </c>
      <c r="N1643" s="2"/>
    </row>
    <row r="1644" spans="1:14" hidden="1" x14ac:dyDescent="0.3">
      <c r="A1644" t="s">
        <v>603</v>
      </c>
      <c r="B1644">
        <v>13</v>
      </c>
      <c r="C1644" t="s">
        <v>650</v>
      </c>
      <c r="D1644" t="str">
        <f t="shared" si="125"/>
        <v>25.11.2017</v>
      </c>
      <c r="E1644" s="1">
        <v>0.67708333333333337</v>
      </c>
      <c r="F1644" t="s">
        <v>25</v>
      </c>
      <c r="G1644" t="s">
        <v>17</v>
      </c>
      <c r="H1644" s="2">
        <v>46056</v>
      </c>
      <c r="I1644" s="3" t="str">
        <f t="shared" si="126"/>
        <v/>
      </c>
      <c r="J1644" t="str">
        <f t="shared" si="127"/>
        <v/>
      </c>
      <c r="K1644" t="str">
        <f t="shared" si="128"/>
        <v/>
      </c>
      <c r="L1644" t="str">
        <f t="shared" si="129"/>
        <v/>
      </c>
      <c r="M1644" t="str">
        <f>IF(COUNTIF($A$2:A1644,A1644)=1,
     VLOOKUP(A1644,Season_Winners!A:B,2,FALSE),
     "")</f>
        <v/>
      </c>
      <c r="N1644" s="2"/>
    </row>
    <row r="1645" spans="1:14" hidden="1" x14ac:dyDescent="0.3">
      <c r="A1645" t="s">
        <v>603</v>
      </c>
      <c r="B1645">
        <v>13</v>
      </c>
      <c r="C1645" t="s">
        <v>650</v>
      </c>
      <c r="D1645" t="str">
        <f t="shared" si="125"/>
        <v>25.11.2017</v>
      </c>
      <c r="E1645" s="1">
        <v>0.77083333333333337</v>
      </c>
      <c r="F1645" t="s">
        <v>26</v>
      </c>
      <c r="G1645" t="s">
        <v>606</v>
      </c>
      <c r="H1645" s="2">
        <v>46055</v>
      </c>
      <c r="I1645" s="3" t="str">
        <f t="shared" si="126"/>
        <v/>
      </c>
      <c r="J1645" t="str">
        <f t="shared" si="127"/>
        <v/>
      </c>
      <c r="K1645" t="str">
        <f t="shared" si="128"/>
        <v/>
      </c>
      <c r="L1645" t="str">
        <f t="shared" si="129"/>
        <v/>
      </c>
      <c r="M1645" t="str">
        <f>IF(COUNTIF($A$2:A1645,A1645)=1,
     VLOOKUP(A1645,Season_Winners!A:B,2,FALSE),
     "")</f>
        <v/>
      </c>
      <c r="N1645" s="2"/>
    </row>
    <row r="1646" spans="1:14" x14ac:dyDescent="0.3">
      <c r="A1646" t="s">
        <v>603</v>
      </c>
      <c r="B1646">
        <v>13</v>
      </c>
      <c r="C1646" t="s">
        <v>650</v>
      </c>
      <c r="D1646" t="str">
        <f t="shared" si="125"/>
        <v>25.11.2017</v>
      </c>
      <c r="E1646" s="1">
        <v>0.86458333333333337</v>
      </c>
      <c r="F1646" t="s">
        <v>21</v>
      </c>
      <c r="G1646" t="s">
        <v>1425</v>
      </c>
      <c r="H1646" t="s">
        <v>72</v>
      </c>
      <c r="I1646" t="str">
        <f t="shared" si="126"/>
        <v>0-5</v>
      </c>
      <c r="J1646" t="str">
        <f t="shared" si="127"/>
        <v>0</v>
      </c>
      <c r="K1646" t="str">
        <f t="shared" si="128"/>
        <v>5</v>
      </c>
      <c r="L1646" t="str">
        <f t="shared" si="129"/>
        <v>Atlético de Madrid</v>
      </c>
      <c r="M1646" t="str">
        <f>IF(COUNTIF($A$2:A1646,A1646)=1,
     VLOOKUP(A1646,Season_Winners!A:B,2,FALSE),
     "")</f>
        <v/>
      </c>
    </row>
    <row r="1647" spans="1:14" hidden="1" x14ac:dyDescent="0.3">
      <c r="A1647" t="s">
        <v>603</v>
      </c>
      <c r="B1647">
        <v>13</v>
      </c>
      <c r="C1647" t="s">
        <v>651</v>
      </c>
      <c r="D1647" t="str">
        <f t="shared" si="125"/>
        <v>26.11.2017</v>
      </c>
      <c r="E1647" s="1">
        <v>0.5</v>
      </c>
      <c r="F1647" t="s">
        <v>182</v>
      </c>
      <c r="G1647" t="s">
        <v>15</v>
      </c>
      <c r="H1647" s="2">
        <v>46055</v>
      </c>
      <c r="I1647" s="3" t="str">
        <f t="shared" si="126"/>
        <v/>
      </c>
      <c r="J1647" t="str">
        <f t="shared" si="127"/>
        <v/>
      </c>
      <c r="K1647" t="str">
        <f t="shared" si="128"/>
        <v/>
      </c>
      <c r="L1647" t="str">
        <f t="shared" si="129"/>
        <v/>
      </c>
      <c r="M1647" t="str">
        <f>IF(COUNTIF($A$2:A1647,A1647)=1,
     VLOOKUP(A1647,Season_Winners!A:B,2,FALSE),
     "")</f>
        <v/>
      </c>
      <c r="N1647" s="2"/>
    </row>
    <row r="1648" spans="1:14" hidden="1" x14ac:dyDescent="0.3">
      <c r="A1648" t="s">
        <v>603</v>
      </c>
      <c r="B1648">
        <v>13</v>
      </c>
      <c r="C1648" t="s">
        <v>651</v>
      </c>
      <c r="D1648" t="str">
        <f t="shared" si="125"/>
        <v>26.11.2017</v>
      </c>
      <c r="E1648" s="1">
        <v>0.67708333333333337</v>
      </c>
      <c r="F1648" t="s">
        <v>10</v>
      </c>
      <c r="G1648" t="s">
        <v>338</v>
      </c>
      <c r="H1648" s="2">
        <v>46055</v>
      </c>
      <c r="I1648" s="3" t="str">
        <f t="shared" si="126"/>
        <v/>
      </c>
      <c r="J1648" t="str">
        <f t="shared" si="127"/>
        <v/>
      </c>
      <c r="K1648" t="str">
        <f t="shared" si="128"/>
        <v/>
      </c>
      <c r="L1648" t="str">
        <f t="shared" si="129"/>
        <v/>
      </c>
      <c r="M1648" t="str">
        <f>IF(COUNTIF($A$2:A1648,A1648)=1,
     VLOOKUP(A1648,Season_Winners!A:B,2,FALSE),
     "")</f>
        <v/>
      </c>
      <c r="N1648" s="2"/>
    </row>
    <row r="1649" spans="1:14" hidden="1" x14ac:dyDescent="0.3">
      <c r="A1649" t="s">
        <v>603</v>
      </c>
      <c r="B1649">
        <v>13</v>
      </c>
      <c r="C1649" t="s">
        <v>651</v>
      </c>
      <c r="D1649" t="str">
        <f t="shared" si="125"/>
        <v>26.11.2017</v>
      </c>
      <c r="E1649" s="1">
        <v>0.77083333333333337</v>
      </c>
      <c r="F1649" t="s">
        <v>34</v>
      </c>
      <c r="G1649" t="s">
        <v>27</v>
      </c>
      <c r="H1649" s="2">
        <v>46083</v>
      </c>
      <c r="I1649" s="3" t="str">
        <f t="shared" si="126"/>
        <v/>
      </c>
      <c r="J1649" t="str">
        <f t="shared" si="127"/>
        <v/>
      </c>
      <c r="K1649" t="str">
        <f t="shared" si="128"/>
        <v/>
      </c>
      <c r="L1649" t="str">
        <f t="shared" si="129"/>
        <v/>
      </c>
      <c r="M1649" t="str">
        <f>IF(COUNTIF($A$2:A1649,A1649)=1,
     VLOOKUP(A1649,Season_Winners!A:B,2,FALSE),
     "")</f>
        <v/>
      </c>
      <c r="N1649" s="2"/>
    </row>
    <row r="1650" spans="1:14" hidden="1" x14ac:dyDescent="0.3">
      <c r="A1650" t="s">
        <v>603</v>
      </c>
      <c r="B1650">
        <v>13</v>
      </c>
      <c r="C1650" t="s">
        <v>651</v>
      </c>
      <c r="D1650" t="str">
        <f t="shared" si="125"/>
        <v>26.11.2017</v>
      </c>
      <c r="E1650" s="1">
        <v>0.86458333333333337</v>
      </c>
      <c r="F1650" t="s">
        <v>16</v>
      </c>
      <c r="G1650" t="s">
        <v>20</v>
      </c>
      <c r="H1650" s="2">
        <v>46023</v>
      </c>
      <c r="I1650" s="3" t="str">
        <f t="shared" si="126"/>
        <v/>
      </c>
      <c r="J1650" t="str">
        <f t="shared" si="127"/>
        <v/>
      </c>
      <c r="K1650" t="str">
        <f t="shared" si="128"/>
        <v/>
      </c>
      <c r="L1650" t="str">
        <f t="shared" si="129"/>
        <v/>
      </c>
      <c r="M1650" t="str">
        <f>IF(COUNTIF($A$2:A1650,A1650)=1,
     VLOOKUP(A1650,Season_Winners!A:B,2,FALSE),
     "")</f>
        <v/>
      </c>
      <c r="N1650" s="2"/>
    </row>
    <row r="1651" spans="1:14" x14ac:dyDescent="0.3">
      <c r="A1651" t="s">
        <v>603</v>
      </c>
      <c r="B1651">
        <v>13</v>
      </c>
      <c r="C1651" t="s">
        <v>652</v>
      </c>
      <c r="D1651" t="str">
        <f t="shared" si="125"/>
        <v>27.11.2017</v>
      </c>
      <c r="E1651" s="1">
        <v>0.875</v>
      </c>
      <c r="F1651" t="s">
        <v>36</v>
      </c>
      <c r="G1651" t="s">
        <v>11</v>
      </c>
      <c r="H1651" t="s">
        <v>18</v>
      </c>
      <c r="I1651" t="str">
        <f t="shared" si="126"/>
        <v>1-0</v>
      </c>
      <c r="J1651" t="str">
        <f t="shared" si="127"/>
        <v>1</v>
      </c>
      <c r="K1651" t="str">
        <f t="shared" si="128"/>
        <v>0</v>
      </c>
      <c r="L1651" t="str">
        <f t="shared" si="129"/>
        <v>RCD Espanyol de Barcelona</v>
      </c>
      <c r="M1651" t="str">
        <f>IF(COUNTIF($A$2:A1651,A1651)=1,
     VLOOKUP(A1651,Season_Winners!A:B,2,FALSE),
     "")</f>
        <v/>
      </c>
    </row>
    <row r="1652" spans="1:14" x14ac:dyDescent="0.3">
      <c r="A1652" t="s">
        <v>603</v>
      </c>
      <c r="B1652">
        <v>14</v>
      </c>
      <c r="C1652" t="s">
        <v>653</v>
      </c>
      <c r="D1652" t="str">
        <f t="shared" si="125"/>
        <v>01.12.2017</v>
      </c>
      <c r="E1652" s="1">
        <v>0.875</v>
      </c>
      <c r="F1652" t="s">
        <v>17</v>
      </c>
      <c r="G1652" t="s">
        <v>21</v>
      </c>
      <c r="H1652" t="s">
        <v>41</v>
      </c>
      <c r="I1652" t="str">
        <f t="shared" si="126"/>
        <v>0-0</v>
      </c>
      <c r="J1652" t="str">
        <f t="shared" si="127"/>
        <v>0</v>
      </c>
      <c r="K1652" t="str">
        <f t="shared" si="128"/>
        <v>0</v>
      </c>
      <c r="L1652" t="str">
        <f t="shared" si="129"/>
        <v>Draw</v>
      </c>
      <c r="M1652" t="str">
        <f>IF(COUNTIF($A$2:A1652,A1652)=1,
     VLOOKUP(A1652,Season_Winners!A:B,2,FALSE),
     "")</f>
        <v/>
      </c>
    </row>
    <row r="1653" spans="1:14" hidden="1" x14ac:dyDescent="0.3">
      <c r="A1653" t="s">
        <v>603</v>
      </c>
      <c r="B1653">
        <v>14</v>
      </c>
      <c r="C1653" t="s">
        <v>654</v>
      </c>
      <c r="D1653" t="str">
        <f t="shared" si="125"/>
        <v>02.12.2017</v>
      </c>
      <c r="E1653" s="1">
        <v>0.54166666666666663</v>
      </c>
      <c r="F1653" t="s">
        <v>20</v>
      </c>
      <c r="G1653" t="s">
        <v>35</v>
      </c>
      <c r="H1653" s="2">
        <v>46055</v>
      </c>
      <c r="I1653" s="3" t="str">
        <f t="shared" si="126"/>
        <v/>
      </c>
      <c r="J1653" t="str">
        <f t="shared" si="127"/>
        <v/>
      </c>
      <c r="K1653" t="str">
        <f t="shared" si="128"/>
        <v/>
      </c>
      <c r="L1653" t="str">
        <f t="shared" si="129"/>
        <v/>
      </c>
      <c r="M1653" t="str">
        <f>IF(COUNTIF($A$2:A1653,A1653)=1,
     VLOOKUP(A1653,Season_Winners!A:B,2,FALSE),
     "")</f>
        <v/>
      </c>
      <c r="N1653" s="2"/>
    </row>
    <row r="1654" spans="1:14" hidden="1" x14ac:dyDescent="0.3">
      <c r="A1654" t="s">
        <v>603</v>
      </c>
      <c r="B1654">
        <v>14</v>
      </c>
      <c r="C1654" t="s">
        <v>654</v>
      </c>
      <c r="D1654" t="str">
        <f t="shared" si="125"/>
        <v>02.12.2017</v>
      </c>
      <c r="E1654" s="1">
        <v>0.67708333333333337</v>
      </c>
      <c r="F1654" t="s">
        <v>28</v>
      </c>
      <c r="G1654" t="s">
        <v>10</v>
      </c>
      <c r="H1654" s="2">
        <v>46024</v>
      </c>
      <c r="I1654" s="3" t="str">
        <f t="shared" si="126"/>
        <v/>
      </c>
      <c r="J1654" t="str">
        <f t="shared" si="127"/>
        <v/>
      </c>
      <c r="K1654" t="str">
        <f t="shared" si="128"/>
        <v/>
      </c>
      <c r="L1654" t="str">
        <f t="shared" si="129"/>
        <v/>
      </c>
      <c r="M1654" t="str">
        <f>IF(COUNTIF($A$2:A1654,A1654)=1,
     VLOOKUP(A1654,Season_Winners!A:B,2,FALSE),
     "")</f>
        <v/>
      </c>
      <c r="N1654" s="2"/>
    </row>
    <row r="1655" spans="1:14" x14ac:dyDescent="0.3">
      <c r="A1655" t="s">
        <v>603</v>
      </c>
      <c r="B1655">
        <v>14</v>
      </c>
      <c r="C1655" t="s">
        <v>654</v>
      </c>
      <c r="D1655" t="str">
        <f t="shared" si="125"/>
        <v>02.12.2017</v>
      </c>
      <c r="E1655" s="1">
        <v>0.77083333333333337</v>
      </c>
      <c r="F1655" t="s">
        <v>27</v>
      </c>
      <c r="G1655" t="s">
        <v>182</v>
      </c>
      <c r="H1655" t="s">
        <v>12</v>
      </c>
      <c r="I1655" t="str">
        <f t="shared" si="126"/>
        <v>2-0</v>
      </c>
      <c r="J1655" t="str">
        <f t="shared" si="127"/>
        <v>2</v>
      </c>
      <c r="K1655" t="str">
        <f t="shared" si="128"/>
        <v>0</v>
      </c>
      <c r="L1655" t="str">
        <f t="shared" si="129"/>
        <v>Sevilla FC</v>
      </c>
      <c r="M1655" t="str">
        <f>IF(COUNTIF($A$2:A1655,A1655)=1,
     VLOOKUP(A1655,Season_Winners!A:B,2,FALSE),
     "")</f>
        <v/>
      </c>
    </row>
    <row r="1656" spans="1:14" x14ac:dyDescent="0.3">
      <c r="A1656" t="s">
        <v>603</v>
      </c>
      <c r="B1656">
        <v>14</v>
      </c>
      <c r="C1656" t="s">
        <v>654</v>
      </c>
      <c r="D1656" t="str">
        <f t="shared" si="125"/>
        <v>02.12.2017</v>
      </c>
      <c r="E1656" s="1">
        <v>0.86458333333333337</v>
      </c>
      <c r="F1656" t="s">
        <v>15</v>
      </c>
      <c r="G1656" t="s">
        <v>25</v>
      </c>
      <c r="H1656" t="s">
        <v>41</v>
      </c>
      <c r="I1656" t="str">
        <f t="shared" si="126"/>
        <v>0-0</v>
      </c>
      <c r="J1656" t="str">
        <f t="shared" si="127"/>
        <v>0</v>
      </c>
      <c r="K1656" t="str">
        <f t="shared" si="128"/>
        <v>0</v>
      </c>
      <c r="L1656" t="str">
        <f t="shared" si="129"/>
        <v>Draw</v>
      </c>
      <c r="M1656" t="str">
        <f>IF(COUNTIF($A$2:A1656,A1656)=1,
     VLOOKUP(A1656,Season_Winners!A:B,2,FALSE),
     "")</f>
        <v/>
      </c>
    </row>
    <row r="1657" spans="1:14" hidden="1" x14ac:dyDescent="0.3">
      <c r="A1657" t="s">
        <v>603</v>
      </c>
      <c r="B1657">
        <v>14</v>
      </c>
      <c r="C1657" t="s">
        <v>655</v>
      </c>
      <c r="D1657" t="str">
        <f t="shared" si="125"/>
        <v>03.12.2017</v>
      </c>
      <c r="E1657" s="1">
        <v>0.5</v>
      </c>
      <c r="F1657" t="s">
        <v>466</v>
      </c>
      <c r="G1657" t="s">
        <v>34</v>
      </c>
      <c r="H1657" s="2">
        <v>46025</v>
      </c>
      <c r="I1657" s="3" t="str">
        <f t="shared" si="126"/>
        <v/>
      </c>
      <c r="J1657" t="str">
        <f t="shared" si="127"/>
        <v/>
      </c>
      <c r="K1657" t="str">
        <f t="shared" si="128"/>
        <v/>
      </c>
      <c r="L1657" t="str">
        <f t="shared" si="129"/>
        <v/>
      </c>
      <c r="M1657" t="str">
        <f>IF(COUNTIF($A$2:A1657,A1657)=1,
     VLOOKUP(A1657,Season_Winners!A:B,2,FALSE),
     "")</f>
        <v/>
      </c>
      <c r="N1657" s="2"/>
    </row>
    <row r="1658" spans="1:14" x14ac:dyDescent="0.3">
      <c r="A1658" t="s">
        <v>603</v>
      </c>
      <c r="B1658">
        <v>14</v>
      </c>
      <c r="C1658" t="s">
        <v>655</v>
      </c>
      <c r="D1658" t="str">
        <f t="shared" si="125"/>
        <v>03.12.2017</v>
      </c>
      <c r="E1658" s="1">
        <v>0.67708333333333337</v>
      </c>
      <c r="F1658" t="s">
        <v>11</v>
      </c>
      <c r="G1658" t="s">
        <v>16</v>
      </c>
      <c r="H1658" t="s">
        <v>18</v>
      </c>
      <c r="I1658" t="str">
        <f t="shared" si="126"/>
        <v>1-0</v>
      </c>
      <c r="J1658" t="str">
        <f t="shared" si="127"/>
        <v>1</v>
      </c>
      <c r="K1658" t="str">
        <f t="shared" si="128"/>
        <v>0</v>
      </c>
      <c r="L1658" t="str">
        <f t="shared" si="129"/>
        <v>Getafe CF</v>
      </c>
      <c r="M1658" t="str">
        <f>IF(COUNTIF($A$2:A1658,A1658)=1,
     VLOOKUP(A1658,Season_Winners!A:B,2,FALSE),
     "")</f>
        <v/>
      </c>
    </row>
    <row r="1659" spans="1:14" hidden="1" x14ac:dyDescent="0.3">
      <c r="A1659" t="s">
        <v>603</v>
      </c>
      <c r="B1659">
        <v>14</v>
      </c>
      <c r="C1659" t="s">
        <v>655</v>
      </c>
      <c r="D1659" t="str">
        <f t="shared" si="125"/>
        <v>03.12.2017</v>
      </c>
      <c r="E1659" s="1">
        <v>0.77083333333333337</v>
      </c>
      <c r="F1659" t="s">
        <v>187</v>
      </c>
      <c r="G1659" t="s">
        <v>36</v>
      </c>
      <c r="H1659" s="2">
        <v>46025</v>
      </c>
      <c r="I1659" s="3" t="str">
        <f t="shared" si="126"/>
        <v/>
      </c>
      <c r="J1659" t="str">
        <f t="shared" si="127"/>
        <v/>
      </c>
      <c r="K1659" t="str">
        <f t="shared" si="128"/>
        <v/>
      </c>
      <c r="L1659" t="str">
        <f t="shared" si="129"/>
        <v/>
      </c>
      <c r="M1659" t="str">
        <f>IF(COUNTIF($A$2:A1659,A1659)=1,
     VLOOKUP(A1659,Season_Winners!A:B,2,FALSE),
     "")</f>
        <v/>
      </c>
      <c r="N1659" s="2"/>
    </row>
    <row r="1660" spans="1:14" x14ac:dyDescent="0.3">
      <c r="A1660" t="s">
        <v>603</v>
      </c>
      <c r="B1660">
        <v>14</v>
      </c>
      <c r="C1660" t="s">
        <v>655</v>
      </c>
      <c r="D1660" t="str">
        <f t="shared" si="125"/>
        <v>03.12.2017</v>
      </c>
      <c r="E1660" s="1">
        <v>0.86458333333333337</v>
      </c>
      <c r="F1660" t="s">
        <v>338</v>
      </c>
      <c r="G1660" t="s">
        <v>26</v>
      </c>
      <c r="H1660" t="s">
        <v>18</v>
      </c>
      <c r="I1660" t="str">
        <f t="shared" si="126"/>
        <v>1-0</v>
      </c>
      <c r="J1660" t="str">
        <f t="shared" si="127"/>
        <v>1</v>
      </c>
      <c r="K1660" t="str">
        <f t="shared" si="128"/>
        <v>0</v>
      </c>
      <c r="L1660" t="str">
        <f t="shared" si="129"/>
        <v>UD Las Palmas</v>
      </c>
      <c r="M1660" t="str">
        <f>IF(COUNTIF($A$2:A1660,A1660)=1,
     VLOOKUP(A1660,Season_Winners!A:B,2,FALSE),
     "")</f>
        <v/>
      </c>
    </row>
    <row r="1661" spans="1:14" hidden="1" x14ac:dyDescent="0.3">
      <c r="A1661" t="s">
        <v>603</v>
      </c>
      <c r="B1661">
        <v>14</v>
      </c>
      <c r="C1661" t="s">
        <v>656</v>
      </c>
      <c r="D1661" t="str">
        <f t="shared" si="125"/>
        <v>04.12.2017</v>
      </c>
      <c r="E1661" s="1">
        <v>0.875</v>
      </c>
      <c r="F1661" t="s">
        <v>606</v>
      </c>
      <c r="G1661" t="s">
        <v>464</v>
      </c>
      <c r="H1661" s="2">
        <v>46083</v>
      </c>
      <c r="I1661" s="3" t="str">
        <f t="shared" si="126"/>
        <v/>
      </c>
      <c r="J1661" t="str">
        <f t="shared" si="127"/>
        <v/>
      </c>
      <c r="K1661" t="str">
        <f t="shared" si="128"/>
        <v/>
      </c>
      <c r="L1661" t="str">
        <f t="shared" si="129"/>
        <v/>
      </c>
      <c r="M1661" t="str">
        <f>IF(COUNTIF($A$2:A1661,A1661)=1,
     VLOOKUP(A1661,Season_Winners!A:B,2,FALSE),
     "")</f>
        <v/>
      </c>
      <c r="N1661" s="2"/>
    </row>
    <row r="1662" spans="1:14" x14ac:dyDescent="0.3">
      <c r="A1662" t="s">
        <v>603</v>
      </c>
      <c r="B1662">
        <v>15</v>
      </c>
      <c r="C1662" t="s">
        <v>657</v>
      </c>
      <c r="D1662" t="str">
        <f t="shared" si="125"/>
        <v>08.12.2017</v>
      </c>
      <c r="E1662" s="1">
        <v>0.875</v>
      </c>
      <c r="F1662" t="s">
        <v>464</v>
      </c>
      <c r="G1662" t="s">
        <v>338</v>
      </c>
      <c r="H1662" t="s">
        <v>12</v>
      </c>
      <c r="I1662" t="str">
        <f t="shared" si="126"/>
        <v>2-0</v>
      </c>
      <c r="J1662" t="str">
        <f t="shared" si="127"/>
        <v>2</v>
      </c>
      <c r="K1662" t="str">
        <f t="shared" si="128"/>
        <v>0</v>
      </c>
      <c r="L1662" t="str">
        <f t="shared" si="129"/>
        <v>Deportivo AlavÃ©s</v>
      </c>
      <c r="M1662" t="str">
        <f>IF(COUNTIF($A$2:A1662,A1662)=1,
     VLOOKUP(A1662,Season_Winners!A:B,2,FALSE),
     "")</f>
        <v/>
      </c>
    </row>
    <row r="1663" spans="1:14" x14ac:dyDescent="0.3">
      <c r="A1663" t="s">
        <v>603</v>
      </c>
      <c r="B1663">
        <v>15</v>
      </c>
      <c r="C1663" t="s">
        <v>658</v>
      </c>
      <c r="D1663" t="str">
        <f t="shared" si="125"/>
        <v>09.12.2017</v>
      </c>
      <c r="E1663" s="1">
        <v>0.54166666666666663</v>
      </c>
      <c r="F1663" t="s">
        <v>11</v>
      </c>
      <c r="G1663" t="s">
        <v>187</v>
      </c>
      <c r="H1663" t="s">
        <v>41</v>
      </c>
      <c r="I1663" t="str">
        <f t="shared" si="126"/>
        <v>0-0</v>
      </c>
      <c r="J1663" t="str">
        <f t="shared" si="127"/>
        <v>0</v>
      </c>
      <c r="K1663" t="str">
        <f t="shared" si="128"/>
        <v>0</v>
      </c>
      <c r="L1663" t="str">
        <f t="shared" si="129"/>
        <v>Draw</v>
      </c>
      <c r="M1663" t="str">
        <f>IF(COUNTIF($A$2:A1663,A1663)=1,
     VLOOKUP(A1663,Season_Winners!A:B,2,FALSE),
     "")</f>
        <v/>
      </c>
    </row>
    <row r="1664" spans="1:14" x14ac:dyDescent="0.3">
      <c r="A1664" t="s">
        <v>603</v>
      </c>
      <c r="B1664">
        <v>15</v>
      </c>
      <c r="C1664" t="s">
        <v>658</v>
      </c>
      <c r="D1664" t="str">
        <f t="shared" si="125"/>
        <v>09.12.2017</v>
      </c>
      <c r="E1664" s="1">
        <v>0.67708333333333337</v>
      </c>
      <c r="F1664" t="s">
        <v>25</v>
      </c>
      <c r="G1664" t="s">
        <v>27</v>
      </c>
      <c r="H1664" t="s">
        <v>40</v>
      </c>
      <c r="I1664" t="str">
        <f t="shared" si="126"/>
        <v>5-0</v>
      </c>
      <c r="J1664" t="str">
        <f t="shared" si="127"/>
        <v>5</v>
      </c>
      <c r="K1664" t="str">
        <f t="shared" si="128"/>
        <v>0</v>
      </c>
      <c r="L1664" t="str">
        <f t="shared" si="129"/>
        <v>Real Madrid</v>
      </c>
      <c r="M1664" t="str">
        <f>IF(COUNTIF($A$2:A1664,A1664)=1,
     VLOOKUP(A1664,Season_Winners!A:B,2,FALSE),
     "")</f>
        <v/>
      </c>
    </row>
    <row r="1665" spans="1:14" x14ac:dyDescent="0.3">
      <c r="A1665" t="s">
        <v>603</v>
      </c>
      <c r="B1665">
        <v>15</v>
      </c>
      <c r="C1665" t="s">
        <v>658</v>
      </c>
      <c r="D1665" t="str">
        <f t="shared" si="125"/>
        <v>09.12.2017</v>
      </c>
      <c r="E1665" s="1">
        <v>0.77083333333333337</v>
      </c>
      <c r="F1665" t="s">
        <v>182</v>
      </c>
      <c r="G1665" t="s">
        <v>466</v>
      </c>
      <c r="H1665" t="s">
        <v>18</v>
      </c>
      <c r="I1665" t="str">
        <f t="shared" si="126"/>
        <v>1-0</v>
      </c>
      <c r="J1665" t="str">
        <f t="shared" si="127"/>
        <v>1</v>
      </c>
      <c r="K1665" t="str">
        <f t="shared" si="128"/>
        <v>0</v>
      </c>
      <c r="L1665" t="str">
        <f t="shared" si="129"/>
        <v>RC Deportivo</v>
      </c>
      <c r="M1665" t="str">
        <f>IF(COUNTIF($A$2:A1665,A1665)=1,
     VLOOKUP(A1665,Season_Winners!A:B,2,FALSE),
     "")</f>
        <v/>
      </c>
    </row>
    <row r="1666" spans="1:14" hidden="1" x14ac:dyDescent="0.3">
      <c r="A1666" t="s">
        <v>603</v>
      </c>
      <c r="B1666">
        <v>15</v>
      </c>
      <c r="C1666" t="s">
        <v>658</v>
      </c>
      <c r="D1666" t="str">
        <f t="shared" ref="D1666:D1729" si="130">RIGHT(C1666,10)</f>
        <v>09.12.2017</v>
      </c>
      <c r="E1666" s="1">
        <v>0.86458333333333337</v>
      </c>
      <c r="F1666" t="s">
        <v>16</v>
      </c>
      <c r="G1666" t="s">
        <v>35</v>
      </c>
      <c r="H1666" s="2">
        <v>46024</v>
      </c>
      <c r="I1666" s="3" t="str">
        <f t="shared" ref="I1666:I1729" si="131">IF(ISNUMBER(SEARCH("-",H1666)),H1666,"")</f>
        <v/>
      </c>
      <c r="J1666" t="str">
        <f t="shared" ref="J1666:J1729" si="132">IF(I1666="","",LEFT(I1666,FIND("-",I1666)-1))</f>
        <v/>
      </c>
      <c r="K1666" t="str">
        <f t="shared" ref="K1666:K1729" si="133">IF(I1666="","",RIGHT(I1666,LEN(I1666)-FIND("-",I1666)))</f>
        <v/>
      </c>
      <c r="L1666" t="str">
        <f t="shared" ref="L1666:L1729" si="134">IF(I1666="","",IF(J1666&gt;K1666,F1666,IF(K1666&gt;J1666,G1666,"Draw")))</f>
        <v/>
      </c>
      <c r="M1666" t="str">
        <f>IF(COUNTIF($A$2:A1666,A1666)=1,
     VLOOKUP(A1666,Season_Winners!A:B,2,FALSE),
     "")</f>
        <v/>
      </c>
      <c r="N1666" s="2"/>
    </row>
    <row r="1667" spans="1:14" x14ac:dyDescent="0.3">
      <c r="A1667" t="s">
        <v>603</v>
      </c>
      <c r="B1667">
        <v>15</v>
      </c>
      <c r="C1667" t="s">
        <v>659</v>
      </c>
      <c r="D1667" t="str">
        <f t="shared" si="130"/>
        <v>10.12.2017</v>
      </c>
      <c r="E1667" s="1">
        <v>0.5</v>
      </c>
      <c r="F1667" t="s">
        <v>10</v>
      </c>
      <c r="G1667" t="s">
        <v>17</v>
      </c>
      <c r="H1667" t="s">
        <v>54</v>
      </c>
      <c r="I1667" t="str">
        <f t="shared" si="131"/>
        <v>0-2</v>
      </c>
      <c r="J1667" t="str">
        <f t="shared" si="132"/>
        <v>0</v>
      </c>
      <c r="K1667" t="str">
        <f t="shared" si="133"/>
        <v>2</v>
      </c>
      <c r="L1667" t="str">
        <f t="shared" si="134"/>
        <v>MÃ¡laga CF</v>
      </c>
      <c r="M1667" t="str">
        <f>IF(COUNTIF($A$2:A1667,A1667)=1,
     VLOOKUP(A1667,Season_Winners!A:B,2,FALSE),
     "")</f>
        <v/>
      </c>
    </row>
    <row r="1668" spans="1:14" x14ac:dyDescent="0.3">
      <c r="A1668" t="s">
        <v>603</v>
      </c>
      <c r="B1668">
        <v>15</v>
      </c>
      <c r="C1668" t="s">
        <v>659</v>
      </c>
      <c r="D1668" t="str">
        <f t="shared" si="130"/>
        <v>10.12.2017</v>
      </c>
      <c r="E1668" s="1">
        <v>0.67708333333333337</v>
      </c>
      <c r="F1668" t="s">
        <v>26</v>
      </c>
      <c r="G1668" t="s">
        <v>1425</v>
      </c>
      <c r="H1668" t="s">
        <v>42</v>
      </c>
      <c r="I1668" t="str">
        <f t="shared" si="131"/>
        <v>0-1</v>
      </c>
      <c r="J1668" t="str">
        <f t="shared" si="132"/>
        <v>0</v>
      </c>
      <c r="K1668" t="str">
        <f t="shared" si="133"/>
        <v>1</v>
      </c>
      <c r="L1668" t="str">
        <f t="shared" si="134"/>
        <v>Atlético de Madrid</v>
      </c>
      <c r="M1668" t="str">
        <f>IF(COUNTIF($A$2:A1668,A1668)=1,
     VLOOKUP(A1668,Season_Winners!A:B,2,FALSE),
     "")</f>
        <v/>
      </c>
    </row>
    <row r="1669" spans="1:14" hidden="1" x14ac:dyDescent="0.3">
      <c r="A1669" t="s">
        <v>603</v>
      </c>
      <c r="B1669">
        <v>15</v>
      </c>
      <c r="C1669" t="s">
        <v>659</v>
      </c>
      <c r="D1669" t="str">
        <f t="shared" si="130"/>
        <v>10.12.2017</v>
      </c>
      <c r="E1669" s="1">
        <v>0.77083333333333337</v>
      </c>
      <c r="F1669" t="s">
        <v>21</v>
      </c>
      <c r="G1669" t="s">
        <v>15</v>
      </c>
      <c r="H1669" s="2">
        <v>46054</v>
      </c>
      <c r="I1669" s="3" t="str">
        <f t="shared" si="131"/>
        <v/>
      </c>
      <c r="J1669" t="str">
        <f t="shared" si="132"/>
        <v/>
      </c>
      <c r="K1669" t="str">
        <f t="shared" si="133"/>
        <v/>
      </c>
      <c r="L1669" t="str">
        <f t="shared" si="134"/>
        <v/>
      </c>
      <c r="M1669" t="str">
        <f>IF(COUNTIF($A$2:A1669,A1669)=1,
     VLOOKUP(A1669,Season_Winners!A:B,2,FALSE),
     "")</f>
        <v/>
      </c>
      <c r="N1669" s="2"/>
    </row>
    <row r="1670" spans="1:14" x14ac:dyDescent="0.3">
      <c r="A1670" t="s">
        <v>603</v>
      </c>
      <c r="B1670">
        <v>15</v>
      </c>
      <c r="C1670" t="s">
        <v>659</v>
      </c>
      <c r="D1670" t="str">
        <f t="shared" si="130"/>
        <v>10.12.2017</v>
      </c>
      <c r="E1670" s="1">
        <v>0.86458333333333337</v>
      </c>
      <c r="F1670" t="s">
        <v>34</v>
      </c>
      <c r="G1670" t="s">
        <v>20</v>
      </c>
      <c r="H1670" t="s">
        <v>54</v>
      </c>
      <c r="I1670" t="str">
        <f t="shared" si="131"/>
        <v>0-2</v>
      </c>
      <c r="J1670" t="str">
        <f t="shared" si="132"/>
        <v>0</v>
      </c>
      <c r="K1670" t="str">
        <f t="shared" si="133"/>
        <v>2</v>
      </c>
      <c r="L1670" t="str">
        <f t="shared" si="134"/>
        <v>FC Barcelona</v>
      </c>
      <c r="M1670" t="str">
        <f>IF(COUNTIF($A$2:A1670,A1670)=1,
     VLOOKUP(A1670,Season_Winners!A:B,2,FALSE),
     "")</f>
        <v/>
      </c>
    </row>
    <row r="1671" spans="1:14" x14ac:dyDescent="0.3">
      <c r="A1671" t="s">
        <v>603</v>
      </c>
      <c r="B1671">
        <v>15</v>
      </c>
      <c r="C1671" t="s">
        <v>660</v>
      </c>
      <c r="D1671" t="str">
        <f t="shared" si="130"/>
        <v>11.12.2017</v>
      </c>
      <c r="E1671" s="1">
        <v>0.875</v>
      </c>
      <c r="F1671" t="s">
        <v>36</v>
      </c>
      <c r="G1671" t="s">
        <v>606</v>
      </c>
      <c r="H1671" t="s">
        <v>42</v>
      </c>
      <c r="I1671" t="str">
        <f t="shared" si="131"/>
        <v>0-1</v>
      </c>
      <c r="J1671" t="str">
        <f t="shared" si="132"/>
        <v>0</v>
      </c>
      <c r="K1671" t="str">
        <f t="shared" si="133"/>
        <v>1</v>
      </c>
      <c r="L1671" t="str">
        <f t="shared" si="134"/>
        <v>Girona FC</v>
      </c>
      <c r="M1671" t="str">
        <f>IF(COUNTIF($A$2:A1671,A1671)=1,
     VLOOKUP(A1671,Season_Winners!A:B,2,FALSE),
     "")</f>
        <v/>
      </c>
    </row>
    <row r="1672" spans="1:14" x14ac:dyDescent="0.3">
      <c r="A1672" t="s">
        <v>603</v>
      </c>
      <c r="B1672">
        <v>16</v>
      </c>
      <c r="C1672" t="s">
        <v>661</v>
      </c>
      <c r="D1672" t="str">
        <f t="shared" si="130"/>
        <v>15.12.2017</v>
      </c>
      <c r="E1672" s="1">
        <v>0.875</v>
      </c>
      <c r="F1672" t="s">
        <v>27</v>
      </c>
      <c r="G1672" t="s">
        <v>21</v>
      </c>
      <c r="H1672" t="s">
        <v>41</v>
      </c>
      <c r="I1672" t="str">
        <f t="shared" si="131"/>
        <v>0-0</v>
      </c>
      <c r="J1672" t="str">
        <f t="shared" si="132"/>
        <v>0</v>
      </c>
      <c r="K1672" t="str">
        <f t="shared" si="133"/>
        <v>0</v>
      </c>
      <c r="L1672" t="str">
        <f t="shared" si="134"/>
        <v>Draw</v>
      </c>
      <c r="M1672" t="str">
        <f>IF(COUNTIF($A$2:A1672,A1672)=1,
     VLOOKUP(A1672,Season_Winners!A:B,2,FALSE),
     "")</f>
        <v/>
      </c>
    </row>
    <row r="1673" spans="1:14" x14ac:dyDescent="0.3">
      <c r="A1673" t="s">
        <v>603</v>
      </c>
      <c r="B1673">
        <v>16</v>
      </c>
      <c r="C1673" t="s">
        <v>662</v>
      </c>
      <c r="D1673" t="str">
        <f t="shared" si="130"/>
        <v>16.12.2017</v>
      </c>
      <c r="E1673" s="1">
        <v>0.67708333333333337</v>
      </c>
      <c r="F1673" t="s">
        <v>15</v>
      </c>
      <c r="G1673" t="s">
        <v>10</v>
      </c>
      <c r="H1673" t="s">
        <v>41</v>
      </c>
      <c r="I1673" t="str">
        <f t="shared" si="131"/>
        <v>0-0</v>
      </c>
      <c r="J1673" t="str">
        <f t="shared" si="132"/>
        <v>0</v>
      </c>
      <c r="K1673" t="str">
        <f t="shared" si="133"/>
        <v>0</v>
      </c>
      <c r="L1673" t="str">
        <f t="shared" si="134"/>
        <v>Draw</v>
      </c>
      <c r="M1673" t="str">
        <f>IF(COUNTIF($A$2:A1673,A1673)=1,
     VLOOKUP(A1673,Season_Winners!A:B,2,FALSE),
     "")</f>
        <v/>
      </c>
    </row>
    <row r="1674" spans="1:14" hidden="1" x14ac:dyDescent="0.3">
      <c r="A1674" t="s">
        <v>603</v>
      </c>
      <c r="B1674">
        <v>16</v>
      </c>
      <c r="C1674" t="s">
        <v>662</v>
      </c>
      <c r="D1674" t="str">
        <f t="shared" si="130"/>
        <v>16.12.2017</v>
      </c>
      <c r="E1674" s="1">
        <v>0.77083333333333337</v>
      </c>
      <c r="F1674" t="s">
        <v>187</v>
      </c>
      <c r="G1674" t="s">
        <v>16</v>
      </c>
      <c r="H1674" s="2">
        <v>46024</v>
      </c>
      <c r="I1674" s="3" t="str">
        <f t="shared" si="131"/>
        <v/>
      </c>
      <c r="J1674" t="str">
        <f t="shared" si="132"/>
        <v/>
      </c>
      <c r="K1674" t="str">
        <f t="shared" si="133"/>
        <v/>
      </c>
      <c r="L1674" t="str">
        <f t="shared" si="134"/>
        <v/>
      </c>
      <c r="M1674" t="str">
        <f>IF(COUNTIF($A$2:A1674,A1674)=1,
     VLOOKUP(A1674,Season_Winners!A:B,2,FALSE),
     "")</f>
        <v/>
      </c>
      <c r="N1674" s="2"/>
    </row>
    <row r="1675" spans="1:14" x14ac:dyDescent="0.3">
      <c r="A1675" t="s">
        <v>603</v>
      </c>
      <c r="B1675">
        <v>16</v>
      </c>
      <c r="C1675" t="s">
        <v>662</v>
      </c>
      <c r="D1675" t="str">
        <f t="shared" si="130"/>
        <v>16.12.2017</v>
      </c>
      <c r="E1675" s="1">
        <v>0.86458333333333337</v>
      </c>
      <c r="F1675" t="s">
        <v>1425</v>
      </c>
      <c r="G1675" t="s">
        <v>464</v>
      </c>
      <c r="H1675" t="s">
        <v>18</v>
      </c>
      <c r="I1675" t="str">
        <f t="shared" si="131"/>
        <v>1-0</v>
      </c>
      <c r="J1675" t="str">
        <f t="shared" si="132"/>
        <v>1</v>
      </c>
      <c r="K1675" t="str">
        <f t="shared" si="133"/>
        <v>0</v>
      </c>
      <c r="L1675" t="str">
        <f t="shared" si="134"/>
        <v>Atlético de Madrid</v>
      </c>
      <c r="M1675" t="str">
        <f>IF(COUNTIF($A$2:A1675,A1675)=1,
     VLOOKUP(A1675,Season_Winners!A:B,2,FALSE),
     "")</f>
        <v/>
      </c>
    </row>
    <row r="1676" spans="1:14" x14ac:dyDescent="0.3">
      <c r="A1676" t="s">
        <v>603</v>
      </c>
      <c r="B1676">
        <v>16</v>
      </c>
      <c r="C1676" t="s">
        <v>663</v>
      </c>
      <c r="D1676" t="str">
        <f t="shared" si="130"/>
        <v>17.12.2017</v>
      </c>
      <c r="E1676" s="1">
        <v>0.5</v>
      </c>
      <c r="F1676" t="s">
        <v>606</v>
      </c>
      <c r="G1676" t="s">
        <v>11</v>
      </c>
      <c r="H1676" t="s">
        <v>18</v>
      </c>
      <c r="I1676" t="str">
        <f t="shared" si="131"/>
        <v>1-0</v>
      </c>
      <c r="J1676" t="str">
        <f t="shared" si="132"/>
        <v>1</v>
      </c>
      <c r="K1676" t="str">
        <f t="shared" si="133"/>
        <v>0</v>
      </c>
      <c r="L1676" t="str">
        <f t="shared" si="134"/>
        <v>Girona FC</v>
      </c>
      <c r="M1676" t="str">
        <f>IF(COUNTIF($A$2:A1676,A1676)=1,
     VLOOKUP(A1676,Season_Winners!A:B,2,FALSE),
     "")</f>
        <v/>
      </c>
    </row>
    <row r="1677" spans="1:14" x14ac:dyDescent="0.3">
      <c r="A1677" t="s">
        <v>603</v>
      </c>
      <c r="B1677">
        <v>16</v>
      </c>
      <c r="C1677" t="s">
        <v>663</v>
      </c>
      <c r="D1677" t="str">
        <f t="shared" si="130"/>
        <v>17.12.2017</v>
      </c>
      <c r="E1677" s="1">
        <v>0.67708333333333337</v>
      </c>
      <c r="F1677" t="s">
        <v>35</v>
      </c>
      <c r="G1677" t="s">
        <v>34</v>
      </c>
      <c r="H1677" t="s">
        <v>42</v>
      </c>
      <c r="I1677" t="str">
        <f t="shared" si="131"/>
        <v>0-1</v>
      </c>
      <c r="J1677" t="str">
        <f t="shared" si="132"/>
        <v>0</v>
      </c>
      <c r="K1677" t="str">
        <f t="shared" si="133"/>
        <v>1</v>
      </c>
      <c r="L1677" t="str">
        <f t="shared" si="134"/>
        <v>Villarreal CF</v>
      </c>
      <c r="M1677" t="str">
        <f>IF(COUNTIF($A$2:A1677,A1677)=1,
     VLOOKUP(A1677,Season_Winners!A:B,2,FALSE),
     "")</f>
        <v/>
      </c>
    </row>
    <row r="1678" spans="1:14" hidden="1" x14ac:dyDescent="0.3">
      <c r="A1678" t="s">
        <v>603</v>
      </c>
      <c r="B1678">
        <v>16</v>
      </c>
      <c r="C1678" t="s">
        <v>663</v>
      </c>
      <c r="D1678" t="str">
        <f t="shared" si="130"/>
        <v>17.12.2017</v>
      </c>
      <c r="E1678" s="1">
        <v>0.77083333333333337</v>
      </c>
      <c r="F1678" t="s">
        <v>338</v>
      </c>
      <c r="G1678" t="s">
        <v>36</v>
      </c>
      <c r="H1678" s="2">
        <v>46055</v>
      </c>
      <c r="I1678" s="3" t="str">
        <f t="shared" si="131"/>
        <v/>
      </c>
      <c r="J1678" t="str">
        <f t="shared" si="132"/>
        <v/>
      </c>
      <c r="K1678" t="str">
        <f t="shared" si="133"/>
        <v/>
      </c>
      <c r="L1678" t="str">
        <f t="shared" si="134"/>
        <v/>
      </c>
      <c r="M1678" t="str">
        <f>IF(COUNTIF($A$2:A1678,A1678)=1,
     VLOOKUP(A1678,Season_Winners!A:B,2,FALSE),
     "")</f>
        <v/>
      </c>
      <c r="N1678" s="2"/>
    </row>
    <row r="1679" spans="1:14" x14ac:dyDescent="0.3">
      <c r="A1679" t="s">
        <v>603</v>
      </c>
      <c r="B1679">
        <v>16</v>
      </c>
      <c r="C1679" t="s">
        <v>663</v>
      </c>
      <c r="D1679" t="str">
        <f t="shared" si="130"/>
        <v>17.12.2017</v>
      </c>
      <c r="E1679" s="1">
        <v>0.86458333333333337</v>
      </c>
      <c r="F1679" t="s">
        <v>20</v>
      </c>
      <c r="G1679" t="s">
        <v>182</v>
      </c>
      <c r="H1679" t="s">
        <v>88</v>
      </c>
      <c r="I1679" t="str">
        <f t="shared" si="131"/>
        <v>4-0</v>
      </c>
      <c r="J1679" t="str">
        <f t="shared" si="132"/>
        <v>4</v>
      </c>
      <c r="K1679" t="str">
        <f t="shared" si="133"/>
        <v>0</v>
      </c>
      <c r="L1679" t="str">
        <f t="shared" si="134"/>
        <v>FC Barcelona</v>
      </c>
      <c r="M1679" t="str">
        <f>IF(COUNTIF($A$2:A1679,A1679)=1,
     VLOOKUP(A1679,Season_Winners!A:B,2,FALSE),
     "")</f>
        <v/>
      </c>
    </row>
    <row r="1680" spans="1:14" x14ac:dyDescent="0.3">
      <c r="A1680" t="s">
        <v>603</v>
      </c>
      <c r="B1680">
        <v>16</v>
      </c>
      <c r="C1680" t="s">
        <v>664</v>
      </c>
      <c r="D1680" t="str">
        <f t="shared" si="130"/>
        <v>18.12.2017</v>
      </c>
      <c r="E1680" s="1">
        <v>0.875</v>
      </c>
      <c r="F1680" t="s">
        <v>17</v>
      </c>
      <c r="G1680" t="s">
        <v>26</v>
      </c>
      <c r="H1680" t="s">
        <v>54</v>
      </c>
      <c r="I1680" t="str">
        <f t="shared" si="131"/>
        <v>0-2</v>
      </c>
      <c r="J1680" t="str">
        <f t="shared" si="132"/>
        <v>0</v>
      </c>
      <c r="K1680" t="str">
        <f t="shared" si="133"/>
        <v>2</v>
      </c>
      <c r="L1680" t="str">
        <f t="shared" si="134"/>
        <v>Real Betis</v>
      </c>
      <c r="M1680" t="str">
        <f>IF(COUNTIF($A$2:A1680,A1680)=1,
     VLOOKUP(A1680,Season_Winners!A:B,2,FALSE),
     "")</f>
        <v/>
      </c>
    </row>
    <row r="1681" spans="1:14" hidden="1" x14ac:dyDescent="0.3">
      <c r="A1681" t="s">
        <v>603</v>
      </c>
      <c r="B1681">
        <v>16</v>
      </c>
      <c r="C1681" t="s">
        <v>665</v>
      </c>
      <c r="D1681" t="str">
        <f t="shared" si="130"/>
        <v>21.02.2018</v>
      </c>
      <c r="E1681" s="1">
        <v>0.78125</v>
      </c>
      <c r="F1681" t="s">
        <v>466</v>
      </c>
      <c r="G1681" t="s">
        <v>25</v>
      </c>
      <c r="H1681" s="2">
        <v>46082</v>
      </c>
      <c r="I1681" s="3" t="str">
        <f t="shared" si="131"/>
        <v/>
      </c>
      <c r="J1681" t="str">
        <f t="shared" si="132"/>
        <v/>
      </c>
      <c r="K1681" t="str">
        <f t="shared" si="133"/>
        <v/>
      </c>
      <c r="L1681" t="str">
        <f t="shared" si="134"/>
        <v/>
      </c>
      <c r="M1681" t="str">
        <f>IF(COUNTIF($A$2:A1681,A1681)=1,
     VLOOKUP(A1681,Season_Winners!A:B,2,FALSE),
     "")</f>
        <v/>
      </c>
      <c r="N1681" s="2"/>
    </row>
    <row r="1682" spans="1:14" x14ac:dyDescent="0.3">
      <c r="A1682" t="s">
        <v>603</v>
      </c>
      <c r="B1682">
        <v>17</v>
      </c>
      <c r="C1682" t="s">
        <v>666</v>
      </c>
      <c r="D1682" t="str">
        <f t="shared" si="130"/>
        <v>19.12.2017</v>
      </c>
      <c r="E1682" s="1">
        <v>0.89583333333333337</v>
      </c>
      <c r="F1682" t="s">
        <v>21</v>
      </c>
      <c r="G1682" t="s">
        <v>466</v>
      </c>
      <c r="H1682" t="s">
        <v>41</v>
      </c>
      <c r="I1682" t="str">
        <f t="shared" si="131"/>
        <v>0-0</v>
      </c>
      <c r="J1682" t="str">
        <f t="shared" si="132"/>
        <v>0</v>
      </c>
      <c r="K1682" t="str">
        <f t="shared" si="133"/>
        <v>0</v>
      </c>
      <c r="L1682" t="str">
        <f t="shared" si="134"/>
        <v>Draw</v>
      </c>
      <c r="M1682" t="str">
        <f>IF(COUNTIF($A$2:A1682,A1682)=1,
     VLOOKUP(A1682,Season_Winners!A:B,2,FALSE),
     "")</f>
        <v/>
      </c>
    </row>
    <row r="1683" spans="1:14" x14ac:dyDescent="0.3">
      <c r="A1683" t="s">
        <v>603</v>
      </c>
      <c r="B1683">
        <v>17</v>
      </c>
      <c r="C1683" t="s">
        <v>667</v>
      </c>
      <c r="D1683" t="str">
        <f t="shared" si="130"/>
        <v>20.12.2017</v>
      </c>
      <c r="E1683" s="1">
        <v>0.8125</v>
      </c>
      <c r="F1683" t="s">
        <v>11</v>
      </c>
      <c r="G1683" t="s">
        <v>338</v>
      </c>
      <c r="H1683" t="s">
        <v>12</v>
      </c>
      <c r="I1683" t="str">
        <f t="shared" si="131"/>
        <v>2-0</v>
      </c>
      <c r="J1683" t="str">
        <f t="shared" si="132"/>
        <v>2</v>
      </c>
      <c r="K1683" t="str">
        <f t="shared" si="133"/>
        <v>0</v>
      </c>
      <c r="L1683" t="str">
        <f t="shared" si="134"/>
        <v>Getafe CF</v>
      </c>
      <c r="M1683" t="str">
        <f>IF(COUNTIF($A$2:A1683,A1683)=1,
     VLOOKUP(A1683,Season_Winners!A:B,2,FALSE),
     "")</f>
        <v/>
      </c>
    </row>
    <row r="1684" spans="1:14" hidden="1" x14ac:dyDescent="0.3">
      <c r="A1684" t="s">
        <v>603</v>
      </c>
      <c r="B1684">
        <v>17</v>
      </c>
      <c r="C1684" t="s">
        <v>667</v>
      </c>
      <c r="D1684" t="str">
        <f t="shared" si="130"/>
        <v>20.12.2017</v>
      </c>
      <c r="E1684" s="1">
        <v>0.89583333333333337</v>
      </c>
      <c r="F1684" t="s">
        <v>10</v>
      </c>
      <c r="G1684" t="s">
        <v>27</v>
      </c>
      <c r="H1684" s="2">
        <v>46025</v>
      </c>
      <c r="I1684" s="3" t="str">
        <f t="shared" si="131"/>
        <v/>
      </c>
      <c r="J1684" t="str">
        <f t="shared" si="132"/>
        <v/>
      </c>
      <c r="K1684" t="str">
        <f t="shared" si="133"/>
        <v/>
      </c>
      <c r="L1684" t="str">
        <f t="shared" si="134"/>
        <v/>
      </c>
      <c r="M1684" t="str">
        <f>IF(COUNTIF($A$2:A1684,A1684)=1,
     VLOOKUP(A1684,Season_Winners!A:B,2,FALSE),
     "")</f>
        <v/>
      </c>
      <c r="N1684" s="2"/>
    </row>
    <row r="1685" spans="1:14" hidden="1" x14ac:dyDescent="0.3">
      <c r="A1685" t="s">
        <v>603</v>
      </c>
      <c r="B1685">
        <v>17</v>
      </c>
      <c r="C1685" t="s">
        <v>668</v>
      </c>
      <c r="D1685" t="str">
        <f t="shared" si="130"/>
        <v>21.12.2017</v>
      </c>
      <c r="E1685" s="1">
        <v>0.8125</v>
      </c>
      <c r="F1685" t="s">
        <v>187</v>
      </c>
      <c r="G1685" t="s">
        <v>606</v>
      </c>
      <c r="H1685" s="2">
        <v>46026</v>
      </c>
      <c r="I1685" s="3" t="str">
        <f t="shared" si="131"/>
        <v/>
      </c>
      <c r="J1685" t="str">
        <f t="shared" si="132"/>
        <v/>
      </c>
      <c r="K1685" t="str">
        <f t="shared" si="133"/>
        <v/>
      </c>
      <c r="L1685" t="str">
        <f t="shared" si="134"/>
        <v/>
      </c>
      <c r="M1685" t="str">
        <f>IF(COUNTIF($A$2:A1685,A1685)=1,
     VLOOKUP(A1685,Season_Winners!A:B,2,FALSE),
     "")</f>
        <v/>
      </c>
      <c r="N1685" s="2"/>
    </row>
    <row r="1686" spans="1:14" x14ac:dyDescent="0.3">
      <c r="A1686" t="s">
        <v>603</v>
      </c>
      <c r="B1686">
        <v>17</v>
      </c>
      <c r="C1686" t="s">
        <v>668</v>
      </c>
      <c r="D1686" t="str">
        <f t="shared" si="130"/>
        <v>21.12.2017</v>
      </c>
      <c r="E1686" s="1">
        <v>0.89583333333333337</v>
      </c>
      <c r="F1686" t="s">
        <v>464</v>
      </c>
      <c r="G1686" t="s">
        <v>17</v>
      </c>
      <c r="H1686" t="s">
        <v>18</v>
      </c>
      <c r="I1686" t="str">
        <f t="shared" si="131"/>
        <v>1-0</v>
      </c>
      <c r="J1686" t="str">
        <f t="shared" si="132"/>
        <v>1</v>
      </c>
      <c r="K1686" t="str">
        <f t="shared" si="133"/>
        <v>0</v>
      </c>
      <c r="L1686" t="str">
        <f t="shared" si="134"/>
        <v>Deportivo AlavÃ©s</v>
      </c>
      <c r="M1686" t="str">
        <f>IF(COUNTIF($A$2:A1686,A1686)=1,
     VLOOKUP(A1686,Season_Winners!A:B,2,FALSE),
     "")</f>
        <v/>
      </c>
    </row>
    <row r="1687" spans="1:14" x14ac:dyDescent="0.3">
      <c r="A1687" t="s">
        <v>603</v>
      </c>
      <c r="B1687">
        <v>17</v>
      </c>
      <c r="C1687" t="s">
        <v>669</v>
      </c>
      <c r="D1687" t="str">
        <f t="shared" si="130"/>
        <v>22.12.2017</v>
      </c>
      <c r="E1687" s="1">
        <v>0.8125</v>
      </c>
      <c r="F1687" t="s">
        <v>26</v>
      </c>
      <c r="G1687" t="s">
        <v>15</v>
      </c>
      <c r="H1687" t="s">
        <v>54</v>
      </c>
      <c r="I1687" t="str">
        <f t="shared" si="131"/>
        <v>0-2</v>
      </c>
      <c r="J1687" t="str">
        <f t="shared" si="132"/>
        <v>0</v>
      </c>
      <c r="K1687" t="str">
        <f t="shared" si="133"/>
        <v>2</v>
      </c>
      <c r="L1687" t="str">
        <f t="shared" si="134"/>
        <v>Athletic Club</v>
      </c>
      <c r="M1687" t="str">
        <f>IF(COUNTIF($A$2:A1687,A1687)=1,
     VLOOKUP(A1687,Season_Winners!A:B,2,FALSE),
     "")</f>
        <v/>
      </c>
    </row>
    <row r="1688" spans="1:14" x14ac:dyDescent="0.3">
      <c r="A1688" t="s">
        <v>603</v>
      </c>
      <c r="B1688">
        <v>17</v>
      </c>
      <c r="C1688" t="s">
        <v>669</v>
      </c>
      <c r="D1688" t="str">
        <f t="shared" si="130"/>
        <v>22.12.2017</v>
      </c>
      <c r="E1688" s="1">
        <v>0.89583333333333337</v>
      </c>
      <c r="F1688" t="s">
        <v>36</v>
      </c>
      <c r="G1688" t="s">
        <v>1425</v>
      </c>
      <c r="H1688" t="s">
        <v>18</v>
      </c>
      <c r="I1688" t="str">
        <f t="shared" si="131"/>
        <v>1-0</v>
      </c>
      <c r="J1688" t="str">
        <f t="shared" si="132"/>
        <v>1</v>
      </c>
      <c r="K1688" t="str">
        <f t="shared" si="133"/>
        <v>0</v>
      </c>
      <c r="L1688" t="str">
        <f t="shared" si="134"/>
        <v>RCD Espanyol de Barcelona</v>
      </c>
      <c r="M1688" t="str">
        <f>IF(COUNTIF($A$2:A1688,A1688)=1,
     VLOOKUP(A1688,Season_Winners!A:B,2,FALSE),
     "")</f>
        <v/>
      </c>
    </row>
    <row r="1689" spans="1:14" x14ac:dyDescent="0.3">
      <c r="A1689" t="s">
        <v>603</v>
      </c>
      <c r="B1689">
        <v>17</v>
      </c>
      <c r="C1689" t="s">
        <v>670</v>
      </c>
      <c r="D1689" t="str">
        <f t="shared" si="130"/>
        <v>23.12.2017</v>
      </c>
      <c r="E1689" s="1">
        <v>0.54166666666666663</v>
      </c>
      <c r="F1689" t="s">
        <v>25</v>
      </c>
      <c r="G1689" t="s">
        <v>20</v>
      </c>
      <c r="H1689" t="s">
        <v>46</v>
      </c>
      <c r="I1689" t="str">
        <f t="shared" si="131"/>
        <v>0-3</v>
      </c>
      <c r="J1689" t="str">
        <f t="shared" si="132"/>
        <v>0</v>
      </c>
      <c r="K1689" t="str">
        <f t="shared" si="133"/>
        <v>3</v>
      </c>
      <c r="L1689" t="str">
        <f t="shared" si="134"/>
        <v>FC Barcelona</v>
      </c>
      <c r="M1689" t="str">
        <f>IF(COUNTIF($A$2:A1689,A1689)=1,
     VLOOKUP(A1689,Season_Winners!A:B,2,FALSE),
     "")</f>
        <v/>
      </c>
    </row>
    <row r="1690" spans="1:14" x14ac:dyDescent="0.3">
      <c r="A1690" t="s">
        <v>603</v>
      </c>
      <c r="B1690">
        <v>17</v>
      </c>
      <c r="C1690" t="s">
        <v>670</v>
      </c>
      <c r="D1690" t="str">
        <f t="shared" si="130"/>
        <v>23.12.2017</v>
      </c>
      <c r="E1690" s="1">
        <v>0.67708333333333337</v>
      </c>
      <c r="F1690" t="s">
        <v>16</v>
      </c>
      <c r="G1690" t="s">
        <v>34</v>
      </c>
      <c r="H1690" t="s">
        <v>42</v>
      </c>
      <c r="I1690" t="str">
        <f t="shared" si="131"/>
        <v>0-1</v>
      </c>
      <c r="J1690" t="str">
        <f t="shared" si="132"/>
        <v>0</v>
      </c>
      <c r="K1690" t="str">
        <f t="shared" si="133"/>
        <v>1</v>
      </c>
      <c r="L1690" t="str">
        <f t="shared" si="134"/>
        <v>Villarreal CF</v>
      </c>
      <c r="M1690" t="str">
        <f>IF(COUNTIF($A$2:A1690,A1690)=1,
     VLOOKUP(A1690,Season_Winners!A:B,2,FALSE),
     "")</f>
        <v/>
      </c>
    </row>
    <row r="1691" spans="1:14" hidden="1" x14ac:dyDescent="0.3">
      <c r="A1691" t="s">
        <v>603</v>
      </c>
      <c r="B1691">
        <v>17</v>
      </c>
      <c r="C1691" t="s">
        <v>670</v>
      </c>
      <c r="D1691" t="str">
        <f t="shared" si="130"/>
        <v>23.12.2017</v>
      </c>
      <c r="E1691" s="1">
        <v>0.77083333333333337</v>
      </c>
      <c r="F1691" t="s">
        <v>182</v>
      </c>
      <c r="G1691" t="s">
        <v>35</v>
      </c>
      <c r="H1691" s="2">
        <v>46082</v>
      </c>
      <c r="I1691" s="3" t="str">
        <f t="shared" si="131"/>
        <v/>
      </c>
      <c r="J1691" t="str">
        <f t="shared" si="132"/>
        <v/>
      </c>
      <c r="K1691" t="str">
        <f t="shared" si="133"/>
        <v/>
      </c>
      <c r="L1691" t="str">
        <f t="shared" si="134"/>
        <v/>
      </c>
      <c r="M1691" t="str">
        <f>IF(COUNTIF($A$2:A1691,A1691)=1,
     VLOOKUP(A1691,Season_Winners!A:B,2,FALSE),
     "")</f>
        <v/>
      </c>
      <c r="N1691" s="2"/>
    </row>
    <row r="1692" spans="1:14" x14ac:dyDescent="0.3">
      <c r="A1692" t="s">
        <v>603</v>
      </c>
      <c r="B1692">
        <v>18</v>
      </c>
      <c r="C1692" t="s">
        <v>671</v>
      </c>
      <c r="D1692" t="str">
        <f t="shared" si="130"/>
        <v>06.01.2018</v>
      </c>
      <c r="E1692" s="1">
        <v>0.54166666666666663</v>
      </c>
      <c r="F1692" t="s">
        <v>1425</v>
      </c>
      <c r="G1692" t="s">
        <v>11</v>
      </c>
      <c r="H1692" t="s">
        <v>12</v>
      </c>
      <c r="I1692" t="str">
        <f t="shared" si="131"/>
        <v>2-0</v>
      </c>
      <c r="J1692" t="str">
        <f t="shared" si="132"/>
        <v>2</v>
      </c>
      <c r="K1692" t="str">
        <f t="shared" si="133"/>
        <v>0</v>
      </c>
      <c r="L1692" t="str">
        <f t="shared" si="134"/>
        <v>Atlético de Madrid</v>
      </c>
      <c r="M1692" t="str">
        <f>IF(COUNTIF($A$2:A1692,A1692)=1,
     VLOOKUP(A1692,Season_Winners!A:B,2,FALSE),
     "")</f>
        <v/>
      </c>
    </row>
    <row r="1693" spans="1:14" hidden="1" x14ac:dyDescent="0.3">
      <c r="A1693" t="s">
        <v>603</v>
      </c>
      <c r="B1693">
        <v>18</v>
      </c>
      <c r="C1693" t="s">
        <v>671</v>
      </c>
      <c r="D1693" t="str">
        <f t="shared" si="130"/>
        <v>06.01.2018</v>
      </c>
      <c r="E1693" s="1">
        <v>0.67708333333333337</v>
      </c>
      <c r="F1693" t="s">
        <v>16</v>
      </c>
      <c r="G1693" t="s">
        <v>606</v>
      </c>
      <c r="H1693" s="2">
        <v>46024</v>
      </c>
      <c r="I1693" s="3" t="str">
        <f t="shared" si="131"/>
        <v/>
      </c>
      <c r="J1693" t="str">
        <f t="shared" si="132"/>
        <v/>
      </c>
      <c r="K1693" t="str">
        <f t="shared" si="133"/>
        <v/>
      </c>
      <c r="L1693" t="str">
        <f t="shared" si="134"/>
        <v/>
      </c>
      <c r="M1693" t="str">
        <f>IF(COUNTIF($A$2:A1693,A1693)=1,
     VLOOKUP(A1693,Season_Winners!A:B,2,FALSE),
     "")</f>
        <v/>
      </c>
      <c r="N1693" s="2"/>
    </row>
    <row r="1694" spans="1:14" hidden="1" x14ac:dyDescent="0.3">
      <c r="A1694" t="s">
        <v>603</v>
      </c>
      <c r="B1694">
        <v>18</v>
      </c>
      <c r="C1694" t="s">
        <v>671</v>
      </c>
      <c r="D1694" t="str">
        <f t="shared" si="130"/>
        <v>06.01.2018</v>
      </c>
      <c r="E1694" s="1">
        <v>0.77083333333333337</v>
      </c>
      <c r="F1694" t="s">
        <v>338</v>
      </c>
      <c r="G1694" t="s">
        <v>187</v>
      </c>
      <c r="H1694" s="2">
        <v>46054</v>
      </c>
      <c r="I1694" s="3" t="str">
        <f t="shared" si="131"/>
        <v/>
      </c>
      <c r="J1694" t="str">
        <f t="shared" si="132"/>
        <v/>
      </c>
      <c r="K1694" t="str">
        <f t="shared" si="133"/>
        <v/>
      </c>
      <c r="L1694" t="str">
        <f t="shared" si="134"/>
        <v/>
      </c>
      <c r="M1694" t="str">
        <f>IF(COUNTIF($A$2:A1694,A1694)=1,
     VLOOKUP(A1694,Season_Winners!A:B,2,FALSE),
     "")</f>
        <v/>
      </c>
      <c r="N1694" s="2"/>
    </row>
    <row r="1695" spans="1:14" hidden="1" x14ac:dyDescent="0.3">
      <c r="A1695" t="s">
        <v>603</v>
      </c>
      <c r="B1695">
        <v>18</v>
      </c>
      <c r="C1695" t="s">
        <v>671</v>
      </c>
      <c r="D1695" t="str">
        <f t="shared" si="130"/>
        <v>06.01.2018</v>
      </c>
      <c r="E1695" s="1">
        <v>0.86458333333333337</v>
      </c>
      <c r="F1695" t="s">
        <v>27</v>
      </c>
      <c r="G1695" t="s">
        <v>26</v>
      </c>
      <c r="H1695" s="2">
        <v>46145</v>
      </c>
      <c r="I1695" s="3" t="str">
        <f t="shared" si="131"/>
        <v/>
      </c>
      <c r="J1695" t="str">
        <f t="shared" si="132"/>
        <v/>
      </c>
      <c r="K1695" t="str">
        <f t="shared" si="133"/>
        <v/>
      </c>
      <c r="L1695" t="str">
        <f t="shared" si="134"/>
        <v/>
      </c>
      <c r="M1695" t="str">
        <f>IF(COUNTIF($A$2:A1695,A1695)=1,
     VLOOKUP(A1695,Season_Winners!A:B,2,FALSE),
     "")</f>
        <v/>
      </c>
      <c r="N1695" s="2"/>
    </row>
    <row r="1696" spans="1:14" x14ac:dyDescent="0.3">
      <c r="A1696" t="s">
        <v>603</v>
      </c>
      <c r="B1696">
        <v>18</v>
      </c>
      <c r="C1696" t="s">
        <v>672</v>
      </c>
      <c r="D1696" t="str">
        <f t="shared" si="130"/>
        <v>07.01.2018</v>
      </c>
      <c r="E1696" s="1">
        <v>0.5</v>
      </c>
      <c r="F1696" t="s">
        <v>466</v>
      </c>
      <c r="G1696" t="s">
        <v>10</v>
      </c>
      <c r="H1696" t="s">
        <v>18</v>
      </c>
      <c r="I1696" t="str">
        <f t="shared" si="131"/>
        <v>1-0</v>
      </c>
      <c r="J1696" t="str">
        <f t="shared" si="132"/>
        <v>1</v>
      </c>
      <c r="K1696" t="str">
        <f t="shared" si="133"/>
        <v>0</v>
      </c>
      <c r="L1696" t="str">
        <f t="shared" si="134"/>
        <v>CD LeganÃ©s</v>
      </c>
      <c r="M1696" t="str">
        <f>IF(COUNTIF($A$2:A1696,A1696)=1,
     VLOOKUP(A1696,Season_Winners!A:B,2,FALSE),
     "")</f>
        <v/>
      </c>
    </row>
    <row r="1697" spans="1:14" x14ac:dyDescent="0.3">
      <c r="A1697" t="s">
        <v>603</v>
      </c>
      <c r="B1697">
        <v>18</v>
      </c>
      <c r="C1697" t="s">
        <v>672</v>
      </c>
      <c r="D1697" t="str">
        <f t="shared" si="130"/>
        <v>07.01.2018</v>
      </c>
      <c r="E1697" s="1">
        <v>0.67708333333333337</v>
      </c>
      <c r="F1697" t="s">
        <v>20</v>
      </c>
      <c r="G1697" t="s">
        <v>21</v>
      </c>
      <c r="H1697" t="s">
        <v>32</v>
      </c>
      <c r="I1697" t="str">
        <f t="shared" si="131"/>
        <v>3-0</v>
      </c>
      <c r="J1697" t="str">
        <f t="shared" si="132"/>
        <v>3</v>
      </c>
      <c r="K1697" t="str">
        <f t="shared" si="133"/>
        <v>0</v>
      </c>
      <c r="L1697" t="str">
        <f t="shared" si="134"/>
        <v>FC Barcelona</v>
      </c>
      <c r="M1697" t="str">
        <f>IF(COUNTIF($A$2:A1697,A1697)=1,
     VLOOKUP(A1697,Season_Winners!A:B,2,FALSE),
     "")</f>
        <v/>
      </c>
    </row>
    <row r="1698" spans="1:14" x14ac:dyDescent="0.3">
      <c r="A1698" t="s">
        <v>603</v>
      </c>
      <c r="B1698">
        <v>18</v>
      </c>
      <c r="C1698" t="s">
        <v>672</v>
      </c>
      <c r="D1698" t="str">
        <f t="shared" si="130"/>
        <v>07.01.2018</v>
      </c>
      <c r="E1698" s="1">
        <v>0.77083333333333337</v>
      </c>
      <c r="F1698" t="s">
        <v>15</v>
      </c>
      <c r="G1698" t="s">
        <v>464</v>
      </c>
      <c r="H1698" t="s">
        <v>12</v>
      </c>
      <c r="I1698" t="str">
        <f t="shared" si="131"/>
        <v>2-0</v>
      </c>
      <c r="J1698" t="str">
        <f t="shared" si="132"/>
        <v>2</v>
      </c>
      <c r="K1698" t="str">
        <f t="shared" si="133"/>
        <v>0</v>
      </c>
      <c r="L1698" t="str">
        <f t="shared" si="134"/>
        <v>Athletic Club</v>
      </c>
      <c r="M1698" t="str">
        <f>IF(COUNTIF($A$2:A1698,A1698)=1,
     VLOOKUP(A1698,Season_Winners!A:B,2,FALSE),
     "")</f>
        <v/>
      </c>
    </row>
    <row r="1699" spans="1:14" hidden="1" x14ac:dyDescent="0.3">
      <c r="A1699" t="s">
        <v>603</v>
      </c>
      <c r="B1699">
        <v>18</v>
      </c>
      <c r="C1699" t="s">
        <v>672</v>
      </c>
      <c r="D1699" t="str">
        <f t="shared" si="130"/>
        <v>07.01.2018</v>
      </c>
      <c r="E1699" s="1">
        <v>0.77083333333333337</v>
      </c>
      <c r="F1699" t="s">
        <v>34</v>
      </c>
      <c r="G1699" t="s">
        <v>182</v>
      </c>
      <c r="H1699" s="2">
        <v>46023</v>
      </c>
      <c r="I1699" s="3" t="str">
        <f t="shared" si="131"/>
        <v/>
      </c>
      <c r="J1699" t="str">
        <f t="shared" si="132"/>
        <v/>
      </c>
      <c r="K1699" t="str">
        <f t="shared" si="133"/>
        <v/>
      </c>
      <c r="L1699" t="str">
        <f t="shared" si="134"/>
        <v/>
      </c>
      <c r="M1699" t="str">
        <f>IF(COUNTIF($A$2:A1699,A1699)=1,
     VLOOKUP(A1699,Season_Winners!A:B,2,FALSE),
     "")</f>
        <v/>
      </c>
      <c r="N1699" s="2"/>
    </row>
    <row r="1700" spans="1:14" hidden="1" x14ac:dyDescent="0.3">
      <c r="A1700" t="s">
        <v>603</v>
      </c>
      <c r="B1700">
        <v>18</v>
      </c>
      <c r="C1700" t="s">
        <v>672</v>
      </c>
      <c r="D1700" t="str">
        <f t="shared" si="130"/>
        <v>07.01.2018</v>
      </c>
      <c r="E1700" s="1">
        <v>0.86458333333333337</v>
      </c>
      <c r="F1700" t="s">
        <v>35</v>
      </c>
      <c r="G1700" t="s">
        <v>25</v>
      </c>
      <c r="H1700" s="2">
        <v>46055</v>
      </c>
      <c r="I1700" s="3" t="str">
        <f t="shared" si="131"/>
        <v/>
      </c>
      <c r="J1700" t="str">
        <f t="shared" si="132"/>
        <v/>
      </c>
      <c r="K1700" t="str">
        <f t="shared" si="133"/>
        <v/>
      </c>
      <c r="L1700" t="str">
        <f t="shared" si="134"/>
        <v/>
      </c>
      <c r="M1700" t="str">
        <f>IF(COUNTIF($A$2:A1700,A1700)=1,
     VLOOKUP(A1700,Season_Winners!A:B,2,FALSE),
     "")</f>
        <v/>
      </c>
      <c r="N1700" s="2"/>
    </row>
    <row r="1701" spans="1:14" x14ac:dyDescent="0.3">
      <c r="A1701" t="s">
        <v>603</v>
      </c>
      <c r="B1701">
        <v>18</v>
      </c>
      <c r="C1701" t="s">
        <v>673</v>
      </c>
      <c r="D1701" t="str">
        <f t="shared" si="130"/>
        <v>08.01.2018</v>
      </c>
      <c r="E1701" s="1">
        <v>0.875</v>
      </c>
      <c r="F1701" t="s">
        <v>17</v>
      </c>
      <c r="G1701" t="s">
        <v>36</v>
      </c>
      <c r="H1701" t="s">
        <v>42</v>
      </c>
      <c r="I1701" t="str">
        <f t="shared" si="131"/>
        <v>0-1</v>
      </c>
      <c r="J1701" t="str">
        <f t="shared" si="132"/>
        <v>0</v>
      </c>
      <c r="K1701" t="str">
        <f t="shared" si="133"/>
        <v>1</v>
      </c>
      <c r="L1701" t="str">
        <f t="shared" si="134"/>
        <v>RCD Espanyol de Barcelona</v>
      </c>
      <c r="M1701" t="str">
        <f>IF(COUNTIF($A$2:A1701,A1701)=1,
     VLOOKUP(A1701,Season_Winners!A:B,2,FALSE),
     "")</f>
        <v/>
      </c>
    </row>
    <row r="1702" spans="1:14" x14ac:dyDescent="0.3">
      <c r="A1702" t="s">
        <v>603</v>
      </c>
      <c r="B1702">
        <v>19</v>
      </c>
      <c r="C1702" t="s">
        <v>674</v>
      </c>
      <c r="D1702" t="str">
        <f t="shared" si="130"/>
        <v>12.01.2018</v>
      </c>
      <c r="E1702" s="1">
        <v>0.875</v>
      </c>
      <c r="F1702" t="s">
        <v>11</v>
      </c>
      <c r="G1702" t="s">
        <v>17</v>
      </c>
      <c r="H1702" t="s">
        <v>18</v>
      </c>
      <c r="I1702" t="str">
        <f t="shared" si="131"/>
        <v>1-0</v>
      </c>
      <c r="J1702" t="str">
        <f t="shared" si="132"/>
        <v>1</v>
      </c>
      <c r="K1702" t="str">
        <f t="shared" si="133"/>
        <v>0</v>
      </c>
      <c r="L1702" t="str">
        <f t="shared" si="134"/>
        <v>Getafe CF</v>
      </c>
      <c r="M1702" t="str">
        <f>IF(COUNTIF($A$2:A1702,A1702)=1,
     VLOOKUP(A1702,Season_Winners!A:B,2,FALSE),
     "")</f>
        <v/>
      </c>
    </row>
    <row r="1703" spans="1:14" x14ac:dyDescent="0.3">
      <c r="A1703" t="s">
        <v>603</v>
      </c>
      <c r="B1703">
        <v>19</v>
      </c>
      <c r="C1703" t="s">
        <v>675</v>
      </c>
      <c r="D1703" t="str">
        <f t="shared" si="130"/>
        <v>13.01.2018</v>
      </c>
      <c r="E1703" s="1">
        <v>0.54166666666666663</v>
      </c>
      <c r="F1703" t="s">
        <v>606</v>
      </c>
      <c r="G1703" t="s">
        <v>338</v>
      </c>
      <c r="H1703" t="s">
        <v>126</v>
      </c>
      <c r="I1703" t="str">
        <f t="shared" si="131"/>
        <v>6-0</v>
      </c>
      <c r="J1703" t="str">
        <f t="shared" si="132"/>
        <v>6</v>
      </c>
      <c r="K1703" t="str">
        <f t="shared" si="133"/>
        <v>0</v>
      </c>
      <c r="L1703" t="str">
        <f t="shared" si="134"/>
        <v>Girona FC</v>
      </c>
      <c r="M1703" t="str">
        <f>IF(COUNTIF($A$2:A1703,A1703)=1,
     VLOOKUP(A1703,Season_Winners!A:B,2,FALSE),
     "")</f>
        <v/>
      </c>
    </row>
    <row r="1704" spans="1:14" x14ac:dyDescent="0.3">
      <c r="A1704" t="s">
        <v>603</v>
      </c>
      <c r="B1704">
        <v>19</v>
      </c>
      <c r="C1704" t="s">
        <v>675</v>
      </c>
      <c r="D1704" t="str">
        <f t="shared" si="130"/>
        <v>13.01.2018</v>
      </c>
      <c r="E1704" s="1">
        <v>0.67708333333333337</v>
      </c>
      <c r="F1704" t="s">
        <v>25</v>
      </c>
      <c r="G1704" t="s">
        <v>34</v>
      </c>
      <c r="H1704" t="s">
        <v>42</v>
      </c>
      <c r="I1704" t="str">
        <f t="shared" si="131"/>
        <v>0-1</v>
      </c>
      <c r="J1704" t="str">
        <f t="shared" si="132"/>
        <v>0</v>
      </c>
      <c r="K1704" t="str">
        <f t="shared" si="133"/>
        <v>1</v>
      </c>
      <c r="L1704" t="str">
        <f t="shared" si="134"/>
        <v>Villarreal CF</v>
      </c>
      <c r="M1704" t="str">
        <f>IF(COUNTIF($A$2:A1704,A1704)=1,
     VLOOKUP(A1704,Season_Winners!A:B,2,FALSE),
     "")</f>
        <v/>
      </c>
    </row>
    <row r="1705" spans="1:14" x14ac:dyDescent="0.3">
      <c r="A1705" t="s">
        <v>603</v>
      </c>
      <c r="B1705">
        <v>19</v>
      </c>
      <c r="C1705" t="s">
        <v>675</v>
      </c>
      <c r="D1705" t="str">
        <f t="shared" si="130"/>
        <v>13.01.2018</v>
      </c>
      <c r="E1705" s="1">
        <v>0.77083333333333337</v>
      </c>
      <c r="F1705" t="s">
        <v>187</v>
      </c>
      <c r="G1705" t="s">
        <v>1425</v>
      </c>
      <c r="H1705" t="s">
        <v>42</v>
      </c>
      <c r="I1705" t="str">
        <f t="shared" si="131"/>
        <v>0-1</v>
      </c>
      <c r="J1705" t="str">
        <f t="shared" si="132"/>
        <v>0</v>
      </c>
      <c r="K1705" t="str">
        <f t="shared" si="133"/>
        <v>1</v>
      </c>
      <c r="L1705" t="str">
        <f t="shared" si="134"/>
        <v>Atlético de Madrid</v>
      </c>
      <c r="M1705" t="str">
        <f>IF(COUNTIF($A$2:A1705,A1705)=1,
     VLOOKUP(A1705,Season_Winners!A:B,2,FALSE),
     "")</f>
        <v/>
      </c>
    </row>
    <row r="1706" spans="1:14" hidden="1" x14ac:dyDescent="0.3">
      <c r="A1706" t="s">
        <v>603</v>
      </c>
      <c r="B1706">
        <v>19</v>
      </c>
      <c r="C1706" t="s">
        <v>675</v>
      </c>
      <c r="D1706" t="str">
        <f t="shared" si="130"/>
        <v>13.01.2018</v>
      </c>
      <c r="E1706" s="1">
        <v>0.86458333333333337</v>
      </c>
      <c r="F1706" t="s">
        <v>182</v>
      </c>
      <c r="G1706" t="s">
        <v>16</v>
      </c>
      <c r="H1706" s="2">
        <v>46054</v>
      </c>
      <c r="I1706" s="3" t="str">
        <f t="shared" si="131"/>
        <v/>
      </c>
      <c r="J1706" t="str">
        <f t="shared" si="132"/>
        <v/>
      </c>
      <c r="K1706" t="str">
        <f t="shared" si="133"/>
        <v/>
      </c>
      <c r="L1706" t="str">
        <f t="shared" si="134"/>
        <v/>
      </c>
      <c r="M1706" t="str">
        <f>IF(COUNTIF($A$2:A1706,A1706)=1,
     VLOOKUP(A1706,Season_Winners!A:B,2,FALSE),
     "")</f>
        <v/>
      </c>
      <c r="N1706" s="2"/>
    </row>
    <row r="1707" spans="1:14" x14ac:dyDescent="0.3">
      <c r="A1707" t="s">
        <v>603</v>
      </c>
      <c r="B1707">
        <v>19</v>
      </c>
      <c r="C1707" t="s">
        <v>676</v>
      </c>
      <c r="D1707" t="str">
        <f t="shared" si="130"/>
        <v>14.01.2018</v>
      </c>
      <c r="E1707" s="1">
        <v>0.5</v>
      </c>
      <c r="F1707" t="s">
        <v>21</v>
      </c>
      <c r="G1707" t="s">
        <v>35</v>
      </c>
      <c r="H1707" t="s">
        <v>42</v>
      </c>
      <c r="I1707" t="str">
        <f t="shared" si="131"/>
        <v>0-1</v>
      </c>
      <c r="J1707" t="str">
        <f t="shared" si="132"/>
        <v>0</v>
      </c>
      <c r="K1707" t="str">
        <f t="shared" si="133"/>
        <v>1</v>
      </c>
      <c r="L1707" t="str">
        <f t="shared" si="134"/>
        <v>RC Celta</v>
      </c>
      <c r="M1707" t="str">
        <f>IF(COUNTIF($A$2:A1707,A1707)=1,
     VLOOKUP(A1707,Season_Winners!A:B,2,FALSE),
     "")</f>
        <v/>
      </c>
    </row>
    <row r="1708" spans="1:14" x14ac:dyDescent="0.3">
      <c r="A1708" t="s">
        <v>603</v>
      </c>
      <c r="B1708">
        <v>19</v>
      </c>
      <c r="C1708" t="s">
        <v>676</v>
      </c>
      <c r="D1708" t="str">
        <f t="shared" si="130"/>
        <v>14.01.2018</v>
      </c>
      <c r="E1708" s="1">
        <v>0.67708333333333337</v>
      </c>
      <c r="F1708" t="s">
        <v>464</v>
      </c>
      <c r="G1708" t="s">
        <v>27</v>
      </c>
      <c r="H1708" t="s">
        <v>18</v>
      </c>
      <c r="I1708" t="str">
        <f t="shared" si="131"/>
        <v>1-0</v>
      </c>
      <c r="J1708" t="str">
        <f t="shared" si="132"/>
        <v>1</v>
      </c>
      <c r="K1708" t="str">
        <f t="shared" si="133"/>
        <v>0</v>
      </c>
      <c r="L1708" t="str">
        <f t="shared" si="134"/>
        <v>Deportivo AlavÃ©s</v>
      </c>
      <c r="M1708" t="str">
        <f>IF(COUNTIF($A$2:A1708,A1708)=1,
     VLOOKUP(A1708,Season_Winners!A:B,2,FALSE),
     "")</f>
        <v/>
      </c>
    </row>
    <row r="1709" spans="1:14" hidden="1" x14ac:dyDescent="0.3">
      <c r="A1709" t="s">
        <v>603</v>
      </c>
      <c r="B1709">
        <v>19</v>
      </c>
      <c r="C1709" t="s">
        <v>676</v>
      </c>
      <c r="D1709" t="str">
        <f t="shared" si="130"/>
        <v>14.01.2018</v>
      </c>
      <c r="E1709" s="1">
        <v>0.77083333333333337</v>
      </c>
      <c r="F1709" t="s">
        <v>36</v>
      </c>
      <c r="G1709" t="s">
        <v>15</v>
      </c>
      <c r="H1709" s="2">
        <v>46023</v>
      </c>
      <c r="I1709" s="3" t="str">
        <f t="shared" si="131"/>
        <v/>
      </c>
      <c r="J1709" t="str">
        <f t="shared" si="132"/>
        <v/>
      </c>
      <c r="K1709" t="str">
        <f t="shared" si="133"/>
        <v/>
      </c>
      <c r="L1709" t="str">
        <f t="shared" si="134"/>
        <v/>
      </c>
      <c r="M1709" t="str">
        <f>IF(COUNTIF($A$2:A1709,A1709)=1,
     VLOOKUP(A1709,Season_Winners!A:B,2,FALSE),
     "")</f>
        <v/>
      </c>
      <c r="N1709" s="2"/>
    </row>
    <row r="1710" spans="1:14" hidden="1" x14ac:dyDescent="0.3">
      <c r="A1710" t="s">
        <v>603</v>
      </c>
      <c r="B1710">
        <v>19</v>
      </c>
      <c r="C1710" t="s">
        <v>676</v>
      </c>
      <c r="D1710" t="str">
        <f t="shared" si="130"/>
        <v>14.01.2018</v>
      </c>
      <c r="E1710" s="1">
        <v>0.86458333333333337</v>
      </c>
      <c r="F1710" t="s">
        <v>10</v>
      </c>
      <c r="G1710" t="s">
        <v>20</v>
      </c>
      <c r="H1710" s="2">
        <v>46114</v>
      </c>
      <c r="I1710" s="3" t="str">
        <f t="shared" si="131"/>
        <v/>
      </c>
      <c r="J1710" t="str">
        <f t="shared" si="132"/>
        <v/>
      </c>
      <c r="K1710" t="str">
        <f t="shared" si="133"/>
        <v/>
      </c>
      <c r="L1710" t="str">
        <f t="shared" si="134"/>
        <v/>
      </c>
      <c r="M1710" t="str">
        <f>IF(COUNTIF($A$2:A1710,A1710)=1,
     VLOOKUP(A1710,Season_Winners!A:B,2,FALSE),
     "")</f>
        <v/>
      </c>
      <c r="N1710" s="2"/>
    </row>
    <row r="1711" spans="1:14" hidden="1" x14ac:dyDescent="0.3">
      <c r="A1711" t="s">
        <v>603</v>
      </c>
      <c r="B1711">
        <v>19</v>
      </c>
      <c r="C1711" t="s">
        <v>677</v>
      </c>
      <c r="D1711" t="str">
        <f t="shared" si="130"/>
        <v>15.01.2018</v>
      </c>
      <c r="E1711" s="1">
        <v>0.875</v>
      </c>
      <c r="F1711" t="s">
        <v>26</v>
      </c>
      <c r="G1711" t="s">
        <v>466</v>
      </c>
      <c r="H1711" s="2">
        <v>46056</v>
      </c>
      <c r="I1711" s="3" t="str">
        <f t="shared" si="131"/>
        <v/>
      </c>
      <c r="J1711" t="str">
        <f t="shared" si="132"/>
        <v/>
      </c>
      <c r="K1711" t="str">
        <f t="shared" si="133"/>
        <v/>
      </c>
      <c r="L1711" t="str">
        <f t="shared" si="134"/>
        <v/>
      </c>
      <c r="M1711" t="str">
        <f>IF(COUNTIF($A$2:A1711,A1711)=1,
     VLOOKUP(A1711,Season_Winners!A:B,2,FALSE),
     "")</f>
        <v/>
      </c>
      <c r="N1711" s="2"/>
    </row>
    <row r="1712" spans="1:14" hidden="1" x14ac:dyDescent="0.3">
      <c r="A1712" t="s">
        <v>603</v>
      </c>
      <c r="B1712">
        <v>20</v>
      </c>
      <c r="C1712" t="s">
        <v>678</v>
      </c>
      <c r="D1712" t="str">
        <f t="shared" si="130"/>
        <v>19.01.2018</v>
      </c>
      <c r="E1712" s="1">
        <v>0.875</v>
      </c>
      <c r="F1712" t="s">
        <v>11</v>
      </c>
      <c r="G1712" t="s">
        <v>15</v>
      </c>
      <c r="H1712" s="2">
        <v>46055</v>
      </c>
      <c r="I1712" s="3" t="str">
        <f t="shared" si="131"/>
        <v/>
      </c>
      <c r="J1712" t="str">
        <f t="shared" si="132"/>
        <v/>
      </c>
      <c r="K1712" t="str">
        <f t="shared" si="133"/>
        <v/>
      </c>
      <c r="L1712" t="str">
        <f t="shared" si="134"/>
        <v/>
      </c>
      <c r="M1712" t="str">
        <f>IF(COUNTIF($A$2:A1712,A1712)=1,
     VLOOKUP(A1712,Season_Winners!A:B,2,FALSE),
     "")</f>
        <v/>
      </c>
      <c r="N1712" s="2"/>
    </row>
    <row r="1713" spans="1:14" x14ac:dyDescent="0.3">
      <c r="A1713" t="s">
        <v>603</v>
      </c>
      <c r="B1713">
        <v>20</v>
      </c>
      <c r="C1713" t="s">
        <v>679</v>
      </c>
      <c r="D1713" t="str">
        <f t="shared" si="130"/>
        <v>20.01.2018</v>
      </c>
      <c r="E1713" s="1">
        <v>0.54166666666666663</v>
      </c>
      <c r="F1713" t="s">
        <v>36</v>
      </c>
      <c r="G1713" t="s">
        <v>27</v>
      </c>
      <c r="H1713" t="s">
        <v>46</v>
      </c>
      <c r="I1713" t="str">
        <f t="shared" si="131"/>
        <v>0-3</v>
      </c>
      <c r="J1713" t="str">
        <f t="shared" si="132"/>
        <v>0</v>
      </c>
      <c r="K1713" t="str">
        <f t="shared" si="133"/>
        <v>3</v>
      </c>
      <c r="L1713" t="str">
        <f t="shared" si="134"/>
        <v>Sevilla FC</v>
      </c>
      <c r="M1713" t="str">
        <f>IF(COUNTIF($A$2:A1713,A1713)=1,
     VLOOKUP(A1713,Season_Winners!A:B,2,FALSE),
     "")</f>
        <v/>
      </c>
    </row>
    <row r="1714" spans="1:14" hidden="1" x14ac:dyDescent="0.3">
      <c r="A1714" t="s">
        <v>603</v>
      </c>
      <c r="B1714">
        <v>20</v>
      </c>
      <c r="C1714" t="s">
        <v>679</v>
      </c>
      <c r="D1714" t="str">
        <f t="shared" si="130"/>
        <v>20.01.2018</v>
      </c>
      <c r="E1714" s="1">
        <v>0.67708333333333337</v>
      </c>
      <c r="F1714" t="s">
        <v>28</v>
      </c>
      <c r="G1714" t="s">
        <v>606</v>
      </c>
      <c r="H1714" s="2">
        <v>46023</v>
      </c>
      <c r="I1714" s="3" t="str">
        <f t="shared" si="131"/>
        <v/>
      </c>
      <c r="J1714" t="str">
        <f t="shared" si="132"/>
        <v/>
      </c>
      <c r="K1714" t="str">
        <f t="shared" si="133"/>
        <v/>
      </c>
      <c r="L1714" t="str">
        <f t="shared" si="134"/>
        <v/>
      </c>
      <c r="M1714" t="str">
        <f>IF(COUNTIF($A$2:A1714,A1714)=1,
     VLOOKUP(A1714,Season_Winners!A:B,2,FALSE),
     "")</f>
        <v/>
      </c>
      <c r="N1714" s="2"/>
    </row>
    <row r="1715" spans="1:14" hidden="1" x14ac:dyDescent="0.3">
      <c r="A1715" t="s">
        <v>603</v>
      </c>
      <c r="B1715">
        <v>20</v>
      </c>
      <c r="C1715" t="s">
        <v>679</v>
      </c>
      <c r="D1715" t="str">
        <f t="shared" si="130"/>
        <v>20.01.2018</v>
      </c>
      <c r="E1715" s="1">
        <v>0.77083333333333337</v>
      </c>
      <c r="F1715" t="s">
        <v>34</v>
      </c>
      <c r="G1715" t="s">
        <v>21</v>
      </c>
      <c r="H1715" s="2">
        <v>46024</v>
      </c>
      <c r="I1715" s="3" t="str">
        <f t="shared" si="131"/>
        <v/>
      </c>
      <c r="J1715" t="str">
        <f t="shared" si="132"/>
        <v/>
      </c>
      <c r="K1715" t="str">
        <f t="shared" si="133"/>
        <v/>
      </c>
      <c r="L1715" t="str">
        <f t="shared" si="134"/>
        <v/>
      </c>
      <c r="M1715" t="str">
        <f>IF(COUNTIF($A$2:A1715,A1715)=1,
     VLOOKUP(A1715,Season_Winners!A:B,2,FALSE),
     "")</f>
        <v/>
      </c>
      <c r="N1715" s="2"/>
    </row>
    <row r="1716" spans="1:14" hidden="1" x14ac:dyDescent="0.3">
      <c r="A1716" t="s">
        <v>603</v>
      </c>
      <c r="B1716">
        <v>20</v>
      </c>
      <c r="C1716" t="s">
        <v>679</v>
      </c>
      <c r="D1716" t="str">
        <f t="shared" si="130"/>
        <v>20.01.2018</v>
      </c>
      <c r="E1716" s="1">
        <v>0.86458333333333337</v>
      </c>
      <c r="F1716" t="s">
        <v>338</v>
      </c>
      <c r="G1716" t="s">
        <v>16</v>
      </c>
      <c r="H1716" s="2">
        <v>46024</v>
      </c>
      <c r="I1716" s="3" t="str">
        <f t="shared" si="131"/>
        <v/>
      </c>
      <c r="J1716" t="str">
        <f t="shared" si="132"/>
        <v/>
      </c>
      <c r="K1716" t="str">
        <f t="shared" si="133"/>
        <v/>
      </c>
      <c r="L1716" t="str">
        <f t="shared" si="134"/>
        <v/>
      </c>
      <c r="M1716" t="str">
        <f>IF(COUNTIF($A$2:A1716,A1716)=1,
     VLOOKUP(A1716,Season_Winners!A:B,2,FALSE),
     "")</f>
        <v/>
      </c>
      <c r="N1716" s="2"/>
    </row>
    <row r="1717" spans="1:14" hidden="1" x14ac:dyDescent="0.3">
      <c r="A1717" t="s">
        <v>603</v>
      </c>
      <c r="B1717">
        <v>20</v>
      </c>
      <c r="C1717" t="s">
        <v>680</v>
      </c>
      <c r="D1717" t="str">
        <f t="shared" si="130"/>
        <v>21.01.2018</v>
      </c>
      <c r="E1717" s="1">
        <v>0.5</v>
      </c>
      <c r="F1717" t="s">
        <v>464</v>
      </c>
      <c r="G1717" t="s">
        <v>466</v>
      </c>
      <c r="H1717" s="2">
        <v>46055</v>
      </c>
      <c r="I1717" s="3" t="str">
        <f t="shared" si="131"/>
        <v/>
      </c>
      <c r="J1717" t="str">
        <f t="shared" si="132"/>
        <v/>
      </c>
      <c r="K1717" t="str">
        <f t="shared" si="133"/>
        <v/>
      </c>
      <c r="L1717" t="str">
        <f t="shared" si="134"/>
        <v/>
      </c>
      <c r="M1717" t="str">
        <f>IF(COUNTIF($A$2:A1717,A1717)=1,
     VLOOKUP(A1717,Season_Winners!A:B,2,FALSE),
     "")</f>
        <v/>
      </c>
      <c r="N1717" s="2"/>
    </row>
    <row r="1718" spans="1:14" hidden="1" x14ac:dyDescent="0.3">
      <c r="A1718" t="s">
        <v>603</v>
      </c>
      <c r="B1718">
        <v>20</v>
      </c>
      <c r="C1718" t="s">
        <v>680</v>
      </c>
      <c r="D1718" t="str">
        <f t="shared" si="130"/>
        <v>21.01.2018</v>
      </c>
      <c r="E1718" s="1">
        <v>0.67708333333333337</v>
      </c>
      <c r="F1718" t="s">
        <v>25</v>
      </c>
      <c r="G1718" t="s">
        <v>182</v>
      </c>
      <c r="H1718" s="2">
        <v>46029</v>
      </c>
      <c r="I1718" s="3" t="str">
        <f t="shared" si="131"/>
        <v/>
      </c>
      <c r="J1718" t="str">
        <f t="shared" si="132"/>
        <v/>
      </c>
      <c r="K1718" t="str">
        <f t="shared" si="133"/>
        <v/>
      </c>
      <c r="L1718" t="str">
        <f t="shared" si="134"/>
        <v/>
      </c>
      <c r="M1718" t="str">
        <f>IF(COUNTIF($A$2:A1718,A1718)=1,
     VLOOKUP(A1718,Season_Winners!A:B,2,FALSE),
     "")</f>
        <v/>
      </c>
      <c r="N1718" s="2"/>
    </row>
    <row r="1719" spans="1:14" hidden="1" x14ac:dyDescent="0.3">
      <c r="A1719" t="s">
        <v>603</v>
      </c>
      <c r="B1719">
        <v>20</v>
      </c>
      <c r="C1719" t="s">
        <v>680</v>
      </c>
      <c r="D1719" t="str">
        <f t="shared" si="130"/>
        <v>21.01.2018</v>
      </c>
      <c r="E1719" s="1">
        <v>0.77083333333333337</v>
      </c>
      <c r="F1719" t="s">
        <v>10</v>
      </c>
      <c r="G1719" t="s">
        <v>35</v>
      </c>
      <c r="H1719" s="2">
        <v>46054</v>
      </c>
      <c r="I1719" s="3" t="str">
        <f t="shared" si="131"/>
        <v/>
      </c>
      <c r="J1719" t="str">
        <f t="shared" si="132"/>
        <v/>
      </c>
      <c r="K1719" t="str">
        <f t="shared" si="133"/>
        <v/>
      </c>
      <c r="L1719" t="str">
        <f t="shared" si="134"/>
        <v/>
      </c>
      <c r="M1719" t="str">
        <f>IF(COUNTIF($A$2:A1719,A1719)=1,
     VLOOKUP(A1719,Season_Winners!A:B,2,FALSE),
     "")</f>
        <v/>
      </c>
      <c r="N1719" s="2"/>
    </row>
    <row r="1720" spans="1:14" x14ac:dyDescent="0.3">
      <c r="A1720" t="s">
        <v>603</v>
      </c>
      <c r="B1720">
        <v>20</v>
      </c>
      <c r="C1720" t="s">
        <v>680</v>
      </c>
      <c r="D1720" t="str">
        <f t="shared" si="130"/>
        <v>21.01.2018</v>
      </c>
      <c r="E1720" s="1">
        <v>0.86458333333333337</v>
      </c>
      <c r="F1720" t="s">
        <v>26</v>
      </c>
      <c r="G1720" t="s">
        <v>20</v>
      </c>
      <c r="H1720" t="s">
        <v>72</v>
      </c>
      <c r="I1720" t="str">
        <f t="shared" si="131"/>
        <v>0-5</v>
      </c>
      <c r="J1720" t="str">
        <f t="shared" si="132"/>
        <v>0</v>
      </c>
      <c r="K1720" t="str">
        <f t="shared" si="133"/>
        <v>5</v>
      </c>
      <c r="L1720" t="str">
        <f t="shared" si="134"/>
        <v>FC Barcelona</v>
      </c>
      <c r="M1720" t="str">
        <f>IF(COUNTIF($A$2:A1720,A1720)=1,
     VLOOKUP(A1720,Season_Winners!A:B,2,FALSE),
     "")</f>
        <v/>
      </c>
    </row>
    <row r="1721" spans="1:14" hidden="1" x14ac:dyDescent="0.3">
      <c r="A1721" t="s">
        <v>603</v>
      </c>
      <c r="B1721">
        <v>20</v>
      </c>
      <c r="C1721" t="s">
        <v>681</v>
      </c>
      <c r="D1721" t="str">
        <f t="shared" si="130"/>
        <v>22.01.2018</v>
      </c>
      <c r="E1721" s="1">
        <v>0.875</v>
      </c>
      <c r="F1721" t="s">
        <v>187</v>
      </c>
      <c r="G1721" t="s">
        <v>17</v>
      </c>
      <c r="H1721" s="2">
        <v>46023</v>
      </c>
      <c r="I1721" s="3" t="str">
        <f t="shared" si="131"/>
        <v/>
      </c>
      <c r="J1721" t="str">
        <f t="shared" si="132"/>
        <v/>
      </c>
      <c r="K1721" t="str">
        <f t="shared" si="133"/>
        <v/>
      </c>
      <c r="L1721" t="str">
        <f t="shared" si="134"/>
        <v/>
      </c>
      <c r="M1721" t="str">
        <f>IF(COUNTIF($A$2:A1721,A1721)=1,
     VLOOKUP(A1721,Season_Winners!A:B,2,FALSE),
     "")</f>
        <v/>
      </c>
      <c r="N1721" s="2"/>
    </row>
    <row r="1722" spans="1:14" hidden="1" x14ac:dyDescent="0.3">
      <c r="A1722" t="s">
        <v>603</v>
      </c>
      <c r="B1722">
        <v>21</v>
      </c>
      <c r="C1722" t="s">
        <v>682</v>
      </c>
      <c r="D1722" t="str">
        <f t="shared" si="130"/>
        <v>26.01.2018</v>
      </c>
      <c r="E1722" s="1">
        <v>0.875</v>
      </c>
      <c r="F1722" t="s">
        <v>15</v>
      </c>
      <c r="G1722" t="s">
        <v>187</v>
      </c>
      <c r="H1722" s="2">
        <v>46023</v>
      </c>
      <c r="I1722" s="3" t="str">
        <f t="shared" si="131"/>
        <v/>
      </c>
      <c r="J1722" t="str">
        <f t="shared" si="132"/>
        <v/>
      </c>
      <c r="K1722" t="str">
        <f t="shared" si="133"/>
        <v/>
      </c>
      <c r="L1722" t="str">
        <f t="shared" si="134"/>
        <v/>
      </c>
      <c r="M1722" t="str">
        <f>IF(COUNTIF($A$2:A1722,A1722)=1,
     VLOOKUP(A1722,Season_Winners!A:B,2,FALSE),
     "")</f>
        <v/>
      </c>
      <c r="N1722" s="2"/>
    </row>
    <row r="1723" spans="1:14" hidden="1" x14ac:dyDescent="0.3">
      <c r="A1723" t="s">
        <v>603</v>
      </c>
      <c r="B1723">
        <v>21</v>
      </c>
      <c r="C1723" t="s">
        <v>683</v>
      </c>
      <c r="D1723" t="str">
        <f t="shared" si="130"/>
        <v>27.01.2018</v>
      </c>
      <c r="E1723" s="1">
        <v>0.54166666666666663</v>
      </c>
      <c r="F1723" t="s">
        <v>182</v>
      </c>
      <c r="G1723" t="s">
        <v>21</v>
      </c>
      <c r="H1723" s="2">
        <v>46055</v>
      </c>
      <c r="I1723" s="3" t="str">
        <f t="shared" si="131"/>
        <v/>
      </c>
      <c r="J1723" t="str">
        <f t="shared" si="132"/>
        <v/>
      </c>
      <c r="K1723" t="str">
        <f t="shared" si="133"/>
        <v/>
      </c>
      <c r="L1723" t="str">
        <f t="shared" si="134"/>
        <v/>
      </c>
      <c r="M1723" t="str">
        <f>IF(COUNTIF($A$2:A1723,A1723)=1,
     VLOOKUP(A1723,Season_Winners!A:B,2,FALSE),
     "")</f>
        <v/>
      </c>
      <c r="N1723" s="2"/>
    </row>
    <row r="1724" spans="1:14" hidden="1" x14ac:dyDescent="0.3">
      <c r="A1724" t="s">
        <v>603</v>
      </c>
      <c r="B1724">
        <v>21</v>
      </c>
      <c r="C1724" t="s">
        <v>683</v>
      </c>
      <c r="D1724" t="str">
        <f t="shared" si="130"/>
        <v>27.01.2018</v>
      </c>
      <c r="E1724" s="1">
        <v>0.67708333333333337</v>
      </c>
      <c r="F1724" t="s">
        <v>16</v>
      </c>
      <c r="G1724" t="s">
        <v>25</v>
      </c>
      <c r="H1724" s="2">
        <v>46113</v>
      </c>
      <c r="I1724" s="3" t="str">
        <f t="shared" si="131"/>
        <v/>
      </c>
      <c r="J1724" t="str">
        <f t="shared" si="132"/>
        <v/>
      </c>
      <c r="K1724" t="str">
        <f t="shared" si="133"/>
        <v/>
      </c>
      <c r="L1724" t="str">
        <f t="shared" si="134"/>
        <v/>
      </c>
      <c r="M1724" t="str">
        <f>IF(COUNTIF($A$2:A1724,A1724)=1,
     VLOOKUP(A1724,Season_Winners!A:B,2,FALSE),
     "")</f>
        <v/>
      </c>
      <c r="N1724" s="2"/>
    </row>
    <row r="1725" spans="1:14" x14ac:dyDescent="0.3">
      <c r="A1725" t="s">
        <v>603</v>
      </c>
      <c r="B1725">
        <v>21</v>
      </c>
      <c r="C1725" t="s">
        <v>683</v>
      </c>
      <c r="D1725" t="str">
        <f t="shared" si="130"/>
        <v>27.01.2018</v>
      </c>
      <c r="E1725" s="1">
        <v>0.77083333333333337</v>
      </c>
      <c r="F1725" t="s">
        <v>17</v>
      </c>
      <c r="G1725" t="s">
        <v>606</v>
      </c>
      <c r="H1725" t="s">
        <v>41</v>
      </c>
      <c r="I1725" t="str">
        <f t="shared" si="131"/>
        <v>0-0</v>
      </c>
      <c r="J1725" t="str">
        <f t="shared" si="132"/>
        <v>0</v>
      </c>
      <c r="K1725" t="str">
        <f t="shared" si="133"/>
        <v>0</v>
      </c>
      <c r="L1725" t="str">
        <f t="shared" si="134"/>
        <v>Draw</v>
      </c>
      <c r="M1725" t="str">
        <f>IF(COUNTIF($A$2:A1725,A1725)=1,
     VLOOKUP(A1725,Season_Winners!A:B,2,FALSE),
     "")</f>
        <v/>
      </c>
    </row>
    <row r="1726" spans="1:14" hidden="1" x14ac:dyDescent="0.3">
      <c r="A1726" t="s">
        <v>603</v>
      </c>
      <c r="B1726">
        <v>21</v>
      </c>
      <c r="C1726" t="s">
        <v>683</v>
      </c>
      <c r="D1726" t="str">
        <f t="shared" si="130"/>
        <v>27.01.2018</v>
      </c>
      <c r="E1726" s="1">
        <v>0.86458333333333337</v>
      </c>
      <c r="F1726" t="s">
        <v>34</v>
      </c>
      <c r="G1726" t="s">
        <v>10</v>
      </c>
      <c r="H1726" s="2">
        <v>46057</v>
      </c>
      <c r="I1726" s="3" t="str">
        <f t="shared" si="131"/>
        <v/>
      </c>
      <c r="J1726" t="str">
        <f t="shared" si="132"/>
        <v/>
      </c>
      <c r="K1726" t="str">
        <f t="shared" si="133"/>
        <v/>
      </c>
      <c r="L1726" t="str">
        <f t="shared" si="134"/>
        <v/>
      </c>
      <c r="M1726" t="str">
        <f>IF(COUNTIF($A$2:A1726,A1726)=1,
     VLOOKUP(A1726,Season_Winners!A:B,2,FALSE),
     "")</f>
        <v/>
      </c>
      <c r="N1726" s="2"/>
    </row>
    <row r="1727" spans="1:14" hidden="1" x14ac:dyDescent="0.3">
      <c r="A1727" t="s">
        <v>603</v>
      </c>
      <c r="B1727">
        <v>21</v>
      </c>
      <c r="C1727" t="s">
        <v>684</v>
      </c>
      <c r="D1727" t="str">
        <f t="shared" si="130"/>
        <v>28.01.2018</v>
      </c>
      <c r="E1727" s="1">
        <v>0.5</v>
      </c>
      <c r="F1727" t="s">
        <v>466</v>
      </c>
      <c r="G1727" t="s">
        <v>36</v>
      </c>
      <c r="H1727" s="2">
        <v>46056</v>
      </c>
      <c r="I1727" s="3" t="str">
        <f t="shared" si="131"/>
        <v/>
      </c>
      <c r="J1727" t="str">
        <f t="shared" si="132"/>
        <v/>
      </c>
      <c r="K1727" t="str">
        <f t="shared" si="133"/>
        <v/>
      </c>
      <c r="L1727" t="str">
        <f t="shared" si="134"/>
        <v/>
      </c>
      <c r="M1727" t="str">
        <f>IF(COUNTIF($A$2:A1727,A1727)=1,
     VLOOKUP(A1727,Season_Winners!A:B,2,FALSE),
     "")</f>
        <v/>
      </c>
      <c r="N1727" s="2"/>
    </row>
    <row r="1728" spans="1:14" x14ac:dyDescent="0.3">
      <c r="A1728" t="s">
        <v>603</v>
      </c>
      <c r="B1728">
        <v>21</v>
      </c>
      <c r="C1728" t="s">
        <v>684</v>
      </c>
      <c r="D1728" t="str">
        <f t="shared" si="130"/>
        <v>28.01.2018</v>
      </c>
      <c r="E1728" s="1">
        <v>0.67708333333333337</v>
      </c>
      <c r="F1728" t="s">
        <v>1425</v>
      </c>
      <c r="G1728" t="s">
        <v>338</v>
      </c>
      <c r="H1728" t="s">
        <v>32</v>
      </c>
      <c r="I1728" t="str">
        <f t="shared" si="131"/>
        <v>3-0</v>
      </c>
      <c r="J1728" t="str">
        <f t="shared" si="132"/>
        <v>3</v>
      </c>
      <c r="K1728" t="str">
        <f t="shared" si="133"/>
        <v>0</v>
      </c>
      <c r="L1728" t="str">
        <f t="shared" si="134"/>
        <v>Atlético de Madrid</v>
      </c>
      <c r="M1728" t="str">
        <f>IF(COUNTIF($A$2:A1728,A1728)=1,
     VLOOKUP(A1728,Season_Winners!A:B,2,FALSE),
     "")</f>
        <v/>
      </c>
    </row>
    <row r="1729" spans="1:14" hidden="1" x14ac:dyDescent="0.3">
      <c r="A1729" t="s">
        <v>603</v>
      </c>
      <c r="B1729">
        <v>21</v>
      </c>
      <c r="C1729" t="s">
        <v>684</v>
      </c>
      <c r="D1729" t="str">
        <f t="shared" si="130"/>
        <v>28.01.2018</v>
      </c>
      <c r="E1729" s="1">
        <v>0.77083333333333337</v>
      </c>
      <c r="F1729" t="s">
        <v>27</v>
      </c>
      <c r="G1729" t="s">
        <v>11</v>
      </c>
      <c r="H1729" s="2">
        <v>46023</v>
      </c>
      <c r="I1729" s="3" t="str">
        <f t="shared" si="131"/>
        <v/>
      </c>
      <c r="J1729" t="str">
        <f t="shared" si="132"/>
        <v/>
      </c>
      <c r="K1729" t="str">
        <f t="shared" si="133"/>
        <v/>
      </c>
      <c r="L1729" t="str">
        <f t="shared" si="134"/>
        <v/>
      </c>
      <c r="M1729" t="str">
        <f>IF(COUNTIF($A$2:A1729,A1729)=1,
     VLOOKUP(A1729,Season_Winners!A:B,2,FALSE),
     "")</f>
        <v/>
      </c>
      <c r="N1729" s="2"/>
    </row>
    <row r="1730" spans="1:14" hidden="1" x14ac:dyDescent="0.3">
      <c r="A1730" t="s">
        <v>603</v>
      </c>
      <c r="B1730">
        <v>21</v>
      </c>
      <c r="C1730" t="s">
        <v>684</v>
      </c>
      <c r="D1730" t="str">
        <f t="shared" ref="D1730:D1793" si="135">RIGHT(C1730,10)</f>
        <v>28.01.2018</v>
      </c>
      <c r="E1730" s="1">
        <v>0.86458333333333337</v>
      </c>
      <c r="F1730" t="s">
        <v>20</v>
      </c>
      <c r="G1730" t="s">
        <v>464</v>
      </c>
      <c r="H1730" s="2">
        <v>46024</v>
      </c>
      <c r="I1730" s="3" t="str">
        <f t="shared" ref="I1730:I1793" si="136">IF(ISNUMBER(SEARCH("-",H1730)),H1730,"")</f>
        <v/>
      </c>
      <c r="J1730" t="str">
        <f t="shared" ref="J1730:J1793" si="137">IF(I1730="","",LEFT(I1730,FIND("-",I1730)-1))</f>
        <v/>
      </c>
      <c r="K1730" t="str">
        <f t="shared" ref="K1730:K1793" si="138">IF(I1730="","",RIGHT(I1730,LEN(I1730)-FIND("-",I1730)))</f>
        <v/>
      </c>
      <c r="L1730" t="str">
        <f t="shared" ref="L1730:L1793" si="139">IF(I1730="","",IF(J1730&gt;K1730,F1730,IF(K1730&gt;J1730,G1730,"Draw")))</f>
        <v/>
      </c>
      <c r="M1730" t="str">
        <f>IF(COUNTIF($A$2:A1730,A1730)=1,
     VLOOKUP(A1730,Season_Winners!A:B,2,FALSE),
     "")</f>
        <v/>
      </c>
      <c r="N1730" s="2"/>
    </row>
    <row r="1731" spans="1:14" hidden="1" x14ac:dyDescent="0.3">
      <c r="A1731" t="s">
        <v>603</v>
      </c>
      <c r="B1731">
        <v>21</v>
      </c>
      <c r="C1731" t="s">
        <v>685</v>
      </c>
      <c r="D1731" t="str">
        <f t="shared" si="135"/>
        <v>29.01.2018</v>
      </c>
      <c r="E1731" s="1">
        <v>0.875</v>
      </c>
      <c r="F1731" t="s">
        <v>35</v>
      </c>
      <c r="G1731" t="s">
        <v>26</v>
      </c>
      <c r="H1731" s="2">
        <v>46056</v>
      </c>
      <c r="I1731" s="3" t="str">
        <f t="shared" si="136"/>
        <v/>
      </c>
      <c r="J1731" t="str">
        <f t="shared" si="137"/>
        <v/>
      </c>
      <c r="K1731" t="str">
        <f t="shared" si="138"/>
        <v/>
      </c>
      <c r="L1731" t="str">
        <f t="shared" si="139"/>
        <v/>
      </c>
      <c r="M1731" t="str">
        <f>IF(COUNTIF($A$2:A1731,A1731)=1,
     VLOOKUP(A1731,Season_Winners!A:B,2,FALSE),
     "")</f>
        <v/>
      </c>
      <c r="N1731" s="2"/>
    </row>
    <row r="1732" spans="1:14" x14ac:dyDescent="0.3">
      <c r="A1732" t="s">
        <v>603</v>
      </c>
      <c r="B1732">
        <v>22</v>
      </c>
      <c r="C1732" t="s">
        <v>686</v>
      </c>
      <c r="D1732" t="str">
        <f t="shared" si="135"/>
        <v>02.02.2018</v>
      </c>
      <c r="E1732" s="1">
        <v>0.875</v>
      </c>
      <c r="F1732" t="s">
        <v>10</v>
      </c>
      <c r="G1732" t="s">
        <v>182</v>
      </c>
      <c r="H1732" t="s">
        <v>40</v>
      </c>
      <c r="I1732" t="str">
        <f t="shared" si="136"/>
        <v>5-0</v>
      </c>
      <c r="J1732" t="str">
        <f t="shared" si="137"/>
        <v>5</v>
      </c>
      <c r="K1732" t="str">
        <f t="shared" si="138"/>
        <v>0</v>
      </c>
      <c r="L1732" t="str">
        <f t="shared" si="139"/>
        <v>Real Sociedad</v>
      </c>
      <c r="M1732" t="str">
        <f>IF(COUNTIF($A$2:A1732,A1732)=1,
     VLOOKUP(A1732,Season_Winners!A:B,2,FALSE),
     "")</f>
        <v/>
      </c>
    </row>
    <row r="1733" spans="1:14" hidden="1" x14ac:dyDescent="0.3">
      <c r="A1733" t="s">
        <v>603</v>
      </c>
      <c r="B1733">
        <v>22</v>
      </c>
      <c r="C1733" t="s">
        <v>687</v>
      </c>
      <c r="D1733" t="str">
        <f t="shared" si="135"/>
        <v>03.02.2018</v>
      </c>
      <c r="E1733" s="1">
        <v>0.54166666666666663</v>
      </c>
      <c r="F1733" t="s">
        <v>187</v>
      </c>
      <c r="G1733" t="s">
        <v>27</v>
      </c>
      <c r="H1733" s="2">
        <v>46027</v>
      </c>
      <c r="I1733" s="3" t="str">
        <f t="shared" si="136"/>
        <v/>
      </c>
      <c r="J1733" t="str">
        <f t="shared" si="137"/>
        <v/>
      </c>
      <c r="K1733" t="str">
        <f t="shared" si="138"/>
        <v/>
      </c>
      <c r="L1733" t="str">
        <f t="shared" si="139"/>
        <v/>
      </c>
      <c r="M1733" t="str">
        <f>IF(COUNTIF($A$2:A1733,A1733)=1,
     VLOOKUP(A1733,Season_Winners!A:B,2,FALSE),
     "")</f>
        <v/>
      </c>
      <c r="N1733" s="2"/>
    </row>
    <row r="1734" spans="1:14" hidden="1" x14ac:dyDescent="0.3">
      <c r="A1734" t="s">
        <v>603</v>
      </c>
      <c r="B1734">
        <v>22</v>
      </c>
      <c r="C1734" t="s">
        <v>687</v>
      </c>
      <c r="D1734" t="str">
        <f t="shared" si="135"/>
        <v>03.02.2018</v>
      </c>
      <c r="E1734" s="1">
        <v>0.67708333333333337</v>
      </c>
      <c r="F1734" t="s">
        <v>26</v>
      </c>
      <c r="G1734" t="s">
        <v>34</v>
      </c>
      <c r="H1734" s="2">
        <v>46024</v>
      </c>
      <c r="I1734" s="3" t="str">
        <f t="shared" si="136"/>
        <v/>
      </c>
      <c r="J1734" t="str">
        <f t="shared" si="137"/>
        <v/>
      </c>
      <c r="K1734" t="str">
        <f t="shared" si="138"/>
        <v/>
      </c>
      <c r="L1734" t="str">
        <f t="shared" si="139"/>
        <v/>
      </c>
      <c r="M1734" t="str">
        <f>IF(COUNTIF($A$2:A1734,A1734)=1,
     VLOOKUP(A1734,Season_Winners!A:B,2,FALSE),
     "")</f>
        <v/>
      </c>
      <c r="N1734" s="2"/>
    </row>
    <row r="1735" spans="1:14" hidden="1" x14ac:dyDescent="0.3">
      <c r="A1735" t="s">
        <v>603</v>
      </c>
      <c r="B1735">
        <v>22</v>
      </c>
      <c r="C1735" t="s">
        <v>687</v>
      </c>
      <c r="D1735" t="str">
        <f t="shared" si="135"/>
        <v>03.02.2018</v>
      </c>
      <c r="E1735" s="1">
        <v>0.77083333333333337</v>
      </c>
      <c r="F1735" t="s">
        <v>464</v>
      </c>
      <c r="G1735" t="s">
        <v>35</v>
      </c>
      <c r="H1735" s="2">
        <v>46024</v>
      </c>
      <c r="I1735" s="3" t="str">
        <f t="shared" si="136"/>
        <v/>
      </c>
      <c r="J1735" t="str">
        <f t="shared" si="137"/>
        <v/>
      </c>
      <c r="K1735" t="str">
        <f t="shared" si="138"/>
        <v/>
      </c>
      <c r="L1735" t="str">
        <f t="shared" si="139"/>
        <v/>
      </c>
      <c r="M1735" t="str">
        <f>IF(COUNTIF($A$2:A1735,A1735)=1,
     VLOOKUP(A1735,Season_Winners!A:B,2,FALSE),
     "")</f>
        <v/>
      </c>
      <c r="N1735" s="2"/>
    </row>
    <row r="1736" spans="1:14" hidden="1" x14ac:dyDescent="0.3">
      <c r="A1736" t="s">
        <v>603</v>
      </c>
      <c r="B1736">
        <v>22</v>
      </c>
      <c r="C1736" t="s">
        <v>687</v>
      </c>
      <c r="D1736" t="str">
        <f t="shared" si="135"/>
        <v>03.02.2018</v>
      </c>
      <c r="E1736" s="1">
        <v>0.86458333333333337</v>
      </c>
      <c r="F1736" t="s">
        <v>21</v>
      </c>
      <c r="G1736" t="s">
        <v>25</v>
      </c>
      <c r="H1736" s="2">
        <v>46055</v>
      </c>
      <c r="I1736" s="3" t="str">
        <f t="shared" si="136"/>
        <v/>
      </c>
      <c r="J1736" t="str">
        <f t="shared" si="137"/>
        <v/>
      </c>
      <c r="K1736" t="str">
        <f t="shared" si="138"/>
        <v/>
      </c>
      <c r="L1736" t="str">
        <f t="shared" si="139"/>
        <v/>
      </c>
      <c r="M1736" t="str">
        <f>IF(COUNTIF($A$2:A1736,A1736)=1,
     VLOOKUP(A1736,Season_Winners!A:B,2,FALSE),
     "")</f>
        <v/>
      </c>
      <c r="N1736" s="2"/>
    </row>
    <row r="1737" spans="1:14" x14ac:dyDescent="0.3">
      <c r="A1737" t="s">
        <v>603</v>
      </c>
      <c r="B1737">
        <v>22</v>
      </c>
      <c r="C1737" t="s">
        <v>688</v>
      </c>
      <c r="D1737" t="str">
        <f t="shared" si="135"/>
        <v>04.02.2018</v>
      </c>
      <c r="E1737" s="1">
        <v>0.5</v>
      </c>
      <c r="F1737" t="s">
        <v>11</v>
      </c>
      <c r="G1737" t="s">
        <v>466</v>
      </c>
      <c r="H1737" t="s">
        <v>41</v>
      </c>
      <c r="I1737" t="str">
        <f t="shared" si="136"/>
        <v>0-0</v>
      </c>
      <c r="J1737" t="str">
        <f t="shared" si="137"/>
        <v>0</v>
      </c>
      <c r="K1737" t="str">
        <f t="shared" si="138"/>
        <v>0</v>
      </c>
      <c r="L1737" t="str">
        <f t="shared" si="139"/>
        <v>Draw</v>
      </c>
      <c r="M1737" t="str">
        <f>IF(COUNTIF($A$2:A1737,A1737)=1,
     VLOOKUP(A1737,Season_Winners!A:B,2,FALSE),
     "")</f>
        <v/>
      </c>
    </row>
    <row r="1738" spans="1:14" hidden="1" x14ac:dyDescent="0.3">
      <c r="A1738" t="s">
        <v>603</v>
      </c>
      <c r="B1738">
        <v>22</v>
      </c>
      <c r="C1738" t="s">
        <v>688</v>
      </c>
      <c r="D1738" t="str">
        <f t="shared" si="135"/>
        <v>04.02.2018</v>
      </c>
      <c r="E1738" s="1">
        <v>0.67708333333333337</v>
      </c>
      <c r="F1738" t="s">
        <v>36</v>
      </c>
      <c r="G1738" t="s">
        <v>20</v>
      </c>
      <c r="H1738" s="2">
        <v>46023</v>
      </c>
      <c r="I1738" s="3" t="str">
        <f t="shared" si="136"/>
        <v/>
      </c>
      <c r="J1738" t="str">
        <f t="shared" si="137"/>
        <v/>
      </c>
      <c r="K1738" t="str">
        <f t="shared" si="138"/>
        <v/>
      </c>
      <c r="L1738" t="str">
        <f t="shared" si="139"/>
        <v/>
      </c>
      <c r="M1738" t="str">
        <f>IF(COUNTIF($A$2:A1738,A1738)=1,
     VLOOKUP(A1738,Season_Winners!A:B,2,FALSE),
     "")</f>
        <v/>
      </c>
      <c r="N1738" s="2"/>
    </row>
    <row r="1739" spans="1:14" x14ac:dyDescent="0.3">
      <c r="A1739" t="s">
        <v>603</v>
      </c>
      <c r="B1739">
        <v>22</v>
      </c>
      <c r="C1739" t="s">
        <v>688</v>
      </c>
      <c r="D1739" t="str">
        <f t="shared" si="135"/>
        <v>04.02.2018</v>
      </c>
      <c r="E1739" s="1">
        <v>0.77083333333333337</v>
      </c>
      <c r="F1739" t="s">
        <v>606</v>
      </c>
      <c r="G1739" t="s">
        <v>15</v>
      </c>
      <c r="H1739" t="s">
        <v>12</v>
      </c>
      <c r="I1739" t="str">
        <f t="shared" si="136"/>
        <v>2-0</v>
      </c>
      <c r="J1739" t="str">
        <f t="shared" si="137"/>
        <v>2</v>
      </c>
      <c r="K1739" t="str">
        <f t="shared" si="138"/>
        <v>0</v>
      </c>
      <c r="L1739" t="str">
        <f t="shared" si="139"/>
        <v>Girona FC</v>
      </c>
      <c r="M1739" t="str">
        <f>IF(COUNTIF($A$2:A1739,A1739)=1,
     VLOOKUP(A1739,Season_Winners!A:B,2,FALSE),
     "")</f>
        <v/>
      </c>
    </row>
    <row r="1740" spans="1:14" x14ac:dyDescent="0.3">
      <c r="A1740" t="s">
        <v>603</v>
      </c>
      <c r="B1740">
        <v>22</v>
      </c>
      <c r="C1740" t="s">
        <v>688</v>
      </c>
      <c r="D1740" t="str">
        <f t="shared" si="135"/>
        <v>04.02.2018</v>
      </c>
      <c r="E1740" s="1">
        <v>0.86458333333333337</v>
      </c>
      <c r="F1740" t="s">
        <v>1425</v>
      </c>
      <c r="G1740" t="s">
        <v>16</v>
      </c>
      <c r="H1740" t="s">
        <v>18</v>
      </c>
      <c r="I1740" t="str">
        <f t="shared" si="136"/>
        <v>1-0</v>
      </c>
      <c r="J1740" t="str">
        <f t="shared" si="137"/>
        <v>1</v>
      </c>
      <c r="K1740" t="str">
        <f t="shared" si="138"/>
        <v>0</v>
      </c>
      <c r="L1740" t="str">
        <f t="shared" si="139"/>
        <v>Atlético de Madrid</v>
      </c>
      <c r="M1740" t="str">
        <f>IF(COUNTIF($A$2:A1740,A1740)=1,
     VLOOKUP(A1740,Season_Winners!A:B,2,FALSE),
     "")</f>
        <v/>
      </c>
    </row>
    <row r="1741" spans="1:14" x14ac:dyDescent="0.3">
      <c r="A1741" t="s">
        <v>603</v>
      </c>
      <c r="B1741">
        <v>22</v>
      </c>
      <c r="C1741" t="s">
        <v>689</v>
      </c>
      <c r="D1741" t="str">
        <f t="shared" si="135"/>
        <v>05.02.2018</v>
      </c>
      <c r="E1741" s="1">
        <v>0.875</v>
      </c>
      <c r="F1741" t="s">
        <v>338</v>
      </c>
      <c r="G1741" t="s">
        <v>17</v>
      </c>
      <c r="H1741" t="s">
        <v>18</v>
      </c>
      <c r="I1741" t="str">
        <f t="shared" si="136"/>
        <v>1-0</v>
      </c>
      <c r="J1741" t="str">
        <f t="shared" si="137"/>
        <v>1</v>
      </c>
      <c r="K1741" t="str">
        <f t="shared" si="138"/>
        <v>0</v>
      </c>
      <c r="L1741" t="str">
        <f t="shared" si="139"/>
        <v>UD Las Palmas</v>
      </c>
      <c r="M1741" t="str">
        <f>IF(COUNTIF($A$2:A1741,A1741)=1,
     VLOOKUP(A1741,Season_Winners!A:B,2,FALSE),
     "")</f>
        <v/>
      </c>
    </row>
    <row r="1742" spans="1:14" x14ac:dyDescent="0.3">
      <c r="A1742" t="s">
        <v>603</v>
      </c>
      <c r="B1742">
        <v>23</v>
      </c>
      <c r="C1742" t="s">
        <v>690</v>
      </c>
      <c r="D1742" t="str">
        <f t="shared" si="135"/>
        <v>09.02.2018</v>
      </c>
      <c r="E1742" s="1">
        <v>0.875</v>
      </c>
      <c r="F1742" t="s">
        <v>15</v>
      </c>
      <c r="G1742" t="s">
        <v>338</v>
      </c>
      <c r="H1742" t="s">
        <v>41</v>
      </c>
      <c r="I1742" t="str">
        <f t="shared" si="136"/>
        <v>0-0</v>
      </c>
      <c r="J1742" t="str">
        <f t="shared" si="137"/>
        <v>0</v>
      </c>
      <c r="K1742" t="str">
        <f t="shared" si="138"/>
        <v>0</v>
      </c>
      <c r="L1742" t="str">
        <f t="shared" si="139"/>
        <v>Draw</v>
      </c>
      <c r="M1742" t="str">
        <f>IF(COUNTIF($A$2:A1742,A1742)=1,
     VLOOKUP(A1742,Season_Winners!A:B,2,FALSE),
     "")</f>
        <v/>
      </c>
    </row>
    <row r="1743" spans="1:14" hidden="1" x14ac:dyDescent="0.3">
      <c r="A1743" t="s">
        <v>603</v>
      </c>
      <c r="B1743">
        <v>23</v>
      </c>
      <c r="C1743" t="s">
        <v>691</v>
      </c>
      <c r="D1743" t="str">
        <f t="shared" si="135"/>
        <v>10.02.2018</v>
      </c>
      <c r="E1743" s="1">
        <v>0.54166666666666663</v>
      </c>
      <c r="F1743" t="s">
        <v>34</v>
      </c>
      <c r="G1743" t="s">
        <v>464</v>
      </c>
      <c r="H1743" s="2">
        <v>46054</v>
      </c>
      <c r="I1743" s="3" t="str">
        <f t="shared" si="136"/>
        <v/>
      </c>
      <c r="J1743" t="str">
        <f t="shared" si="137"/>
        <v/>
      </c>
      <c r="K1743" t="str">
        <f t="shared" si="138"/>
        <v/>
      </c>
      <c r="L1743" t="str">
        <f t="shared" si="139"/>
        <v/>
      </c>
      <c r="M1743" t="str">
        <f>IF(COUNTIF($A$2:A1743,A1743)=1,
     VLOOKUP(A1743,Season_Winners!A:B,2,FALSE),
     "")</f>
        <v/>
      </c>
      <c r="N1743" s="2"/>
    </row>
    <row r="1744" spans="1:14" x14ac:dyDescent="0.3">
      <c r="A1744" t="s">
        <v>603</v>
      </c>
      <c r="B1744">
        <v>23</v>
      </c>
      <c r="C1744" t="s">
        <v>691</v>
      </c>
      <c r="D1744" t="str">
        <f t="shared" si="135"/>
        <v>10.02.2018</v>
      </c>
      <c r="E1744" s="1">
        <v>0.67708333333333337</v>
      </c>
      <c r="F1744" t="s">
        <v>17</v>
      </c>
      <c r="G1744" t="s">
        <v>1425</v>
      </c>
      <c r="H1744" t="s">
        <v>42</v>
      </c>
      <c r="I1744" t="str">
        <f t="shared" si="136"/>
        <v>0-1</v>
      </c>
      <c r="J1744" t="str">
        <f t="shared" si="137"/>
        <v>0</v>
      </c>
      <c r="K1744" t="str">
        <f t="shared" si="138"/>
        <v>1</v>
      </c>
      <c r="L1744" t="str">
        <f t="shared" si="139"/>
        <v>Atlético de Madrid</v>
      </c>
      <c r="M1744" t="str">
        <f>IF(COUNTIF($A$2:A1744,A1744)=1,
     VLOOKUP(A1744,Season_Winners!A:B,2,FALSE),
     "")</f>
        <v/>
      </c>
    </row>
    <row r="1745" spans="1:14" x14ac:dyDescent="0.3">
      <c r="A1745" t="s">
        <v>603</v>
      </c>
      <c r="B1745">
        <v>23</v>
      </c>
      <c r="C1745" t="s">
        <v>691</v>
      </c>
      <c r="D1745" t="str">
        <f t="shared" si="135"/>
        <v>10.02.2018</v>
      </c>
      <c r="E1745" s="1">
        <v>0.77083333333333337</v>
      </c>
      <c r="F1745" t="s">
        <v>466</v>
      </c>
      <c r="G1745" t="s">
        <v>187</v>
      </c>
      <c r="H1745" t="s">
        <v>42</v>
      </c>
      <c r="I1745" t="str">
        <f t="shared" si="136"/>
        <v>0-1</v>
      </c>
      <c r="J1745" t="str">
        <f t="shared" si="137"/>
        <v>0</v>
      </c>
      <c r="K1745" t="str">
        <f t="shared" si="138"/>
        <v>1</v>
      </c>
      <c r="L1745" t="str">
        <f t="shared" si="139"/>
        <v>SD Eibar</v>
      </c>
      <c r="M1745" t="str">
        <f>IF(COUNTIF($A$2:A1745,A1745)=1,
     VLOOKUP(A1745,Season_Winners!A:B,2,FALSE),
     "")</f>
        <v/>
      </c>
    </row>
    <row r="1746" spans="1:14" hidden="1" x14ac:dyDescent="0.3">
      <c r="A1746" t="s">
        <v>603</v>
      </c>
      <c r="B1746">
        <v>23</v>
      </c>
      <c r="C1746" t="s">
        <v>691</v>
      </c>
      <c r="D1746" t="str">
        <f t="shared" si="135"/>
        <v>10.02.2018</v>
      </c>
      <c r="E1746" s="1">
        <v>0.86458333333333337</v>
      </c>
      <c r="F1746" t="s">
        <v>25</v>
      </c>
      <c r="G1746" t="s">
        <v>10</v>
      </c>
      <c r="H1746" s="2">
        <v>46058</v>
      </c>
      <c r="I1746" s="3" t="str">
        <f t="shared" si="136"/>
        <v/>
      </c>
      <c r="J1746" t="str">
        <f t="shared" si="137"/>
        <v/>
      </c>
      <c r="K1746" t="str">
        <f t="shared" si="138"/>
        <v/>
      </c>
      <c r="L1746" t="str">
        <f t="shared" si="139"/>
        <v/>
      </c>
      <c r="M1746" t="str">
        <f>IF(COUNTIF($A$2:A1746,A1746)=1,
     VLOOKUP(A1746,Season_Winners!A:B,2,FALSE),
     "")</f>
        <v/>
      </c>
      <c r="N1746" s="2"/>
    </row>
    <row r="1747" spans="1:14" x14ac:dyDescent="0.3">
      <c r="A1747" t="s">
        <v>603</v>
      </c>
      <c r="B1747">
        <v>23</v>
      </c>
      <c r="C1747" t="s">
        <v>692</v>
      </c>
      <c r="D1747" t="str">
        <f t="shared" si="135"/>
        <v>11.02.2018</v>
      </c>
      <c r="E1747" s="1">
        <v>0.5</v>
      </c>
      <c r="F1747" t="s">
        <v>27</v>
      </c>
      <c r="G1747" t="s">
        <v>606</v>
      </c>
      <c r="H1747" t="s">
        <v>18</v>
      </c>
      <c r="I1747" t="str">
        <f t="shared" si="136"/>
        <v>1-0</v>
      </c>
      <c r="J1747" t="str">
        <f t="shared" si="137"/>
        <v>1</v>
      </c>
      <c r="K1747" t="str">
        <f t="shared" si="138"/>
        <v>0</v>
      </c>
      <c r="L1747" t="str">
        <f t="shared" si="139"/>
        <v>Sevilla FC</v>
      </c>
      <c r="M1747" t="str">
        <f>IF(COUNTIF($A$2:A1747,A1747)=1,
     VLOOKUP(A1747,Season_Winners!A:B,2,FALSE),
     "")</f>
        <v/>
      </c>
    </row>
    <row r="1748" spans="1:14" x14ac:dyDescent="0.3">
      <c r="A1748" t="s">
        <v>603</v>
      </c>
      <c r="B1748">
        <v>23</v>
      </c>
      <c r="C1748" t="s">
        <v>692</v>
      </c>
      <c r="D1748" t="str">
        <f t="shared" si="135"/>
        <v>11.02.2018</v>
      </c>
      <c r="E1748" s="1">
        <v>0.67708333333333337</v>
      </c>
      <c r="F1748" t="s">
        <v>20</v>
      </c>
      <c r="G1748" t="s">
        <v>11</v>
      </c>
      <c r="H1748" t="s">
        <v>41</v>
      </c>
      <c r="I1748" t="str">
        <f t="shared" si="136"/>
        <v>0-0</v>
      </c>
      <c r="J1748" t="str">
        <f t="shared" si="137"/>
        <v>0</v>
      </c>
      <c r="K1748" t="str">
        <f t="shared" si="138"/>
        <v>0</v>
      </c>
      <c r="L1748" t="str">
        <f t="shared" si="139"/>
        <v>Draw</v>
      </c>
      <c r="M1748" t="str">
        <f>IF(COUNTIF($A$2:A1748,A1748)=1,
     VLOOKUP(A1748,Season_Winners!A:B,2,FALSE),
     "")</f>
        <v/>
      </c>
    </row>
    <row r="1749" spans="1:14" hidden="1" x14ac:dyDescent="0.3">
      <c r="A1749" t="s">
        <v>603</v>
      </c>
      <c r="B1749">
        <v>23</v>
      </c>
      <c r="C1749" t="s">
        <v>692</v>
      </c>
      <c r="D1749" t="str">
        <f t="shared" si="135"/>
        <v>11.02.2018</v>
      </c>
      <c r="E1749" s="1">
        <v>0.77083333333333337</v>
      </c>
      <c r="F1749" t="s">
        <v>35</v>
      </c>
      <c r="G1749" t="s">
        <v>36</v>
      </c>
      <c r="H1749" s="2">
        <v>46055</v>
      </c>
      <c r="I1749" s="3" t="str">
        <f t="shared" si="136"/>
        <v/>
      </c>
      <c r="J1749" t="str">
        <f t="shared" si="137"/>
        <v/>
      </c>
      <c r="K1749" t="str">
        <f t="shared" si="138"/>
        <v/>
      </c>
      <c r="L1749" t="str">
        <f t="shared" si="139"/>
        <v/>
      </c>
      <c r="M1749" t="str">
        <f>IF(COUNTIF($A$2:A1749,A1749)=1,
     VLOOKUP(A1749,Season_Winners!A:B,2,FALSE),
     "")</f>
        <v/>
      </c>
      <c r="N1749" s="2"/>
    </row>
    <row r="1750" spans="1:14" hidden="1" x14ac:dyDescent="0.3">
      <c r="A1750" t="s">
        <v>603</v>
      </c>
      <c r="B1750">
        <v>23</v>
      </c>
      <c r="C1750" t="s">
        <v>692</v>
      </c>
      <c r="D1750" t="str">
        <f t="shared" si="135"/>
        <v>11.02.2018</v>
      </c>
      <c r="E1750" s="1">
        <v>0.86458333333333337</v>
      </c>
      <c r="F1750" t="s">
        <v>16</v>
      </c>
      <c r="G1750" t="s">
        <v>21</v>
      </c>
      <c r="H1750" s="2">
        <v>46025</v>
      </c>
      <c r="I1750" s="3" t="str">
        <f t="shared" si="136"/>
        <v/>
      </c>
      <c r="J1750" t="str">
        <f t="shared" si="137"/>
        <v/>
      </c>
      <c r="K1750" t="str">
        <f t="shared" si="138"/>
        <v/>
      </c>
      <c r="L1750" t="str">
        <f t="shared" si="139"/>
        <v/>
      </c>
      <c r="M1750" t="str">
        <f>IF(COUNTIF($A$2:A1750,A1750)=1,
     VLOOKUP(A1750,Season_Winners!A:B,2,FALSE),
     "")</f>
        <v/>
      </c>
      <c r="N1750" s="2"/>
    </row>
    <row r="1751" spans="1:14" x14ac:dyDescent="0.3">
      <c r="A1751" t="s">
        <v>603</v>
      </c>
      <c r="B1751">
        <v>23</v>
      </c>
      <c r="C1751" t="s">
        <v>693</v>
      </c>
      <c r="D1751" t="str">
        <f t="shared" si="135"/>
        <v>12.02.2018</v>
      </c>
      <c r="E1751" s="1">
        <v>0.875</v>
      </c>
      <c r="F1751" t="s">
        <v>182</v>
      </c>
      <c r="G1751" t="s">
        <v>26</v>
      </c>
      <c r="H1751" t="s">
        <v>42</v>
      </c>
      <c r="I1751" t="str">
        <f t="shared" si="136"/>
        <v>0-1</v>
      </c>
      <c r="J1751" t="str">
        <f t="shared" si="137"/>
        <v>0</v>
      </c>
      <c r="K1751" t="str">
        <f t="shared" si="138"/>
        <v>1</v>
      </c>
      <c r="L1751" t="str">
        <f t="shared" si="139"/>
        <v>Real Betis</v>
      </c>
      <c r="M1751" t="str">
        <f>IF(COUNTIF($A$2:A1751,A1751)=1,
     VLOOKUP(A1751,Season_Winners!A:B,2,FALSE),
     "")</f>
        <v/>
      </c>
    </row>
    <row r="1752" spans="1:14" x14ac:dyDescent="0.3">
      <c r="A1752" t="s">
        <v>603</v>
      </c>
      <c r="B1752">
        <v>24</v>
      </c>
      <c r="C1752" t="s">
        <v>694</v>
      </c>
      <c r="D1752" t="str">
        <f t="shared" si="135"/>
        <v>16.02.2018</v>
      </c>
      <c r="E1752" s="1">
        <v>0.875</v>
      </c>
      <c r="F1752" t="s">
        <v>606</v>
      </c>
      <c r="G1752" t="s">
        <v>466</v>
      </c>
      <c r="H1752" t="s">
        <v>32</v>
      </c>
      <c r="I1752" t="str">
        <f t="shared" si="136"/>
        <v>3-0</v>
      </c>
      <c r="J1752" t="str">
        <f t="shared" si="137"/>
        <v>3</v>
      </c>
      <c r="K1752" t="str">
        <f t="shared" si="138"/>
        <v>0</v>
      </c>
      <c r="L1752" t="str">
        <f t="shared" si="139"/>
        <v>Girona FC</v>
      </c>
      <c r="M1752" t="str">
        <f>IF(COUNTIF($A$2:A1752,A1752)=1,
     VLOOKUP(A1752,Season_Winners!A:B,2,FALSE),
     "")</f>
        <v/>
      </c>
    </row>
    <row r="1753" spans="1:14" hidden="1" x14ac:dyDescent="0.3">
      <c r="A1753" t="s">
        <v>603</v>
      </c>
      <c r="B1753">
        <v>24</v>
      </c>
      <c r="C1753" t="s">
        <v>695</v>
      </c>
      <c r="D1753" t="str">
        <f t="shared" si="135"/>
        <v>17.02.2018</v>
      </c>
      <c r="E1753" s="1">
        <v>0.54166666666666663</v>
      </c>
      <c r="F1753" t="s">
        <v>338</v>
      </c>
      <c r="G1753" t="s">
        <v>27</v>
      </c>
      <c r="H1753" s="2">
        <v>46054</v>
      </c>
      <c r="I1753" s="3" t="str">
        <f t="shared" si="136"/>
        <v/>
      </c>
      <c r="J1753" t="str">
        <f t="shared" si="137"/>
        <v/>
      </c>
      <c r="K1753" t="str">
        <f t="shared" si="138"/>
        <v/>
      </c>
      <c r="L1753" t="str">
        <f t="shared" si="139"/>
        <v/>
      </c>
      <c r="M1753" t="str">
        <f>IF(COUNTIF($A$2:A1753,A1753)=1,
     VLOOKUP(A1753,Season_Winners!A:B,2,FALSE),
     "")</f>
        <v/>
      </c>
      <c r="N1753" s="2"/>
    </row>
    <row r="1754" spans="1:14" x14ac:dyDescent="0.3">
      <c r="A1754" t="s">
        <v>603</v>
      </c>
      <c r="B1754">
        <v>24</v>
      </c>
      <c r="C1754" t="s">
        <v>695</v>
      </c>
      <c r="D1754" t="str">
        <f t="shared" si="135"/>
        <v>17.02.2018</v>
      </c>
      <c r="E1754" s="1">
        <v>0.67708333333333337</v>
      </c>
      <c r="F1754" t="s">
        <v>187</v>
      </c>
      <c r="G1754" t="s">
        <v>20</v>
      </c>
      <c r="H1754" t="s">
        <v>54</v>
      </c>
      <c r="I1754" t="str">
        <f t="shared" si="136"/>
        <v>0-2</v>
      </c>
      <c r="J1754" t="str">
        <f t="shared" si="137"/>
        <v>0</v>
      </c>
      <c r="K1754" t="str">
        <f t="shared" si="138"/>
        <v>2</v>
      </c>
      <c r="L1754" t="str">
        <f t="shared" si="139"/>
        <v>FC Barcelona</v>
      </c>
      <c r="M1754" t="str">
        <f>IF(COUNTIF($A$2:A1754,A1754)=1,
     VLOOKUP(A1754,Season_Winners!A:B,2,FALSE),
     "")</f>
        <v/>
      </c>
    </row>
    <row r="1755" spans="1:14" x14ac:dyDescent="0.3">
      <c r="A1755" t="s">
        <v>603</v>
      </c>
      <c r="B1755">
        <v>24</v>
      </c>
      <c r="C1755" t="s">
        <v>695</v>
      </c>
      <c r="D1755" t="str">
        <f t="shared" si="135"/>
        <v>17.02.2018</v>
      </c>
      <c r="E1755" s="1">
        <v>0.77083333333333337</v>
      </c>
      <c r="F1755" t="s">
        <v>464</v>
      </c>
      <c r="G1755" t="s">
        <v>182</v>
      </c>
      <c r="H1755" t="s">
        <v>18</v>
      </c>
      <c r="I1755" t="str">
        <f t="shared" si="136"/>
        <v>1-0</v>
      </c>
      <c r="J1755" t="str">
        <f t="shared" si="137"/>
        <v>1</v>
      </c>
      <c r="K1755" t="str">
        <f t="shared" si="138"/>
        <v>0</v>
      </c>
      <c r="L1755" t="str">
        <f t="shared" si="139"/>
        <v>Deportivo AlavÃ©s</v>
      </c>
      <c r="M1755" t="str">
        <f>IF(COUNTIF($A$2:A1755,A1755)=1,
     VLOOKUP(A1755,Season_Winners!A:B,2,FALSE),
     "")</f>
        <v/>
      </c>
    </row>
    <row r="1756" spans="1:14" hidden="1" x14ac:dyDescent="0.3">
      <c r="A1756" t="s">
        <v>603</v>
      </c>
      <c r="B1756">
        <v>24</v>
      </c>
      <c r="C1756" t="s">
        <v>695</v>
      </c>
      <c r="D1756" t="str">
        <f t="shared" si="135"/>
        <v>17.02.2018</v>
      </c>
      <c r="E1756" s="1">
        <v>0.86458333333333337</v>
      </c>
      <c r="F1756" t="s">
        <v>17</v>
      </c>
      <c r="G1756" t="s">
        <v>16</v>
      </c>
      <c r="H1756" s="2">
        <v>46054</v>
      </c>
      <c r="I1756" s="3" t="str">
        <f t="shared" si="136"/>
        <v/>
      </c>
      <c r="J1756" t="str">
        <f t="shared" si="137"/>
        <v/>
      </c>
      <c r="K1756" t="str">
        <f t="shared" si="138"/>
        <v/>
      </c>
      <c r="L1756" t="str">
        <f t="shared" si="139"/>
        <v/>
      </c>
      <c r="M1756" t="str">
        <f>IF(COUNTIF($A$2:A1756,A1756)=1,
     VLOOKUP(A1756,Season_Winners!A:B,2,FALSE),
     "")</f>
        <v/>
      </c>
      <c r="N1756" s="2"/>
    </row>
    <row r="1757" spans="1:14" x14ac:dyDescent="0.3">
      <c r="A1757" t="s">
        <v>603</v>
      </c>
      <c r="B1757">
        <v>24</v>
      </c>
      <c r="C1757" t="s">
        <v>696</v>
      </c>
      <c r="D1757" t="str">
        <f t="shared" si="135"/>
        <v>18.02.2018</v>
      </c>
      <c r="E1757" s="1">
        <v>0.5</v>
      </c>
      <c r="F1757" t="s">
        <v>10</v>
      </c>
      <c r="G1757" t="s">
        <v>21</v>
      </c>
      <c r="H1757" t="s">
        <v>32</v>
      </c>
      <c r="I1757" t="str">
        <f t="shared" si="136"/>
        <v>3-0</v>
      </c>
      <c r="J1757" t="str">
        <f t="shared" si="137"/>
        <v>3</v>
      </c>
      <c r="K1757" t="str">
        <f t="shared" si="138"/>
        <v>0</v>
      </c>
      <c r="L1757" t="str">
        <f t="shared" si="139"/>
        <v>Real Sociedad</v>
      </c>
      <c r="M1757" t="str">
        <f>IF(COUNTIF($A$2:A1757,A1757)=1,
     VLOOKUP(A1757,Season_Winners!A:B,2,FALSE),
     "")</f>
        <v/>
      </c>
    </row>
    <row r="1758" spans="1:14" x14ac:dyDescent="0.3">
      <c r="A1758" t="s">
        <v>603</v>
      </c>
      <c r="B1758">
        <v>24</v>
      </c>
      <c r="C1758" t="s">
        <v>696</v>
      </c>
      <c r="D1758" t="str">
        <f t="shared" si="135"/>
        <v>18.02.2018</v>
      </c>
      <c r="E1758" s="1">
        <v>0.67708333333333337</v>
      </c>
      <c r="F1758" t="s">
        <v>1425</v>
      </c>
      <c r="G1758" t="s">
        <v>15</v>
      </c>
      <c r="H1758" t="s">
        <v>12</v>
      </c>
      <c r="I1758" t="str">
        <f t="shared" si="136"/>
        <v>2-0</v>
      </c>
      <c r="J1758" t="str">
        <f t="shared" si="137"/>
        <v>2</v>
      </c>
      <c r="K1758" t="str">
        <f t="shared" si="138"/>
        <v>0</v>
      </c>
      <c r="L1758" t="str">
        <f t="shared" si="139"/>
        <v>Atlético de Madrid</v>
      </c>
      <c r="M1758" t="str">
        <f>IF(COUNTIF($A$2:A1758,A1758)=1,
     VLOOKUP(A1758,Season_Winners!A:B,2,FALSE),
     "")</f>
        <v/>
      </c>
    </row>
    <row r="1759" spans="1:14" hidden="1" x14ac:dyDescent="0.3">
      <c r="A1759" t="s">
        <v>603</v>
      </c>
      <c r="B1759">
        <v>24</v>
      </c>
      <c r="C1759" t="s">
        <v>696</v>
      </c>
      <c r="D1759" t="str">
        <f t="shared" si="135"/>
        <v>18.02.2018</v>
      </c>
      <c r="E1759" s="1">
        <v>0.77083333333333337</v>
      </c>
      <c r="F1759" t="s">
        <v>36</v>
      </c>
      <c r="G1759" t="s">
        <v>34</v>
      </c>
      <c r="H1759" s="2">
        <v>46023</v>
      </c>
      <c r="I1759" s="3" t="str">
        <f t="shared" si="136"/>
        <v/>
      </c>
      <c r="J1759" t="str">
        <f t="shared" si="137"/>
        <v/>
      </c>
      <c r="K1759" t="str">
        <f t="shared" si="138"/>
        <v/>
      </c>
      <c r="L1759" t="str">
        <f t="shared" si="139"/>
        <v/>
      </c>
      <c r="M1759" t="str">
        <f>IF(COUNTIF($A$2:A1759,A1759)=1,
     VLOOKUP(A1759,Season_Winners!A:B,2,FALSE),
     "")</f>
        <v/>
      </c>
      <c r="N1759" s="2"/>
    </row>
    <row r="1760" spans="1:14" hidden="1" x14ac:dyDescent="0.3">
      <c r="A1760" t="s">
        <v>603</v>
      </c>
      <c r="B1760">
        <v>24</v>
      </c>
      <c r="C1760" t="s">
        <v>696</v>
      </c>
      <c r="D1760" t="str">
        <f t="shared" si="135"/>
        <v>18.02.2018</v>
      </c>
      <c r="E1760" s="1">
        <v>0.86458333333333337</v>
      </c>
      <c r="F1760" t="s">
        <v>26</v>
      </c>
      <c r="G1760" t="s">
        <v>25</v>
      </c>
      <c r="H1760" s="2">
        <v>46145</v>
      </c>
      <c r="I1760" s="3" t="str">
        <f t="shared" si="136"/>
        <v/>
      </c>
      <c r="J1760" t="str">
        <f t="shared" si="137"/>
        <v/>
      </c>
      <c r="K1760" t="str">
        <f t="shared" si="138"/>
        <v/>
      </c>
      <c r="L1760" t="str">
        <f t="shared" si="139"/>
        <v/>
      </c>
      <c r="M1760" t="str">
        <f>IF(COUNTIF($A$2:A1760,A1760)=1,
     VLOOKUP(A1760,Season_Winners!A:B,2,FALSE),
     "")</f>
        <v/>
      </c>
      <c r="N1760" s="2"/>
    </row>
    <row r="1761" spans="1:14" x14ac:dyDescent="0.3">
      <c r="A1761" t="s">
        <v>603</v>
      </c>
      <c r="B1761">
        <v>24</v>
      </c>
      <c r="C1761" t="s">
        <v>697</v>
      </c>
      <c r="D1761" t="str">
        <f t="shared" si="135"/>
        <v>19.02.2018</v>
      </c>
      <c r="E1761" s="1">
        <v>0.875</v>
      </c>
      <c r="F1761" t="s">
        <v>11</v>
      </c>
      <c r="G1761" t="s">
        <v>35</v>
      </c>
      <c r="H1761" t="s">
        <v>32</v>
      </c>
      <c r="I1761" t="str">
        <f t="shared" si="136"/>
        <v>3-0</v>
      </c>
      <c r="J1761" t="str">
        <f t="shared" si="137"/>
        <v>3</v>
      </c>
      <c r="K1761" t="str">
        <f t="shared" si="138"/>
        <v>0</v>
      </c>
      <c r="L1761" t="str">
        <f t="shared" si="139"/>
        <v>Getafe CF</v>
      </c>
      <c r="M1761" t="str">
        <f>IF(COUNTIF($A$2:A1761,A1761)=1,
     VLOOKUP(A1761,Season_Winners!A:B,2,FALSE),
     "")</f>
        <v/>
      </c>
    </row>
    <row r="1762" spans="1:14" x14ac:dyDescent="0.3">
      <c r="A1762" t="s">
        <v>603</v>
      </c>
      <c r="B1762">
        <v>25</v>
      </c>
      <c r="C1762" t="s">
        <v>698</v>
      </c>
      <c r="D1762" t="str">
        <f t="shared" si="135"/>
        <v>23.02.2018</v>
      </c>
      <c r="E1762" s="1">
        <v>0.875</v>
      </c>
      <c r="F1762" t="s">
        <v>182</v>
      </c>
      <c r="G1762" t="s">
        <v>36</v>
      </c>
      <c r="H1762" t="s">
        <v>41</v>
      </c>
      <c r="I1762" t="str">
        <f t="shared" si="136"/>
        <v>0-0</v>
      </c>
      <c r="J1762" t="str">
        <f t="shared" si="137"/>
        <v>0</v>
      </c>
      <c r="K1762" t="str">
        <f t="shared" si="138"/>
        <v>0</v>
      </c>
      <c r="L1762" t="str">
        <f t="shared" si="139"/>
        <v>Draw</v>
      </c>
      <c r="M1762" t="str">
        <f>IF(COUNTIF($A$2:A1762,A1762)=1,
     VLOOKUP(A1762,Season_Winners!A:B,2,FALSE),
     "")</f>
        <v/>
      </c>
    </row>
    <row r="1763" spans="1:14" x14ac:dyDescent="0.3">
      <c r="A1763" t="s">
        <v>603</v>
      </c>
      <c r="B1763">
        <v>25</v>
      </c>
      <c r="C1763" t="s">
        <v>699</v>
      </c>
      <c r="D1763" t="str">
        <f t="shared" si="135"/>
        <v>24.02.2018</v>
      </c>
      <c r="E1763" s="1">
        <v>0.54166666666666663</v>
      </c>
      <c r="F1763" t="s">
        <v>35</v>
      </c>
      <c r="G1763" t="s">
        <v>187</v>
      </c>
      <c r="H1763" t="s">
        <v>12</v>
      </c>
      <c r="I1763" t="str">
        <f t="shared" si="136"/>
        <v>2-0</v>
      </c>
      <c r="J1763" t="str">
        <f t="shared" si="137"/>
        <v>2</v>
      </c>
      <c r="K1763" t="str">
        <f t="shared" si="138"/>
        <v>0</v>
      </c>
      <c r="L1763" t="str">
        <f t="shared" si="139"/>
        <v>RC Celta</v>
      </c>
      <c r="M1763" t="str">
        <f>IF(COUNTIF($A$2:A1763,A1763)=1,
     VLOOKUP(A1763,Season_Winners!A:B,2,FALSE),
     "")</f>
        <v/>
      </c>
    </row>
    <row r="1764" spans="1:14" x14ac:dyDescent="0.3">
      <c r="A1764" t="s">
        <v>603</v>
      </c>
      <c r="B1764">
        <v>25</v>
      </c>
      <c r="C1764" t="s">
        <v>699</v>
      </c>
      <c r="D1764" t="str">
        <f t="shared" si="135"/>
        <v>24.02.2018</v>
      </c>
      <c r="E1764" s="1">
        <v>0.67708333333333337</v>
      </c>
      <c r="F1764" t="s">
        <v>25</v>
      </c>
      <c r="G1764" t="s">
        <v>464</v>
      </c>
      <c r="H1764" t="s">
        <v>88</v>
      </c>
      <c r="I1764" t="str">
        <f t="shared" si="136"/>
        <v>4-0</v>
      </c>
      <c r="J1764" t="str">
        <f t="shared" si="137"/>
        <v>4</v>
      </c>
      <c r="K1764" t="str">
        <f t="shared" si="138"/>
        <v>0</v>
      </c>
      <c r="L1764" t="str">
        <f t="shared" si="139"/>
        <v>Real Madrid</v>
      </c>
      <c r="M1764" t="str">
        <f>IF(COUNTIF($A$2:A1764,A1764)=1,
     VLOOKUP(A1764,Season_Winners!A:B,2,FALSE),
     "")</f>
        <v/>
      </c>
    </row>
    <row r="1765" spans="1:14" x14ac:dyDescent="0.3">
      <c r="A1765" t="s">
        <v>603</v>
      </c>
      <c r="B1765">
        <v>25</v>
      </c>
      <c r="C1765" t="s">
        <v>699</v>
      </c>
      <c r="D1765" t="str">
        <f t="shared" si="135"/>
        <v>24.02.2018</v>
      </c>
      <c r="E1765" s="1">
        <v>0.77083333333333337</v>
      </c>
      <c r="F1765" t="s">
        <v>466</v>
      </c>
      <c r="G1765" t="s">
        <v>338</v>
      </c>
      <c r="H1765" t="s">
        <v>41</v>
      </c>
      <c r="I1765" t="str">
        <f t="shared" si="136"/>
        <v>0-0</v>
      </c>
      <c r="J1765" t="str">
        <f t="shared" si="137"/>
        <v>0</v>
      </c>
      <c r="K1765" t="str">
        <f t="shared" si="138"/>
        <v>0</v>
      </c>
      <c r="L1765" t="str">
        <f t="shared" si="139"/>
        <v>Draw</v>
      </c>
      <c r="M1765" t="str">
        <f>IF(COUNTIF($A$2:A1765,A1765)=1,
     VLOOKUP(A1765,Season_Winners!A:B,2,FALSE),
     "")</f>
        <v/>
      </c>
    </row>
    <row r="1766" spans="1:14" hidden="1" x14ac:dyDescent="0.3">
      <c r="A1766" t="s">
        <v>603</v>
      </c>
      <c r="B1766">
        <v>25</v>
      </c>
      <c r="C1766" t="s">
        <v>699</v>
      </c>
      <c r="D1766" t="str">
        <f t="shared" si="135"/>
        <v>24.02.2018</v>
      </c>
      <c r="E1766" s="1">
        <v>0.86458333333333337</v>
      </c>
      <c r="F1766" t="s">
        <v>20</v>
      </c>
      <c r="G1766" t="s">
        <v>606</v>
      </c>
      <c r="H1766" s="2">
        <v>46028</v>
      </c>
      <c r="I1766" s="3" t="str">
        <f t="shared" si="136"/>
        <v/>
      </c>
      <c r="J1766" t="str">
        <f t="shared" si="137"/>
        <v/>
      </c>
      <c r="K1766" t="str">
        <f t="shared" si="138"/>
        <v/>
      </c>
      <c r="L1766" t="str">
        <f t="shared" si="139"/>
        <v/>
      </c>
      <c r="M1766" t="str">
        <f>IF(COUNTIF($A$2:A1766,A1766)=1,
     VLOOKUP(A1766,Season_Winners!A:B,2,FALSE),
     "")</f>
        <v/>
      </c>
      <c r="N1766" s="2"/>
    </row>
    <row r="1767" spans="1:14" x14ac:dyDescent="0.3">
      <c r="A1767" t="s">
        <v>603</v>
      </c>
      <c r="B1767">
        <v>25</v>
      </c>
      <c r="C1767" t="s">
        <v>700</v>
      </c>
      <c r="D1767" t="str">
        <f t="shared" si="135"/>
        <v>25.02.2018</v>
      </c>
      <c r="E1767" s="1">
        <v>0.5</v>
      </c>
      <c r="F1767" t="s">
        <v>34</v>
      </c>
      <c r="G1767" t="s">
        <v>11</v>
      </c>
      <c r="H1767" t="s">
        <v>18</v>
      </c>
      <c r="I1767" t="str">
        <f t="shared" si="136"/>
        <v>1-0</v>
      </c>
      <c r="J1767" t="str">
        <f t="shared" si="137"/>
        <v>1</v>
      </c>
      <c r="K1767" t="str">
        <f t="shared" si="138"/>
        <v>0</v>
      </c>
      <c r="L1767" t="str">
        <f t="shared" si="139"/>
        <v>Villarreal CF</v>
      </c>
      <c r="M1767" t="str">
        <f>IF(COUNTIF($A$2:A1767,A1767)=1,
     VLOOKUP(A1767,Season_Winners!A:B,2,FALSE),
     "")</f>
        <v/>
      </c>
    </row>
    <row r="1768" spans="1:14" hidden="1" x14ac:dyDescent="0.3">
      <c r="A1768" t="s">
        <v>603</v>
      </c>
      <c r="B1768">
        <v>25</v>
      </c>
      <c r="C1768" t="s">
        <v>700</v>
      </c>
      <c r="D1768" t="str">
        <f t="shared" si="135"/>
        <v>25.02.2018</v>
      </c>
      <c r="E1768" s="1">
        <v>0.67708333333333337</v>
      </c>
      <c r="F1768" t="s">
        <v>15</v>
      </c>
      <c r="G1768" t="s">
        <v>17</v>
      </c>
      <c r="H1768" s="2">
        <v>46024</v>
      </c>
      <c r="I1768" s="3" t="str">
        <f t="shared" si="136"/>
        <v/>
      </c>
      <c r="J1768" t="str">
        <f t="shared" si="137"/>
        <v/>
      </c>
      <c r="K1768" t="str">
        <f t="shared" si="138"/>
        <v/>
      </c>
      <c r="L1768" t="str">
        <f t="shared" si="139"/>
        <v/>
      </c>
      <c r="M1768" t="str">
        <f>IF(COUNTIF($A$2:A1768,A1768)=1,
     VLOOKUP(A1768,Season_Winners!A:B,2,FALSE),
     "")</f>
        <v/>
      </c>
      <c r="N1768" s="2"/>
    </row>
    <row r="1769" spans="1:14" hidden="1" x14ac:dyDescent="0.3">
      <c r="A1769" t="s">
        <v>603</v>
      </c>
      <c r="B1769">
        <v>25</v>
      </c>
      <c r="C1769" t="s">
        <v>700</v>
      </c>
      <c r="D1769" t="str">
        <f t="shared" si="135"/>
        <v>25.02.2018</v>
      </c>
      <c r="E1769" s="1">
        <v>0.77083333333333337</v>
      </c>
      <c r="F1769" t="s">
        <v>16</v>
      </c>
      <c r="G1769" t="s">
        <v>10</v>
      </c>
      <c r="H1769" s="2">
        <v>46024</v>
      </c>
      <c r="I1769" s="3" t="str">
        <f t="shared" si="136"/>
        <v/>
      </c>
      <c r="J1769" t="str">
        <f t="shared" si="137"/>
        <v/>
      </c>
      <c r="K1769" t="str">
        <f t="shared" si="138"/>
        <v/>
      </c>
      <c r="L1769" t="str">
        <f t="shared" si="139"/>
        <v/>
      </c>
      <c r="M1769" t="str">
        <f>IF(COUNTIF($A$2:A1769,A1769)=1,
     VLOOKUP(A1769,Season_Winners!A:B,2,FALSE),
     "")</f>
        <v/>
      </c>
      <c r="N1769" s="2"/>
    </row>
    <row r="1770" spans="1:14" hidden="1" x14ac:dyDescent="0.3">
      <c r="A1770" t="s">
        <v>603</v>
      </c>
      <c r="B1770">
        <v>25</v>
      </c>
      <c r="C1770" t="s">
        <v>700</v>
      </c>
      <c r="D1770" t="str">
        <f t="shared" si="135"/>
        <v>25.02.2018</v>
      </c>
      <c r="E1770" s="1">
        <v>0.86458333333333337</v>
      </c>
      <c r="F1770" t="s">
        <v>27</v>
      </c>
      <c r="G1770" t="s">
        <v>28</v>
      </c>
      <c r="H1770" s="2">
        <v>46144</v>
      </c>
      <c r="I1770" s="3" t="str">
        <f t="shared" si="136"/>
        <v/>
      </c>
      <c r="J1770" t="str">
        <f t="shared" si="137"/>
        <v/>
      </c>
      <c r="K1770" t="str">
        <f t="shared" si="138"/>
        <v/>
      </c>
      <c r="L1770" t="str">
        <f t="shared" si="139"/>
        <v/>
      </c>
      <c r="M1770" t="str">
        <f>IF(COUNTIF($A$2:A1770,A1770)=1,
     VLOOKUP(A1770,Season_Winners!A:B,2,FALSE),
     "")</f>
        <v/>
      </c>
      <c r="N1770" s="2"/>
    </row>
    <row r="1771" spans="1:14" x14ac:dyDescent="0.3">
      <c r="A1771" t="s">
        <v>603</v>
      </c>
      <c r="B1771">
        <v>25</v>
      </c>
      <c r="C1771" t="s">
        <v>701</v>
      </c>
      <c r="D1771" t="str">
        <f t="shared" si="135"/>
        <v>26.02.2018</v>
      </c>
      <c r="E1771" s="1">
        <v>0.875</v>
      </c>
      <c r="F1771" t="s">
        <v>21</v>
      </c>
      <c r="G1771" t="s">
        <v>26</v>
      </c>
      <c r="H1771" t="s">
        <v>54</v>
      </c>
      <c r="I1771" t="str">
        <f t="shared" si="136"/>
        <v>0-2</v>
      </c>
      <c r="J1771" t="str">
        <f t="shared" si="137"/>
        <v>0</v>
      </c>
      <c r="K1771" t="str">
        <f t="shared" si="138"/>
        <v>2</v>
      </c>
      <c r="L1771" t="str">
        <f t="shared" si="139"/>
        <v>Real Betis</v>
      </c>
      <c r="M1771" t="str">
        <f>IF(COUNTIF($A$2:A1771,A1771)=1,
     VLOOKUP(A1771,Season_Winners!A:B,2,FALSE),
     "")</f>
        <v/>
      </c>
    </row>
    <row r="1772" spans="1:14" x14ac:dyDescent="0.3">
      <c r="A1772" t="s">
        <v>603</v>
      </c>
      <c r="B1772">
        <v>26</v>
      </c>
      <c r="C1772" t="s">
        <v>702</v>
      </c>
      <c r="D1772" t="str">
        <f t="shared" si="135"/>
        <v>27.02.2018</v>
      </c>
      <c r="E1772" s="1">
        <v>0.83333333333333337</v>
      </c>
      <c r="F1772" t="s">
        <v>36</v>
      </c>
      <c r="G1772" t="s">
        <v>25</v>
      </c>
      <c r="H1772" t="s">
        <v>18</v>
      </c>
      <c r="I1772" t="str">
        <f t="shared" si="136"/>
        <v>1-0</v>
      </c>
      <c r="J1772" t="str">
        <f t="shared" si="137"/>
        <v>1</v>
      </c>
      <c r="K1772" t="str">
        <f t="shared" si="138"/>
        <v>0</v>
      </c>
      <c r="L1772" t="str">
        <f t="shared" si="139"/>
        <v>RCD Espanyol de Barcelona</v>
      </c>
      <c r="M1772" t="str">
        <f>IF(COUNTIF($A$2:A1772,A1772)=1,
     VLOOKUP(A1772,Season_Winners!A:B,2,FALSE),
     "")</f>
        <v/>
      </c>
    </row>
    <row r="1773" spans="1:14" x14ac:dyDescent="0.3">
      <c r="A1773" t="s">
        <v>603</v>
      </c>
      <c r="B1773">
        <v>26</v>
      </c>
      <c r="C1773" t="s">
        <v>702</v>
      </c>
      <c r="D1773" t="str">
        <f t="shared" si="135"/>
        <v>27.02.2018</v>
      </c>
      <c r="E1773" s="1">
        <v>0.89583333333333337</v>
      </c>
      <c r="F1773" t="s">
        <v>606</v>
      </c>
      <c r="G1773" t="s">
        <v>35</v>
      </c>
      <c r="H1773" t="s">
        <v>18</v>
      </c>
      <c r="I1773" t="str">
        <f t="shared" si="136"/>
        <v>1-0</v>
      </c>
      <c r="J1773" t="str">
        <f t="shared" si="137"/>
        <v>1</v>
      </c>
      <c r="K1773" t="str">
        <f t="shared" si="138"/>
        <v>0</v>
      </c>
      <c r="L1773" t="str">
        <f t="shared" si="139"/>
        <v>Girona FC</v>
      </c>
      <c r="M1773" t="str">
        <f>IF(COUNTIF($A$2:A1773,A1773)=1,
     VLOOKUP(A1773,Season_Winners!A:B,2,FALSE),
     "")</f>
        <v/>
      </c>
    </row>
    <row r="1774" spans="1:14" hidden="1" x14ac:dyDescent="0.3">
      <c r="A1774" t="s">
        <v>603</v>
      </c>
      <c r="B1774">
        <v>26</v>
      </c>
      <c r="C1774" t="s">
        <v>703</v>
      </c>
      <c r="D1774" t="str">
        <f t="shared" si="135"/>
        <v>28.02.2018</v>
      </c>
      <c r="E1774" s="1">
        <v>0.8125</v>
      </c>
      <c r="F1774" t="s">
        <v>15</v>
      </c>
      <c r="G1774" t="s">
        <v>16</v>
      </c>
      <c r="H1774" s="2">
        <v>46023</v>
      </c>
      <c r="I1774" s="3" t="str">
        <f t="shared" si="136"/>
        <v/>
      </c>
      <c r="J1774" t="str">
        <f t="shared" si="137"/>
        <v/>
      </c>
      <c r="K1774" t="str">
        <f t="shared" si="138"/>
        <v/>
      </c>
      <c r="L1774" t="str">
        <f t="shared" si="139"/>
        <v/>
      </c>
      <c r="M1774" t="str">
        <f>IF(COUNTIF($A$2:A1774,A1774)=1,
     VLOOKUP(A1774,Season_Winners!A:B,2,FALSE),
     "")</f>
        <v/>
      </c>
      <c r="N1774" s="2"/>
    </row>
    <row r="1775" spans="1:14" x14ac:dyDescent="0.3">
      <c r="A1775" t="s">
        <v>603</v>
      </c>
      <c r="B1775">
        <v>26</v>
      </c>
      <c r="C1775" t="s">
        <v>703</v>
      </c>
      <c r="D1775" t="str">
        <f t="shared" si="135"/>
        <v>28.02.2018</v>
      </c>
      <c r="E1775" s="1">
        <v>0.8125</v>
      </c>
      <c r="F1775" t="s">
        <v>11</v>
      </c>
      <c r="G1775" t="s">
        <v>182</v>
      </c>
      <c r="H1775" t="s">
        <v>32</v>
      </c>
      <c r="I1775" t="str">
        <f t="shared" si="136"/>
        <v>3-0</v>
      </c>
      <c r="J1775" t="str">
        <f t="shared" si="137"/>
        <v>3</v>
      </c>
      <c r="K1775" t="str">
        <f t="shared" si="138"/>
        <v>0</v>
      </c>
      <c r="L1775" t="str">
        <f t="shared" si="139"/>
        <v>Getafe CF</v>
      </c>
      <c r="M1775" t="str">
        <f>IF(COUNTIF($A$2:A1775,A1775)=1,
     VLOOKUP(A1775,Season_Winners!A:B,2,FALSE),
     "")</f>
        <v/>
      </c>
    </row>
    <row r="1776" spans="1:14" x14ac:dyDescent="0.3">
      <c r="A1776" t="s">
        <v>603</v>
      </c>
      <c r="B1776">
        <v>26</v>
      </c>
      <c r="C1776" t="s">
        <v>703</v>
      </c>
      <c r="D1776" t="str">
        <f t="shared" si="135"/>
        <v>28.02.2018</v>
      </c>
      <c r="E1776" s="1">
        <v>0.8125</v>
      </c>
      <c r="F1776" t="s">
        <v>17</v>
      </c>
      <c r="G1776" t="s">
        <v>27</v>
      </c>
      <c r="H1776" t="s">
        <v>42</v>
      </c>
      <c r="I1776" t="str">
        <f t="shared" si="136"/>
        <v>0-1</v>
      </c>
      <c r="J1776" t="str">
        <f t="shared" si="137"/>
        <v>0</v>
      </c>
      <c r="K1776" t="str">
        <f t="shared" si="138"/>
        <v>1</v>
      </c>
      <c r="L1776" t="str">
        <f t="shared" si="139"/>
        <v>Sevilla FC</v>
      </c>
      <c r="M1776" t="str">
        <f>IF(COUNTIF($A$2:A1776,A1776)=1,
     VLOOKUP(A1776,Season_Winners!A:B,2,FALSE),
     "")</f>
        <v/>
      </c>
    </row>
    <row r="1777" spans="1:14" x14ac:dyDescent="0.3">
      <c r="A1777" t="s">
        <v>603</v>
      </c>
      <c r="B1777">
        <v>26</v>
      </c>
      <c r="C1777" t="s">
        <v>703</v>
      </c>
      <c r="D1777" t="str">
        <f t="shared" si="135"/>
        <v>28.02.2018</v>
      </c>
      <c r="E1777" s="1">
        <v>0.89583333333333337</v>
      </c>
      <c r="F1777" t="s">
        <v>1425</v>
      </c>
      <c r="G1777" t="s">
        <v>466</v>
      </c>
      <c r="H1777" t="s">
        <v>88</v>
      </c>
      <c r="I1777" t="str">
        <f t="shared" si="136"/>
        <v>4-0</v>
      </c>
      <c r="J1777" t="str">
        <f t="shared" si="137"/>
        <v>4</v>
      </c>
      <c r="K1777" t="str">
        <f t="shared" si="138"/>
        <v>0</v>
      </c>
      <c r="L1777" t="str">
        <f t="shared" si="139"/>
        <v>Atlético de Madrid</v>
      </c>
      <c r="M1777" t="str">
        <f>IF(COUNTIF($A$2:A1777,A1777)=1,
     VLOOKUP(A1777,Season_Winners!A:B,2,FALSE),
     "")</f>
        <v/>
      </c>
    </row>
    <row r="1778" spans="1:14" x14ac:dyDescent="0.3">
      <c r="A1778" t="s">
        <v>603</v>
      </c>
      <c r="B1778">
        <v>26</v>
      </c>
      <c r="C1778" t="s">
        <v>703</v>
      </c>
      <c r="D1778" t="str">
        <f t="shared" si="135"/>
        <v>28.02.2018</v>
      </c>
      <c r="E1778" s="1">
        <v>0.89583333333333337</v>
      </c>
      <c r="F1778" t="s">
        <v>187</v>
      </c>
      <c r="G1778" t="s">
        <v>34</v>
      </c>
      <c r="H1778" t="s">
        <v>18</v>
      </c>
      <c r="I1778" t="str">
        <f t="shared" si="136"/>
        <v>1-0</v>
      </c>
      <c r="J1778" t="str">
        <f t="shared" si="137"/>
        <v>1</v>
      </c>
      <c r="K1778" t="str">
        <f t="shared" si="138"/>
        <v>0</v>
      </c>
      <c r="L1778" t="str">
        <f t="shared" si="139"/>
        <v>SD Eibar</v>
      </c>
      <c r="M1778" t="str">
        <f>IF(COUNTIF($A$2:A1778,A1778)=1,
     VLOOKUP(A1778,Season_Winners!A:B,2,FALSE),
     "")</f>
        <v/>
      </c>
    </row>
    <row r="1779" spans="1:14" x14ac:dyDescent="0.3">
      <c r="A1779" t="s">
        <v>603</v>
      </c>
      <c r="B1779">
        <v>26</v>
      </c>
      <c r="C1779" t="s">
        <v>704</v>
      </c>
      <c r="D1779" t="str">
        <f t="shared" si="135"/>
        <v>01.03.2018</v>
      </c>
      <c r="E1779" s="1">
        <v>0.8125</v>
      </c>
      <c r="F1779" t="s">
        <v>26</v>
      </c>
      <c r="G1779" t="s">
        <v>10</v>
      </c>
      <c r="H1779" t="s">
        <v>41</v>
      </c>
      <c r="I1779" t="str">
        <f t="shared" si="136"/>
        <v>0-0</v>
      </c>
      <c r="J1779" t="str">
        <f t="shared" si="137"/>
        <v>0</v>
      </c>
      <c r="K1779" t="str">
        <f t="shared" si="138"/>
        <v>0</v>
      </c>
      <c r="L1779" t="str">
        <f t="shared" si="139"/>
        <v>Draw</v>
      </c>
      <c r="M1779" t="str">
        <f>IF(COUNTIF($A$2:A1779,A1779)=1,
     VLOOKUP(A1779,Season_Winners!A:B,2,FALSE),
     "")</f>
        <v/>
      </c>
    </row>
    <row r="1780" spans="1:14" hidden="1" x14ac:dyDescent="0.3">
      <c r="A1780" t="s">
        <v>603</v>
      </c>
      <c r="B1780">
        <v>26</v>
      </c>
      <c r="C1780" t="s">
        <v>704</v>
      </c>
      <c r="D1780" t="str">
        <f t="shared" si="135"/>
        <v>01.03.2018</v>
      </c>
      <c r="E1780" s="1">
        <v>0.875</v>
      </c>
      <c r="F1780" t="s">
        <v>338</v>
      </c>
      <c r="G1780" t="s">
        <v>20</v>
      </c>
      <c r="H1780" s="2">
        <v>46023</v>
      </c>
      <c r="I1780" s="3" t="str">
        <f t="shared" si="136"/>
        <v/>
      </c>
      <c r="J1780" t="str">
        <f t="shared" si="137"/>
        <v/>
      </c>
      <c r="K1780" t="str">
        <f t="shared" si="138"/>
        <v/>
      </c>
      <c r="L1780" t="str">
        <f t="shared" si="139"/>
        <v/>
      </c>
      <c r="M1780" t="str">
        <f>IF(COUNTIF($A$2:A1780,A1780)=1,
     VLOOKUP(A1780,Season_Winners!A:B,2,FALSE),
     "")</f>
        <v/>
      </c>
      <c r="N1780" s="2"/>
    </row>
    <row r="1781" spans="1:14" x14ac:dyDescent="0.3">
      <c r="A1781" t="s">
        <v>603</v>
      </c>
      <c r="B1781">
        <v>26</v>
      </c>
      <c r="C1781" t="s">
        <v>704</v>
      </c>
      <c r="D1781" t="str">
        <f t="shared" si="135"/>
        <v>01.03.2018</v>
      </c>
      <c r="E1781" s="1">
        <v>0.89583333333333337</v>
      </c>
      <c r="F1781" t="s">
        <v>464</v>
      </c>
      <c r="G1781" t="s">
        <v>21</v>
      </c>
      <c r="H1781" t="s">
        <v>18</v>
      </c>
      <c r="I1781" t="str">
        <f t="shared" si="136"/>
        <v>1-0</v>
      </c>
      <c r="J1781" t="str">
        <f t="shared" si="137"/>
        <v>1</v>
      </c>
      <c r="K1781" t="str">
        <f t="shared" si="138"/>
        <v>0</v>
      </c>
      <c r="L1781" t="str">
        <f t="shared" si="139"/>
        <v>Deportivo AlavÃ©s</v>
      </c>
      <c r="M1781" t="str">
        <f>IF(COUNTIF($A$2:A1781,A1781)=1,
     VLOOKUP(A1781,Season_Winners!A:B,2,FALSE),
     "")</f>
        <v/>
      </c>
    </row>
    <row r="1782" spans="1:14" x14ac:dyDescent="0.3">
      <c r="A1782" t="s">
        <v>603</v>
      </c>
      <c r="B1782">
        <v>27</v>
      </c>
      <c r="C1782" t="s">
        <v>705</v>
      </c>
      <c r="D1782" t="str">
        <f t="shared" si="135"/>
        <v>03.03.2018</v>
      </c>
      <c r="E1782" s="1">
        <v>0.54166666666666663</v>
      </c>
      <c r="F1782" t="s">
        <v>34</v>
      </c>
      <c r="G1782" t="s">
        <v>606</v>
      </c>
      <c r="H1782" t="s">
        <v>54</v>
      </c>
      <c r="I1782" t="str">
        <f t="shared" si="136"/>
        <v>0-2</v>
      </c>
      <c r="J1782" t="str">
        <f t="shared" si="137"/>
        <v>0</v>
      </c>
      <c r="K1782" t="str">
        <f t="shared" si="138"/>
        <v>2</v>
      </c>
      <c r="L1782" t="str">
        <f t="shared" si="139"/>
        <v>Girona FC</v>
      </c>
      <c r="M1782" t="str">
        <f>IF(COUNTIF($A$2:A1782,A1782)=1,
     VLOOKUP(A1782,Season_Winners!A:B,2,FALSE),
     "")</f>
        <v/>
      </c>
    </row>
    <row r="1783" spans="1:14" x14ac:dyDescent="0.3">
      <c r="A1783" t="s">
        <v>603</v>
      </c>
      <c r="B1783">
        <v>27</v>
      </c>
      <c r="C1783" t="s">
        <v>705</v>
      </c>
      <c r="D1783" t="str">
        <f t="shared" si="135"/>
        <v>03.03.2018</v>
      </c>
      <c r="E1783" s="1">
        <v>0.67708333333333337</v>
      </c>
      <c r="F1783" t="s">
        <v>27</v>
      </c>
      <c r="G1783" t="s">
        <v>15</v>
      </c>
      <c r="H1783" t="s">
        <v>12</v>
      </c>
      <c r="I1783" t="str">
        <f t="shared" si="136"/>
        <v>2-0</v>
      </c>
      <c r="J1783" t="str">
        <f t="shared" si="137"/>
        <v>2</v>
      </c>
      <c r="K1783" t="str">
        <f t="shared" si="138"/>
        <v>0</v>
      </c>
      <c r="L1783" t="str">
        <f t="shared" si="139"/>
        <v>Sevilla FC</v>
      </c>
      <c r="M1783" t="str">
        <f>IF(COUNTIF($A$2:A1783,A1783)=1,
     VLOOKUP(A1783,Season_Winners!A:B,2,FALSE),
     "")</f>
        <v/>
      </c>
    </row>
    <row r="1784" spans="1:14" hidden="1" x14ac:dyDescent="0.3">
      <c r="A1784" t="s">
        <v>603</v>
      </c>
      <c r="B1784">
        <v>27</v>
      </c>
      <c r="C1784" t="s">
        <v>705</v>
      </c>
      <c r="D1784" t="str">
        <f t="shared" si="135"/>
        <v>03.03.2018</v>
      </c>
      <c r="E1784" s="1">
        <v>0.77083333333333337</v>
      </c>
      <c r="F1784" t="s">
        <v>182</v>
      </c>
      <c r="G1784" t="s">
        <v>187</v>
      </c>
      <c r="H1784" s="2">
        <v>46023</v>
      </c>
      <c r="I1784" s="3" t="str">
        <f t="shared" si="136"/>
        <v/>
      </c>
      <c r="J1784" t="str">
        <f t="shared" si="137"/>
        <v/>
      </c>
      <c r="K1784" t="str">
        <f t="shared" si="138"/>
        <v/>
      </c>
      <c r="L1784" t="str">
        <f t="shared" si="139"/>
        <v/>
      </c>
      <c r="M1784" t="str">
        <f>IF(COUNTIF($A$2:A1784,A1784)=1,
     VLOOKUP(A1784,Season_Winners!A:B,2,FALSE),
     "")</f>
        <v/>
      </c>
      <c r="N1784" s="2"/>
    </row>
    <row r="1785" spans="1:14" x14ac:dyDescent="0.3">
      <c r="A1785" t="s">
        <v>603</v>
      </c>
      <c r="B1785">
        <v>27</v>
      </c>
      <c r="C1785" t="s">
        <v>705</v>
      </c>
      <c r="D1785" t="str">
        <f t="shared" si="135"/>
        <v>03.03.2018</v>
      </c>
      <c r="E1785" s="1">
        <v>0.77083333333333337</v>
      </c>
      <c r="F1785" t="s">
        <v>466</v>
      </c>
      <c r="G1785" t="s">
        <v>17</v>
      </c>
      <c r="H1785" t="s">
        <v>12</v>
      </c>
      <c r="I1785" t="str">
        <f t="shared" si="136"/>
        <v>2-0</v>
      </c>
      <c r="J1785" t="str">
        <f t="shared" si="137"/>
        <v>2</v>
      </c>
      <c r="K1785" t="str">
        <f t="shared" si="138"/>
        <v>0</v>
      </c>
      <c r="L1785" t="str">
        <f t="shared" si="139"/>
        <v>CD LeganÃ©s</v>
      </c>
      <c r="M1785" t="str">
        <f>IF(COUNTIF($A$2:A1785,A1785)=1,
     VLOOKUP(A1785,Season_Winners!A:B,2,FALSE),
     "")</f>
        <v/>
      </c>
    </row>
    <row r="1786" spans="1:14" hidden="1" x14ac:dyDescent="0.3">
      <c r="A1786" t="s">
        <v>603</v>
      </c>
      <c r="B1786">
        <v>27</v>
      </c>
      <c r="C1786" t="s">
        <v>705</v>
      </c>
      <c r="D1786" t="str">
        <f t="shared" si="135"/>
        <v>03.03.2018</v>
      </c>
      <c r="E1786" s="1">
        <v>0.86458333333333337</v>
      </c>
      <c r="F1786" t="s">
        <v>25</v>
      </c>
      <c r="G1786" t="s">
        <v>11</v>
      </c>
      <c r="H1786" s="2">
        <v>46025</v>
      </c>
      <c r="I1786" s="3" t="str">
        <f t="shared" si="136"/>
        <v/>
      </c>
      <c r="J1786" t="str">
        <f t="shared" si="137"/>
        <v/>
      </c>
      <c r="K1786" t="str">
        <f t="shared" si="138"/>
        <v/>
      </c>
      <c r="L1786" t="str">
        <f t="shared" si="139"/>
        <v/>
      </c>
      <c r="M1786" t="str">
        <f>IF(COUNTIF($A$2:A1786,A1786)=1,
     VLOOKUP(A1786,Season_Winners!A:B,2,FALSE),
     "")</f>
        <v/>
      </c>
      <c r="N1786" s="2"/>
    </row>
    <row r="1787" spans="1:14" hidden="1" x14ac:dyDescent="0.3">
      <c r="A1787" t="s">
        <v>603</v>
      </c>
      <c r="B1787">
        <v>27</v>
      </c>
      <c r="C1787" t="s">
        <v>706</v>
      </c>
      <c r="D1787" t="str">
        <f t="shared" si="135"/>
        <v>04.03.2018</v>
      </c>
      <c r="E1787" s="1">
        <v>0.5</v>
      </c>
      <c r="F1787" t="s">
        <v>21</v>
      </c>
      <c r="G1787" t="s">
        <v>36</v>
      </c>
      <c r="H1787" s="2">
        <v>46023</v>
      </c>
      <c r="I1787" s="3" t="str">
        <f t="shared" si="136"/>
        <v/>
      </c>
      <c r="J1787" t="str">
        <f t="shared" si="137"/>
        <v/>
      </c>
      <c r="K1787" t="str">
        <f t="shared" si="138"/>
        <v/>
      </c>
      <c r="L1787" t="str">
        <f t="shared" si="139"/>
        <v/>
      </c>
      <c r="M1787" t="str">
        <f>IF(COUNTIF($A$2:A1787,A1787)=1,
     VLOOKUP(A1787,Season_Winners!A:B,2,FALSE),
     "")</f>
        <v/>
      </c>
      <c r="N1787" s="2"/>
    </row>
    <row r="1788" spans="1:14" x14ac:dyDescent="0.3">
      <c r="A1788" t="s">
        <v>603</v>
      </c>
      <c r="B1788">
        <v>27</v>
      </c>
      <c r="C1788" t="s">
        <v>706</v>
      </c>
      <c r="D1788" t="str">
        <f t="shared" si="135"/>
        <v>04.03.2018</v>
      </c>
      <c r="E1788" s="1">
        <v>0.67708333333333337</v>
      </c>
      <c r="F1788" t="s">
        <v>20</v>
      </c>
      <c r="G1788" t="s">
        <v>1425</v>
      </c>
      <c r="H1788" t="s">
        <v>18</v>
      </c>
      <c r="I1788" t="str">
        <f t="shared" si="136"/>
        <v>1-0</v>
      </c>
      <c r="J1788" t="str">
        <f t="shared" si="137"/>
        <v>1</v>
      </c>
      <c r="K1788" t="str">
        <f t="shared" si="138"/>
        <v>0</v>
      </c>
      <c r="L1788" t="str">
        <f t="shared" si="139"/>
        <v>FC Barcelona</v>
      </c>
      <c r="M1788" t="str">
        <f>IF(COUNTIF($A$2:A1788,A1788)=1,
     VLOOKUP(A1788,Season_Winners!A:B,2,FALSE),
     "")</f>
        <v/>
      </c>
    </row>
    <row r="1789" spans="1:14" hidden="1" x14ac:dyDescent="0.3">
      <c r="A1789" t="s">
        <v>603</v>
      </c>
      <c r="B1789">
        <v>27</v>
      </c>
      <c r="C1789" t="s">
        <v>706</v>
      </c>
      <c r="D1789" t="str">
        <f t="shared" si="135"/>
        <v>04.03.2018</v>
      </c>
      <c r="E1789" s="1">
        <v>0.77083333333333337</v>
      </c>
      <c r="F1789" t="s">
        <v>10</v>
      </c>
      <c r="G1789" t="s">
        <v>464</v>
      </c>
      <c r="H1789" s="2">
        <v>46024</v>
      </c>
      <c r="I1789" s="3" t="str">
        <f t="shared" si="136"/>
        <v/>
      </c>
      <c r="J1789" t="str">
        <f t="shared" si="137"/>
        <v/>
      </c>
      <c r="K1789" t="str">
        <f t="shared" si="138"/>
        <v/>
      </c>
      <c r="L1789" t="str">
        <f t="shared" si="139"/>
        <v/>
      </c>
      <c r="M1789" t="str">
        <f>IF(COUNTIF($A$2:A1789,A1789)=1,
     VLOOKUP(A1789,Season_Winners!A:B,2,FALSE),
     "")</f>
        <v/>
      </c>
      <c r="N1789" s="2"/>
    </row>
    <row r="1790" spans="1:14" x14ac:dyDescent="0.3">
      <c r="A1790" t="s">
        <v>603</v>
      </c>
      <c r="B1790">
        <v>27</v>
      </c>
      <c r="C1790" t="s">
        <v>706</v>
      </c>
      <c r="D1790" t="str">
        <f t="shared" si="135"/>
        <v>04.03.2018</v>
      </c>
      <c r="E1790" s="1">
        <v>0.86458333333333337</v>
      </c>
      <c r="F1790" t="s">
        <v>16</v>
      </c>
      <c r="G1790" t="s">
        <v>26</v>
      </c>
      <c r="H1790" t="s">
        <v>12</v>
      </c>
      <c r="I1790" t="str">
        <f t="shared" si="136"/>
        <v>2-0</v>
      </c>
      <c r="J1790" t="str">
        <f t="shared" si="137"/>
        <v>2</v>
      </c>
      <c r="K1790" t="str">
        <f t="shared" si="138"/>
        <v>0</v>
      </c>
      <c r="L1790" t="str">
        <f t="shared" si="139"/>
        <v>Valencia CF</v>
      </c>
      <c r="M1790" t="str">
        <f>IF(COUNTIF($A$2:A1790,A1790)=1,
     VLOOKUP(A1790,Season_Winners!A:B,2,FALSE),
     "")</f>
        <v/>
      </c>
    </row>
    <row r="1791" spans="1:14" hidden="1" x14ac:dyDescent="0.3">
      <c r="A1791" t="s">
        <v>603</v>
      </c>
      <c r="B1791">
        <v>27</v>
      </c>
      <c r="C1791" t="s">
        <v>707</v>
      </c>
      <c r="D1791" t="str">
        <f t="shared" si="135"/>
        <v>05.03.2018</v>
      </c>
      <c r="E1791" s="1">
        <v>0.875</v>
      </c>
      <c r="F1791" t="s">
        <v>35</v>
      </c>
      <c r="G1791" t="s">
        <v>338</v>
      </c>
      <c r="H1791" s="2">
        <v>46024</v>
      </c>
      <c r="I1791" s="3" t="str">
        <f t="shared" si="136"/>
        <v/>
      </c>
      <c r="J1791" t="str">
        <f t="shared" si="137"/>
        <v/>
      </c>
      <c r="K1791" t="str">
        <f t="shared" si="138"/>
        <v/>
      </c>
      <c r="L1791" t="str">
        <f t="shared" si="139"/>
        <v/>
      </c>
      <c r="M1791" t="str">
        <f>IF(COUNTIF($A$2:A1791,A1791)=1,
     VLOOKUP(A1791,Season_Winners!A:B,2,FALSE),
     "")</f>
        <v/>
      </c>
      <c r="N1791" s="2"/>
    </row>
    <row r="1792" spans="1:14" x14ac:dyDescent="0.3">
      <c r="A1792" t="s">
        <v>603</v>
      </c>
      <c r="B1792">
        <v>28</v>
      </c>
      <c r="C1792" t="s">
        <v>708</v>
      </c>
      <c r="D1792" t="str">
        <f t="shared" si="135"/>
        <v>09.03.2018</v>
      </c>
      <c r="E1792" s="1">
        <v>0.875</v>
      </c>
      <c r="F1792" t="s">
        <v>606</v>
      </c>
      <c r="G1792" t="s">
        <v>182</v>
      </c>
      <c r="H1792" t="s">
        <v>12</v>
      </c>
      <c r="I1792" t="str">
        <f t="shared" si="136"/>
        <v>2-0</v>
      </c>
      <c r="J1792" t="str">
        <f t="shared" si="137"/>
        <v>2</v>
      </c>
      <c r="K1792" t="str">
        <f t="shared" si="138"/>
        <v>0</v>
      </c>
      <c r="L1792" t="str">
        <f t="shared" si="139"/>
        <v>Girona FC</v>
      </c>
      <c r="M1792" t="str">
        <f>IF(COUNTIF($A$2:A1792,A1792)=1,
     VLOOKUP(A1792,Season_Winners!A:B,2,FALSE),
     "")</f>
        <v/>
      </c>
    </row>
    <row r="1793" spans="1:14" hidden="1" x14ac:dyDescent="0.3">
      <c r="A1793" t="s">
        <v>603</v>
      </c>
      <c r="B1793">
        <v>28</v>
      </c>
      <c r="C1793" t="s">
        <v>709</v>
      </c>
      <c r="D1793" t="str">
        <f t="shared" si="135"/>
        <v>10.03.2018</v>
      </c>
      <c r="E1793" s="1">
        <v>0.54166666666666663</v>
      </c>
      <c r="F1793" t="s">
        <v>187</v>
      </c>
      <c r="G1793" t="s">
        <v>25</v>
      </c>
      <c r="H1793" s="2">
        <v>46054</v>
      </c>
      <c r="I1793" s="3" t="str">
        <f t="shared" si="136"/>
        <v/>
      </c>
      <c r="J1793" t="str">
        <f t="shared" si="137"/>
        <v/>
      </c>
      <c r="K1793" t="str">
        <f t="shared" si="138"/>
        <v/>
      </c>
      <c r="L1793" t="str">
        <f t="shared" si="139"/>
        <v/>
      </c>
      <c r="M1793" t="str">
        <f>IF(COUNTIF($A$2:A1793,A1793)=1,
     VLOOKUP(A1793,Season_Winners!A:B,2,FALSE),
     "")</f>
        <v/>
      </c>
      <c r="N1793" s="2"/>
    </row>
    <row r="1794" spans="1:14" x14ac:dyDescent="0.3">
      <c r="A1794" t="s">
        <v>603</v>
      </c>
      <c r="B1794">
        <v>28</v>
      </c>
      <c r="C1794" t="s">
        <v>709</v>
      </c>
      <c r="D1794" t="str">
        <f t="shared" ref="D1794:D1857" si="140">RIGHT(C1794,10)</f>
        <v>10.03.2018</v>
      </c>
      <c r="E1794" s="1">
        <v>0.67708333333333337</v>
      </c>
      <c r="F1794" t="s">
        <v>27</v>
      </c>
      <c r="G1794" t="s">
        <v>16</v>
      </c>
      <c r="H1794" t="s">
        <v>54</v>
      </c>
      <c r="I1794" t="str">
        <f t="shared" ref="I1794:I1857" si="141">IF(ISNUMBER(SEARCH("-",H1794)),H1794,"")</f>
        <v>0-2</v>
      </c>
      <c r="J1794" t="str">
        <f t="shared" ref="J1794:J1857" si="142">IF(I1794="","",LEFT(I1794,FIND("-",I1794)-1))</f>
        <v>0</v>
      </c>
      <c r="K1794" t="str">
        <f t="shared" ref="K1794:K1857" si="143">IF(I1794="","",RIGHT(I1794,LEN(I1794)-FIND("-",I1794)))</f>
        <v>2</v>
      </c>
      <c r="L1794" t="str">
        <f t="shared" ref="L1794:L1857" si="144">IF(I1794="","",IF(J1794&gt;K1794,F1794,IF(K1794&gt;J1794,G1794,"Draw")))</f>
        <v>Valencia CF</v>
      </c>
      <c r="M1794" t="str">
        <f>IF(COUNTIF($A$2:A1794,A1794)=1,
     VLOOKUP(A1794,Season_Winners!A:B,2,FALSE),
     "")</f>
        <v/>
      </c>
    </row>
    <row r="1795" spans="1:14" x14ac:dyDescent="0.3">
      <c r="A1795" t="s">
        <v>603</v>
      </c>
      <c r="B1795">
        <v>28</v>
      </c>
      <c r="C1795" t="s">
        <v>709</v>
      </c>
      <c r="D1795" t="str">
        <f t="shared" si="140"/>
        <v>10.03.2018</v>
      </c>
      <c r="E1795" s="1">
        <v>0.77083333333333337</v>
      </c>
      <c r="F1795" t="s">
        <v>11</v>
      </c>
      <c r="G1795" t="s">
        <v>21</v>
      </c>
      <c r="H1795" t="s">
        <v>42</v>
      </c>
      <c r="I1795" t="str">
        <f t="shared" si="141"/>
        <v>0-1</v>
      </c>
      <c r="J1795" t="str">
        <f t="shared" si="142"/>
        <v>0</v>
      </c>
      <c r="K1795" t="str">
        <f t="shared" si="143"/>
        <v>1</v>
      </c>
      <c r="L1795" t="str">
        <f t="shared" si="144"/>
        <v>Levante UD</v>
      </c>
      <c r="M1795" t="str">
        <f>IF(COUNTIF($A$2:A1795,A1795)=1,
     VLOOKUP(A1795,Season_Winners!A:B,2,FALSE),
     "")</f>
        <v/>
      </c>
    </row>
    <row r="1796" spans="1:14" x14ac:dyDescent="0.3">
      <c r="A1796" t="s">
        <v>603</v>
      </c>
      <c r="B1796">
        <v>28</v>
      </c>
      <c r="C1796" t="s">
        <v>709</v>
      </c>
      <c r="D1796" t="str">
        <f t="shared" si="140"/>
        <v>10.03.2018</v>
      </c>
      <c r="E1796" s="1">
        <v>0.86458333333333337</v>
      </c>
      <c r="F1796" t="s">
        <v>17</v>
      </c>
      <c r="G1796" t="s">
        <v>20</v>
      </c>
      <c r="H1796" t="s">
        <v>54</v>
      </c>
      <c r="I1796" t="str">
        <f t="shared" si="141"/>
        <v>0-2</v>
      </c>
      <c r="J1796" t="str">
        <f t="shared" si="142"/>
        <v>0</v>
      </c>
      <c r="K1796" t="str">
        <f t="shared" si="143"/>
        <v>2</v>
      </c>
      <c r="L1796" t="str">
        <f t="shared" si="144"/>
        <v>FC Barcelona</v>
      </c>
      <c r="M1796" t="str">
        <f>IF(COUNTIF($A$2:A1796,A1796)=1,
     VLOOKUP(A1796,Season_Winners!A:B,2,FALSE),
     "")</f>
        <v/>
      </c>
    </row>
    <row r="1797" spans="1:14" hidden="1" x14ac:dyDescent="0.3">
      <c r="A1797" t="s">
        <v>603</v>
      </c>
      <c r="B1797">
        <v>28</v>
      </c>
      <c r="C1797" t="s">
        <v>710</v>
      </c>
      <c r="D1797" t="str">
        <f t="shared" si="140"/>
        <v>11.03.2018</v>
      </c>
      <c r="E1797" s="1">
        <v>0.5</v>
      </c>
      <c r="F1797" t="s">
        <v>36</v>
      </c>
      <c r="G1797" t="s">
        <v>10</v>
      </c>
      <c r="H1797" s="2">
        <v>46024</v>
      </c>
      <c r="I1797" s="3" t="str">
        <f t="shared" si="141"/>
        <v/>
      </c>
      <c r="J1797" t="str">
        <f t="shared" si="142"/>
        <v/>
      </c>
      <c r="K1797" t="str">
        <f t="shared" si="143"/>
        <v/>
      </c>
      <c r="L1797" t="str">
        <f t="shared" si="144"/>
        <v/>
      </c>
      <c r="M1797" t="str">
        <f>IF(COUNTIF($A$2:A1797,A1797)=1,
     VLOOKUP(A1797,Season_Winners!A:B,2,FALSE),
     "")</f>
        <v/>
      </c>
      <c r="N1797" s="2"/>
    </row>
    <row r="1798" spans="1:14" x14ac:dyDescent="0.3">
      <c r="A1798" t="s">
        <v>603</v>
      </c>
      <c r="B1798">
        <v>28</v>
      </c>
      <c r="C1798" t="s">
        <v>710</v>
      </c>
      <c r="D1798" t="str">
        <f t="shared" si="140"/>
        <v>11.03.2018</v>
      </c>
      <c r="E1798" s="1">
        <v>0.67708333333333337</v>
      </c>
      <c r="F1798" t="s">
        <v>1425</v>
      </c>
      <c r="G1798" t="s">
        <v>35</v>
      </c>
      <c r="H1798" t="s">
        <v>32</v>
      </c>
      <c r="I1798" t="str">
        <f t="shared" si="141"/>
        <v>3-0</v>
      </c>
      <c r="J1798" t="str">
        <f t="shared" si="142"/>
        <v>3</v>
      </c>
      <c r="K1798" t="str">
        <f t="shared" si="143"/>
        <v>0</v>
      </c>
      <c r="L1798" t="str">
        <f t="shared" si="144"/>
        <v>Atlético de Madrid</v>
      </c>
      <c r="M1798" t="str">
        <f>IF(COUNTIF($A$2:A1798,A1798)=1,
     VLOOKUP(A1798,Season_Winners!A:B,2,FALSE),
     "")</f>
        <v/>
      </c>
    </row>
    <row r="1799" spans="1:14" x14ac:dyDescent="0.3">
      <c r="A1799" t="s">
        <v>603</v>
      </c>
      <c r="B1799">
        <v>28</v>
      </c>
      <c r="C1799" t="s">
        <v>710</v>
      </c>
      <c r="D1799" t="str">
        <f t="shared" si="140"/>
        <v>11.03.2018</v>
      </c>
      <c r="E1799" s="1">
        <v>0.77083333333333337</v>
      </c>
      <c r="F1799" t="s">
        <v>338</v>
      </c>
      <c r="G1799" t="s">
        <v>34</v>
      </c>
      <c r="H1799" t="s">
        <v>54</v>
      </c>
      <c r="I1799" t="str">
        <f t="shared" si="141"/>
        <v>0-2</v>
      </c>
      <c r="J1799" t="str">
        <f t="shared" si="142"/>
        <v>0</v>
      </c>
      <c r="K1799" t="str">
        <f t="shared" si="143"/>
        <v>2</v>
      </c>
      <c r="L1799" t="str">
        <f t="shared" si="144"/>
        <v>Villarreal CF</v>
      </c>
      <c r="M1799" t="str">
        <f>IF(COUNTIF($A$2:A1799,A1799)=1,
     VLOOKUP(A1799,Season_Winners!A:B,2,FALSE),
     "")</f>
        <v/>
      </c>
    </row>
    <row r="1800" spans="1:14" x14ac:dyDescent="0.3">
      <c r="A1800" t="s">
        <v>603</v>
      </c>
      <c r="B1800">
        <v>28</v>
      </c>
      <c r="C1800" t="s">
        <v>710</v>
      </c>
      <c r="D1800" t="str">
        <f t="shared" si="140"/>
        <v>11.03.2018</v>
      </c>
      <c r="E1800" s="1">
        <v>0.86458333333333337</v>
      </c>
      <c r="F1800" t="s">
        <v>15</v>
      </c>
      <c r="G1800" t="s">
        <v>466</v>
      </c>
      <c r="H1800" t="s">
        <v>12</v>
      </c>
      <c r="I1800" t="str">
        <f t="shared" si="141"/>
        <v>2-0</v>
      </c>
      <c r="J1800" t="str">
        <f t="shared" si="142"/>
        <v>2</v>
      </c>
      <c r="K1800" t="str">
        <f t="shared" si="143"/>
        <v>0</v>
      </c>
      <c r="L1800" t="str">
        <f t="shared" si="144"/>
        <v>Athletic Club</v>
      </c>
      <c r="M1800" t="str">
        <f>IF(COUNTIF($A$2:A1800,A1800)=1,
     VLOOKUP(A1800,Season_Winners!A:B,2,FALSE),
     "")</f>
        <v/>
      </c>
    </row>
    <row r="1801" spans="1:14" hidden="1" x14ac:dyDescent="0.3">
      <c r="A1801" t="s">
        <v>603</v>
      </c>
      <c r="B1801">
        <v>28</v>
      </c>
      <c r="C1801" t="s">
        <v>711</v>
      </c>
      <c r="D1801" t="str">
        <f t="shared" si="140"/>
        <v>12.03.2018</v>
      </c>
      <c r="E1801" s="1">
        <v>0.875</v>
      </c>
      <c r="F1801" t="s">
        <v>464</v>
      </c>
      <c r="G1801" t="s">
        <v>26</v>
      </c>
      <c r="H1801" s="2">
        <v>46082</v>
      </c>
      <c r="I1801" s="3" t="str">
        <f t="shared" si="141"/>
        <v/>
      </c>
      <c r="J1801" t="str">
        <f t="shared" si="142"/>
        <v/>
      </c>
      <c r="K1801" t="str">
        <f t="shared" si="143"/>
        <v/>
      </c>
      <c r="L1801" t="str">
        <f t="shared" si="144"/>
        <v/>
      </c>
      <c r="M1801" t="str">
        <f>IF(COUNTIF($A$2:A1801,A1801)=1,
     VLOOKUP(A1801,Season_Winners!A:B,2,FALSE),
     "")</f>
        <v/>
      </c>
      <c r="N1801" s="2"/>
    </row>
    <row r="1802" spans="1:14" hidden="1" x14ac:dyDescent="0.3">
      <c r="A1802" t="s">
        <v>603</v>
      </c>
      <c r="B1802">
        <v>29</v>
      </c>
      <c r="C1802" t="s">
        <v>712</v>
      </c>
      <c r="D1802" t="str">
        <f t="shared" si="140"/>
        <v>16.03.2018</v>
      </c>
      <c r="E1802" s="1">
        <v>0.875</v>
      </c>
      <c r="F1802" t="s">
        <v>21</v>
      </c>
      <c r="G1802" t="s">
        <v>187</v>
      </c>
      <c r="H1802" s="2">
        <v>46024</v>
      </c>
      <c r="I1802" s="3" t="str">
        <f t="shared" si="141"/>
        <v/>
      </c>
      <c r="J1802" t="str">
        <f t="shared" si="142"/>
        <v/>
      </c>
      <c r="K1802" t="str">
        <f t="shared" si="143"/>
        <v/>
      </c>
      <c r="L1802" t="str">
        <f t="shared" si="144"/>
        <v/>
      </c>
      <c r="M1802" t="str">
        <f>IF(COUNTIF($A$2:A1802,A1802)=1,
     VLOOKUP(A1802,Season_Winners!A:B,2,FALSE),
     "")</f>
        <v/>
      </c>
      <c r="N1802" s="2"/>
    </row>
    <row r="1803" spans="1:14" hidden="1" x14ac:dyDescent="0.3">
      <c r="A1803" t="s">
        <v>603</v>
      </c>
      <c r="B1803">
        <v>29</v>
      </c>
      <c r="C1803" t="s">
        <v>713</v>
      </c>
      <c r="D1803" t="str">
        <f t="shared" si="140"/>
        <v>17.03.2018</v>
      </c>
      <c r="E1803" s="1">
        <v>0.54166666666666663</v>
      </c>
      <c r="F1803" t="s">
        <v>182</v>
      </c>
      <c r="G1803" t="s">
        <v>338</v>
      </c>
      <c r="H1803" s="2">
        <v>46023</v>
      </c>
      <c r="I1803" s="3" t="str">
        <f t="shared" si="141"/>
        <v/>
      </c>
      <c r="J1803" t="str">
        <f t="shared" si="142"/>
        <v/>
      </c>
      <c r="K1803" t="str">
        <f t="shared" si="143"/>
        <v/>
      </c>
      <c r="L1803" t="str">
        <f t="shared" si="144"/>
        <v/>
      </c>
      <c r="M1803" t="str">
        <f>IF(COUNTIF($A$2:A1803,A1803)=1,
     VLOOKUP(A1803,Season_Winners!A:B,2,FALSE),
     "")</f>
        <v/>
      </c>
      <c r="N1803" s="2"/>
    </row>
    <row r="1804" spans="1:14" hidden="1" x14ac:dyDescent="0.3">
      <c r="A1804" t="s">
        <v>603</v>
      </c>
      <c r="B1804">
        <v>29</v>
      </c>
      <c r="C1804" t="s">
        <v>713</v>
      </c>
      <c r="D1804" t="str">
        <f t="shared" si="140"/>
        <v>17.03.2018</v>
      </c>
      <c r="E1804" s="1">
        <v>0.67708333333333337</v>
      </c>
      <c r="F1804" t="s">
        <v>16</v>
      </c>
      <c r="G1804" t="s">
        <v>464</v>
      </c>
      <c r="H1804" s="2">
        <v>46025</v>
      </c>
      <c r="I1804" s="3" t="str">
        <f t="shared" si="141"/>
        <v/>
      </c>
      <c r="J1804" t="str">
        <f t="shared" si="142"/>
        <v/>
      </c>
      <c r="K1804" t="str">
        <f t="shared" si="143"/>
        <v/>
      </c>
      <c r="L1804" t="str">
        <f t="shared" si="144"/>
        <v/>
      </c>
      <c r="M1804" t="str">
        <f>IF(COUNTIF($A$2:A1804,A1804)=1,
     VLOOKUP(A1804,Season_Winners!A:B,2,FALSE),
     "")</f>
        <v/>
      </c>
      <c r="N1804" s="2"/>
    </row>
    <row r="1805" spans="1:14" hidden="1" x14ac:dyDescent="0.3">
      <c r="A1805" t="s">
        <v>603</v>
      </c>
      <c r="B1805">
        <v>29</v>
      </c>
      <c r="C1805" t="s">
        <v>713</v>
      </c>
      <c r="D1805" t="str">
        <f t="shared" si="140"/>
        <v>17.03.2018</v>
      </c>
      <c r="E1805" s="1">
        <v>0.77083333333333337</v>
      </c>
      <c r="F1805" t="s">
        <v>10</v>
      </c>
      <c r="G1805" t="s">
        <v>11</v>
      </c>
      <c r="H1805" s="2">
        <v>46054</v>
      </c>
      <c r="I1805" s="3" t="str">
        <f t="shared" si="141"/>
        <v/>
      </c>
      <c r="J1805" t="str">
        <f t="shared" si="142"/>
        <v/>
      </c>
      <c r="K1805" t="str">
        <f t="shared" si="143"/>
        <v/>
      </c>
      <c r="L1805" t="str">
        <f t="shared" si="144"/>
        <v/>
      </c>
      <c r="M1805" t="str">
        <f>IF(COUNTIF($A$2:A1805,A1805)=1,
     VLOOKUP(A1805,Season_Winners!A:B,2,FALSE),
     "")</f>
        <v/>
      </c>
      <c r="N1805" s="2"/>
    </row>
    <row r="1806" spans="1:14" x14ac:dyDescent="0.3">
      <c r="A1806" t="s">
        <v>603</v>
      </c>
      <c r="B1806">
        <v>29</v>
      </c>
      <c r="C1806" t="s">
        <v>713</v>
      </c>
      <c r="D1806" t="str">
        <f t="shared" si="140"/>
        <v>17.03.2018</v>
      </c>
      <c r="E1806" s="1">
        <v>0.86458333333333337</v>
      </c>
      <c r="F1806" t="s">
        <v>26</v>
      </c>
      <c r="G1806" t="s">
        <v>36</v>
      </c>
      <c r="H1806" t="s">
        <v>32</v>
      </c>
      <c r="I1806" t="str">
        <f t="shared" si="141"/>
        <v>3-0</v>
      </c>
      <c r="J1806" t="str">
        <f t="shared" si="142"/>
        <v>3</v>
      </c>
      <c r="K1806" t="str">
        <f t="shared" si="143"/>
        <v>0</v>
      </c>
      <c r="L1806" t="str">
        <f t="shared" si="144"/>
        <v>Real Betis</v>
      </c>
      <c r="M1806" t="str">
        <f>IF(COUNTIF($A$2:A1806,A1806)=1,
     VLOOKUP(A1806,Season_Winners!A:B,2,FALSE),
     "")</f>
        <v/>
      </c>
    </row>
    <row r="1807" spans="1:14" hidden="1" x14ac:dyDescent="0.3">
      <c r="A1807" t="s">
        <v>603</v>
      </c>
      <c r="B1807">
        <v>29</v>
      </c>
      <c r="C1807" t="s">
        <v>714</v>
      </c>
      <c r="D1807" t="str">
        <f t="shared" si="140"/>
        <v>18.03.2018</v>
      </c>
      <c r="E1807" s="1">
        <v>0.5</v>
      </c>
      <c r="F1807" t="s">
        <v>466</v>
      </c>
      <c r="G1807" t="s">
        <v>27</v>
      </c>
      <c r="H1807" s="2">
        <v>46024</v>
      </c>
      <c r="I1807" s="3" t="str">
        <f t="shared" si="141"/>
        <v/>
      </c>
      <c r="J1807" t="str">
        <f t="shared" si="142"/>
        <v/>
      </c>
      <c r="K1807" t="str">
        <f t="shared" si="143"/>
        <v/>
      </c>
      <c r="L1807" t="str">
        <f t="shared" si="144"/>
        <v/>
      </c>
      <c r="M1807" t="str">
        <f>IF(COUNTIF($A$2:A1807,A1807)=1,
     VLOOKUP(A1807,Season_Winners!A:B,2,FALSE),
     "")</f>
        <v/>
      </c>
      <c r="N1807" s="2"/>
    </row>
    <row r="1808" spans="1:14" x14ac:dyDescent="0.3">
      <c r="A1808" t="s">
        <v>603</v>
      </c>
      <c r="B1808">
        <v>29</v>
      </c>
      <c r="C1808" t="s">
        <v>714</v>
      </c>
      <c r="D1808" t="str">
        <f t="shared" si="140"/>
        <v>18.03.2018</v>
      </c>
      <c r="E1808" s="1">
        <v>0.67708333333333337</v>
      </c>
      <c r="F1808" t="s">
        <v>20</v>
      </c>
      <c r="G1808" t="s">
        <v>15</v>
      </c>
      <c r="H1808" t="s">
        <v>12</v>
      </c>
      <c r="I1808" t="str">
        <f t="shared" si="141"/>
        <v>2-0</v>
      </c>
      <c r="J1808" t="str">
        <f t="shared" si="142"/>
        <v>2</v>
      </c>
      <c r="K1808" t="str">
        <f t="shared" si="143"/>
        <v>0</v>
      </c>
      <c r="L1808" t="str">
        <f t="shared" si="144"/>
        <v>FC Barcelona</v>
      </c>
      <c r="M1808" t="str">
        <f>IF(COUNTIF($A$2:A1808,A1808)=1,
     VLOOKUP(A1808,Season_Winners!A:B,2,FALSE),
     "")</f>
        <v/>
      </c>
    </row>
    <row r="1809" spans="1:14" x14ac:dyDescent="0.3">
      <c r="A1809" t="s">
        <v>603</v>
      </c>
      <c r="B1809">
        <v>29</v>
      </c>
      <c r="C1809" t="s">
        <v>714</v>
      </c>
      <c r="D1809" t="str">
        <f t="shared" si="140"/>
        <v>18.03.2018</v>
      </c>
      <c r="E1809" s="1">
        <v>0.77083333333333337</v>
      </c>
      <c r="F1809" t="s">
        <v>35</v>
      </c>
      <c r="G1809" t="s">
        <v>17</v>
      </c>
      <c r="H1809" t="s">
        <v>41</v>
      </c>
      <c r="I1809" t="str">
        <f t="shared" si="141"/>
        <v>0-0</v>
      </c>
      <c r="J1809" t="str">
        <f t="shared" si="142"/>
        <v>0</v>
      </c>
      <c r="K1809" t="str">
        <f t="shared" si="143"/>
        <v>0</v>
      </c>
      <c r="L1809" t="str">
        <f t="shared" si="144"/>
        <v>Draw</v>
      </c>
      <c r="M1809" t="str">
        <f>IF(COUNTIF($A$2:A1809,A1809)=1,
     VLOOKUP(A1809,Season_Winners!A:B,2,FALSE),
     "")</f>
        <v/>
      </c>
    </row>
    <row r="1810" spans="1:14" hidden="1" x14ac:dyDescent="0.3">
      <c r="A1810" t="s">
        <v>603</v>
      </c>
      <c r="B1810">
        <v>29</v>
      </c>
      <c r="C1810" t="s">
        <v>714</v>
      </c>
      <c r="D1810" t="str">
        <f t="shared" si="140"/>
        <v>18.03.2018</v>
      </c>
      <c r="E1810" s="1">
        <v>0.77083333333333337</v>
      </c>
      <c r="F1810" t="s">
        <v>34</v>
      </c>
      <c r="G1810" t="s">
        <v>28</v>
      </c>
      <c r="H1810" s="2">
        <v>46024</v>
      </c>
      <c r="I1810" s="3" t="str">
        <f t="shared" si="141"/>
        <v/>
      </c>
      <c r="J1810" t="str">
        <f t="shared" si="142"/>
        <v/>
      </c>
      <c r="K1810" t="str">
        <f t="shared" si="143"/>
        <v/>
      </c>
      <c r="L1810" t="str">
        <f t="shared" si="144"/>
        <v/>
      </c>
      <c r="M1810" t="str">
        <f>IF(COUNTIF($A$2:A1810,A1810)=1,
     VLOOKUP(A1810,Season_Winners!A:B,2,FALSE),
     "")</f>
        <v/>
      </c>
      <c r="N1810" s="2"/>
    </row>
    <row r="1811" spans="1:14" hidden="1" x14ac:dyDescent="0.3">
      <c r="A1811" t="s">
        <v>603</v>
      </c>
      <c r="B1811">
        <v>29</v>
      </c>
      <c r="C1811" t="s">
        <v>714</v>
      </c>
      <c r="D1811" t="str">
        <f t="shared" si="140"/>
        <v>18.03.2018</v>
      </c>
      <c r="E1811" s="1">
        <v>0.86458333333333337</v>
      </c>
      <c r="F1811" t="s">
        <v>25</v>
      </c>
      <c r="G1811" t="s">
        <v>606</v>
      </c>
      <c r="H1811" s="2">
        <v>46087</v>
      </c>
      <c r="I1811" s="3" t="str">
        <f t="shared" si="141"/>
        <v/>
      </c>
      <c r="J1811" t="str">
        <f t="shared" si="142"/>
        <v/>
      </c>
      <c r="K1811" t="str">
        <f t="shared" si="143"/>
        <v/>
      </c>
      <c r="L1811" t="str">
        <f t="shared" si="144"/>
        <v/>
      </c>
      <c r="M1811" t="str">
        <f>IF(COUNTIF($A$2:A1811,A1811)=1,
     VLOOKUP(A1811,Season_Winners!A:B,2,FALSE),
     "")</f>
        <v/>
      </c>
      <c r="N1811" s="2"/>
    </row>
    <row r="1812" spans="1:14" hidden="1" x14ac:dyDescent="0.3">
      <c r="A1812" t="s">
        <v>603</v>
      </c>
      <c r="B1812">
        <v>30</v>
      </c>
      <c r="C1812" t="s">
        <v>715</v>
      </c>
      <c r="D1812" t="str">
        <f t="shared" si="140"/>
        <v>31.03.2018</v>
      </c>
      <c r="E1812" s="1">
        <v>0.54166666666666663</v>
      </c>
      <c r="F1812" t="s">
        <v>606</v>
      </c>
      <c r="G1812" t="s">
        <v>21</v>
      </c>
      <c r="H1812" s="2">
        <v>46023</v>
      </c>
      <c r="I1812" s="3" t="str">
        <f t="shared" si="141"/>
        <v/>
      </c>
      <c r="J1812" t="str">
        <f t="shared" si="142"/>
        <v/>
      </c>
      <c r="K1812" t="str">
        <f t="shared" si="143"/>
        <v/>
      </c>
      <c r="L1812" t="str">
        <f t="shared" si="144"/>
        <v/>
      </c>
      <c r="M1812" t="str">
        <f>IF(COUNTIF($A$2:A1812,A1812)=1,
     VLOOKUP(A1812,Season_Winners!A:B,2,FALSE),
     "")</f>
        <v/>
      </c>
      <c r="N1812" s="2"/>
    </row>
    <row r="1813" spans="1:14" hidden="1" x14ac:dyDescent="0.3">
      <c r="A1813" t="s">
        <v>603</v>
      </c>
      <c r="B1813">
        <v>30</v>
      </c>
      <c r="C1813" t="s">
        <v>715</v>
      </c>
      <c r="D1813" t="str">
        <f t="shared" si="140"/>
        <v>31.03.2018</v>
      </c>
      <c r="E1813" s="1">
        <v>0.67708333333333337</v>
      </c>
      <c r="F1813" t="s">
        <v>15</v>
      </c>
      <c r="G1813" t="s">
        <v>35</v>
      </c>
      <c r="H1813" s="2">
        <v>46023</v>
      </c>
      <c r="I1813" s="3" t="str">
        <f t="shared" si="141"/>
        <v/>
      </c>
      <c r="J1813" t="str">
        <f t="shared" si="142"/>
        <v/>
      </c>
      <c r="K1813" t="str">
        <f t="shared" si="143"/>
        <v/>
      </c>
      <c r="L1813" t="str">
        <f t="shared" si="144"/>
        <v/>
      </c>
      <c r="M1813" t="str">
        <f>IF(COUNTIF($A$2:A1813,A1813)=1,
     VLOOKUP(A1813,Season_Winners!A:B,2,FALSE),
     "")</f>
        <v/>
      </c>
      <c r="N1813" s="2"/>
    </row>
    <row r="1814" spans="1:14" x14ac:dyDescent="0.3">
      <c r="A1814" t="s">
        <v>603</v>
      </c>
      <c r="B1814">
        <v>30</v>
      </c>
      <c r="C1814" t="s">
        <v>715</v>
      </c>
      <c r="D1814" t="str">
        <f t="shared" si="140"/>
        <v>31.03.2018</v>
      </c>
      <c r="E1814" s="1">
        <v>0.77083333333333337</v>
      </c>
      <c r="F1814" t="s">
        <v>338</v>
      </c>
      <c r="G1814" t="s">
        <v>25</v>
      </c>
      <c r="H1814" t="s">
        <v>46</v>
      </c>
      <c r="I1814" t="str">
        <f t="shared" si="141"/>
        <v>0-3</v>
      </c>
      <c r="J1814" t="str">
        <f t="shared" si="142"/>
        <v>0</v>
      </c>
      <c r="K1814" t="str">
        <f t="shared" si="143"/>
        <v>3</v>
      </c>
      <c r="L1814" t="str">
        <f t="shared" si="144"/>
        <v>Real Madrid</v>
      </c>
      <c r="M1814" t="str">
        <f>IF(COUNTIF($A$2:A1814,A1814)=1,
     VLOOKUP(A1814,Season_Winners!A:B,2,FALSE),
     "")</f>
        <v/>
      </c>
    </row>
    <row r="1815" spans="1:14" hidden="1" x14ac:dyDescent="0.3">
      <c r="A1815" t="s">
        <v>603</v>
      </c>
      <c r="B1815">
        <v>30</v>
      </c>
      <c r="C1815" t="s">
        <v>715</v>
      </c>
      <c r="D1815" t="str">
        <f t="shared" si="140"/>
        <v>31.03.2018</v>
      </c>
      <c r="E1815" s="1">
        <v>0.86458333333333337</v>
      </c>
      <c r="F1815" t="s">
        <v>27</v>
      </c>
      <c r="G1815" t="s">
        <v>20</v>
      </c>
      <c r="H1815" s="2">
        <v>46055</v>
      </c>
      <c r="I1815" s="3" t="str">
        <f t="shared" si="141"/>
        <v/>
      </c>
      <c r="J1815" t="str">
        <f t="shared" si="142"/>
        <v/>
      </c>
      <c r="K1815" t="str">
        <f t="shared" si="143"/>
        <v/>
      </c>
      <c r="L1815" t="str">
        <f t="shared" si="144"/>
        <v/>
      </c>
      <c r="M1815" t="str">
        <f>IF(COUNTIF($A$2:A1815,A1815)=1,
     VLOOKUP(A1815,Season_Winners!A:B,2,FALSE),
     "")</f>
        <v/>
      </c>
      <c r="N1815" s="2"/>
    </row>
    <row r="1816" spans="1:14" x14ac:dyDescent="0.3">
      <c r="A1816" t="s">
        <v>603</v>
      </c>
      <c r="B1816">
        <v>30</v>
      </c>
      <c r="C1816" t="s">
        <v>716</v>
      </c>
      <c r="D1816" t="str">
        <f t="shared" si="140"/>
        <v>01.04.2018</v>
      </c>
      <c r="E1816" s="1">
        <v>0.5</v>
      </c>
      <c r="F1816" t="s">
        <v>36</v>
      </c>
      <c r="G1816" t="s">
        <v>464</v>
      </c>
      <c r="H1816" t="s">
        <v>41</v>
      </c>
      <c r="I1816" t="str">
        <f t="shared" si="141"/>
        <v>0-0</v>
      </c>
      <c r="J1816" t="str">
        <f t="shared" si="142"/>
        <v>0</v>
      </c>
      <c r="K1816" t="str">
        <f t="shared" si="143"/>
        <v>0</v>
      </c>
      <c r="L1816" t="str">
        <f t="shared" si="144"/>
        <v>Draw</v>
      </c>
      <c r="M1816" t="str">
        <f>IF(COUNTIF($A$2:A1816,A1816)=1,
     VLOOKUP(A1816,Season_Winners!A:B,2,FALSE),
     "")</f>
        <v/>
      </c>
    </row>
    <row r="1817" spans="1:14" x14ac:dyDescent="0.3">
      <c r="A1817" t="s">
        <v>603</v>
      </c>
      <c r="B1817">
        <v>30</v>
      </c>
      <c r="C1817" t="s">
        <v>716</v>
      </c>
      <c r="D1817" t="str">
        <f t="shared" si="140"/>
        <v>01.04.2018</v>
      </c>
      <c r="E1817" s="1">
        <v>0.67708333333333337</v>
      </c>
      <c r="F1817" t="s">
        <v>466</v>
      </c>
      <c r="G1817" t="s">
        <v>16</v>
      </c>
      <c r="H1817" t="s">
        <v>42</v>
      </c>
      <c r="I1817" t="str">
        <f t="shared" si="141"/>
        <v>0-1</v>
      </c>
      <c r="J1817" t="str">
        <f t="shared" si="142"/>
        <v>0</v>
      </c>
      <c r="K1817" t="str">
        <f t="shared" si="143"/>
        <v>1</v>
      </c>
      <c r="L1817" t="str">
        <f t="shared" si="144"/>
        <v>Valencia CF</v>
      </c>
      <c r="M1817" t="str">
        <f>IF(COUNTIF($A$2:A1817,A1817)=1,
     VLOOKUP(A1817,Season_Winners!A:B,2,FALSE),
     "")</f>
        <v/>
      </c>
    </row>
    <row r="1818" spans="1:14" x14ac:dyDescent="0.3">
      <c r="A1818" t="s">
        <v>603</v>
      </c>
      <c r="B1818">
        <v>30</v>
      </c>
      <c r="C1818" t="s">
        <v>716</v>
      </c>
      <c r="D1818" t="str">
        <f t="shared" si="140"/>
        <v>01.04.2018</v>
      </c>
      <c r="E1818" s="1">
        <v>0.77083333333333337</v>
      </c>
      <c r="F1818" t="s">
        <v>17</v>
      </c>
      <c r="G1818" t="s">
        <v>34</v>
      </c>
      <c r="H1818" t="s">
        <v>18</v>
      </c>
      <c r="I1818" t="str">
        <f t="shared" si="141"/>
        <v>1-0</v>
      </c>
      <c r="J1818" t="str">
        <f t="shared" si="142"/>
        <v>1</v>
      </c>
      <c r="K1818" t="str">
        <f t="shared" si="143"/>
        <v>0</v>
      </c>
      <c r="L1818" t="str">
        <f t="shared" si="144"/>
        <v>MÃ¡laga CF</v>
      </c>
      <c r="M1818" t="str">
        <f>IF(COUNTIF($A$2:A1818,A1818)=1,
     VLOOKUP(A1818,Season_Winners!A:B,2,FALSE),
     "")</f>
        <v/>
      </c>
    </row>
    <row r="1819" spans="1:14" x14ac:dyDescent="0.3">
      <c r="A1819" t="s">
        <v>603</v>
      </c>
      <c r="B1819">
        <v>30</v>
      </c>
      <c r="C1819" t="s">
        <v>716</v>
      </c>
      <c r="D1819" t="str">
        <f t="shared" si="140"/>
        <v>01.04.2018</v>
      </c>
      <c r="E1819" s="1">
        <v>0.77083333333333337</v>
      </c>
      <c r="F1819" t="s">
        <v>187</v>
      </c>
      <c r="G1819" t="s">
        <v>10</v>
      </c>
      <c r="H1819" t="s">
        <v>41</v>
      </c>
      <c r="I1819" t="str">
        <f t="shared" si="141"/>
        <v>0-0</v>
      </c>
      <c r="J1819" t="str">
        <f t="shared" si="142"/>
        <v>0</v>
      </c>
      <c r="K1819" t="str">
        <f t="shared" si="143"/>
        <v>0</v>
      </c>
      <c r="L1819" t="str">
        <f t="shared" si="144"/>
        <v>Draw</v>
      </c>
      <c r="M1819" t="str">
        <f>IF(COUNTIF($A$2:A1819,A1819)=1,
     VLOOKUP(A1819,Season_Winners!A:B,2,FALSE),
     "")</f>
        <v/>
      </c>
    </row>
    <row r="1820" spans="1:14" x14ac:dyDescent="0.3">
      <c r="A1820" t="s">
        <v>603</v>
      </c>
      <c r="B1820">
        <v>30</v>
      </c>
      <c r="C1820" t="s">
        <v>716</v>
      </c>
      <c r="D1820" t="str">
        <f t="shared" si="140"/>
        <v>01.04.2018</v>
      </c>
      <c r="E1820" s="1">
        <v>0.86458333333333337</v>
      </c>
      <c r="F1820" t="s">
        <v>1425</v>
      </c>
      <c r="G1820" t="s">
        <v>182</v>
      </c>
      <c r="H1820" t="s">
        <v>18</v>
      </c>
      <c r="I1820" t="str">
        <f t="shared" si="141"/>
        <v>1-0</v>
      </c>
      <c r="J1820" t="str">
        <f t="shared" si="142"/>
        <v>1</v>
      </c>
      <c r="K1820" t="str">
        <f t="shared" si="143"/>
        <v>0</v>
      </c>
      <c r="L1820" t="str">
        <f t="shared" si="144"/>
        <v>Atlético de Madrid</v>
      </c>
      <c r="M1820" t="str">
        <f>IF(COUNTIF($A$2:A1820,A1820)=1,
     VLOOKUP(A1820,Season_Winners!A:B,2,FALSE),
     "")</f>
        <v/>
      </c>
    </row>
    <row r="1821" spans="1:14" x14ac:dyDescent="0.3">
      <c r="A1821" t="s">
        <v>603</v>
      </c>
      <c r="B1821">
        <v>30</v>
      </c>
      <c r="C1821" t="s">
        <v>717</v>
      </c>
      <c r="D1821" t="str">
        <f t="shared" si="140"/>
        <v>02.04.2018</v>
      </c>
      <c r="E1821" s="1">
        <v>0.875</v>
      </c>
      <c r="F1821" t="s">
        <v>11</v>
      </c>
      <c r="G1821" t="s">
        <v>26</v>
      </c>
      <c r="H1821" t="s">
        <v>42</v>
      </c>
      <c r="I1821" t="str">
        <f t="shared" si="141"/>
        <v>0-1</v>
      </c>
      <c r="J1821" t="str">
        <f t="shared" si="142"/>
        <v>0</v>
      </c>
      <c r="K1821" t="str">
        <f t="shared" si="143"/>
        <v>1</v>
      </c>
      <c r="L1821" t="str">
        <f t="shared" si="144"/>
        <v>Real Betis</v>
      </c>
      <c r="M1821" t="str">
        <f>IF(COUNTIF($A$2:A1821,A1821)=1,
     VLOOKUP(A1821,Season_Winners!A:B,2,FALSE),
     "")</f>
        <v/>
      </c>
    </row>
    <row r="1822" spans="1:14" hidden="1" x14ac:dyDescent="0.3">
      <c r="A1822" t="s">
        <v>603</v>
      </c>
      <c r="B1822">
        <v>31</v>
      </c>
      <c r="C1822" t="s">
        <v>718</v>
      </c>
      <c r="D1822" t="str">
        <f t="shared" si="140"/>
        <v>06.04.2018</v>
      </c>
      <c r="E1822" s="1">
        <v>0.875</v>
      </c>
      <c r="F1822" t="s">
        <v>182</v>
      </c>
      <c r="G1822" t="s">
        <v>17</v>
      </c>
      <c r="H1822" s="2">
        <v>46056</v>
      </c>
      <c r="I1822" s="3" t="str">
        <f t="shared" si="141"/>
        <v/>
      </c>
      <c r="J1822" t="str">
        <f t="shared" si="142"/>
        <v/>
      </c>
      <c r="K1822" t="str">
        <f t="shared" si="143"/>
        <v/>
      </c>
      <c r="L1822" t="str">
        <f t="shared" si="144"/>
        <v/>
      </c>
      <c r="M1822" t="str">
        <f>IF(COUNTIF($A$2:A1822,A1822)=1,
     VLOOKUP(A1822,Season_Winners!A:B,2,FALSE),
     "")</f>
        <v/>
      </c>
      <c r="N1822" s="2"/>
    </row>
    <row r="1823" spans="1:14" x14ac:dyDescent="0.3">
      <c r="A1823" t="s">
        <v>603</v>
      </c>
      <c r="B1823">
        <v>31</v>
      </c>
      <c r="C1823" t="s">
        <v>719</v>
      </c>
      <c r="D1823" t="str">
        <f t="shared" si="140"/>
        <v>07.04.2018</v>
      </c>
      <c r="E1823" s="1">
        <v>0.54166666666666663</v>
      </c>
      <c r="F1823" t="s">
        <v>464</v>
      </c>
      <c r="G1823" t="s">
        <v>11</v>
      </c>
      <c r="H1823" t="s">
        <v>12</v>
      </c>
      <c r="I1823" t="str">
        <f t="shared" si="141"/>
        <v>2-0</v>
      </c>
      <c r="J1823" t="str">
        <f t="shared" si="142"/>
        <v>2</v>
      </c>
      <c r="K1823" t="str">
        <f t="shared" si="143"/>
        <v>0</v>
      </c>
      <c r="L1823" t="str">
        <f t="shared" si="144"/>
        <v>Deportivo AlavÃ©s</v>
      </c>
      <c r="M1823" t="str">
        <f>IF(COUNTIF($A$2:A1823,A1823)=1,
     VLOOKUP(A1823,Season_Winners!A:B,2,FALSE),
     "")</f>
        <v/>
      </c>
    </row>
    <row r="1824" spans="1:14" x14ac:dyDescent="0.3">
      <c r="A1824" t="s">
        <v>603</v>
      </c>
      <c r="B1824">
        <v>31</v>
      </c>
      <c r="C1824" t="s">
        <v>719</v>
      </c>
      <c r="D1824" t="str">
        <f t="shared" si="140"/>
        <v>07.04.2018</v>
      </c>
      <c r="E1824" s="1">
        <v>0.67708333333333337</v>
      </c>
      <c r="F1824" t="s">
        <v>35</v>
      </c>
      <c r="G1824" t="s">
        <v>27</v>
      </c>
      <c r="H1824" t="s">
        <v>88</v>
      </c>
      <c r="I1824" t="str">
        <f t="shared" si="141"/>
        <v>4-0</v>
      </c>
      <c r="J1824" t="str">
        <f t="shared" si="142"/>
        <v>4</v>
      </c>
      <c r="K1824" t="str">
        <f t="shared" si="143"/>
        <v>0</v>
      </c>
      <c r="L1824" t="str">
        <f t="shared" si="144"/>
        <v>RC Celta</v>
      </c>
      <c r="M1824" t="str">
        <f>IF(COUNTIF($A$2:A1824,A1824)=1,
     VLOOKUP(A1824,Season_Winners!A:B,2,FALSE),
     "")</f>
        <v/>
      </c>
    </row>
    <row r="1825" spans="1:14" x14ac:dyDescent="0.3">
      <c r="A1825" t="s">
        <v>603</v>
      </c>
      <c r="B1825">
        <v>31</v>
      </c>
      <c r="C1825" t="s">
        <v>719</v>
      </c>
      <c r="D1825" t="str">
        <f t="shared" si="140"/>
        <v>07.04.2018</v>
      </c>
      <c r="E1825" s="1">
        <v>0.77083333333333337</v>
      </c>
      <c r="F1825" t="s">
        <v>26</v>
      </c>
      <c r="G1825" t="s">
        <v>187</v>
      </c>
      <c r="H1825" t="s">
        <v>12</v>
      </c>
      <c r="I1825" t="str">
        <f t="shared" si="141"/>
        <v>2-0</v>
      </c>
      <c r="J1825" t="str">
        <f t="shared" si="142"/>
        <v>2</v>
      </c>
      <c r="K1825" t="str">
        <f t="shared" si="143"/>
        <v>0</v>
      </c>
      <c r="L1825" t="str">
        <f t="shared" si="144"/>
        <v>Real Betis</v>
      </c>
      <c r="M1825" t="str">
        <f>IF(COUNTIF($A$2:A1825,A1825)=1,
     VLOOKUP(A1825,Season_Winners!A:B,2,FALSE),
     "")</f>
        <v/>
      </c>
    </row>
    <row r="1826" spans="1:14" hidden="1" x14ac:dyDescent="0.3">
      <c r="A1826" t="s">
        <v>603</v>
      </c>
      <c r="B1826">
        <v>31</v>
      </c>
      <c r="C1826" t="s">
        <v>719</v>
      </c>
      <c r="D1826" t="str">
        <f t="shared" si="140"/>
        <v>07.04.2018</v>
      </c>
      <c r="E1826" s="1">
        <v>0.86458333333333337</v>
      </c>
      <c r="F1826" t="s">
        <v>20</v>
      </c>
      <c r="G1826" t="s">
        <v>466</v>
      </c>
      <c r="H1826" s="2">
        <v>46025</v>
      </c>
      <c r="I1826" s="3" t="str">
        <f t="shared" si="141"/>
        <v/>
      </c>
      <c r="J1826" t="str">
        <f t="shared" si="142"/>
        <v/>
      </c>
      <c r="K1826" t="str">
        <f t="shared" si="143"/>
        <v/>
      </c>
      <c r="L1826" t="str">
        <f t="shared" si="144"/>
        <v/>
      </c>
      <c r="M1826" t="str">
        <f>IF(COUNTIF($A$2:A1826,A1826)=1,
     VLOOKUP(A1826,Season_Winners!A:B,2,FALSE),
     "")</f>
        <v/>
      </c>
      <c r="N1826" s="2"/>
    </row>
    <row r="1827" spans="1:14" hidden="1" x14ac:dyDescent="0.3">
      <c r="A1827" t="s">
        <v>603</v>
      </c>
      <c r="B1827">
        <v>31</v>
      </c>
      <c r="C1827" t="s">
        <v>720</v>
      </c>
      <c r="D1827" t="str">
        <f t="shared" si="140"/>
        <v>08.04.2018</v>
      </c>
      <c r="E1827" s="1">
        <v>0.5</v>
      </c>
      <c r="F1827" t="s">
        <v>21</v>
      </c>
      <c r="G1827" t="s">
        <v>338</v>
      </c>
      <c r="H1827" s="2">
        <v>46024</v>
      </c>
      <c r="I1827" s="3" t="str">
        <f t="shared" si="141"/>
        <v/>
      </c>
      <c r="J1827" t="str">
        <f t="shared" si="142"/>
        <v/>
      </c>
      <c r="K1827" t="str">
        <f t="shared" si="143"/>
        <v/>
      </c>
      <c r="L1827" t="str">
        <f t="shared" si="144"/>
        <v/>
      </c>
      <c r="M1827" t="str">
        <f>IF(COUNTIF($A$2:A1827,A1827)=1,
     VLOOKUP(A1827,Season_Winners!A:B,2,FALSE),
     "")</f>
        <v/>
      </c>
      <c r="N1827" s="2"/>
    </row>
    <row r="1828" spans="1:14" hidden="1" x14ac:dyDescent="0.3">
      <c r="A1828" t="s">
        <v>603</v>
      </c>
      <c r="B1828">
        <v>31</v>
      </c>
      <c r="C1828" t="s">
        <v>720</v>
      </c>
      <c r="D1828" t="str">
        <f t="shared" si="140"/>
        <v>08.04.2018</v>
      </c>
      <c r="E1828" s="1">
        <v>0.67708333333333337</v>
      </c>
      <c r="F1828" t="s">
        <v>25</v>
      </c>
      <c r="G1828" t="s">
        <v>28</v>
      </c>
      <c r="H1828" s="2">
        <v>46023</v>
      </c>
      <c r="I1828" s="3" t="str">
        <f t="shared" si="141"/>
        <v/>
      </c>
      <c r="J1828" t="str">
        <f t="shared" si="142"/>
        <v/>
      </c>
      <c r="K1828" t="str">
        <f t="shared" si="143"/>
        <v/>
      </c>
      <c r="L1828" t="str">
        <f t="shared" si="144"/>
        <v/>
      </c>
      <c r="M1828" t="str">
        <f>IF(COUNTIF($A$2:A1828,A1828)=1,
     VLOOKUP(A1828,Season_Winners!A:B,2,FALSE),
     "")</f>
        <v/>
      </c>
      <c r="N1828" s="2"/>
    </row>
    <row r="1829" spans="1:14" x14ac:dyDescent="0.3">
      <c r="A1829" t="s">
        <v>603</v>
      </c>
      <c r="B1829">
        <v>31</v>
      </c>
      <c r="C1829" t="s">
        <v>720</v>
      </c>
      <c r="D1829" t="str">
        <f t="shared" si="140"/>
        <v>08.04.2018</v>
      </c>
      <c r="E1829" s="1">
        <v>0.77083333333333337</v>
      </c>
      <c r="F1829" t="s">
        <v>10</v>
      </c>
      <c r="G1829" t="s">
        <v>606</v>
      </c>
      <c r="H1829" t="s">
        <v>40</v>
      </c>
      <c r="I1829" t="str">
        <f t="shared" si="141"/>
        <v>5-0</v>
      </c>
      <c r="J1829" t="str">
        <f t="shared" si="142"/>
        <v>5</v>
      </c>
      <c r="K1829" t="str">
        <f t="shared" si="143"/>
        <v>0</v>
      </c>
      <c r="L1829" t="str">
        <f t="shared" si="144"/>
        <v>Real Sociedad</v>
      </c>
      <c r="M1829" t="str">
        <f>IF(COUNTIF($A$2:A1829,A1829)=1,
     VLOOKUP(A1829,Season_Winners!A:B,2,FALSE),
     "")</f>
        <v/>
      </c>
    </row>
    <row r="1830" spans="1:14" x14ac:dyDescent="0.3">
      <c r="A1830" t="s">
        <v>603</v>
      </c>
      <c r="B1830">
        <v>31</v>
      </c>
      <c r="C1830" t="s">
        <v>720</v>
      </c>
      <c r="D1830" t="str">
        <f t="shared" si="140"/>
        <v>08.04.2018</v>
      </c>
      <c r="E1830" s="1">
        <v>0.86458333333333337</v>
      </c>
      <c r="F1830" t="s">
        <v>16</v>
      </c>
      <c r="G1830" t="s">
        <v>36</v>
      </c>
      <c r="H1830" t="s">
        <v>18</v>
      </c>
      <c r="I1830" t="str">
        <f t="shared" si="141"/>
        <v>1-0</v>
      </c>
      <c r="J1830" t="str">
        <f t="shared" si="142"/>
        <v>1</v>
      </c>
      <c r="K1830" t="str">
        <f t="shared" si="143"/>
        <v>0</v>
      </c>
      <c r="L1830" t="str">
        <f t="shared" si="144"/>
        <v>Valencia CF</v>
      </c>
      <c r="M1830" t="str">
        <f>IF(COUNTIF($A$2:A1830,A1830)=1,
     VLOOKUP(A1830,Season_Winners!A:B,2,FALSE),
     "")</f>
        <v/>
      </c>
    </row>
    <row r="1831" spans="1:14" hidden="1" x14ac:dyDescent="0.3">
      <c r="A1831" t="s">
        <v>603</v>
      </c>
      <c r="B1831">
        <v>31</v>
      </c>
      <c r="C1831" t="s">
        <v>721</v>
      </c>
      <c r="D1831" t="str">
        <f t="shared" si="140"/>
        <v>09.04.2018</v>
      </c>
      <c r="E1831" s="1">
        <v>0.875</v>
      </c>
      <c r="F1831" t="s">
        <v>34</v>
      </c>
      <c r="G1831" t="s">
        <v>15</v>
      </c>
      <c r="H1831" s="2">
        <v>46082</v>
      </c>
      <c r="I1831" s="3" t="str">
        <f t="shared" si="141"/>
        <v/>
      </c>
      <c r="J1831" t="str">
        <f t="shared" si="142"/>
        <v/>
      </c>
      <c r="K1831" t="str">
        <f t="shared" si="143"/>
        <v/>
      </c>
      <c r="L1831" t="str">
        <f t="shared" si="144"/>
        <v/>
      </c>
      <c r="M1831" t="str">
        <f>IF(COUNTIF($A$2:A1831,A1831)=1,
     VLOOKUP(A1831,Season_Winners!A:B,2,FALSE),
     "")</f>
        <v/>
      </c>
      <c r="N1831" s="2"/>
    </row>
    <row r="1832" spans="1:14" x14ac:dyDescent="0.3">
      <c r="A1832" t="s">
        <v>603</v>
      </c>
      <c r="B1832">
        <v>32</v>
      </c>
      <c r="C1832" t="s">
        <v>722</v>
      </c>
      <c r="D1832" t="str">
        <f t="shared" si="140"/>
        <v>13.04.2018</v>
      </c>
      <c r="E1832" s="1">
        <v>0.875</v>
      </c>
      <c r="F1832" t="s">
        <v>606</v>
      </c>
      <c r="G1832" t="s">
        <v>26</v>
      </c>
      <c r="H1832" t="s">
        <v>42</v>
      </c>
      <c r="I1832" t="str">
        <f t="shared" si="141"/>
        <v>0-1</v>
      </c>
      <c r="J1832" t="str">
        <f t="shared" si="142"/>
        <v>0</v>
      </c>
      <c r="K1832" t="str">
        <f t="shared" si="143"/>
        <v>1</v>
      </c>
      <c r="L1832" t="str">
        <f t="shared" si="144"/>
        <v>Real Betis</v>
      </c>
      <c r="M1832" t="str">
        <f>IF(COUNTIF($A$2:A1832,A1832)=1,
     VLOOKUP(A1832,Season_Winners!A:B,2,FALSE),
     "")</f>
        <v/>
      </c>
    </row>
    <row r="1833" spans="1:14" hidden="1" x14ac:dyDescent="0.3">
      <c r="A1833" t="s">
        <v>603</v>
      </c>
      <c r="B1833">
        <v>32</v>
      </c>
      <c r="C1833" t="s">
        <v>723</v>
      </c>
      <c r="D1833" t="str">
        <f t="shared" si="140"/>
        <v>14.04.2018</v>
      </c>
      <c r="E1833" s="1">
        <v>0.54166666666666663</v>
      </c>
      <c r="F1833" t="s">
        <v>27</v>
      </c>
      <c r="G1833" t="s">
        <v>34</v>
      </c>
      <c r="H1833" s="2">
        <v>46055</v>
      </c>
      <c r="I1833" s="3" t="str">
        <f t="shared" si="141"/>
        <v/>
      </c>
      <c r="J1833" t="str">
        <f t="shared" si="142"/>
        <v/>
      </c>
      <c r="K1833" t="str">
        <f t="shared" si="143"/>
        <v/>
      </c>
      <c r="L1833" t="str">
        <f t="shared" si="144"/>
        <v/>
      </c>
      <c r="M1833" t="str">
        <f>IF(COUNTIF($A$2:A1833,A1833)=1,
     VLOOKUP(A1833,Season_Winners!A:B,2,FALSE),
     "")</f>
        <v/>
      </c>
      <c r="N1833" s="2"/>
    </row>
    <row r="1834" spans="1:14" hidden="1" x14ac:dyDescent="0.3">
      <c r="A1834" t="s">
        <v>603</v>
      </c>
      <c r="B1834">
        <v>32</v>
      </c>
      <c r="C1834" t="s">
        <v>723</v>
      </c>
      <c r="D1834" t="str">
        <f t="shared" si="140"/>
        <v>14.04.2018</v>
      </c>
      <c r="E1834" s="1">
        <v>0.67708333333333337</v>
      </c>
      <c r="F1834" t="s">
        <v>20</v>
      </c>
      <c r="G1834" t="s">
        <v>16</v>
      </c>
      <c r="H1834" s="2">
        <v>46024</v>
      </c>
      <c r="I1834" s="3" t="str">
        <f t="shared" si="141"/>
        <v/>
      </c>
      <c r="J1834" t="str">
        <f t="shared" si="142"/>
        <v/>
      </c>
      <c r="K1834" t="str">
        <f t="shared" si="143"/>
        <v/>
      </c>
      <c r="L1834" t="str">
        <f t="shared" si="144"/>
        <v/>
      </c>
      <c r="M1834" t="str">
        <f>IF(COUNTIF($A$2:A1834,A1834)=1,
     VLOOKUP(A1834,Season_Winners!A:B,2,FALSE),
     "")</f>
        <v/>
      </c>
      <c r="N1834" s="2"/>
    </row>
    <row r="1835" spans="1:14" x14ac:dyDescent="0.3">
      <c r="A1835" t="s">
        <v>603</v>
      </c>
      <c r="B1835">
        <v>32</v>
      </c>
      <c r="C1835" t="s">
        <v>723</v>
      </c>
      <c r="D1835" t="str">
        <f t="shared" si="140"/>
        <v>14.04.2018</v>
      </c>
      <c r="E1835" s="1">
        <v>0.77083333333333337</v>
      </c>
      <c r="F1835" t="s">
        <v>338</v>
      </c>
      <c r="G1835" t="s">
        <v>10</v>
      </c>
      <c r="H1835" t="s">
        <v>42</v>
      </c>
      <c r="I1835" t="str">
        <f t="shared" si="141"/>
        <v>0-1</v>
      </c>
      <c r="J1835" t="str">
        <f t="shared" si="142"/>
        <v>0</v>
      </c>
      <c r="K1835" t="str">
        <f t="shared" si="143"/>
        <v>1</v>
      </c>
      <c r="L1835" t="str">
        <f t="shared" si="144"/>
        <v>Real Sociedad</v>
      </c>
      <c r="M1835" t="str">
        <f>IF(COUNTIF($A$2:A1835,A1835)=1,
     VLOOKUP(A1835,Season_Winners!A:B,2,FALSE),
     "")</f>
        <v/>
      </c>
    </row>
    <row r="1836" spans="1:14" x14ac:dyDescent="0.3">
      <c r="A1836" t="s">
        <v>603</v>
      </c>
      <c r="B1836">
        <v>32</v>
      </c>
      <c r="C1836" t="s">
        <v>723</v>
      </c>
      <c r="D1836" t="str">
        <f t="shared" si="140"/>
        <v>14.04.2018</v>
      </c>
      <c r="E1836" s="1">
        <v>0.77083333333333337</v>
      </c>
      <c r="F1836" t="s">
        <v>466</v>
      </c>
      <c r="G1836" t="s">
        <v>35</v>
      </c>
      <c r="H1836" t="s">
        <v>18</v>
      </c>
      <c r="I1836" t="str">
        <f t="shared" si="141"/>
        <v>1-0</v>
      </c>
      <c r="J1836" t="str">
        <f t="shared" si="142"/>
        <v>1</v>
      </c>
      <c r="K1836" t="str">
        <f t="shared" si="143"/>
        <v>0</v>
      </c>
      <c r="L1836" t="str">
        <f t="shared" si="144"/>
        <v>CD LeganÃ©s</v>
      </c>
      <c r="M1836" t="str">
        <f>IF(COUNTIF($A$2:A1836,A1836)=1,
     VLOOKUP(A1836,Season_Winners!A:B,2,FALSE),
     "")</f>
        <v/>
      </c>
    </row>
    <row r="1837" spans="1:14" hidden="1" x14ac:dyDescent="0.3">
      <c r="A1837" t="s">
        <v>603</v>
      </c>
      <c r="B1837">
        <v>32</v>
      </c>
      <c r="C1837" t="s">
        <v>723</v>
      </c>
      <c r="D1837" t="str">
        <f t="shared" si="140"/>
        <v>14.04.2018</v>
      </c>
      <c r="E1837" s="1">
        <v>0.86458333333333337</v>
      </c>
      <c r="F1837" t="s">
        <v>15</v>
      </c>
      <c r="G1837" t="s">
        <v>182</v>
      </c>
      <c r="H1837" s="2">
        <v>46083</v>
      </c>
      <c r="I1837" s="3" t="str">
        <f t="shared" si="141"/>
        <v/>
      </c>
      <c r="J1837" t="str">
        <f t="shared" si="142"/>
        <v/>
      </c>
      <c r="K1837" t="str">
        <f t="shared" si="143"/>
        <v/>
      </c>
      <c r="L1837" t="str">
        <f t="shared" si="144"/>
        <v/>
      </c>
      <c r="M1837" t="str">
        <f>IF(COUNTIF($A$2:A1837,A1837)=1,
     VLOOKUP(A1837,Season_Winners!A:B,2,FALSE),
     "")</f>
        <v/>
      </c>
      <c r="N1837" s="2"/>
    </row>
    <row r="1838" spans="1:14" x14ac:dyDescent="0.3">
      <c r="A1838" t="s">
        <v>603</v>
      </c>
      <c r="B1838">
        <v>32</v>
      </c>
      <c r="C1838" t="s">
        <v>724</v>
      </c>
      <c r="D1838" t="str">
        <f t="shared" si="140"/>
        <v>15.04.2018</v>
      </c>
      <c r="E1838" s="1">
        <v>0.5</v>
      </c>
      <c r="F1838" t="s">
        <v>187</v>
      </c>
      <c r="G1838" t="s">
        <v>464</v>
      </c>
      <c r="H1838" t="s">
        <v>42</v>
      </c>
      <c r="I1838" t="str">
        <f t="shared" si="141"/>
        <v>0-1</v>
      </c>
      <c r="J1838" t="str">
        <f t="shared" si="142"/>
        <v>0</v>
      </c>
      <c r="K1838" t="str">
        <f t="shared" si="143"/>
        <v>1</v>
      </c>
      <c r="L1838" t="str">
        <f t="shared" si="144"/>
        <v>Deportivo AlavÃ©s</v>
      </c>
      <c r="M1838" t="str">
        <f>IF(COUNTIF($A$2:A1838,A1838)=1,
     VLOOKUP(A1838,Season_Winners!A:B,2,FALSE),
     "")</f>
        <v/>
      </c>
    </row>
    <row r="1839" spans="1:14" x14ac:dyDescent="0.3">
      <c r="A1839" t="s">
        <v>603</v>
      </c>
      <c r="B1839">
        <v>32</v>
      </c>
      <c r="C1839" t="s">
        <v>724</v>
      </c>
      <c r="D1839" t="str">
        <f t="shared" si="140"/>
        <v>15.04.2018</v>
      </c>
      <c r="E1839" s="1">
        <v>0.67708333333333337</v>
      </c>
      <c r="F1839" t="s">
        <v>1425</v>
      </c>
      <c r="G1839" t="s">
        <v>21</v>
      </c>
      <c r="H1839" t="s">
        <v>32</v>
      </c>
      <c r="I1839" t="str">
        <f t="shared" si="141"/>
        <v>3-0</v>
      </c>
      <c r="J1839" t="str">
        <f t="shared" si="142"/>
        <v>3</v>
      </c>
      <c r="K1839" t="str">
        <f t="shared" si="143"/>
        <v>0</v>
      </c>
      <c r="L1839" t="str">
        <f t="shared" si="144"/>
        <v>Atlético de Madrid</v>
      </c>
      <c r="M1839" t="str">
        <f>IF(COUNTIF($A$2:A1839,A1839)=1,
     VLOOKUP(A1839,Season_Winners!A:B,2,FALSE),
     "")</f>
        <v/>
      </c>
    </row>
    <row r="1840" spans="1:14" x14ac:dyDescent="0.3">
      <c r="A1840" t="s">
        <v>603</v>
      </c>
      <c r="B1840">
        <v>32</v>
      </c>
      <c r="C1840" t="s">
        <v>724</v>
      </c>
      <c r="D1840" t="str">
        <f t="shared" si="140"/>
        <v>15.04.2018</v>
      </c>
      <c r="E1840" s="1">
        <v>0.77083333333333337</v>
      </c>
      <c r="F1840" t="s">
        <v>11</v>
      </c>
      <c r="G1840" t="s">
        <v>36</v>
      </c>
      <c r="H1840" t="s">
        <v>18</v>
      </c>
      <c r="I1840" t="str">
        <f t="shared" si="141"/>
        <v>1-0</v>
      </c>
      <c r="J1840" t="str">
        <f t="shared" si="142"/>
        <v>1</v>
      </c>
      <c r="K1840" t="str">
        <f t="shared" si="143"/>
        <v>0</v>
      </c>
      <c r="L1840" t="str">
        <f t="shared" si="144"/>
        <v>Getafe CF</v>
      </c>
      <c r="M1840" t="str">
        <f>IF(COUNTIF($A$2:A1840,A1840)=1,
     VLOOKUP(A1840,Season_Winners!A:B,2,FALSE),
     "")</f>
        <v/>
      </c>
    </row>
    <row r="1841" spans="1:14" hidden="1" x14ac:dyDescent="0.3">
      <c r="A1841" t="s">
        <v>603</v>
      </c>
      <c r="B1841">
        <v>32</v>
      </c>
      <c r="C1841" t="s">
        <v>724</v>
      </c>
      <c r="D1841" t="str">
        <f t="shared" si="140"/>
        <v>15.04.2018</v>
      </c>
      <c r="E1841" s="1">
        <v>0.86458333333333337</v>
      </c>
      <c r="F1841" t="s">
        <v>17</v>
      </c>
      <c r="G1841" t="s">
        <v>25</v>
      </c>
      <c r="H1841" s="2">
        <v>46054</v>
      </c>
      <c r="I1841" s="3" t="str">
        <f t="shared" si="141"/>
        <v/>
      </c>
      <c r="J1841" t="str">
        <f t="shared" si="142"/>
        <v/>
      </c>
      <c r="K1841" t="str">
        <f t="shared" si="143"/>
        <v/>
      </c>
      <c r="L1841" t="str">
        <f t="shared" si="144"/>
        <v/>
      </c>
      <c r="M1841" t="str">
        <f>IF(COUNTIF($A$2:A1841,A1841)=1,
     VLOOKUP(A1841,Season_Winners!A:B,2,FALSE),
     "")</f>
        <v/>
      </c>
      <c r="N1841" s="2"/>
    </row>
    <row r="1842" spans="1:14" x14ac:dyDescent="0.3">
      <c r="A1842" t="s">
        <v>603</v>
      </c>
      <c r="B1842">
        <v>33</v>
      </c>
      <c r="C1842" t="s">
        <v>725</v>
      </c>
      <c r="D1842" t="str">
        <f t="shared" si="140"/>
        <v>17.04.2018</v>
      </c>
      <c r="E1842" s="1">
        <v>0.8125</v>
      </c>
      <c r="F1842" t="s">
        <v>182</v>
      </c>
      <c r="G1842" t="s">
        <v>27</v>
      </c>
      <c r="H1842" t="s">
        <v>41</v>
      </c>
      <c r="I1842" t="str">
        <f t="shared" si="141"/>
        <v>0-0</v>
      </c>
      <c r="J1842" t="str">
        <f t="shared" si="142"/>
        <v>0</v>
      </c>
      <c r="K1842" t="str">
        <f t="shared" si="143"/>
        <v>0</v>
      </c>
      <c r="L1842" t="str">
        <f t="shared" si="144"/>
        <v>Draw</v>
      </c>
      <c r="M1842" t="str">
        <f>IF(COUNTIF($A$2:A1842,A1842)=1,
     VLOOKUP(A1842,Season_Winners!A:B,2,FALSE),
     "")</f>
        <v/>
      </c>
    </row>
    <row r="1843" spans="1:14" hidden="1" x14ac:dyDescent="0.3">
      <c r="A1843" t="s">
        <v>603</v>
      </c>
      <c r="B1843">
        <v>33</v>
      </c>
      <c r="C1843" t="s">
        <v>725</v>
      </c>
      <c r="D1843" t="str">
        <f t="shared" si="140"/>
        <v>17.04.2018</v>
      </c>
      <c r="E1843" s="1">
        <v>0.875</v>
      </c>
      <c r="F1843" t="s">
        <v>35</v>
      </c>
      <c r="G1843" t="s">
        <v>20</v>
      </c>
      <c r="H1843" s="2">
        <v>46055</v>
      </c>
      <c r="I1843" s="3" t="str">
        <f t="shared" si="141"/>
        <v/>
      </c>
      <c r="J1843" t="str">
        <f t="shared" si="142"/>
        <v/>
      </c>
      <c r="K1843" t="str">
        <f t="shared" si="143"/>
        <v/>
      </c>
      <c r="L1843" t="str">
        <f t="shared" si="144"/>
        <v/>
      </c>
      <c r="M1843" t="str">
        <f>IF(COUNTIF($A$2:A1843,A1843)=1,
     VLOOKUP(A1843,Season_Winners!A:B,2,FALSE),
     "")</f>
        <v/>
      </c>
      <c r="N1843" s="2"/>
    </row>
    <row r="1844" spans="1:14" hidden="1" x14ac:dyDescent="0.3">
      <c r="A1844" t="s">
        <v>603</v>
      </c>
      <c r="B1844">
        <v>33</v>
      </c>
      <c r="C1844" t="s">
        <v>725</v>
      </c>
      <c r="D1844" t="str">
        <f t="shared" si="140"/>
        <v>17.04.2018</v>
      </c>
      <c r="E1844" s="1">
        <v>0.89583333333333337</v>
      </c>
      <c r="F1844" t="s">
        <v>34</v>
      </c>
      <c r="G1844" t="s">
        <v>466</v>
      </c>
      <c r="H1844" s="2">
        <v>46024</v>
      </c>
      <c r="I1844" s="3" t="str">
        <f t="shared" si="141"/>
        <v/>
      </c>
      <c r="J1844" t="str">
        <f t="shared" si="142"/>
        <v/>
      </c>
      <c r="K1844" t="str">
        <f t="shared" si="143"/>
        <v/>
      </c>
      <c r="L1844" t="str">
        <f t="shared" si="144"/>
        <v/>
      </c>
      <c r="M1844" t="str">
        <f>IF(COUNTIF($A$2:A1844,A1844)=1,
     VLOOKUP(A1844,Season_Winners!A:B,2,FALSE),
     "")</f>
        <v/>
      </c>
      <c r="N1844" s="2"/>
    </row>
    <row r="1845" spans="1:14" x14ac:dyDescent="0.3">
      <c r="A1845" t="s">
        <v>603</v>
      </c>
      <c r="B1845">
        <v>33</v>
      </c>
      <c r="C1845" t="s">
        <v>726</v>
      </c>
      <c r="D1845" t="str">
        <f t="shared" si="140"/>
        <v>18.04.2018</v>
      </c>
      <c r="E1845" s="1">
        <v>0.8125</v>
      </c>
      <c r="F1845" t="s">
        <v>36</v>
      </c>
      <c r="G1845" t="s">
        <v>187</v>
      </c>
      <c r="H1845" t="s">
        <v>42</v>
      </c>
      <c r="I1845" t="str">
        <f t="shared" si="141"/>
        <v>0-1</v>
      </c>
      <c r="J1845" t="str">
        <f t="shared" si="142"/>
        <v>0</v>
      </c>
      <c r="K1845" t="str">
        <f t="shared" si="143"/>
        <v>1</v>
      </c>
      <c r="L1845" t="str">
        <f t="shared" si="144"/>
        <v>SD Eibar</v>
      </c>
      <c r="M1845" t="str">
        <f>IF(COUNTIF($A$2:A1845,A1845)=1,
     VLOOKUP(A1845,Season_Winners!A:B,2,FALSE),
     "")</f>
        <v/>
      </c>
    </row>
    <row r="1846" spans="1:14" hidden="1" x14ac:dyDescent="0.3">
      <c r="A1846" t="s">
        <v>603</v>
      </c>
      <c r="B1846">
        <v>33</v>
      </c>
      <c r="C1846" t="s">
        <v>726</v>
      </c>
      <c r="D1846" t="str">
        <f t="shared" si="140"/>
        <v>18.04.2018</v>
      </c>
      <c r="E1846" s="1">
        <v>0.8125</v>
      </c>
      <c r="F1846" t="s">
        <v>16</v>
      </c>
      <c r="G1846" t="s">
        <v>11</v>
      </c>
      <c r="H1846" s="2">
        <v>46054</v>
      </c>
      <c r="I1846" s="3" t="str">
        <f t="shared" si="141"/>
        <v/>
      </c>
      <c r="J1846" t="str">
        <f t="shared" si="142"/>
        <v/>
      </c>
      <c r="K1846" t="str">
        <f t="shared" si="143"/>
        <v/>
      </c>
      <c r="L1846" t="str">
        <f t="shared" si="144"/>
        <v/>
      </c>
      <c r="M1846" t="str">
        <f>IF(COUNTIF($A$2:A1846,A1846)=1,
     VLOOKUP(A1846,Season_Winners!A:B,2,FALSE),
     "")</f>
        <v/>
      </c>
      <c r="N1846" s="2"/>
    </row>
    <row r="1847" spans="1:14" hidden="1" x14ac:dyDescent="0.3">
      <c r="A1847" t="s">
        <v>603</v>
      </c>
      <c r="B1847">
        <v>33</v>
      </c>
      <c r="C1847" t="s">
        <v>726</v>
      </c>
      <c r="D1847" t="str">
        <f t="shared" si="140"/>
        <v>18.04.2018</v>
      </c>
      <c r="E1847" s="1">
        <v>0.89583333333333337</v>
      </c>
      <c r="F1847" t="s">
        <v>25</v>
      </c>
      <c r="G1847" t="s">
        <v>15</v>
      </c>
      <c r="H1847" s="2">
        <v>46023</v>
      </c>
      <c r="I1847" s="3" t="str">
        <f t="shared" si="141"/>
        <v/>
      </c>
      <c r="J1847" t="str">
        <f t="shared" si="142"/>
        <v/>
      </c>
      <c r="K1847" t="str">
        <f t="shared" si="143"/>
        <v/>
      </c>
      <c r="L1847" t="str">
        <f t="shared" si="144"/>
        <v/>
      </c>
      <c r="M1847" t="str">
        <f>IF(COUNTIF($A$2:A1847,A1847)=1,
     VLOOKUP(A1847,Season_Winners!A:B,2,FALSE),
     "")</f>
        <v/>
      </c>
      <c r="N1847" s="2"/>
    </row>
    <row r="1848" spans="1:14" x14ac:dyDescent="0.3">
      <c r="A1848" t="s">
        <v>603</v>
      </c>
      <c r="B1848">
        <v>33</v>
      </c>
      <c r="C1848" t="s">
        <v>727</v>
      </c>
      <c r="D1848" t="str">
        <f t="shared" si="140"/>
        <v>19.04.2018</v>
      </c>
      <c r="E1848" s="1">
        <v>0.8125</v>
      </c>
      <c r="F1848" t="s">
        <v>10</v>
      </c>
      <c r="G1848" t="s">
        <v>1425</v>
      </c>
      <c r="H1848" t="s">
        <v>32</v>
      </c>
      <c r="I1848" t="str">
        <f t="shared" si="141"/>
        <v>3-0</v>
      </c>
      <c r="J1848" t="str">
        <f t="shared" si="142"/>
        <v>3</v>
      </c>
      <c r="K1848" t="str">
        <f t="shared" si="143"/>
        <v>0</v>
      </c>
      <c r="L1848" t="str">
        <f t="shared" si="144"/>
        <v>Real Sociedad</v>
      </c>
      <c r="M1848" t="str">
        <f>IF(COUNTIF($A$2:A1848,A1848)=1,
     VLOOKUP(A1848,Season_Winners!A:B,2,FALSE),
     "")</f>
        <v/>
      </c>
    </row>
    <row r="1849" spans="1:14" hidden="1" x14ac:dyDescent="0.3">
      <c r="A1849" t="s">
        <v>603</v>
      </c>
      <c r="B1849">
        <v>33</v>
      </c>
      <c r="C1849" t="s">
        <v>727</v>
      </c>
      <c r="D1849" t="str">
        <f t="shared" si="140"/>
        <v>19.04.2018</v>
      </c>
      <c r="E1849" s="1">
        <v>0.8125</v>
      </c>
      <c r="F1849" t="s">
        <v>464</v>
      </c>
      <c r="G1849" t="s">
        <v>606</v>
      </c>
      <c r="H1849" s="2">
        <v>46054</v>
      </c>
      <c r="I1849" s="3" t="str">
        <f t="shared" si="141"/>
        <v/>
      </c>
      <c r="J1849" t="str">
        <f t="shared" si="142"/>
        <v/>
      </c>
      <c r="K1849" t="str">
        <f t="shared" si="143"/>
        <v/>
      </c>
      <c r="L1849" t="str">
        <f t="shared" si="144"/>
        <v/>
      </c>
      <c r="M1849" t="str">
        <f>IF(COUNTIF($A$2:A1849,A1849)=1,
     VLOOKUP(A1849,Season_Winners!A:B,2,FALSE),
     "")</f>
        <v/>
      </c>
      <c r="N1849" s="2"/>
    </row>
    <row r="1850" spans="1:14" x14ac:dyDescent="0.3">
      <c r="A1850" t="s">
        <v>603</v>
      </c>
      <c r="B1850">
        <v>33</v>
      </c>
      <c r="C1850" t="s">
        <v>727</v>
      </c>
      <c r="D1850" t="str">
        <f t="shared" si="140"/>
        <v>19.04.2018</v>
      </c>
      <c r="E1850" s="1">
        <v>0.89583333333333337</v>
      </c>
      <c r="F1850" t="s">
        <v>26</v>
      </c>
      <c r="G1850" t="s">
        <v>338</v>
      </c>
      <c r="H1850" t="s">
        <v>18</v>
      </c>
      <c r="I1850" t="str">
        <f t="shared" si="141"/>
        <v>1-0</v>
      </c>
      <c r="J1850" t="str">
        <f t="shared" si="142"/>
        <v>1</v>
      </c>
      <c r="K1850" t="str">
        <f t="shared" si="143"/>
        <v>0</v>
      </c>
      <c r="L1850" t="str">
        <f t="shared" si="144"/>
        <v>Real Betis</v>
      </c>
      <c r="M1850" t="str">
        <f>IF(COUNTIF($A$2:A1850,A1850)=1,
     VLOOKUP(A1850,Season_Winners!A:B,2,FALSE),
     "")</f>
        <v/>
      </c>
    </row>
    <row r="1851" spans="1:14" x14ac:dyDescent="0.3">
      <c r="A1851" t="s">
        <v>603</v>
      </c>
      <c r="B1851">
        <v>33</v>
      </c>
      <c r="C1851" t="s">
        <v>727</v>
      </c>
      <c r="D1851" t="str">
        <f t="shared" si="140"/>
        <v>19.04.2018</v>
      </c>
      <c r="E1851" s="1">
        <v>0.89583333333333337</v>
      </c>
      <c r="F1851" t="s">
        <v>21</v>
      </c>
      <c r="G1851" t="s">
        <v>17</v>
      </c>
      <c r="H1851" t="s">
        <v>18</v>
      </c>
      <c r="I1851" t="str">
        <f t="shared" si="141"/>
        <v>1-0</v>
      </c>
      <c r="J1851" t="str">
        <f t="shared" si="142"/>
        <v>1</v>
      </c>
      <c r="K1851" t="str">
        <f t="shared" si="143"/>
        <v>0</v>
      </c>
      <c r="L1851" t="str">
        <f t="shared" si="144"/>
        <v>Levante UD</v>
      </c>
      <c r="M1851" t="str">
        <f>IF(COUNTIF($A$2:A1851,A1851)=1,
     VLOOKUP(A1851,Season_Winners!A:B,2,FALSE),
     "")</f>
        <v/>
      </c>
    </row>
    <row r="1852" spans="1:14" x14ac:dyDescent="0.3">
      <c r="A1852" t="s">
        <v>603</v>
      </c>
      <c r="B1852">
        <v>34</v>
      </c>
      <c r="C1852" t="s">
        <v>728</v>
      </c>
      <c r="D1852" t="str">
        <f t="shared" si="140"/>
        <v>20.04.2018</v>
      </c>
      <c r="E1852" s="1">
        <v>0.875</v>
      </c>
      <c r="F1852" t="s">
        <v>466</v>
      </c>
      <c r="G1852" t="s">
        <v>182</v>
      </c>
      <c r="H1852" t="s">
        <v>41</v>
      </c>
      <c r="I1852" t="str">
        <f t="shared" si="141"/>
        <v>0-0</v>
      </c>
      <c r="J1852" t="str">
        <f t="shared" si="142"/>
        <v>0</v>
      </c>
      <c r="K1852" t="str">
        <f t="shared" si="143"/>
        <v>0</v>
      </c>
      <c r="L1852" t="str">
        <f t="shared" si="144"/>
        <v>Draw</v>
      </c>
      <c r="M1852" t="str">
        <f>IF(COUNTIF($A$2:A1852,A1852)=1,
     VLOOKUP(A1852,Season_Winners!A:B,2,FALSE),
     "")</f>
        <v/>
      </c>
    </row>
    <row r="1853" spans="1:14" x14ac:dyDescent="0.3">
      <c r="A1853" t="s">
        <v>603</v>
      </c>
      <c r="B1853">
        <v>34</v>
      </c>
      <c r="C1853" t="s">
        <v>729</v>
      </c>
      <c r="D1853" t="str">
        <f t="shared" si="140"/>
        <v>21.04.2018</v>
      </c>
      <c r="E1853" s="1">
        <v>0.54166666666666663</v>
      </c>
      <c r="F1853" t="s">
        <v>187</v>
      </c>
      <c r="G1853" t="s">
        <v>11</v>
      </c>
      <c r="H1853" t="s">
        <v>42</v>
      </c>
      <c r="I1853" t="str">
        <f t="shared" si="141"/>
        <v>0-1</v>
      </c>
      <c r="J1853" t="str">
        <f t="shared" si="142"/>
        <v>0</v>
      </c>
      <c r="K1853" t="str">
        <f t="shared" si="143"/>
        <v>1</v>
      </c>
      <c r="L1853" t="str">
        <f t="shared" si="144"/>
        <v>Getafe CF</v>
      </c>
      <c r="M1853" t="str">
        <f>IF(COUNTIF($A$2:A1853,A1853)=1,
     VLOOKUP(A1853,Season_Winners!A:B,2,FALSE),
     "")</f>
        <v/>
      </c>
    </row>
    <row r="1854" spans="1:14" hidden="1" x14ac:dyDescent="0.3">
      <c r="A1854" t="s">
        <v>603</v>
      </c>
      <c r="B1854">
        <v>34</v>
      </c>
      <c r="C1854" t="s">
        <v>729</v>
      </c>
      <c r="D1854" t="str">
        <f t="shared" si="140"/>
        <v>21.04.2018</v>
      </c>
      <c r="E1854" s="1">
        <v>0.67708333333333337</v>
      </c>
      <c r="F1854" t="s">
        <v>35</v>
      </c>
      <c r="G1854" t="s">
        <v>16</v>
      </c>
      <c r="H1854" s="2">
        <v>46023</v>
      </c>
      <c r="I1854" s="3" t="str">
        <f t="shared" si="141"/>
        <v/>
      </c>
      <c r="J1854" t="str">
        <f t="shared" si="142"/>
        <v/>
      </c>
      <c r="K1854" t="str">
        <f t="shared" si="143"/>
        <v/>
      </c>
      <c r="L1854" t="str">
        <f t="shared" si="144"/>
        <v/>
      </c>
      <c r="M1854" t="str">
        <f>IF(COUNTIF($A$2:A1854,A1854)=1,
     VLOOKUP(A1854,Season_Winners!A:B,2,FALSE),
     "")</f>
        <v/>
      </c>
      <c r="N1854" s="2"/>
    </row>
    <row r="1855" spans="1:14" x14ac:dyDescent="0.3">
      <c r="A1855" t="s">
        <v>603</v>
      </c>
      <c r="B1855">
        <v>34</v>
      </c>
      <c r="C1855" t="s">
        <v>730</v>
      </c>
      <c r="D1855" t="str">
        <f t="shared" si="140"/>
        <v>22.04.2018</v>
      </c>
      <c r="E1855" s="1">
        <v>0.5</v>
      </c>
      <c r="F1855" t="s">
        <v>606</v>
      </c>
      <c r="G1855" t="s">
        <v>36</v>
      </c>
      <c r="H1855" t="s">
        <v>54</v>
      </c>
      <c r="I1855" t="str">
        <f t="shared" si="141"/>
        <v>0-2</v>
      </c>
      <c r="J1855" t="str">
        <f t="shared" si="142"/>
        <v>0</v>
      </c>
      <c r="K1855" t="str">
        <f t="shared" si="143"/>
        <v>2</v>
      </c>
      <c r="L1855" t="str">
        <f t="shared" si="144"/>
        <v>RCD Espanyol de Barcelona</v>
      </c>
      <c r="M1855" t="str">
        <f>IF(COUNTIF($A$2:A1855,A1855)=1,
     VLOOKUP(A1855,Season_Winners!A:B,2,FALSE),
     "")</f>
        <v/>
      </c>
    </row>
    <row r="1856" spans="1:14" x14ac:dyDescent="0.3">
      <c r="A1856" t="s">
        <v>603</v>
      </c>
      <c r="B1856">
        <v>34</v>
      </c>
      <c r="C1856" t="s">
        <v>730</v>
      </c>
      <c r="D1856" t="str">
        <f t="shared" si="140"/>
        <v>22.04.2018</v>
      </c>
      <c r="E1856" s="1">
        <v>0.67708333333333337</v>
      </c>
      <c r="F1856" t="s">
        <v>17</v>
      </c>
      <c r="G1856" t="s">
        <v>10</v>
      </c>
      <c r="H1856" t="s">
        <v>12</v>
      </c>
      <c r="I1856" t="str">
        <f t="shared" si="141"/>
        <v>2-0</v>
      </c>
      <c r="J1856" t="str">
        <f t="shared" si="142"/>
        <v>2</v>
      </c>
      <c r="K1856" t="str">
        <f t="shared" si="143"/>
        <v>0</v>
      </c>
      <c r="L1856" t="str">
        <f t="shared" si="144"/>
        <v>MÃ¡laga CF</v>
      </c>
      <c r="M1856" t="str">
        <f>IF(COUNTIF($A$2:A1856,A1856)=1,
     VLOOKUP(A1856,Season_Winners!A:B,2,FALSE),
     "")</f>
        <v/>
      </c>
    </row>
    <row r="1857" spans="1:14" x14ac:dyDescent="0.3">
      <c r="A1857" t="s">
        <v>603</v>
      </c>
      <c r="B1857">
        <v>34</v>
      </c>
      <c r="C1857" t="s">
        <v>730</v>
      </c>
      <c r="D1857" t="str">
        <f t="shared" si="140"/>
        <v>22.04.2018</v>
      </c>
      <c r="E1857" s="1">
        <v>0.77083333333333337</v>
      </c>
      <c r="F1857" t="s">
        <v>338</v>
      </c>
      <c r="G1857" t="s">
        <v>464</v>
      </c>
      <c r="H1857" t="s">
        <v>53</v>
      </c>
      <c r="I1857" t="str">
        <f t="shared" si="141"/>
        <v>0-4</v>
      </c>
      <c r="J1857" t="str">
        <f t="shared" si="142"/>
        <v>0</v>
      </c>
      <c r="K1857" t="str">
        <f t="shared" si="143"/>
        <v>4</v>
      </c>
      <c r="L1857" t="str">
        <f t="shared" si="144"/>
        <v>Deportivo AlavÃ©s</v>
      </c>
      <c r="M1857" t="str">
        <f>IF(COUNTIF($A$2:A1857,A1857)=1,
     VLOOKUP(A1857,Season_Winners!A:B,2,FALSE),
     "")</f>
        <v/>
      </c>
    </row>
    <row r="1858" spans="1:14" x14ac:dyDescent="0.3">
      <c r="A1858" t="s">
        <v>603</v>
      </c>
      <c r="B1858">
        <v>34</v>
      </c>
      <c r="C1858" t="s">
        <v>730</v>
      </c>
      <c r="D1858" t="str">
        <f t="shared" ref="D1858:D1921" si="145">RIGHT(C1858,10)</f>
        <v>22.04.2018</v>
      </c>
      <c r="E1858" s="1">
        <v>0.86458333333333337</v>
      </c>
      <c r="F1858" t="s">
        <v>1425</v>
      </c>
      <c r="G1858" t="s">
        <v>26</v>
      </c>
      <c r="H1858" t="s">
        <v>41</v>
      </c>
      <c r="I1858" t="str">
        <f t="shared" ref="I1858:I1921" si="146">IF(ISNUMBER(SEARCH("-",H1858)),H1858,"")</f>
        <v>0-0</v>
      </c>
      <c r="J1858" t="str">
        <f t="shared" ref="J1858:J1921" si="147">IF(I1858="","",LEFT(I1858,FIND("-",I1858)-1))</f>
        <v>0</v>
      </c>
      <c r="K1858" t="str">
        <f t="shared" ref="K1858:K1921" si="148">IF(I1858="","",RIGHT(I1858,LEN(I1858)-FIND("-",I1858)))</f>
        <v>0</v>
      </c>
      <c r="L1858" t="str">
        <f t="shared" ref="L1858:L1921" si="149">IF(I1858="","",IF(J1858&gt;K1858,F1858,IF(K1858&gt;J1858,G1858,"Draw")))</f>
        <v>Draw</v>
      </c>
      <c r="M1858" t="str">
        <f>IF(COUNTIF($A$2:A1858,A1858)=1,
     VLOOKUP(A1858,Season_Winners!A:B,2,FALSE),
     "")</f>
        <v/>
      </c>
    </row>
    <row r="1859" spans="1:14" hidden="1" x14ac:dyDescent="0.3">
      <c r="A1859" t="s">
        <v>603</v>
      </c>
      <c r="B1859">
        <v>34</v>
      </c>
      <c r="C1859" t="s">
        <v>731</v>
      </c>
      <c r="D1859" t="str">
        <f t="shared" si="145"/>
        <v>23.04.2018</v>
      </c>
      <c r="E1859" s="1">
        <v>0.875</v>
      </c>
      <c r="F1859" t="s">
        <v>15</v>
      </c>
      <c r="G1859" t="s">
        <v>21</v>
      </c>
      <c r="H1859" s="2">
        <v>46082</v>
      </c>
      <c r="I1859" s="3" t="str">
        <f t="shared" si="146"/>
        <v/>
      </c>
      <c r="J1859" t="str">
        <f t="shared" si="147"/>
        <v/>
      </c>
      <c r="K1859" t="str">
        <f t="shared" si="148"/>
        <v/>
      </c>
      <c r="L1859" t="str">
        <f t="shared" si="149"/>
        <v/>
      </c>
      <c r="M1859" t="str">
        <f>IF(COUNTIF($A$2:A1859,A1859)=1,
     VLOOKUP(A1859,Season_Winners!A:B,2,FALSE),
     "")</f>
        <v/>
      </c>
      <c r="N1859" s="2"/>
    </row>
    <row r="1860" spans="1:14" hidden="1" x14ac:dyDescent="0.3">
      <c r="A1860" t="s">
        <v>603</v>
      </c>
      <c r="B1860">
        <v>34</v>
      </c>
      <c r="C1860" t="s">
        <v>732</v>
      </c>
      <c r="D1860" t="str">
        <f t="shared" si="145"/>
        <v>09.05.2018</v>
      </c>
      <c r="E1860" s="1">
        <v>0.83333333333333337</v>
      </c>
      <c r="F1860" t="s">
        <v>20</v>
      </c>
      <c r="G1860" t="s">
        <v>34</v>
      </c>
      <c r="H1860" s="2">
        <v>46027</v>
      </c>
      <c r="I1860" s="3" t="str">
        <f t="shared" si="146"/>
        <v/>
      </c>
      <c r="J1860" t="str">
        <f t="shared" si="147"/>
        <v/>
      </c>
      <c r="K1860" t="str">
        <f t="shared" si="148"/>
        <v/>
      </c>
      <c r="L1860" t="str">
        <f t="shared" si="149"/>
        <v/>
      </c>
      <c r="M1860" t="str">
        <f>IF(COUNTIF($A$2:A1860,A1860)=1,
     VLOOKUP(A1860,Season_Winners!A:B,2,FALSE),
     "")</f>
        <v/>
      </c>
      <c r="N1860" s="2"/>
    </row>
    <row r="1861" spans="1:14" hidden="1" x14ac:dyDescent="0.3">
      <c r="A1861" t="s">
        <v>603</v>
      </c>
      <c r="B1861">
        <v>34</v>
      </c>
      <c r="C1861" t="s">
        <v>732</v>
      </c>
      <c r="D1861" t="str">
        <f t="shared" si="145"/>
        <v>09.05.2018</v>
      </c>
      <c r="E1861" s="1">
        <v>0.89583333333333337</v>
      </c>
      <c r="F1861" t="s">
        <v>27</v>
      </c>
      <c r="G1861" t="s">
        <v>25</v>
      </c>
      <c r="H1861" s="2">
        <v>46056</v>
      </c>
      <c r="I1861" s="3" t="str">
        <f t="shared" si="146"/>
        <v/>
      </c>
      <c r="J1861" t="str">
        <f t="shared" si="147"/>
        <v/>
      </c>
      <c r="K1861" t="str">
        <f t="shared" si="148"/>
        <v/>
      </c>
      <c r="L1861" t="str">
        <f t="shared" si="149"/>
        <v/>
      </c>
      <c r="M1861" t="str">
        <f>IF(COUNTIF($A$2:A1861,A1861)=1,
     VLOOKUP(A1861,Season_Winners!A:B,2,FALSE),
     "")</f>
        <v/>
      </c>
      <c r="N1861" s="2"/>
    </row>
    <row r="1862" spans="1:14" hidden="1" x14ac:dyDescent="0.3">
      <c r="A1862" t="s">
        <v>603</v>
      </c>
      <c r="B1862">
        <v>35</v>
      </c>
      <c r="C1862" t="s">
        <v>733</v>
      </c>
      <c r="D1862" t="str">
        <f t="shared" si="145"/>
        <v>27.04.2018</v>
      </c>
      <c r="E1862" s="1">
        <v>0.875</v>
      </c>
      <c r="F1862" t="s">
        <v>21</v>
      </c>
      <c r="G1862" t="s">
        <v>27</v>
      </c>
      <c r="H1862" s="2">
        <v>46024</v>
      </c>
      <c r="I1862" s="3" t="str">
        <f t="shared" si="146"/>
        <v/>
      </c>
      <c r="J1862" t="str">
        <f t="shared" si="147"/>
        <v/>
      </c>
      <c r="K1862" t="str">
        <f t="shared" si="148"/>
        <v/>
      </c>
      <c r="L1862" t="str">
        <f t="shared" si="149"/>
        <v/>
      </c>
      <c r="M1862" t="str">
        <f>IF(COUNTIF($A$2:A1862,A1862)=1,
     VLOOKUP(A1862,Season_Winners!A:B,2,FALSE),
     "")</f>
        <v/>
      </c>
      <c r="N1862" s="2"/>
    </row>
    <row r="1863" spans="1:14" hidden="1" x14ac:dyDescent="0.3">
      <c r="A1863" t="s">
        <v>603</v>
      </c>
      <c r="B1863">
        <v>35</v>
      </c>
      <c r="C1863" t="s">
        <v>734</v>
      </c>
      <c r="D1863" t="str">
        <f t="shared" si="145"/>
        <v>28.04.2018</v>
      </c>
      <c r="E1863" s="1">
        <v>0.54166666666666663</v>
      </c>
      <c r="F1863" t="s">
        <v>36</v>
      </c>
      <c r="G1863" t="s">
        <v>338</v>
      </c>
      <c r="H1863" s="2">
        <v>46023</v>
      </c>
      <c r="I1863" s="3" t="str">
        <f t="shared" si="146"/>
        <v/>
      </c>
      <c r="J1863" t="str">
        <f t="shared" si="147"/>
        <v/>
      </c>
      <c r="K1863" t="str">
        <f t="shared" si="148"/>
        <v/>
      </c>
      <c r="L1863" t="str">
        <f t="shared" si="149"/>
        <v/>
      </c>
      <c r="M1863" t="str">
        <f>IF(COUNTIF($A$2:A1863,A1863)=1,
     VLOOKUP(A1863,Season_Winners!A:B,2,FALSE),
     "")</f>
        <v/>
      </c>
      <c r="N1863" s="2"/>
    </row>
    <row r="1864" spans="1:14" hidden="1" x14ac:dyDescent="0.3">
      <c r="A1864" t="s">
        <v>603</v>
      </c>
      <c r="B1864">
        <v>35</v>
      </c>
      <c r="C1864" t="s">
        <v>734</v>
      </c>
      <c r="D1864" t="str">
        <f t="shared" si="145"/>
        <v>28.04.2018</v>
      </c>
      <c r="E1864" s="1">
        <v>0.67708333333333337</v>
      </c>
      <c r="F1864" t="s">
        <v>10</v>
      </c>
      <c r="G1864" t="s">
        <v>15</v>
      </c>
      <c r="H1864" s="2">
        <v>46025</v>
      </c>
      <c r="I1864" s="3" t="str">
        <f t="shared" si="146"/>
        <v/>
      </c>
      <c r="J1864" t="str">
        <f t="shared" si="147"/>
        <v/>
      </c>
      <c r="K1864" t="str">
        <f t="shared" si="148"/>
        <v/>
      </c>
      <c r="L1864" t="str">
        <f t="shared" si="149"/>
        <v/>
      </c>
      <c r="M1864" t="str">
        <f>IF(COUNTIF($A$2:A1864,A1864)=1,
     VLOOKUP(A1864,Season_Winners!A:B,2,FALSE),
     "")</f>
        <v/>
      </c>
      <c r="N1864" s="2"/>
    </row>
    <row r="1865" spans="1:14" hidden="1" x14ac:dyDescent="0.3">
      <c r="A1865" t="s">
        <v>603</v>
      </c>
      <c r="B1865">
        <v>35</v>
      </c>
      <c r="C1865" t="s">
        <v>734</v>
      </c>
      <c r="D1865" t="str">
        <f t="shared" si="145"/>
        <v>28.04.2018</v>
      </c>
      <c r="E1865" s="1">
        <v>0.77083333333333337</v>
      </c>
      <c r="F1865" t="s">
        <v>25</v>
      </c>
      <c r="G1865" t="s">
        <v>466</v>
      </c>
      <c r="H1865" s="2">
        <v>46024</v>
      </c>
      <c r="I1865" s="3" t="str">
        <f t="shared" si="146"/>
        <v/>
      </c>
      <c r="J1865" t="str">
        <f t="shared" si="147"/>
        <v/>
      </c>
      <c r="K1865" t="str">
        <f t="shared" si="148"/>
        <v/>
      </c>
      <c r="L1865" t="str">
        <f t="shared" si="149"/>
        <v/>
      </c>
      <c r="M1865" t="str">
        <f>IF(COUNTIF($A$2:A1865,A1865)=1,
     VLOOKUP(A1865,Season_Winners!A:B,2,FALSE),
     "")</f>
        <v/>
      </c>
      <c r="N1865" s="2"/>
    </row>
    <row r="1866" spans="1:14" hidden="1" x14ac:dyDescent="0.3">
      <c r="A1866" t="s">
        <v>603</v>
      </c>
      <c r="B1866">
        <v>35</v>
      </c>
      <c r="C1866" t="s">
        <v>734</v>
      </c>
      <c r="D1866" t="str">
        <f t="shared" si="145"/>
        <v>28.04.2018</v>
      </c>
      <c r="E1866" s="1">
        <v>0.86458333333333337</v>
      </c>
      <c r="F1866" t="s">
        <v>34</v>
      </c>
      <c r="G1866" t="s">
        <v>35</v>
      </c>
      <c r="H1866" s="2">
        <v>46026</v>
      </c>
      <c r="I1866" s="3" t="str">
        <f t="shared" si="146"/>
        <v/>
      </c>
      <c r="J1866" t="str">
        <f t="shared" si="147"/>
        <v/>
      </c>
      <c r="K1866" t="str">
        <f t="shared" si="148"/>
        <v/>
      </c>
      <c r="L1866" t="str">
        <f t="shared" si="149"/>
        <v/>
      </c>
      <c r="M1866" t="str">
        <f>IF(COUNTIF($A$2:A1866,A1866)=1,
     VLOOKUP(A1866,Season_Winners!A:B,2,FALSE),
     "")</f>
        <v/>
      </c>
      <c r="N1866" s="2"/>
    </row>
    <row r="1867" spans="1:14" hidden="1" x14ac:dyDescent="0.3">
      <c r="A1867" t="s">
        <v>603</v>
      </c>
      <c r="B1867">
        <v>35</v>
      </c>
      <c r="C1867" t="s">
        <v>735</v>
      </c>
      <c r="D1867" t="str">
        <f t="shared" si="145"/>
        <v>29.04.2018</v>
      </c>
      <c r="E1867" s="1">
        <v>0.5</v>
      </c>
      <c r="F1867" t="s">
        <v>11</v>
      </c>
      <c r="G1867" t="s">
        <v>606</v>
      </c>
      <c r="H1867" s="2">
        <v>46023</v>
      </c>
      <c r="I1867" s="3" t="str">
        <f t="shared" si="146"/>
        <v/>
      </c>
      <c r="J1867" t="str">
        <f t="shared" si="147"/>
        <v/>
      </c>
      <c r="K1867" t="str">
        <f t="shared" si="148"/>
        <v/>
      </c>
      <c r="L1867" t="str">
        <f t="shared" si="149"/>
        <v/>
      </c>
      <c r="M1867" t="str">
        <f>IF(COUNTIF($A$2:A1867,A1867)=1,
     VLOOKUP(A1867,Season_Winners!A:B,2,FALSE),
     "")</f>
        <v/>
      </c>
      <c r="N1867" s="2"/>
    </row>
    <row r="1868" spans="1:14" x14ac:dyDescent="0.3">
      <c r="A1868" t="s">
        <v>603</v>
      </c>
      <c r="B1868">
        <v>35</v>
      </c>
      <c r="C1868" t="s">
        <v>735</v>
      </c>
      <c r="D1868" t="str">
        <f t="shared" si="145"/>
        <v>29.04.2018</v>
      </c>
      <c r="E1868" s="1">
        <v>0.67708333333333337</v>
      </c>
      <c r="F1868" t="s">
        <v>464</v>
      </c>
      <c r="G1868" t="s">
        <v>1425</v>
      </c>
      <c r="H1868" t="s">
        <v>42</v>
      </c>
      <c r="I1868" t="str">
        <f t="shared" si="146"/>
        <v>0-1</v>
      </c>
      <c r="J1868" t="str">
        <f t="shared" si="147"/>
        <v>0</v>
      </c>
      <c r="K1868" t="str">
        <f t="shared" si="148"/>
        <v>1</v>
      </c>
      <c r="L1868" t="str">
        <f t="shared" si="149"/>
        <v>Atlético de Madrid</v>
      </c>
      <c r="M1868" t="str">
        <f>IF(COUNTIF($A$2:A1868,A1868)=1,
     VLOOKUP(A1868,Season_Winners!A:B,2,FALSE),
     "")</f>
        <v/>
      </c>
    </row>
    <row r="1869" spans="1:14" x14ac:dyDescent="0.3">
      <c r="A1869" t="s">
        <v>603</v>
      </c>
      <c r="B1869">
        <v>35</v>
      </c>
      <c r="C1869" t="s">
        <v>735</v>
      </c>
      <c r="D1869" t="str">
        <f t="shared" si="145"/>
        <v>29.04.2018</v>
      </c>
      <c r="E1869" s="1">
        <v>0.77083333333333337</v>
      </c>
      <c r="F1869" t="s">
        <v>16</v>
      </c>
      <c r="G1869" t="s">
        <v>187</v>
      </c>
      <c r="H1869" t="s">
        <v>41</v>
      </c>
      <c r="I1869" t="str">
        <f t="shared" si="146"/>
        <v>0-0</v>
      </c>
      <c r="J1869" t="str">
        <f t="shared" si="147"/>
        <v>0</v>
      </c>
      <c r="K1869" t="str">
        <f t="shared" si="148"/>
        <v>0</v>
      </c>
      <c r="L1869" t="str">
        <f t="shared" si="149"/>
        <v>Draw</v>
      </c>
      <c r="M1869" t="str">
        <f>IF(COUNTIF($A$2:A1869,A1869)=1,
     VLOOKUP(A1869,Season_Winners!A:B,2,FALSE),
     "")</f>
        <v/>
      </c>
    </row>
    <row r="1870" spans="1:14" hidden="1" x14ac:dyDescent="0.3">
      <c r="A1870" t="s">
        <v>603</v>
      </c>
      <c r="B1870">
        <v>35</v>
      </c>
      <c r="C1870" t="s">
        <v>735</v>
      </c>
      <c r="D1870" t="str">
        <f t="shared" si="145"/>
        <v>29.04.2018</v>
      </c>
      <c r="E1870" s="1">
        <v>0.86458333333333337</v>
      </c>
      <c r="F1870" t="s">
        <v>182</v>
      </c>
      <c r="G1870" t="s">
        <v>20</v>
      </c>
      <c r="H1870" s="2">
        <v>46114</v>
      </c>
      <c r="I1870" s="3" t="str">
        <f t="shared" si="146"/>
        <v/>
      </c>
      <c r="J1870" t="str">
        <f t="shared" si="147"/>
        <v/>
      </c>
      <c r="K1870" t="str">
        <f t="shared" si="148"/>
        <v/>
      </c>
      <c r="L1870" t="str">
        <f t="shared" si="149"/>
        <v/>
      </c>
      <c r="M1870" t="str">
        <f>IF(COUNTIF($A$2:A1870,A1870)=1,
     VLOOKUP(A1870,Season_Winners!A:B,2,FALSE),
     "")</f>
        <v/>
      </c>
      <c r="N1870" s="2"/>
    </row>
    <row r="1871" spans="1:14" hidden="1" x14ac:dyDescent="0.3">
      <c r="A1871" t="s">
        <v>603</v>
      </c>
      <c r="B1871">
        <v>35</v>
      </c>
      <c r="C1871" t="s">
        <v>736</v>
      </c>
      <c r="D1871" t="str">
        <f t="shared" si="145"/>
        <v>30.04.2018</v>
      </c>
      <c r="E1871" s="1">
        <v>0.875</v>
      </c>
      <c r="F1871" t="s">
        <v>26</v>
      </c>
      <c r="G1871" t="s">
        <v>17</v>
      </c>
      <c r="H1871" s="2">
        <v>46024</v>
      </c>
      <c r="I1871" s="3" t="str">
        <f t="shared" si="146"/>
        <v/>
      </c>
      <c r="J1871" t="str">
        <f t="shared" si="147"/>
        <v/>
      </c>
      <c r="K1871" t="str">
        <f t="shared" si="148"/>
        <v/>
      </c>
      <c r="L1871" t="str">
        <f t="shared" si="149"/>
        <v/>
      </c>
      <c r="M1871" t="str">
        <f>IF(COUNTIF($A$2:A1871,A1871)=1,
     VLOOKUP(A1871,Season_Winners!A:B,2,FALSE),
     "")</f>
        <v/>
      </c>
      <c r="N1871" s="2"/>
    </row>
    <row r="1872" spans="1:14" x14ac:dyDescent="0.3">
      <c r="A1872" t="s">
        <v>603</v>
      </c>
      <c r="B1872">
        <v>36</v>
      </c>
      <c r="C1872" t="s">
        <v>737</v>
      </c>
      <c r="D1872" t="str">
        <f t="shared" si="145"/>
        <v>04.05.2018</v>
      </c>
      <c r="E1872" s="1">
        <v>0.875</v>
      </c>
      <c r="F1872" t="s">
        <v>27</v>
      </c>
      <c r="G1872" t="s">
        <v>10</v>
      </c>
      <c r="H1872" t="s">
        <v>18</v>
      </c>
      <c r="I1872" t="str">
        <f t="shared" si="146"/>
        <v>1-0</v>
      </c>
      <c r="J1872" t="str">
        <f t="shared" si="147"/>
        <v>1</v>
      </c>
      <c r="K1872" t="str">
        <f t="shared" si="148"/>
        <v>0</v>
      </c>
      <c r="L1872" t="str">
        <f t="shared" si="149"/>
        <v>Sevilla FC</v>
      </c>
      <c r="M1872" t="str">
        <f>IF(COUNTIF($A$2:A1872,A1872)=1,
     VLOOKUP(A1872,Season_Winners!A:B,2,FALSE),
     "")</f>
        <v/>
      </c>
    </row>
    <row r="1873" spans="1:14" hidden="1" x14ac:dyDescent="0.3">
      <c r="A1873" t="s">
        <v>603</v>
      </c>
      <c r="B1873">
        <v>36</v>
      </c>
      <c r="C1873" t="s">
        <v>738</v>
      </c>
      <c r="D1873" t="str">
        <f t="shared" si="145"/>
        <v>05.05.2018</v>
      </c>
      <c r="E1873" s="1">
        <v>0.54166666666666663</v>
      </c>
      <c r="F1873" t="s">
        <v>606</v>
      </c>
      <c r="G1873" t="s">
        <v>187</v>
      </c>
      <c r="H1873" s="2">
        <v>46113</v>
      </c>
      <c r="I1873" s="3" t="str">
        <f t="shared" si="146"/>
        <v/>
      </c>
      <c r="J1873" t="str">
        <f t="shared" si="147"/>
        <v/>
      </c>
      <c r="K1873" t="str">
        <f t="shared" si="148"/>
        <v/>
      </c>
      <c r="L1873" t="str">
        <f t="shared" si="149"/>
        <v/>
      </c>
      <c r="M1873" t="str">
        <f>IF(COUNTIF($A$2:A1873,A1873)=1,
     VLOOKUP(A1873,Season_Winners!A:B,2,FALSE),
     "")</f>
        <v/>
      </c>
      <c r="N1873" s="2"/>
    </row>
    <row r="1874" spans="1:14" x14ac:dyDescent="0.3">
      <c r="A1874" t="s">
        <v>603</v>
      </c>
      <c r="B1874">
        <v>36</v>
      </c>
      <c r="C1874" t="s">
        <v>738</v>
      </c>
      <c r="D1874" t="str">
        <f t="shared" si="145"/>
        <v>05.05.2018</v>
      </c>
      <c r="E1874" s="1">
        <v>0.67708333333333337</v>
      </c>
      <c r="F1874" t="s">
        <v>15</v>
      </c>
      <c r="G1874" t="s">
        <v>26</v>
      </c>
      <c r="H1874" t="s">
        <v>12</v>
      </c>
      <c r="I1874" t="str">
        <f t="shared" si="146"/>
        <v>2-0</v>
      </c>
      <c r="J1874" t="str">
        <f t="shared" si="147"/>
        <v>2</v>
      </c>
      <c r="K1874" t="str">
        <f t="shared" si="148"/>
        <v>0</v>
      </c>
      <c r="L1874" t="str">
        <f t="shared" si="149"/>
        <v>Athletic Club</v>
      </c>
      <c r="M1874" t="str">
        <f>IF(COUNTIF($A$2:A1874,A1874)=1,
     VLOOKUP(A1874,Season_Winners!A:B,2,FALSE),
     "")</f>
        <v/>
      </c>
    </row>
    <row r="1875" spans="1:14" hidden="1" x14ac:dyDescent="0.3">
      <c r="A1875" t="s">
        <v>603</v>
      </c>
      <c r="B1875">
        <v>36</v>
      </c>
      <c r="C1875" t="s">
        <v>738</v>
      </c>
      <c r="D1875" t="str">
        <f t="shared" si="145"/>
        <v>05.05.2018</v>
      </c>
      <c r="E1875" s="1">
        <v>0.77083333333333337</v>
      </c>
      <c r="F1875" t="s">
        <v>35</v>
      </c>
      <c r="G1875" t="s">
        <v>182</v>
      </c>
      <c r="H1875" s="2">
        <v>46023</v>
      </c>
      <c r="I1875" s="3" t="str">
        <f t="shared" si="146"/>
        <v/>
      </c>
      <c r="J1875" t="str">
        <f t="shared" si="147"/>
        <v/>
      </c>
      <c r="K1875" t="str">
        <f t="shared" si="148"/>
        <v/>
      </c>
      <c r="L1875" t="str">
        <f t="shared" si="149"/>
        <v/>
      </c>
      <c r="M1875" t="str">
        <f>IF(COUNTIF($A$2:A1875,A1875)=1,
     VLOOKUP(A1875,Season_Winners!A:B,2,FALSE),
     "")</f>
        <v/>
      </c>
      <c r="N1875" s="2"/>
    </row>
    <row r="1876" spans="1:14" x14ac:dyDescent="0.3">
      <c r="A1876" t="s">
        <v>603</v>
      </c>
      <c r="B1876">
        <v>36</v>
      </c>
      <c r="C1876" t="s">
        <v>738</v>
      </c>
      <c r="D1876" t="str">
        <f t="shared" si="145"/>
        <v>05.05.2018</v>
      </c>
      <c r="E1876" s="1">
        <v>0.86458333333333337</v>
      </c>
      <c r="F1876" t="s">
        <v>34</v>
      </c>
      <c r="G1876" t="s">
        <v>16</v>
      </c>
      <c r="H1876" t="s">
        <v>18</v>
      </c>
      <c r="I1876" t="str">
        <f t="shared" si="146"/>
        <v>1-0</v>
      </c>
      <c r="J1876" t="str">
        <f t="shared" si="147"/>
        <v>1</v>
      </c>
      <c r="K1876" t="str">
        <f t="shared" si="148"/>
        <v>0</v>
      </c>
      <c r="L1876" t="str">
        <f t="shared" si="149"/>
        <v>Villarreal CF</v>
      </c>
      <c r="M1876" t="str">
        <f>IF(COUNTIF($A$2:A1876,A1876)=1,
     VLOOKUP(A1876,Season_Winners!A:B,2,FALSE),
     "")</f>
        <v/>
      </c>
    </row>
    <row r="1877" spans="1:14" x14ac:dyDescent="0.3">
      <c r="A1877" t="s">
        <v>603</v>
      </c>
      <c r="B1877">
        <v>36</v>
      </c>
      <c r="C1877" t="s">
        <v>739</v>
      </c>
      <c r="D1877" t="str">
        <f t="shared" si="145"/>
        <v>06.05.2018</v>
      </c>
      <c r="E1877" s="1">
        <v>0.5</v>
      </c>
      <c r="F1877" t="s">
        <v>17</v>
      </c>
      <c r="G1877" t="s">
        <v>464</v>
      </c>
      <c r="H1877" t="s">
        <v>46</v>
      </c>
      <c r="I1877" t="str">
        <f t="shared" si="146"/>
        <v>0-3</v>
      </c>
      <c r="J1877" t="str">
        <f t="shared" si="147"/>
        <v>0</v>
      </c>
      <c r="K1877" t="str">
        <f t="shared" si="148"/>
        <v>3</v>
      </c>
      <c r="L1877" t="str">
        <f t="shared" si="149"/>
        <v>Deportivo AlavÃ©s</v>
      </c>
      <c r="M1877" t="str">
        <f>IF(COUNTIF($A$2:A1877,A1877)=1,
     VLOOKUP(A1877,Season_Winners!A:B,2,FALSE),
     "")</f>
        <v/>
      </c>
    </row>
    <row r="1878" spans="1:14" x14ac:dyDescent="0.3">
      <c r="A1878" t="s">
        <v>603</v>
      </c>
      <c r="B1878">
        <v>36</v>
      </c>
      <c r="C1878" t="s">
        <v>739</v>
      </c>
      <c r="D1878" t="str">
        <f t="shared" si="145"/>
        <v>06.05.2018</v>
      </c>
      <c r="E1878" s="1">
        <v>0.67708333333333337</v>
      </c>
      <c r="F1878" t="s">
        <v>1425</v>
      </c>
      <c r="G1878" t="s">
        <v>36</v>
      </c>
      <c r="H1878" t="s">
        <v>54</v>
      </c>
      <c r="I1878" t="str">
        <f t="shared" si="146"/>
        <v>0-2</v>
      </c>
      <c r="J1878" t="str">
        <f t="shared" si="147"/>
        <v>0</v>
      </c>
      <c r="K1878" t="str">
        <f t="shared" si="148"/>
        <v>2</v>
      </c>
      <c r="L1878" t="str">
        <f t="shared" si="149"/>
        <v>RCD Espanyol de Barcelona</v>
      </c>
      <c r="M1878" t="str">
        <f>IF(COUNTIF($A$2:A1878,A1878)=1,
     VLOOKUP(A1878,Season_Winners!A:B,2,FALSE),
     "")</f>
        <v/>
      </c>
    </row>
    <row r="1879" spans="1:14" x14ac:dyDescent="0.3">
      <c r="A1879" t="s">
        <v>603</v>
      </c>
      <c r="B1879">
        <v>36</v>
      </c>
      <c r="C1879" t="s">
        <v>739</v>
      </c>
      <c r="D1879" t="str">
        <f t="shared" si="145"/>
        <v>06.05.2018</v>
      </c>
      <c r="E1879" s="1">
        <v>0.77083333333333337</v>
      </c>
      <c r="F1879" t="s">
        <v>338</v>
      </c>
      <c r="G1879" t="s">
        <v>11</v>
      </c>
      <c r="H1879" t="s">
        <v>42</v>
      </c>
      <c r="I1879" t="str">
        <f t="shared" si="146"/>
        <v>0-1</v>
      </c>
      <c r="J1879" t="str">
        <f t="shared" si="147"/>
        <v>0</v>
      </c>
      <c r="K1879" t="str">
        <f t="shared" si="148"/>
        <v>1</v>
      </c>
      <c r="L1879" t="str">
        <f t="shared" si="149"/>
        <v>Getafe CF</v>
      </c>
      <c r="M1879" t="str">
        <f>IF(COUNTIF($A$2:A1879,A1879)=1,
     VLOOKUP(A1879,Season_Winners!A:B,2,FALSE),
     "")</f>
        <v/>
      </c>
    </row>
    <row r="1880" spans="1:14" hidden="1" x14ac:dyDescent="0.3">
      <c r="A1880" t="s">
        <v>603</v>
      </c>
      <c r="B1880">
        <v>36</v>
      </c>
      <c r="C1880" t="s">
        <v>739</v>
      </c>
      <c r="D1880" t="str">
        <f t="shared" si="145"/>
        <v>06.05.2018</v>
      </c>
      <c r="E1880" s="1">
        <v>0.86458333333333337</v>
      </c>
      <c r="F1880" t="s">
        <v>20</v>
      </c>
      <c r="G1880" t="s">
        <v>25</v>
      </c>
      <c r="H1880" s="2">
        <v>46055</v>
      </c>
      <c r="I1880" s="3" t="str">
        <f t="shared" si="146"/>
        <v/>
      </c>
      <c r="J1880" t="str">
        <f t="shared" si="147"/>
        <v/>
      </c>
      <c r="K1880" t="str">
        <f t="shared" si="148"/>
        <v/>
      </c>
      <c r="L1880" t="str">
        <f t="shared" si="149"/>
        <v/>
      </c>
      <c r="M1880" t="str">
        <f>IF(COUNTIF($A$2:A1880,A1880)=1,
     VLOOKUP(A1880,Season_Winners!A:B,2,FALSE),
     "")</f>
        <v/>
      </c>
      <c r="N1880" s="2"/>
    </row>
    <row r="1881" spans="1:14" x14ac:dyDescent="0.3">
      <c r="A1881" t="s">
        <v>603</v>
      </c>
      <c r="B1881">
        <v>36</v>
      </c>
      <c r="C1881" t="s">
        <v>740</v>
      </c>
      <c r="D1881" t="str">
        <f t="shared" si="145"/>
        <v>07.05.2018</v>
      </c>
      <c r="E1881" s="1">
        <v>0.875</v>
      </c>
      <c r="F1881" t="s">
        <v>466</v>
      </c>
      <c r="G1881" t="s">
        <v>21</v>
      </c>
      <c r="H1881" t="s">
        <v>46</v>
      </c>
      <c r="I1881" t="str">
        <f t="shared" si="146"/>
        <v>0-3</v>
      </c>
      <c r="J1881" t="str">
        <f t="shared" si="147"/>
        <v>0</v>
      </c>
      <c r="K1881" t="str">
        <f t="shared" si="148"/>
        <v>3</v>
      </c>
      <c r="L1881" t="str">
        <f t="shared" si="149"/>
        <v>Levante UD</v>
      </c>
      <c r="M1881" t="str">
        <f>IF(COUNTIF($A$2:A1881,A1881)=1,
     VLOOKUP(A1881,Season_Winners!A:B,2,FALSE),
     "")</f>
        <v/>
      </c>
    </row>
    <row r="1882" spans="1:14" hidden="1" x14ac:dyDescent="0.3">
      <c r="A1882" t="s">
        <v>603</v>
      </c>
      <c r="B1882">
        <v>37</v>
      </c>
      <c r="C1882" t="s">
        <v>741</v>
      </c>
      <c r="D1882" t="str">
        <f t="shared" si="145"/>
        <v>12.05.2018</v>
      </c>
      <c r="E1882" s="1">
        <v>0.67708333333333337</v>
      </c>
      <c r="F1882" t="s">
        <v>10</v>
      </c>
      <c r="G1882" t="s">
        <v>466</v>
      </c>
      <c r="H1882" s="2">
        <v>46056</v>
      </c>
      <c r="I1882" s="3" t="str">
        <f t="shared" si="146"/>
        <v/>
      </c>
      <c r="J1882" t="str">
        <f t="shared" si="147"/>
        <v/>
      </c>
      <c r="K1882" t="str">
        <f t="shared" si="148"/>
        <v/>
      </c>
      <c r="L1882" t="str">
        <f t="shared" si="149"/>
        <v/>
      </c>
      <c r="M1882" t="str">
        <f>IF(COUNTIF($A$2:A1882,A1882)=1,
     VLOOKUP(A1882,Season_Winners!A:B,2,FALSE),
     "")</f>
        <v/>
      </c>
      <c r="N1882" s="2"/>
    </row>
    <row r="1883" spans="1:14" hidden="1" x14ac:dyDescent="0.3">
      <c r="A1883" t="s">
        <v>603</v>
      </c>
      <c r="B1883">
        <v>37</v>
      </c>
      <c r="C1883" t="s">
        <v>741</v>
      </c>
      <c r="D1883" t="str">
        <f t="shared" si="145"/>
        <v>12.05.2018</v>
      </c>
      <c r="E1883" s="1">
        <v>0.77083333333333337</v>
      </c>
      <c r="F1883" t="s">
        <v>26</v>
      </c>
      <c r="G1883" t="s">
        <v>27</v>
      </c>
      <c r="H1883" s="2">
        <v>46055</v>
      </c>
      <c r="I1883" s="3" t="str">
        <f t="shared" si="146"/>
        <v/>
      </c>
      <c r="J1883" t="str">
        <f t="shared" si="147"/>
        <v/>
      </c>
      <c r="K1883" t="str">
        <f t="shared" si="148"/>
        <v/>
      </c>
      <c r="L1883" t="str">
        <f t="shared" si="149"/>
        <v/>
      </c>
      <c r="M1883" t="str">
        <f>IF(COUNTIF($A$2:A1883,A1883)=1,
     VLOOKUP(A1883,Season_Winners!A:B,2,FALSE),
     "")</f>
        <v/>
      </c>
      <c r="N1883" s="2"/>
    </row>
    <row r="1884" spans="1:14" x14ac:dyDescent="0.3">
      <c r="A1884" t="s">
        <v>603</v>
      </c>
      <c r="B1884">
        <v>37</v>
      </c>
      <c r="C1884" t="s">
        <v>741</v>
      </c>
      <c r="D1884" t="str">
        <f t="shared" si="145"/>
        <v>12.05.2018</v>
      </c>
      <c r="E1884" s="1">
        <v>0.77083333333333337</v>
      </c>
      <c r="F1884" t="s">
        <v>11</v>
      </c>
      <c r="G1884" t="s">
        <v>1425</v>
      </c>
      <c r="H1884" t="s">
        <v>42</v>
      </c>
      <c r="I1884" t="str">
        <f t="shared" si="146"/>
        <v>0-1</v>
      </c>
      <c r="J1884" t="str">
        <f t="shared" si="147"/>
        <v>0</v>
      </c>
      <c r="K1884" t="str">
        <f t="shared" si="148"/>
        <v>1</v>
      </c>
      <c r="L1884" t="str">
        <f t="shared" si="149"/>
        <v>Atlético de Madrid</v>
      </c>
      <c r="M1884" t="str">
        <f>IF(COUNTIF($A$2:A1884,A1884)=1,
     VLOOKUP(A1884,Season_Winners!A:B,2,FALSE),
     "")</f>
        <v/>
      </c>
    </row>
    <row r="1885" spans="1:14" hidden="1" x14ac:dyDescent="0.3">
      <c r="A1885" t="s">
        <v>603</v>
      </c>
      <c r="B1885">
        <v>37</v>
      </c>
      <c r="C1885" t="s">
        <v>741</v>
      </c>
      <c r="D1885" t="str">
        <f t="shared" si="145"/>
        <v>12.05.2018</v>
      </c>
      <c r="E1885" s="1">
        <v>0.77083333333333337</v>
      </c>
      <c r="F1885" t="s">
        <v>464</v>
      </c>
      <c r="G1885" t="s">
        <v>15</v>
      </c>
      <c r="H1885" s="2">
        <v>46025</v>
      </c>
      <c r="I1885" s="3" t="str">
        <f t="shared" si="146"/>
        <v/>
      </c>
      <c r="J1885" t="str">
        <f t="shared" si="147"/>
        <v/>
      </c>
      <c r="K1885" t="str">
        <f t="shared" si="148"/>
        <v/>
      </c>
      <c r="L1885" t="str">
        <f t="shared" si="149"/>
        <v/>
      </c>
      <c r="M1885" t="str">
        <f>IF(COUNTIF($A$2:A1885,A1885)=1,
     VLOOKUP(A1885,Season_Winners!A:B,2,FALSE),
     "")</f>
        <v/>
      </c>
      <c r="N1885" s="2"/>
    </row>
    <row r="1886" spans="1:14" hidden="1" x14ac:dyDescent="0.3">
      <c r="A1886" t="s">
        <v>603</v>
      </c>
      <c r="B1886">
        <v>37</v>
      </c>
      <c r="C1886" t="s">
        <v>741</v>
      </c>
      <c r="D1886" t="str">
        <f t="shared" si="145"/>
        <v>12.05.2018</v>
      </c>
      <c r="E1886" s="1">
        <v>0.77083333333333337</v>
      </c>
      <c r="F1886" t="s">
        <v>182</v>
      </c>
      <c r="G1886" t="s">
        <v>34</v>
      </c>
      <c r="H1886" s="2">
        <v>46114</v>
      </c>
      <c r="I1886" s="3" t="str">
        <f t="shared" si="146"/>
        <v/>
      </c>
      <c r="J1886" t="str">
        <f t="shared" si="147"/>
        <v/>
      </c>
      <c r="K1886" t="str">
        <f t="shared" si="148"/>
        <v/>
      </c>
      <c r="L1886" t="str">
        <f t="shared" si="149"/>
        <v/>
      </c>
      <c r="M1886" t="str">
        <f>IF(COUNTIF($A$2:A1886,A1886)=1,
     VLOOKUP(A1886,Season_Winners!A:B,2,FALSE),
     "")</f>
        <v/>
      </c>
      <c r="N1886" s="2"/>
    </row>
    <row r="1887" spans="1:14" x14ac:dyDescent="0.3">
      <c r="A1887" t="s">
        <v>603</v>
      </c>
      <c r="B1887">
        <v>37</v>
      </c>
      <c r="C1887" t="s">
        <v>741</v>
      </c>
      <c r="D1887" t="str">
        <f t="shared" si="145"/>
        <v>12.05.2018</v>
      </c>
      <c r="E1887" s="1">
        <v>0.77083333333333337</v>
      </c>
      <c r="F1887" t="s">
        <v>187</v>
      </c>
      <c r="G1887" t="s">
        <v>338</v>
      </c>
      <c r="H1887" t="s">
        <v>18</v>
      </c>
      <c r="I1887" t="str">
        <f t="shared" si="146"/>
        <v>1-0</v>
      </c>
      <c r="J1887" t="str">
        <f t="shared" si="147"/>
        <v>1</v>
      </c>
      <c r="K1887" t="str">
        <f t="shared" si="148"/>
        <v>0</v>
      </c>
      <c r="L1887" t="str">
        <f t="shared" si="149"/>
        <v>SD Eibar</v>
      </c>
      <c r="M1887" t="str">
        <f>IF(COUNTIF($A$2:A1887,A1887)=1,
     VLOOKUP(A1887,Season_Winners!A:B,2,FALSE),
     "")</f>
        <v/>
      </c>
    </row>
    <row r="1888" spans="1:14" x14ac:dyDescent="0.3">
      <c r="A1888" t="s">
        <v>603</v>
      </c>
      <c r="B1888">
        <v>37</v>
      </c>
      <c r="C1888" t="s">
        <v>741</v>
      </c>
      <c r="D1888" t="str">
        <f t="shared" si="145"/>
        <v>12.05.2018</v>
      </c>
      <c r="E1888" s="1">
        <v>0.77083333333333337</v>
      </c>
      <c r="F1888" t="s">
        <v>606</v>
      </c>
      <c r="G1888" t="s">
        <v>16</v>
      </c>
      <c r="H1888" t="s">
        <v>42</v>
      </c>
      <c r="I1888" t="str">
        <f t="shared" si="146"/>
        <v>0-1</v>
      </c>
      <c r="J1888" t="str">
        <f t="shared" si="147"/>
        <v>0</v>
      </c>
      <c r="K1888" t="str">
        <f t="shared" si="148"/>
        <v>1</v>
      </c>
      <c r="L1888" t="str">
        <f t="shared" si="149"/>
        <v>Valencia CF</v>
      </c>
      <c r="M1888" t="str">
        <f>IF(COUNTIF($A$2:A1888,A1888)=1,
     VLOOKUP(A1888,Season_Winners!A:B,2,FALSE),
     "")</f>
        <v/>
      </c>
    </row>
    <row r="1889" spans="1:14" x14ac:dyDescent="0.3">
      <c r="A1889" t="s">
        <v>603</v>
      </c>
      <c r="B1889">
        <v>37</v>
      </c>
      <c r="C1889" t="s">
        <v>741</v>
      </c>
      <c r="D1889" t="str">
        <f t="shared" si="145"/>
        <v>12.05.2018</v>
      </c>
      <c r="E1889" s="1">
        <v>0.86458333333333337</v>
      </c>
      <c r="F1889" t="s">
        <v>25</v>
      </c>
      <c r="G1889" t="s">
        <v>35</v>
      </c>
      <c r="H1889" t="s">
        <v>126</v>
      </c>
      <c r="I1889" t="str">
        <f t="shared" si="146"/>
        <v>6-0</v>
      </c>
      <c r="J1889" t="str">
        <f t="shared" si="147"/>
        <v>6</v>
      </c>
      <c r="K1889" t="str">
        <f t="shared" si="148"/>
        <v>0</v>
      </c>
      <c r="L1889" t="str">
        <f t="shared" si="149"/>
        <v>Real Madrid</v>
      </c>
      <c r="M1889" t="str">
        <f>IF(COUNTIF($A$2:A1889,A1889)=1,
     VLOOKUP(A1889,Season_Winners!A:B,2,FALSE),
     "")</f>
        <v/>
      </c>
    </row>
    <row r="1890" spans="1:14" hidden="1" x14ac:dyDescent="0.3">
      <c r="A1890" t="s">
        <v>603</v>
      </c>
      <c r="B1890">
        <v>37</v>
      </c>
      <c r="C1890" t="s">
        <v>742</v>
      </c>
      <c r="D1890" t="str">
        <f t="shared" si="145"/>
        <v>13.05.2018</v>
      </c>
      <c r="E1890" s="1">
        <v>0.67708333333333337</v>
      </c>
      <c r="F1890" t="s">
        <v>36</v>
      </c>
      <c r="G1890" t="s">
        <v>17</v>
      </c>
      <c r="H1890" s="2">
        <v>46026</v>
      </c>
      <c r="I1890" s="3" t="str">
        <f t="shared" si="146"/>
        <v/>
      </c>
      <c r="J1890" t="str">
        <f t="shared" si="147"/>
        <v/>
      </c>
      <c r="K1890" t="str">
        <f t="shared" si="148"/>
        <v/>
      </c>
      <c r="L1890" t="str">
        <f t="shared" si="149"/>
        <v/>
      </c>
      <c r="M1890" t="str">
        <f>IF(COUNTIF($A$2:A1890,A1890)=1,
     VLOOKUP(A1890,Season_Winners!A:B,2,FALSE),
     "")</f>
        <v/>
      </c>
      <c r="N1890" s="2"/>
    </row>
    <row r="1891" spans="1:14" hidden="1" x14ac:dyDescent="0.3">
      <c r="A1891" t="s">
        <v>603</v>
      </c>
      <c r="B1891">
        <v>37</v>
      </c>
      <c r="C1891" t="s">
        <v>742</v>
      </c>
      <c r="D1891" t="str">
        <f t="shared" si="145"/>
        <v>13.05.2018</v>
      </c>
      <c r="E1891" s="1">
        <v>0.86458333333333337</v>
      </c>
      <c r="F1891" t="s">
        <v>21</v>
      </c>
      <c r="G1891" t="s">
        <v>20</v>
      </c>
      <c r="H1891" s="2">
        <v>46117</v>
      </c>
      <c r="I1891" s="3" t="str">
        <f t="shared" si="146"/>
        <v/>
      </c>
      <c r="J1891" t="str">
        <f t="shared" si="147"/>
        <v/>
      </c>
      <c r="K1891" t="str">
        <f t="shared" si="148"/>
        <v/>
      </c>
      <c r="L1891" t="str">
        <f t="shared" si="149"/>
        <v/>
      </c>
      <c r="M1891" t="str">
        <f>IF(COUNTIF($A$2:A1891,A1891)=1,
     VLOOKUP(A1891,Season_Winners!A:B,2,FALSE),
     "")</f>
        <v/>
      </c>
      <c r="N1891" s="2"/>
    </row>
    <row r="1892" spans="1:14" hidden="1" x14ac:dyDescent="0.3">
      <c r="A1892" t="s">
        <v>603</v>
      </c>
      <c r="B1892">
        <v>38</v>
      </c>
      <c r="C1892" t="s">
        <v>743</v>
      </c>
      <c r="D1892" t="str">
        <f t="shared" si="145"/>
        <v>19.05.2018</v>
      </c>
      <c r="E1892" s="1">
        <v>0.54166666666666663</v>
      </c>
      <c r="F1892" t="s">
        <v>35</v>
      </c>
      <c r="G1892" t="s">
        <v>21</v>
      </c>
      <c r="H1892" s="2">
        <v>46057</v>
      </c>
      <c r="I1892" s="3" t="str">
        <f t="shared" si="146"/>
        <v/>
      </c>
      <c r="J1892" t="str">
        <f t="shared" si="147"/>
        <v/>
      </c>
      <c r="K1892" t="str">
        <f t="shared" si="148"/>
        <v/>
      </c>
      <c r="L1892" t="str">
        <f t="shared" si="149"/>
        <v/>
      </c>
      <c r="M1892" t="str">
        <f>IF(COUNTIF($A$2:A1892,A1892)=1,
     VLOOKUP(A1892,Season_Winners!A:B,2,FALSE),
     "")</f>
        <v/>
      </c>
      <c r="N1892" s="2"/>
    </row>
    <row r="1893" spans="1:14" hidden="1" x14ac:dyDescent="0.3">
      <c r="A1893" t="s">
        <v>603</v>
      </c>
      <c r="B1893">
        <v>38</v>
      </c>
      <c r="C1893" t="s">
        <v>743</v>
      </c>
      <c r="D1893" t="str">
        <f t="shared" si="145"/>
        <v>19.05.2018</v>
      </c>
      <c r="E1893" s="1">
        <v>0.67708333333333337</v>
      </c>
      <c r="F1893" t="s">
        <v>466</v>
      </c>
      <c r="G1893" t="s">
        <v>26</v>
      </c>
      <c r="H1893" s="2">
        <v>46056</v>
      </c>
      <c r="I1893" s="3" t="str">
        <f t="shared" si="146"/>
        <v/>
      </c>
      <c r="J1893" t="str">
        <f t="shared" si="147"/>
        <v/>
      </c>
      <c r="K1893" t="str">
        <f t="shared" si="148"/>
        <v/>
      </c>
      <c r="L1893" t="str">
        <f t="shared" si="149"/>
        <v/>
      </c>
      <c r="M1893" t="str">
        <f>IF(COUNTIF($A$2:A1893,A1893)=1,
     VLOOKUP(A1893,Season_Winners!A:B,2,FALSE),
     "")</f>
        <v/>
      </c>
      <c r="N1893" s="2"/>
    </row>
    <row r="1894" spans="1:14" x14ac:dyDescent="0.3">
      <c r="A1894" t="s">
        <v>603</v>
      </c>
      <c r="B1894">
        <v>38</v>
      </c>
      <c r="C1894" t="s">
        <v>743</v>
      </c>
      <c r="D1894" t="str">
        <f t="shared" si="145"/>
        <v>19.05.2018</v>
      </c>
      <c r="E1894" s="1">
        <v>0.77083333333333337</v>
      </c>
      <c r="F1894" t="s">
        <v>17</v>
      </c>
      <c r="G1894" t="s">
        <v>11</v>
      </c>
      <c r="H1894" t="s">
        <v>42</v>
      </c>
      <c r="I1894" t="str">
        <f t="shared" si="146"/>
        <v>0-1</v>
      </c>
      <c r="J1894" t="str">
        <f t="shared" si="147"/>
        <v>0</v>
      </c>
      <c r="K1894" t="str">
        <f t="shared" si="148"/>
        <v>1</v>
      </c>
      <c r="L1894" t="str">
        <f t="shared" si="149"/>
        <v>Getafe CF</v>
      </c>
      <c r="M1894" t="str">
        <f>IF(COUNTIF($A$2:A1894,A1894)=1,
     VLOOKUP(A1894,Season_Winners!A:B,2,FALSE),
     "")</f>
        <v/>
      </c>
    </row>
    <row r="1895" spans="1:14" x14ac:dyDescent="0.3">
      <c r="A1895" t="s">
        <v>603</v>
      </c>
      <c r="B1895">
        <v>38</v>
      </c>
      <c r="C1895" t="s">
        <v>743</v>
      </c>
      <c r="D1895" t="str">
        <f t="shared" si="145"/>
        <v>19.05.2018</v>
      </c>
      <c r="E1895" s="1">
        <v>0.77083333333333337</v>
      </c>
      <c r="F1895" t="s">
        <v>27</v>
      </c>
      <c r="G1895" t="s">
        <v>464</v>
      </c>
      <c r="H1895" t="s">
        <v>18</v>
      </c>
      <c r="I1895" t="str">
        <f t="shared" si="146"/>
        <v>1-0</v>
      </c>
      <c r="J1895" t="str">
        <f t="shared" si="147"/>
        <v>1</v>
      </c>
      <c r="K1895" t="str">
        <f t="shared" si="148"/>
        <v>0</v>
      </c>
      <c r="L1895" t="str">
        <f t="shared" si="149"/>
        <v>Sevilla FC</v>
      </c>
      <c r="M1895" t="str">
        <f>IF(COUNTIF($A$2:A1895,A1895)=1,
     VLOOKUP(A1895,Season_Winners!A:B,2,FALSE),
     "")</f>
        <v/>
      </c>
    </row>
    <row r="1896" spans="1:14" hidden="1" x14ac:dyDescent="0.3">
      <c r="A1896" t="s">
        <v>603</v>
      </c>
      <c r="B1896">
        <v>38</v>
      </c>
      <c r="C1896" t="s">
        <v>743</v>
      </c>
      <c r="D1896" t="str">
        <f t="shared" si="145"/>
        <v>19.05.2018</v>
      </c>
      <c r="E1896" s="1">
        <v>0.77083333333333337</v>
      </c>
      <c r="F1896" t="s">
        <v>338</v>
      </c>
      <c r="G1896" t="s">
        <v>606</v>
      </c>
      <c r="H1896" s="2">
        <v>46054</v>
      </c>
      <c r="I1896" s="3" t="str">
        <f t="shared" si="146"/>
        <v/>
      </c>
      <c r="J1896" t="str">
        <f t="shared" si="147"/>
        <v/>
      </c>
      <c r="K1896" t="str">
        <f t="shared" si="148"/>
        <v/>
      </c>
      <c r="L1896" t="str">
        <f t="shared" si="149"/>
        <v/>
      </c>
      <c r="M1896" t="str">
        <f>IF(COUNTIF($A$2:A1896,A1896)=1,
     VLOOKUP(A1896,Season_Winners!A:B,2,FALSE),
     "")</f>
        <v/>
      </c>
      <c r="N1896" s="2"/>
    </row>
    <row r="1897" spans="1:14" hidden="1" x14ac:dyDescent="0.3">
      <c r="A1897" t="s">
        <v>603</v>
      </c>
      <c r="B1897">
        <v>38</v>
      </c>
      <c r="C1897" t="s">
        <v>743</v>
      </c>
      <c r="D1897" t="str">
        <f t="shared" si="145"/>
        <v>19.05.2018</v>
      </c>
      <c r="E1897" s="1">
        <v>0.86458333333333337</v>
      </c>
      <c r="F1897" t="s">
        <v>34</v>
      </c>
      <c r="G1897" t="s">
        <v>25</v>
      </c>
      <c r="H1897" s="2">
        <v>46055</v>
      </c>
      <c r="I1897" s="3" t="str">
        <f t="shared" si="146"/>
        <v/>
      </c>
      <c r="J1897" t="str">
        <f t="shared" si="147"/>
        <v/>
      </c>
      <c r="K1897" t="str">
        <f t="shared" si="148"/>
        <v/>
      </c>
      <c r="L1897" t="str">
        <f t="shared" si="149"/>
        <v/>
      </c>
      <c r="M1897" t="str">
        <f>IF(COUNTIF($A$2:A1897,A1897)=1,
     VLOOKUP(A1897,Season_Winners!A:B,2,FALSE),
     "")</f>
        <v/>
      </c>
      <c r="N1897" s="2"/>
    </row>
    <row r="1898" spans="1:14" hidden="1" x14ac:dyDescent="0.3">
      <c r="A1898" t="s">
        <v>603</v>
      </c>
      <c r="B1898">
        <v>38</v>
      </c>
      <c r="C1898" t="s">
        <v>744</v>
      </c>
      <c r="D1898" t="str">
        <f t="shared" si="145"/>
        <v>20.05.2018</v>
      </c>
      <c r="E1898" s="1">
        <v>0.5</v>
      </c>
      <c r="F1898" t="s">
        <v>16</v>
      </c>
      <c r="G1898" t="s">
        <v>182</v>
      </c>
      <c r="H1898" s="2">
        <v>46024</v>
      </c>
      <c r="I1898" s="3" t="str">
        <f t="shared" si="146"/>
        <v/>
      </c>
      <c r="J1898" t="str">
        <f t="shared" si="147"/>
        <v/>
      </c>
      <c r="K1898" t="str">
        <f t="shared" si="148"/>
        <v/>
      </c>
      <c r="L1898" t="str">
        <f t="shared" si="149"/>
        <v/>
      </c>
      <c r="M1898" t="str">
        <f>IF(COUNTIF($A$2:A1898,A1898)=1,
     VLOOKUP(A1898,Season_Winners!A:B,2,FALSE),
     "")</f>
        <v/>
      </c>
      <c r="N1898" s="2"/>
    </row>
    <row r="1899" spans="1:14" x14ac:dyDescent="0.3">
      <c r="A1899" t="s">
        <v>603</v>
      </c>
      <c r="B1899">
        <v>38</v>
      </c>
      <c r="C1899" t="s">
        <v>744</v>
      </c>
      <c r="D1899" t="str">
        <f t="shared" si="145"/>
        <v>20.05.2018</v>
      </c>
      <c r="E1899" s="1">
        <v>0.67708333333333337</v>
      </c>
      <c r="F1899" t="s">
        <v>15</v>
      </c>
      <c r="G1899" t="s">
        <v>36</v>
      </c>
      <c r="H1899" t="s">
        <v>42</v>
      </c>
      <c r="I1899" t="str">
        <f t="shared" si="146"/>
        <v>0-1</v>
      </c>
      <c r="J1899" t="str">
        <f t="shared" si="147"/>
        <v>0</v>
      </c>
      <c r="K1899" t="str">
        <f t="shared" si="148"/>
        <v>1</v>
      </c>
      <c r="L1899" t="str">
        <f t="shared" si="149"/>
        <v>RCD Espanyol de Barcelona</v>
      </c>
      <c r="M1899" t="str">
        <f>IF(COUNTIF($A$2:A1899,A1899)=1,
     VLOOKUP(A1899,Season_Winners!A:B,2,FALSE),
     "")</f>
        <v/>
      </c>
    </row>
    <row r="1900" spans="1:14" hidden="1" x14ac:dyDescent="0.3">
      <c r="A1900" t="s">
        <v>603</v>
      </c>
      <c r="B1900">
        <v>38</v>
      </c>
      <c r="C1900" t="s">
        <v>744</v>
      </c>
      <c r="D1900" t="str">
        <f t="shared" si="145"/>
        <v>20.05.2018</v>
      </c>
      <c r="E1900" s="1">
        <v>0.77083333333333337</v>
      </c>
      <c r="F1900" t="s">
        <v>28</v>
      </c>
      <c r="G1900" t="s">
        <v>187</v>
      </c>
      <c r="H1900" s="2">
        <v>46055</v>
      </c>
      <c r="I1900" s="3" t="str">
        <f t="shared" si="146"/>
        <v/>
      </c>
      <c r="J1900" t="str">
        <f t="shared" si="147"/>
        <v/>
      </c>
      <c r="K1900" t="str">
        <f t="shared" si="148"/>
        <v/>
      </c>
      <c r="L1900" t="str">
        <f t="shared" si="149"/>
        <v/>
      </c>
      <c r="M1900" t="str">
        <f>IF(COUNTIF($A$2:A1900,A1900)=1,
     VLOOKUP(A1900,Season_Winners!A:B,2,FALSE),
     "")</f>
        <v/>
      </c>
      <c r="N1900" s="2"/>
    </row>
    <row r="1901" spans="1:14" x14ac:dyDescent="0.3">
      <c r="A1901" t="s">
        <v>603</v>
      </c>
      <c r="B1901">
        <v>38</v>
      </c>
      <c r="C1901" t="s">
        <v>744</v>
      </c>
      <c r="D1901" t="str">
        <f t="shared" si="145"/>
        <v>20.05.2018</v>
      </c>
      <c r="E1901" s="1">
        <v>0.86458333333333337</v>
      </c>
      <c r="F1901" t="s">
        <v>20</v>
      </c>
      <c r="G1901" t="s">
        <v>10</v>
      </c>
      <c r="H1901" t="s">
        <v>18</v>
      </c>
      <c r="I1901" t="str">
        <f t="shared" si="146"/>
        <v>1-0</v>
      </c>
      <c r="J1901" t="str">
        <f t="shared" si="147"/>
        <v>1</v>
      </c>
      <c r="K1901" t="str">
        <f t="shared" si="148"/>
        <v>0</v>
      </c>
      <c r="L1901" t="str">
        <f t="shared" si="149"/>
        <v>FC Barcelona</v>
      </c>
      <c r="M1901" t="str">
        <f>IF(COUNTIF($A$2:A1901,A1901)=1,
     VLOOKUP(A1901,Season_Winners!A:B,2,FALSE),
     "")</f>
        <v/>
      </c>
    </row>
    <row r="1902" spans="1:14" x14ac:dyDescent="0.3">
      <c r="A1902" t="s">
        <v>745</v>
      </c>
      <c r="B1902">
        <v>1</v>
      </c>
      <c r="C1902" t="s">
        <v>746</v>
      </c>
      <c r="D1902" t="str">
        <f t="shared" si="145"/>
        <v>17.08.2018</v>
      </c>
      <c r="E1902" s="1">
        <v>0.84375</v>
      </c>
      <c r="F1902" t="s">
        <v>606</v>
      </c>
      <c r="G1902" t="s">
        <v>14</v>
      </c>
      <c r="H1902" t="s">
        <v>41</v>
      </c>
      <c r="I1902" t="str">
        <f t="shared" si="146"/>
        <v>0-0</v>
      </c>
      <c r="J1902" t="str">
        <f t="shared" si="147"/>
        <v>0</v>
      </c>
      <c r="K1902" t="str">
        <f t="shared" si="148"/>
        <v>0</v>
      </c>
      <c r="L1902" t="str">
        <f t="shared" si="149"/>
        <v>Draw</v>
      </c>
      <c r="M1902" t="str">
        <f>IF(COUNTIF($A$2:A1902,A1902)=1,
     VLOOKUP(A1902,Season_Winners!A:B,2,FALSE),
     "")</f>
        <v>FC Barcelona</v>
      </c>
    </row>
    <row r="1903" spans="1:14" x14ac:dyDescent="0.3">
      <c r="A1903" t="s">
        <v>745</v>
      </c>
      <c r="B1903">
        <v>1</v>
      </c>
      <c r="C1903" t="s">
        <v>746</v>
      </c>
      <c r="D1903" t="str">
        <f t="shared" si="145"/>
        <v>17.08.2018</v>
      </c>
      <c r="E1903" s="1">
        <v>0.92708333333333337</v>
      </c>
      <c r="F1903" t="s">
        <v>26</v>
      </c>
      <c r="G1903" t="s">
        <v>21</v>
      </c>
      <c r="H1903" t="s">
        <v>46</v>
      </c>
      <c r="I1903" t="str">
        <f t="shared" si="146"/>
        <v>0-3</v>
      </c>
      <c r="J1903" t="str">
        <f t="shared" si="147"/>
        <v>0</v>
      </c>
      <c r="K1903" t="str">
        <f t="shared" si="148"/>
        <v>3</v>
      </c>
      <c r="L1903" t="str">
        <f t="shared" si="149"/>
        <v>Levante UD</v>
      </c>
      <c r="M1903" t="str">
        <f>IF(COUNTIF($A$2:A1903,A1903)=1,
     VLOOKUP(A1903,Season_Winners!A:B,2,FALSE),
     "")</f>
        <v/>
      </c>
    </row>
    <row r="1904" spans="1:14" hidden="1" x14ac:dyDescent="0.3">
      <c r="A1904" t="s">
        <v>745</v>
      </c>
      <c r="B1904">
        <v>1</v>
      </c>
      <c r="C1904" t="s">
        <v>748</v>
      </c>
      <c r="D1904" t="str">
        <f t="shared" si="145"/>
        <v>18.08.2018</v>
      </c>
      <c r="E1904" s="1">
        <v>0.76041666666666663</v>
      </c>
      <c r="F1904" t="s">
        <v>35</v>
      </c>
      <c r="G1904" t="s">
        <v>36</v>
      </c>
      <c r="H1904" s="2">
        <v>46023</v>
      </c>
      <c r="I1904" s="3" t="str">
        <f t="shared" si="146"/>
        <v/>
      </c>
      <c r="J1904" t="str">
        <f t="shared" si="147"/>
        <v/>
      </c>
      <c r="K1904" t="str">
        <f t="shared" si="148"/>
        <v/>
      </c>
      <c r="L1904" t="str">
        <f t="shared" si="149"/>
        <v/>
      </c>
      <c r="M1904" t="str">
        <f>IF(COUNTIF($A$2:A1904,A1904)=1,
     VLOOKUP(A1904,Season_Winners!A:B,2,FALSE),
     "")</f>
        <v/>
      </c>
      <c r="N1904" s="2"/>
    </row>
    <row r="1905" spans="1:14" hidden="1" x14ac:dyDescent="0.3">
      <c r="A1905" t="s">
        <v>745</v>
      </c>
      <c r="B1905">
        <v>1</v>
      </c>
      <c r="C1905" t="s">
        <v>748</v>
      </c>
      <c r="D1905" t="str">
        <f t="shared" si="145"/>
        <v>18.08.2018</v>
      </c>
      <c r="E1905" s="1">
        <v>0.84375</v>
      </c>
      <c r="F1905" t="s">
        <v>34</v>
      </c>
      <c r="G1905" t="s">
        <v>10</v>
      </c>
      <c r="H1905" s="2">
        <v>46054</v>
      </c>
      <c r="I1905" s="3" t="str">
        <f t="shared" si="146"/>
        <v/>
      </c>
      <c r="J1905" t="str">
        <f t="shared" si="147"/>
        <v/>
      </c>
      <c r="K1905" t="str">
        <f t="shared" si="148"/>
        <v/>
      </c>
      <c r="L1905" t="str">
        <f t="shared" si="149"/>
        <v/>
      </c>
      <c r="M1905" t="str">
        <f>IF(COUNTIF($A$2:A1905,A1905)=1,
     VLOOKUP(A1905,Season_Winners!A:B,2,FALSE),
     "")</f>
        <v/>
      </c>
      <c r="N1905" s="2"/>
    </row>
    <row r="1906" spans="1:14" x14ac:dyDescent="0.3">
      <c r="A1906" t="s">
        <v>745</v>
      </c>
      <c r="B1906">
        <v>1</v>
      </c>
      <c r="C1906" t="s">
        <v>748</v>
      </c>
      <c r="D1906" t="str">
        <f t="shared" si="145"/>
        <v>18.08.2018</v>
      </c>
      <c r="E1906" s="1">
        <v>0.92708333333333337</v>
      </c>
      <c r="F1906" t="s">
        <v>20</v>
      </c>
      <c r="G1906" t="s">
        <v>464</v>
      </c>
      <c r="H1906" t="s">
        <v>32</v>
      </c>
      <c r="I1906" t="str">
        <f t="shared" si="146"/>
        <v>3-0</v>
      </c>
      <c r="J1906" t="str">
        <f t="shared" si="147"/>
        <v>3</v>
      </c>
      <c r="K1906" t="str">
        <f t="shared" si="148"/>
        <v>0</v>
      </c>
      <c r="L1906" t="str">
        <f t="shared" si="149"/>
        <v>FC Barcelona</v>
      </c>
      <c r="M1906" t="str">
        <f>IF(COUNTIF($A$2:A1906,A1906)=1,
     VLOOKUP(A1906,Season_Winners!A:B,2,FALSE),
     "")</f>
        <v/>
      </c>
    </row>
    <row r="1907" spans="1:14" hidden="1" x14ac:dyDescent="0.3">
      <c r="A1907" t="s">
        <v>745</v>
      </c>
      <c r="B1907">
        <v>1</v>
      </c>
      <c r="C1907" t="s">
        <v>749</v>
      </c>
      <c r="D1907" t="str">
        <f t="shared" si="145"/>
        <v>19.08.2018</v>
      </c>
      <c r="E1907" s="1">
        <v>0.76041666666666663</v>
      </c>
      <c r="F1907" t="s">
        <v>187</v>
      </c>
      <c r="G1907" t="s">
        <v>750</v>
      </c>
      <c r="H1907" s="2">
        <v>46054</v>
      </c>
      <c r="I1907" s="3" t="str">
        <f t="shared" si="146"/>
        <v/>
      </c>
      <c r="J1907" t="str">
        <f t="shared" si="147"/>
        <v/>
      </c>
      <c r="K1907" t="str">
        <f t="shared" si="148"/>
        <v/>
      </c>
      <c r="L1907" t="str">
        <f t="shared" si="149"/>
        <v/>
      </c>
      <c r="M1907" t="str">
        <f>IF(COUNTIF($A$2:A1907,A1907)=1,
     VLOOKUP(A1907,Season_Winners!A:B,2,FALSE),
     "")</f>
        <v/>
      </c>
      <c r="N1907" s="2"/>
    </row>
    <row r="1908" spans="1:14" hidden="1" x14ac:dyDescent="0.3">
      <c r="A1908" t="s">
        <v>745</v>
      </c>
      <c r="B1908">
        <v>1</v>
      </c>
      <c r="C1908" t="s">
        <v>749</v>
      </c>
      <c r="D1908" t="str">
        <f t="shared" si="145"/>
        <v>19.08.2018</v>
      </c>
      <c r="E1908" s="1">
        <v>0.84375</v>
      </c>
      <c r="F1908" t="s">
        <v>30</v>
      </c>
      <c r="G1908" t="s">
        <v>27</v>
      </c>
      <c r="H1908" s="2">
        <v>46113</v>
      </c>
      <c r="I1908" s="3" t="str">
        <f t="shared" si="146"/>
        <v/>
      </c>
      <c r="J1908" t="str">
        <f t="shared" si="147"/>
        <v/>
      </c>
      <c r="K1908" t="str">
        <f t="shared" si="148"/>
        <v/>
      </c>
      <c r="L1908" t="str">
        <f t="shared" si="149"/>
        <v/>
      </c>
      <c r="M1908" t="str">
        <f>IF(COUNTIF($A$2:A1908,A1908)=1,
     VLOOKUP(A1908,Season_Winners!A:B,2,FALSE),
     "")</f>
        <v/>
      </c>
      <c r="N1908" s="2"/>
    </row>
    <row r="1909" spans="1:14" x14ac:dyDescent="0.3">
      <c r="A1909" t="s">
        <v>745</v>
      </c>
      <c r="B1909">
        <v>1</v>
      </c>
      <c r="C1909" t="s">
        <v>749</v>
      </c>
      <c r="D1909" t="str">
        <f t="shared" si="145"/>
        <v>19.08.2018</v>
      </c>
      <c r="E1909" s="1">
        <v>0.92708333333333337</v>
      </c>
      <c r="F1909" t="s">
        <v>25</v>
      </c>
      <c r="G1909" t="s">
        <v>11</v>
      </c>
      <c r="H1909" t="s">
        <v>12</v>
      </c>
      <c r="I1909" t="str">
        <f t="shared" si="146"/>
        <v>2-0</v>
      </c>
      <c r="J1909" t="str">
        <f t="shared" si="147"/>
        <v>2</v>
      </c>
      <c r="K1909" t="str">
        <f t="shared" si="148"/>
        <v>0</v>
      </c>
      <c r="L1909" t="str">
        <f t="shared" si="149"/>
        <v>Real Madrid</v>
      </c>
      <c r="M1909" t="str">
        <f>IF(COUNTIF($A$2:A1909,A1909)=1,
     VLOOKUP(A1909,Season_Winners!A:B,2,FALSE),
     "")</f>
        <v/>
      </c>
    </row>
    <row r="1910" spans="1:14" hidden="1" x14ac:dyDescent="0.3">
      <c r="A1910" t="s">
        <v>745</v>
      </c>
      <c r="B1910">
        <v>1</v>
      </c>
      <c r="C1910" t="s">
        <v>751</v>
      </c>
      <c r="D1910" t="str">
        <f t="shared" si="145"/>
        <v>20.08.2018</v>
      </c>
      <c r="E1910" s="1">
        <v>0.83333333333333337</v>
      </c>
      <c r="F1910" t="s">
        <v>16</v>
      </c>
      <c r="G1910" t="s">
        <v>28</v>
      </c>
      <c r="H1910" s="2">
        <v>46023</v>
      </c>
      <c r="I1910" s="3" t="str">
        <f t="shared" si="146"/>
        <v/>
      </c>
      <c r="J1910" t="str">
        <f t="shared" si="147"/>
        <v/>
      </c>
      <c r="K1910" t="str">
        <f t="shared" si="148"/>
        <v/>
      </c>
      <c r="L1910" t="str">
        <f t="shared" si="149"/>
        <v/>
      </c>
      <c r="M1910" t="str">
        <f>IF(COUNTIF($A$2:A1910,A1910)=1,
     VLOOKUP(A1910,Season_Winners!A:B,2,FALSE),
     "")</f>
        <v/>
      </c>
      <c r="N1910" s="2"/>
    </row>
    <row r="1911" spans="1:14" hidden="1" x14ac:dyDescent="0.3">
      <c r="A1911" t="s">
        <v>745</v>
      </c>
      <c r="B1911">
        <v>1</v>
      </c>
      <c r="C1911" t="s">
        <v>751</v>
      </c>
      <c r="D1911" t="str">
        <f t="shared" si="145"/>
        <v>20.08.2018</v>
      </c>
      <c r="E1911" s="1">
        <v>0.91666666666666663</v>
      </c>
      <c r="F1911" t="s">
        <v>15</v>
      </c>
      <c r="G1911" t="s">
        <v>466</v>
      </c>
      <c r="H1911" s="2">
        <v>46024</v>
      </c>
      <c r="I1911" s="3" t="str">
        <f t="shared" si="146"/>
        <v/>
      </c>
      <c r="J1911" t="str">
        <f t="shared" si="147"/>
        <v/>
      </c>
      <c r="K1911" t="str">
        <f t="shared" si="148"/>
        <v/>
      </c>
      <c r="L1911" t="str">
        <f t="shared" si="149"/>
        <v/>
      </c>
      <c r="M1911" t="str">
        <f>IF(COUNTIF($A$2:A1911,A1911)=1,
     VLOOKUP(A1911,Season_Winners!A:B,2,FALSE),
     "")</f>
        <v/>
      </c>
      <c r="N1911" s="2"/>
    </row>
    <row r="1912" spans="1:14" x14ac:dyDescent="0.3">
      <c r="A1912" t="s">
        <v>745</v>
      </c>
      <c r="B1912">
        <v>2</v>
      </c>
      <c r="C1912" t="s">
        <v>753</v>
      </c>
      <c r="D1912" t="str">
        <f t="shared" si="145"/>
        <v>24.08.2018</v>
      </c>
      <c r="E1912" s="1">
        <v>0.84375</v>
      </c>
      <c r="F1912" t="s">
        <v>11</v>
      </c>
      <c r="G1912" t="s">
        <v>187</v>
      </c>
      <c r="H1912" t="s">
        <v>12</v>
      </c>
      <c r="I1912" t="str">
        <f t="shared" si="146"/>
        <v>2-0</v>
      </c>
      <c r="J1912" t="str">
        <f t="shared" si="147"/>
        <v>2</v>
      </c>
      <c r="K1912" t="str">
        <f t="shared" si="148"/>
        <v>0</v>
      </c>
      <c r="L1912" t="str">
        <f t="shared" si="149"/>
        <v>Getafe CF</v>
      </c>
      <c r="M1912" t="str">
        <f>IF(COUNTIF($A$2:A1912,A1912)=1,
     VLOOKUP(A1912,Season_Winners!A:B,2,FALSE),
     "")</f>
        <v/>
      </c>
    </row>
    <row r="1913" spans="1:14" hidden="1" x14ac:dyDescent="0.3">
      <c r="A1913" t="s">
        <v>745</v>
      </c>
      <c r="B1913">
        <v>2</v>
      </c>
      <c r="C1913" t="s">
        <v>753</v>
      </c>
      <c r="D1913" t="str">
        <f t="shared" si="145"/>
        <v>24.08.2018</v>
      </c>
      <c r="E1913" s="1">
        <v>0.92708333333333337</v>
      </c>
      <c r="F1913" t="s">
        <v>466</v>
      </c>
      <c r="G1913" t="s">
        <v>10</v>
      </c>
      <c r="H1913" s="2">
        <v>46055</v>
      </c>
      <c r="I1913" s="3" t="str">
        <f t="shared" si="146"/>
        <v/>
      </c>
      <c r="J1913" t="str">
        <f t="shared" si="147"/>
        <v/>
      </c>
      <c r="K1913" t="str">
        <f t="shared" si="148"/>
        <v/>
      </c>
      <c r="L1913" t="str">
        <f t="shared" si="149"/>
        <v/>
      </c>
      <c r="M1913" t="str">
        <f>IF(COUNTIF($A$2:A1913,A1913)=1,
     VLOOKUP(A1913,Season_Winners!A:B,2,FALSE),
     "")</f>
        <v/>
      </c>
      <c r="N1913" s="2"/>
    </row>
    <row r="1914" spans="1:14" x14ac:dyDescent="0.3">
      <c r="A1914" t="s">
        <v>745</v>
      </c>
      <c r="B1914">
        <v>2</v>
      </c>
      <c r="C1914" t="s">
        <v>754</v>
      </c>
      <c r="D1914" t="str">
        <f t="shared" si="145"/>
        <v>25.08.2018</v>
      </c>
      <c r="E1914" s="1">
        <v>0.76041666666666663</v>
      </c>
      <c r="F1914" t="s">
        <v>464</v>
      </c>
      <c r="G1914" t="s">
        <v>26</v>
      </c>
      <c r="H1914" t="s">
        <v>41</v>
      </c>
      <c r="I1914" t="str">
        <f t="shared" si="146"/>
        <v>0-0</v>
      </c>
      <c r="J1914" t="str">
        <f t="shared" si="147"/>
        <v>0</v>
      </c>
      <c r="K1914" t="str">
        <f t="shared" si="148"/>
        <v>0</v>
      </c>
      <c r="L1914" t="str">
        <f t="shared" si="149"/>
        <v>Draw</v>
      </c>
      <c r="M1914" t="str">
        <f>IF(COUNTIF($A$2:A1914,A1914)=1,
     VLOOKUP(A1914,Season_Winners!A:B,2,FALSE),
     "")</f>
        <v/>
      </c>
    </row>
    <row r="1915" spans="1:14" x14ac:dyDescent="0.3">
      <c r="A1915" t="s">
        <v>745</v>
      </c>
      <c r="B1915">
        <v>2</v>
      </c>
      <c r="C1915" t="s">
        <v>754</v>
      </c>
      <c r="D1915" t="str">
        <f t="shared" si="145"/>
        <v>25.08.2018</v>
      </c>
      <c r="E1915" s="1">
        <v>0.84375</v>
      </c>
      <c r="F1915" t="s">
        <v>1425</v>
      </c>
      <c r="G1915" t="s">
        <v>30</v>
      </c>
      <c r="H1915" t="s">
        <v>18</v>
      </c>
      <c r="I1915" t="str">
        <f t="shared" si="146"/>
        <v>1-0</v>
      </c>
      <c r="J1915" t="str">
        <f t="shared" si="147"/>
        <v>1</v>
      </c>
      <c r="K1915" t="str">
        <f t="shared" si="148"/>
        <v>0</v>
      </c>
      <c r="L1915" t="str">
        <f t="shared" si="149"/>
        <v>Atlético de Madrid</v>
      </c>
      <c r="M1915" t="str">
        <f>IF(COUNTIF($A$2:A1915,A1915)=1,
     VLOOKUP(A1915,Season_Winners!A:B,2,FALSE),
     "")</f>
        <v/>
      </c>
    </row>
    <row r="1916" spans="1:14" x14ac:dyDescent="0.3">
      <c r="A1916" t="s">
        <v>745</v>
      </c>
      <c r="B1916">
        <v>2</v>
      </c>
      <c r="C1916" t="s">
        <v>754</v>
      </c>
      <c r="D1916" t="str">
        <f t="shared" si="145"/>
        <v>25.08.2018</v>
      </c>
      <c r="E1916" s="1">
        <v>0.92708333333333337</v>
      </c>
      <c r="F1916" t="s">
        <v>14</v>
      </c>
      <c r="G1916" t="s">
        <v>20</v>
      </c>
      <c r="H1916" t="s">
        <v>42</v>
      </c>
      <c r="I1916" t="str">
        <f t="shared" si="146"/>
        <v>0-1</v>
      </c>
      <c r="J1916" t="str">
        <f t="shared" si="147"/>
        <v>0</v>
      </c>
      <c r="K1916" t="str">
        <f t="shared" si="148"/>
        <v>1</v>
      </c>
      <c r="L1916" t="str">
        <f t="shared" si="149"/>
        <v>FC Barcelona</v>
      </c>
      <c r="M1916" t="str">
        <f>IF(COUNTIF($A$2:A1916,A1916)=1,
     VLOOKUP(A1916,Season_Winners!A:B,2,FALSE),
     "")</f>
        <v/>
      </c>
    </row>
    <row r="1917" spans="1:14" x14ac:dyDescent="0.3">
      <c r="A1917" t="s">
        <v>745</v>
      </c>
      <c r="B1917">
        <v>2</v>
      </c>
      <c r="C1917" t="s">
        <v>755</v>
      </c>
      <c r="D1917" t="str">
        <f t="shared" si="145"/>
        <v>26.08.2018</v>
      </c>
      <c r="E1917" s="1">
        <v>0.76041666666666663</v>
      </c>
      <c r="F1917" t="s">
        <v>36</v>
      </c>
      <c r="G1917" t="s">
        <v>16</v>
      </c>
      <c r="H1917" t="s">
        <v>12</v>
      </c>
      <c r="I1917" t="str">
        <f t="shared" si="146"/>
        <v>2-0</v>
      </c>
      <c r="J1917" t="str">
        <f t="shared" si="147"/>
        <v>2</v>
      </c>
      <c r="K1917" t="str">
        <f t="shared" si="148"/>
        <v>0</v>
      </c>
      <c r="L1917" t="str">
        <f t="shared" si="149"/>
        <v>RCD Espanyol de Barcelona</v>
      </c>
      <c r="M1917" t="str">
        <f>IF(COUNTIF($A$2:A1917,A1917)=1,
     VLOOKUP(A1917,Season_Winners!A:B,2,FALSE),
     "")</f>
        <v/>
      </c>
    </row>
    <row r="1918" spans="1:14" x14ac:dyDescent="0.3">
      <c r="A1918" t="s">
        <v>745</v>
      </c>
      <c r="B1918">
        <v>2</v>
      </c>
      <c r="C1918" t="s">
        <v>755</v>
      </c>
      <c r="D1918" t="str">
        <f t="shared" si="145"/>
        <v>26.08.2018</v>
      </c>
      <c r="E1918" s="1">
        <v>0.92708333333333337</v>
      </c>
      <c r="F1918" t="s">
        <v>27</v>
      </c>
      <c r="G1918" t="s">
        <v>34</v>
      </c>
      <c r="H1918" t="s">
        <v>41</v>
      </c>
      <c r="I1918" t="str">
        <f t="shared" si="146"/>
        <v>0-0</v>
      </c>
      <c r="J1918" t="str">
        <f t="shared" si="147"/>
        <v>0</v>
      </c>
      <c r="K1918" t="str">
        <f t="shared" si="148"/>
        <v>0</v>
      </c>
      <c r="L1918" t="str">
        <f t="shared" si="149"/>
        <v>Draw</v>
      </c>
      <c r="M1918" t="str">
        <f>IF(COUNTIF($A$2:A1918,A1918)=1,
     VLOOKUP(A1918,Season_Winners!A:B,2,FALSE),
     "")</f>
        <v/>
      </c>
    </row>
    <row r="1919" spans="1:14" hidden="1" x14ac:dyDescent="0.3">
      <c r="A1919" t="s">
        <v>745</v>
      </c>
      <c r="B1919">
        <v>2</v>
      </c>
      <c r="C1919" t="s">
        <v>755</v>
      </c>
      <c r="D1919" t="str">
        <f t="shared" si="145"/>
        <v>26.08.2018</v>
      </c>
      <c r="E1919" s="1">
        <v>0.92708333333333337</v>
      </c>
      <c r="F1919" t="s">
        <v>606</v>
      </c>
      <c r="G1919" t="s">
        <v>25</v>
      </c>
      <c r="H1919" s="2">
        <v>46113</v>
      </c>
      <c r="I1919" s="3" t="str">
        <f t="shared" si="146"/>
        <v/>
      </c>
      <c r="J1919" t="str">
        <f t="shared" si="147"/>
        <v/>
      </c>
      <c r="K1919" t="str">
        <f t="shared" si="148"/>
        <v/>
      </c>
      <c r="L1919" t="str">
        <f t="shared" si="149"/>
        <v/>
      </c>
      <c r="M1919" t="str">
        <f>IF(COUNTIF($A$2:A1919,A1919)=1,
     VLOOKUP(A1919,Season_Winners!A:B,2,FALSE),
     "")</f>
        <v/>
      </c>
      <c r="N1919" s="2"/>
    </row>
    <row r="1920" spans="1:14" hidden="1" x14ac:dyDescent="0.3">
      <c r="A1920" t="s">
        <v>745</v>
      </c>
      <c r="B1920">
        <v>2</v>
      </c>
      <c r="C1920" t="s">
        <v>756</v>
      </c>
      <c r="D1920" t="str">
        <f t="shared" si="145"/>
        <v>27.08.2018</v>
      </c>
      <c r="E1920" s="1">
        <v>0.84375</v>
      </c>
      <c r="F1920" t="s">
        <v>21</v>
      </c>
      <c r="G1920" t="s">
        <v>35</v>
      </c>
      <c r="H1920" s="2">
        <v>46054</v>
      </c>
      <c r="I1920" s="3" t="str">
        <f t="shared" si="146"/>
        <v/>
      </c>
      <c r="J1920" t="str">
        <f t="shared" si="147"/>
        <v/>
      </c>
      <c r="K1920" t="str">
        <f t="shared" si="148"/>
        <v/>
      </c>
      <c r="L1920" t="str">
        <f t="shared" si="149"/>
        <v/>
      </c>
      <c r="M1920" t="str">
        <f>IF(COUNTIF($A$2:A1920,A1920)=1,
     VLOOKUP(A1920,Season_Winners!A:B,2,FALSE),
     "")</f>
        <v/>
      </c>
      <c r="N1920" s="2"/>
    </row>
    <row r="1921" spans="1:14" hidden="1" x14ac:dyDescent="0.3">
      <c r="A1921" t="s">
        <v>745</v>
      </c>
      <c r="B1921">
        <v>2</v>
      </c>
      <c r="C1921" t="s">
        <v>756</v>
      </c>
      <c r="D1921" t="str">
        <f t="shared" si="145"/>
        <v>27.08.2018</v>
      </c>
      <c r="E1921" s="1">
        <v>0.91666666666666663</v>
      </c>
      <c r="F1921" t="s">
        <v>15</v>
      </c>
      <c r="G1921" t="s">
        <v>750</v>
      </c>
      <c r="H1921" s="2">
        <v>46055</v>
      </c>
      <c r="I1921" s="3" t="str">
        <f t="shared" si="146"/>
        <v/>
      </c>
      <c r="J1921" t="str">
        <f t="shared" si="147"/>
        <v/>
      </c>
      <c r="K1921" t="str">
        <f t="shared" si="148"/>
        <v/>
      </c>
      <c r="L1921" t="str">
        <f t="shared" si="149"/>
        <v/>
      </c>
      <c r="M1921" t="str">
        <f>IF(COUNTIF($A$2:A1921,A1921)=1,
     VLOOKUP(A1921,Season_Winners!A:B,2,FALSE),
     "")</f>
        <v/>
      </c>
      <c r="N1921" s="2"/>
    </row>
    <row r="1922" spans="1:14" x14ac:dyDescent="0.3">
      <c r="A1922" t="s">
        <v>745</v>
      </c>
      <c r="B1922">
        <v>3</v>
      </c>
      <c r="C1922" t="s">
        <v>757</v>
      </c>
      <c r="D1922" t="str">
        <f t="shared" ref="D1922:D1985" si="150">RIGHT(C1922,10)</f>
        <v>31.08.2018</v>
      </c>
      <c r="E1922" s="1">
        <v>0.83333333333333337</v>
      </c>
      <c r="F1922" t="s">
        <v>11</v>
      </c>
      <c r="G1922" t="s">
        <v>14</v>
      </c>
      <c r="H1922" t="s">
        <v>41</v>
      </c>
      <c r="I1922" t="str">
        <f t="shared" ref="I1922:I1985" si="151">IF(ISNUMBER(SEARCH("-",H1922)),H1922,"")</f>
        <v>0-0</v>
      </c>
      <c r="J1922" t="str">
        <f t="shared" ref="J1922:J1985" si="152">IF(I1922="","",LEFT(I1922,FIND("-",I1922)-1))</f>
        <v>0</v>
      </c>
      <c r="K1922" t="str">
        <f t="shared" ref="K1922:K1985" si="153">IF(I1922="","",RIGHT(I1922,LEN(I1922)-FIND("-",I1922)))</f>
        <v>0</v>
      </c>
      <c r="L1922" t="str">
        <f t="shared" ref="L1922:L1985" si="154">IF(I1922="","",IF(J1922&gt;K1922,F1922,IF(K1922&gt;J1922,G1922,"Draw")))</f>
        <v>Draw</v>
      </c>
      <c r="M1922" t="str">
        <f>IF(COUNTIF($A$2:A1922,A1922)=1,
     VLOOKUP(A1922,Season_Winners!A:B,2,FALSE),
     "")</f>
        <v/>
      </c>
    </row>
    <row r="1923" spans="1:14" x14ac:dyDescent="0.3">
      <c r="A1923" t="s">
        <v>745</v>
      </c>
      <c r="B1923">
        <v>3</v>
      </c>
      <c r="C1923" t="s">
        <v>757</v>
      </c>
      <c r="D1923" t="str">
        <f t="shared" si="150"/>
        <v>31.08.2018</v>
      </c>
      <c r="E1923" s="1">
        <v>0.91666666666666663</v>
      </c>
      <c r="F1923" t="s">
        <v>34</v>
      </c>
      <c r="G1923" t="s">
        <v>606</v>
      </c>
      <c r="H1923" t="s">
        <v>42</v>
      </c>
      <c r="I1923" t="str">
        <f t="shared" si="151"/>
        <v>0-1</v>
      </c>
      <c r="J1923" t="str">
        <f t="shared" si="152"/>
        <v>0</v>
      </c>
      <c r="K1923" t="str">
        <f t="shared" si="153"/>
        <v>1</v>
      </c>
      <c r="L1923" t="str">
        <f t="shared" si="154"/>
        <v>Girona FC</v>
      </c>
      <c r="M1923" t="str">
        <f>IF(COUNTIF($A$2:A1923,A1923)=1,
     VLOOKUP(A1923,Season_Winners!A:B,2,FALSE),
     "")</f>
        <v/>
      </c>
    </row>
    <row r="1924" spans="1:14" hidden="1" x14ac:dyDescent="0.3">
      <c r="A1924" t="s">
        <v>745</v>
      </c>
      <c r="B1924">
        <v>3</v>
      </c>
      <c r="C1924" t="s">
        <v>757</v>
      </c>
      <c r="D1924" t="str">
        <f t="shared" si="150"/>
        <v>31.08.2018</v>
      </c>
      <c r="E1924" s="1">
        <v>0.91666666666666663</v>
      </c>
      <c r="F1924" t="s">
        <v>187</v>
      </c>
      <c r="G1924" t="s">
        <v>10</v>
      </c>
      <c r="H1924" s="2">
        <v>46024</v>
      </c>
      <c r="I1924" s="3" t="str">
        <f t="shared" si="151"/>
        <v/>
      </c>
      <c r="J1924" t="str">
        <f t="shared" si="152"/>
        <v/>
      </c>
      <c r="K1924" t="str">
        <f t="shared" si="153"/>
        <v/>
      </c>
      <c r="L1924" t="str">
        <f t="shared" si="154"/>
        <v/>
      </c>
      <c r="M1924" t="str">
        <f>IF(COUNTIF($A$2:A1924,A1924)=1,
     VLOOKUP(A1924,Season_Winners!A:B,2,FALSE),
     "")</f>
        <v/>
      </c>
      <c r="N1924" s="2"/>
    </row>
    <row r="1925" spans="1:14" x14ac:dyDescent="0.3">
      <c r="A1925" t="s">
        <v>745</v>
      </c>
      <c r="B1925">
        <v>3</v>
      </c>
      <c r="C1925" t="s">
        <v>758</v>
      </c>
      <c r="D1925" t="str">
        <f t="shared" si="150"/>
        <v>01.09.2018</v>
      </c>
      <c r="E1925" s="1">
        <v>0.77083333333333337</v>
      </c>
      <c r="F1925" t="s">
        <v>35</v>
      </c>
      <c r="G1925" t="s">
        <v>1425</v>
      </c>
      <c r="H1925" t="s">
        <v>12</v>
      </c>
      <c r="I1925" t="str">
        <f t="shared" si="151"/>
        <v>2-0</v>
      </c>
      <c r="J1925" t="str">
        <f t="shared" si="152"/>
        <v>2</v>
      </c>
      <c r="K1925" t="str">
        <f t="shared" si="153"/>
        <v>0</v>
      </c>
      <c r="L1925" t="str">
        <f t="shared" si="154"/>
        <v>RC Celta</v>
      </c>
      <c r="M1925" t="str">
        <f>IF(COUNTIF($A$2:A1925,A1925)=1,
     VLOOKUP(A1925,Season_Winners!A:B,2,FALSE),
     "")</f>
        <v/>
      </c>
    </row>
    <row r="1926" spans="1:14" hidden="1" x14ac:dyDescent="0.3">
      <c r="A1926" t="s">
        <v>745</v>
      </c>
      <c r="B1926">
        <v>3</v>
      </c>
      <c r="C1926" t="s">
        <v>758</v>
      </c>
      <c r="D1926" t="str">
        <f t="shared" si="150"/>
        <v>01.09.2018</v>
      </c>
      <c r="E1926" s="1">
        <v>0.86458333333333337</v>
      </c>
      <c r="F1926" t="s">
        <v>25</v>
      </c>
      <c r="G1926" t="s">
        <v>466</v>
      </c>
      <c r="H1926" s="2">
        <v>46026</v>
      </c>
      <c r="I1926" s="3" t="str">
        <f t="shared" si="151"/>
        <v/>
      </c>
      <c r="J1926" t="str">
        <f t="shared" si="152"/>
        <v/>
      </c>
      <c r="K1926" t="str">
        <f t="shared" si="153"/>
        <v/>
      </c>
      <c r="L1926" t="str">
        <f t="shared" si="154"/>
        <v/>
      </c>
      <c r="M1926" t="str">
        <f>IF(COUNTIF($A$2:A1926,A1926)=1,
     VLOOKUP(A1926,Season_Winners!A:B,2,FALSE),
     "")</f>
        <v/>
      </c>
      <c r="N1926" s="2"/>
    </row>
    <row r="1927" spans="1:14" hidden="1" x14ac:dyDescent="0.3">
      <c r="A1927" t="s">
        <v>745</v>
      </c>
      <c r="B1927">
        <v>3</v>
      </c>
      <c r="C1927" t="s">
        <v>759</v>
      </c>
      <c r="D1927" t="str">
        <f t="shared" si="150"/>
        <v>02.09.2018</v>
      </c>
      <c r="E1927" s="1">
        <v>0.5</v>
      </c>
      <c r="F1927" t="s">
        <v>21</v>
      </c>
      <c r="G1927" t="s">
        <v>16</v>
      </c>
      <c r="H1927" s="2">
        <v>46055</v>
      </c>
      <c r="I1927" s="3" t="str">
        <f t="shared" si="151"/>
        <v/>
      </c>
      <c r="J1927" t="str">
        <f t="shared" si="152"/>
        <v/>
      </c>
      <c r="K1927" t="str">
        <f t="shared" si="153"/>
        <v/>
      </c>
      <c r="L1927" t="str">
        <f t="shared" si="154"/>
        <v/>
      </c>
      <c r="M1927" t="str">
        <f>IF(COUNTIF($A$2:A1927,A1927)=1,
     VLOOKUP(A1927,Season_Winners!A:B,2,FALSE),
     "")</f>
        <v/>
      </c>
      <c r="N1927" s="2"/>
    </row>
    <row r="1928" spans="1:14" hidden="1" x14ac:dyDescent="0.3">
      <c r="A1928" t="s">
        <v>745</v>
      </c>
      <c r="B1928">
        <v>3</v>
      </c>
      <c r="C1928" t="s">
        <v>759</v>
      </c>
      <c r="D1928" t="str">
        <f t="shared" si="150"/>
        <v>02.09.2018</v>
      </c>
      <c r="E1928" s="1">
        <v>0.67708333333333337</v>
      </c>
      <c r="F1928" t="s">
        <v>464</v>
      </c>
      <c r="G1928" t="s">
        <v>36</v>
      </c>
      <c r="H1928" s="2">
        <v>46024</v>
      </c>
      <c r="I1928" s="3" t="str">
        <f t="shared" si="151"/>
        <v/>
      </c>
      <c r="J1928" t="str">
        <f t="shared" si="152"/>
        <v/>
      </c>
      <c r="K1928" t="str">
        <f t="shared" si="153"/>
        <v/>
      </c>
      <c r="L1928" t="str">
        <f t="shared" si="154"/>
        <v/>
      </c>
      <c r="M1928" t="str">
        <f>IF(COUNTIF($A$2:A1928,A1928)=1,
     VLOOKUP(A1928,Season_Winners!A:B,2,FALSE),
     "")</f>
        <v/>
      </c>
      <c r="N1928" s="2"/>
    </row>
    <row r="1929" spans="1:14" hidden="1" x14ac:dyDescent="0.3">
      <c r="A1929" t="s">
        <v>745</v>
      </c>
      <c r="B1929">
        <v>3</v>
      </c>
      <c r="C1929" t="s">
        <v>759</v>
      </c>
      <c r="D1929" t="str">
        <f t="shared" si="150"/>
        <v>02.09.2018</v>
      </c>
      <c r="E1929" s="1">
        <v>0.77083333333333337</v>
      </c>
      <c r="F1929" t="s">
        <v>20</v>
      </c>
      <c r="G1929" t="s">
        <v>750</v>
      </c>
      <c r="H1929" s="2">
        <v>46061</v>
      </c>
      <c r="I1929" s="3" t="str">
        <f t="shared" si="151"/>
        <v/>
      </c>
      <c r="J1929" t="str">
        <f t="shared" si="152"/>
        <v/>
      </c>
      <c r="K1929" t="str">
        <f t="shared" si="153"/>
        <v/>
      </c>
      <c r="L1929" t="str">
        <f t="shared" si="154"/>
        <v/>
      </c>
      <c r="M1929" t="str">
        <f>IF(COUNTIF($A$2:A1929,A1929)=1,
     VLOOKUP(A1929,Season_Winners!A:B,2,FALSE),
     "")</f>
        <v/>
      </c>
      <c r="N1929" s="2"/>
    </row>
    <row r="1930" spans="1:14" x14ac:dyDescent="0.3">
      <c r="A1930" t="s">
        <v>745</v>
      </c>
      <c r="B1930">
        <v>3</v>
      </c>
      <c r="C1930" t="s">
        <v>759</v>
      </c>
      <c r="D1930" t="str">
        <f t="shared" si="150"/>
        <v>02.09.2018</v>
      </c>
      <c r="E1930" s="1">
        <v>0.86458333333333337</v>
      </c>
      <c r="F1930" t="s">
        <v>26</v>
      </c>
      <c r="G1930" t="s">
        <v>27</v>
      </c>
      <c r="H1930" t="s">
        <v>18</v>
      </c>
      <c r="I1930" t="str">
        <f t="shared" si="151"/>
        <v>1-0</v>
      </c>
      <c r="J1930" t="str">
        <f t="shared" si="152"/>
        <v>1</v>
      </c>
      <c r="K1930" t="str">
        <f t="shared" si="153"/>
        <v>0</v>
      </c>
      <c r="L1930" t="str">
        <f t="shared" si="154"/>
        <v>Real Betis</v>
      </c>
      <c r="M1930" t="str">
        <f>IF(COUNTIF($A$2:A1930,A1930)=1,
     VLOOKUP(A1930,Season_Winners!A:B,2,FALSE),
     "")</f>
        <v/>
      </c>
    </row>
    <row r="1931" spans="1:14" hidden="1" x14ac:dyDescent="0.3">
      <c r="A1931" t="s">
        <v>745</v>
      </c>
      <c r="B1931">
        <v>3</v>
      </c>
      <c r="C1931" t="s">
        <v>760</v>
      </c>
      <c r="D1931" t="str">
        <f t="shared" si="150"/>
        <v>24.10.2018</v>
      </c>
      <c r="E1931" s="1">
        <v>0.79166666666666663</v>
      </c>
      <c r="F1931" t="s">
        <v>30</v>
      </c>
      <c r="G1931" t="s">
        <v>15</v>
      </c>
      <c r="H1931" s="2">
        <v>46023</v>
      </c>
      <c r="I1931" s="3" t="str">
        <f t="shared" si="151"/>
        <v/>
      </c>
      <c r="J1931" t="str">
        <f t="shared" si="152"/>
        <v/>
      </c>
      <c r="K1931" t="str">
        <f t="shared" si="153"/>
        <v/>
      </c>
      <c r="L1931" t="str">
        <f t="shared" si="154"/>
        <v/>
      </c>
      <c r="M1931" t="str">
        <f>IF(COUNTIF($A$2:A1931,A1931)=1,
     VLOOKUP(A1931,Season_Winners!A:B,2,FALSE),
     "")</f>
        <v/>
      </c>
      <c r="N1931" s="2"/>
    </row>
    <row r="1932" spans="1:14" x14ac:dyDescent="0.3">
      <c r="A1932" t="s">
        <v>745</v>
      </c>
      <c r="B1932">
        <v>4</v>
      </c>
      <c r="C1932" t="s">
        <v>761</v>
      </c>
      <c r="D1932" t="str">
        <f t="shared" si="150"/>
        <v>14.09.2018</v>
      </c>
      <c r="E1932" s="1">
        <v>0.875</v>
      </c>
      <c r="F1932" t="s">
        <v>750</v>
      </c>
      <c r="G1932" t="s">
        <v>30</v>
      </c>
      <c r="H1932" t="s">
        <v>42</v>
      </c>
      <c r="I1932" t="str">
        <f t="shared" si="151"/>
        <v>0-1</v>
      </c>
      <c r="J1932" t="str">
        <f t="shared" si="152"/>
        <v>0</v>
      </c>
      <c r="K1932" t="str">
        <f t="shared" si="153"/>
        <v>1</v>
      </c>
      <c r="L1932" t="str">
        <f t="shared" si="154"/>
        <v>Rayo Vallecano</v>
      </c>
      <c r="M1932" t="str">
        <f>IF(COUNTIF($A$2:A1932,A1932)=1,
     VLOOKUP(A1932,Season_Winners!A:B,2,FALSE),
     "")</f>
        <v/>
      </c>
    </row>
    <row r="1933" spans="1:14" hidden="1" x14ac:dyDescent="0.3">
      <c r="A1933" t="s">
        <v>745</v>
      </c>
      <c r="B1933">
        <v>4</v>
      </c>
      <c r="C1933" t="s">
        <v>762</v>
      </c>
      <c r="D1933" t="str">
        <f t="shared" si="150"/>
        <v>15.09.2018</v>
      </c>
      <c r="E1933" s="1">
        <v>0.54166666666666663</v>
      </c>
      <c r="F1933" t="s">
        <v>28</v>
      </c>
      <c r="G1933" t="s">
        <v>187</v>
      </c>
      <c r="H1933" s="2">
        <v>46023</v>
      </c>
      <c r="I1933" s="3" t="str">
        <f t="shared" si="151"/>
        <v/>
      </c>
      <c r="J1933" t="str">
        <f t="shared" si="152"/>
        <v/>
      </c>
      <c r="K1933" t="str">
        <f t="shared" si="153"/>
        <v/>
      </c>
      <c r="L1933" t="str">
        <f t="shared" si="154"/>
        <v/>
      </c>
      <c r="M1933" t="str">
        <f>IF(COUNTIF($A$2:A1933,A1933)=1,
     VLOOKUP(A1933,Season_Winners!A:B,2,FALSE),
     "")</f>
        <v/>
      </c>
      <c r="N1933" s="2"/>
    </row>
    <row r="1934" spans="1:14" hidden="1" x14ac:dyDescent="0.3">
      <c r="A1934" t="s">
        <v>745</v>
      </c>
      <c r="B1934">
        <v>4</v>
      </c>
      <c r="C1934" t="s">
        <v>762</v>
      </c>
      <c r="D1934" t="str">
        <f t="shared" si="150"/>
        <v>15.09.2018</v>
      </c>
      <c r="E1934" s="1">
        <v>0.67708333333333337</v>
      </c>
      <c r="F1934" t="s">
        <v>10</v>
      </c>
      <c r="G1934" t="s">
        <v>20</v>
      </c>
      <c r="H1934" s="2">
        <v>46054</v>
      </c>
      <c r="I1934" s="3" t="str">
        <f t="shared" si="151"/>
        <v/>
      </c>
      <c r="J1934" t="str">
        <f t="shared" si="152"/>
        <v/>
      </c>
      <c r="K1934" t="str">
        <f t="shared" si="153"/>
        <v/>
      </c>
      <c r="L1934" t="str">
        <f t="shared" si="154"/>
        <v/>
      </c>
      <c r="M1934" t="str">
        <f>IF(COUNTIF($A$2:A1934,A1934)=1,
     VLOOKUP(A1934,Season_Winners!A:B,2,FALSE),
     "")</f>
        <v/>
      </c>
      <c r="N1934" s="2"/>
    </row>
    <row r="1935" spans="1:14" x14ac:dyDescent="0.3">
      <c r="A1935" t="s">
        <v>745</v>
      </c>
      <c r="B1935">
        <v>4</v>
      </c>
      <c r="C1935" t="s">
        <v>762</v>
      </c>
      <c r="D1935" t="str">
        <f t="shared" si="150"/>
        <v>15.09.2018</v>
      </c>
      <c r="E1935" s="1">
        <v>0.77083333333333337</v>
      </c>
      <c r="F1935" t="s">
        <v>16</v>
      </c>
      <c r="G1935" t="s">
        <v>26</v>
      </c>
      <c r="H1935" t="s">
        <v>41</v>
      </c>
      <c r="I1935" t="str">
        <f t="shared" si="151"/>
        <v>0-0</v>
      </c>
      <c r="J1935" t="str">
        <f t="shared" si="152"/>
        <v>0</v>
      </c>
      <c r="K1935" t="str">
        <f t="shared" si="153"/>
        <v>0</v>
      </c>
      <c r="L1935" t="str">
        <f t="shared" si="154"/>
        <v>Draw</v>
      </c>
      <c r="M1935" t="str">
        <f>IF(COUNTIF($A$2:A1935,A1935)=1,
     VLOOKUP(A1935,Season_Winners!A:B,2,FALSE),
     "")</f>
        <v/>
      </c>
    </row>
    <row r="1936" spans="1:14" hidden="1" x14ac:dyDescent="0.3">
      <c r="A1936" t="s">
        <v>745</v>
      </c>
      <c r="B1936">
        <v>4</v>
      </c>
      <c r="C1936" t="s">
        <v>762</v>
      </c>
      <c r="D1936" t="str">
        <f t="shared" si="150"/>
        <v>15.09.2018</v>
      </c>
      <c r="E1936" s="1">
        <v>0.86458333333333337</v>
      </c>
      <c r="F1936" t="s">
        <v>15</v>
      </c>
      <c r="G1936" t="s">
        <v>25</v>
      </c>
      <c r="H1936" s="2">
        <v>46023</v>
      </c>
      <c r="I1936" s="3" t="str">
        <f t="shared" si="151"/>
        <v/>
      </c>
      <c r="J1936" t="str">
        <f t="shared" si="152"/>
        <v/>
      </c>
      <c r="K1936" t="str">
        <f t="shared" si="153"/>
        <v/>
      </c>
      <c r="L1936" t="str">
        <f t="shared" si="154"/>
        <v/>
      </c>
      <c r="M1936" t="str">
        <f>IF(COUNTIF($A$2:A1936,A1936)=1,
     VLOOKUP(A1936,Season_Winners!A:B,2,FALSE),
     "")</f>
        <v/>
      </c>
      <c r="N1936" s="2"/>
    </row>
    <row r="1937" spans="1:14" x14ac:dyDescent="0.3">
      <c r="A1937" t="s">
        <v>745</v>
      </c>
      <c r="B1937">
        <v>4</v>
      </c>
      <c r="C1937" t="s">
        <v>763</v>
      </c>
      <c r="D1937" t="str">
        <f t="shared" si="150"/>
        <v>16.09.2018</v>
      </c>
      <c r="E1937" s="1">
        <v>0.5</v>
      </c>
      <c r="F1937" t="s">
        <v>466</v>
      </c>
      <c r="G1937" t="s">
        <v>34</v>
      </c>
      <c r="H1937" t="s">
        <v>42</v>
      </c>
      <c r="I1937" t="str">
        <f t="shared" si="151"/>
        <v>0-1</v>
      </c>
      <c r="J1937" t="str">
        <f t="shared" si="152"/>
        <v>0</v>
      </c>
      <c r="K1937" t="str">
        <f t="shared" si="153"/>
        <v>1</v>
      </c>
      <c r="L1937" t="str">
        <f t="shared" si="154"/>
        <v>Villarreal CF</v>
      </c>
      <c r="M1937" t="str">
        <f>IF(COUNTIF($A$2:A1937,A1937)=1,
     VLOOKUP(A1937,Season_Winners!A:B,2,FALSE),
     "")</f>
        <v/>
      </c>
    </row>
    <row r="1938" spans="1:14" x14ac:dyDescent="0.3">
      <c r="A1938" t="s">
        <v>745</v>
      </c>
      <c r="B1938">
        <v>4</v>
      </c>
      <c r="C1938" t="s">
        <v>763</v>
      </c>
      <c r="D1938" t="str">
        <f t="shared" si="150"/>
        <v>16.09.2018</v>
      </c>
      <c r="E1938" s="1">
        <v>0.67708333333333337</v>
      </c>
      <c r="F1938" t="s">
        <v>36</v>
      </c>
      <c r="G1938" t="s">
        <v>21</v>
      </c>
      <c r="H1938" t="s">
        <v>18</v>
      </c>
      <c r="I1938" t="str">
        <f t="shared" si="151"/>
        <v>1-0</v>
      </c>
      <c r="J1938" t="str">
        <f t="shared" si="152"/>
        <v>1</v>
      </c>
      <c r="K1938" t="str">
        <f t="shared" si="153"/>
        <v>0</v>
      </c>
      <c r="L1938" t="str">
        <f t="shared" si="154"/>
        <v>RCD Espanyol de Barcelona</v>
      </c>
      <c r="M1938" t="str">
        <f>IF(COUNTIF($A$2:A1938,A1938)=1,
     VLOOKUP(A1938,Season_Winners!A:B,2,FALSE),
     "")</f>
        <v/>
      </c>
    </row>
    <row r="1939" spans="1:14" x14ac:dyDescent="0.3">
      <c r="A1939" t="s">
        <v>745</v>
      </c>
      <c r="B1939">
        <v>4</v>
      </c>
      <c r="C1939" t="s">
        <v>763</v>
      </c>
      <c r="D1939" t="str">
        <f t="shared" si="150"/>
        <v>16.09.2018</v>
      </c>
      <c r="E1939" s="1">
        <v>0.77083333333333337</v>
      </c>
      <c r="F1939" t="s">
        <v>14</v>
      </c>
      <c r="G1939" t="s">
        <v>464</v>
      </c>
      <c r="H1939" t="s">
        <v>42</v>
      </c>
      <c r="I1939" t="str">
        <f t="shared" si="151"/>
        <v>0-1</v>
      </c>
      <c r="J1939" t="str">
        <f t="shared" si="152"/>
        <v>0</v>
      </c>
      <c r="K1939" t="str">
        <f t="shared" si="153"/>
        <v>1</v>
      </c>
      <c r="L1939" t="str">
        <f t="shared" si="154"/>
        <v>Deportivo AlavÃ©s</v>
      </c>
      <c r="M1939" t="str">
        <f>IF(COUNTIF($A$2:A1939,A1939)=1,
     VLOOKUP(A1939,Season_Winners!A:B,2,FALSE),
     "")</f>
        <v/>
      </c>
    </row>
    <row r="1940" spans="1:14" x14ac:dyDescent="0.3">
      <c r="A1940" t="s">
        <v>745</v>
      </c>
      <c r="B1940">
        <v>4</v>
      </c>
      <c r="C1940" t="s">
        <v>763</v>
      </c>
      <c r="D1940" t="str">
        <f t="shared" si="150"/>
        <v>16.09.2018</v>
      </c>
      <c r="E1940" s="1">
        <v>0.86458333333333337</v>
      </c>
      <c r="F1940" t="s">
        <v>27</v>
      </c>
      <c r="G1940" t="s">
        <v>11</v>
      </c>
      <c r="H1940" t="s">
        <v>54</v>
      </c>
      <c r="I1940" t="str">
        <f t="shared" si="151"/>
        <v>0-2</v>
      </c>
      <c r="J1940" t="str">
        <f t="shared" si="152"/>
        <v>0</v>
      </c>
      <c r="K1940" t="str">
        <f t="shared" si="153"/>
        <v>2</v>
      </c>
      <c r="L1940" t="str">
        <f t="shared" si="154"/>
        <v>Getafe CF</v>
      </c>
      <c r="M1940" t="str">
        <f>IF(COUNTIF($A$2:A1940,A1940)=1,
     VLOOKUP(A1940,Season_Winners!A:B,2,FALSE),
     "")</f>
        <v/>
      </c>
    </row>
    <row r="1941" spans="1:14" hidden="1" x14ac:dyDescent="0.3">
      <c r="A1941" t="s">
        <v>745</v>
      </c>
      <c r="B1941">
        <v>4</v>
      </c>
      <c r="C1941" t="s">
        <v>764</v>
      </c>
      <c r="D1941" t="str">
        <f t="shared" si="150"/>
        <v>17.09.2018</v>
      </c>
      <c r="E1941" s="1">
        <v>0.875</v>
      </c>
      <c r="F1941" t="s">
        <v>606</v>
      </c>
      <c r="G1941" t="s">
        <v>35</v>
      </c>
      <c r="H1941" s="2">
        <v>46056</v>
      </c>
      <c r="I1941" s="3" t="str">
        <f t="shared" si="151"/>
        <v/>
      </c>
      <c r="J1941" t="str">
        <f t="shared" si="152"/>
        <v/>
      </c>
      <c r="K1941" t="str">
        <f t="shared" si="153"/>
        <v/>
      </c>
      <c r="L1941" t="str">
        <f t="shared" si="154"/>
        <v/>
      </c>
      <c r="M1941" t="str">
        <f>IF(COUNTIF($A$2:A1941,A1941)=1,
     VLOOKUP(A1941,Season_Winners!A:B,2,FALSE),
     "")</f>
        <v/>
      </c>
      <c r="N1941" s="2"/>
    </row>
    <row r="1942" spans="1:14" x14ac:dyDescent="0.3">
      <c r="A1942" t="s">
        <v>745</v>
      </c>
      <c r="B1942">
        <v>5</v>
      </c>
      <c r="C1942" t="s">
        <v>765</v>
      </c>
      <c r="D1942" t="str">
        <f t="shared" si="150"/>
        <v>21.09.2018</v>
      </c>
      <c r="E1942" s="1">
        <v>0.875</v>
      </c>
      <c r="F1942" t="s">
        <v>750</v>
      </c>
      <c r="G1942" t="s">
        <v>10</v>
      </c>
      <c r="H1942" t="s">
        <v>42</v>
      </c>
      <c r="I1942" t="str">
        <f t="shared" si="151"/>
        <v>0-1</v>
      </c>
      <c r="J1942" t="str">
        <f t="shared" si="152"/>
        <v>0</v>
      </c>
      <c r="K1942" t="str">
        <f t="shared" si="153"/>
        <v>1</v>
      </c>
      <c r="L1942" t="str">
        <f t="shared" si="154"/>
        <v>Real Sociedad</v>
      </c>
      <c r="M1942" t="str">
        <f>IF(COUNTIF($A$2:A1942,A1942)=1,
     VLOOKUP(A1942,Season_Winners!A:B,2,FALSE),
     "")</f>
        <v/>
      </c>
    </row>
    <row r="1943" spans="1:14" hidden="1" x14ac:dyDescent="0.3">
      <c r="A1943" t="s">
        <v>745</v>
      </c>
      <c r="B1943">
        <v>5</v>
      </c>
      <c r="C1943" t="s">
        <v>766</v>
      </c>
      <c r="D1943" t="str">
        <f t="shared" si="150"/>
        <v>22.09.2018</v>
      </c>
      <c r="E1943" s="1">
        <v>0.54166666666666663</v>
      </c>
      <c r="F1943" t="s">
        <v>30</v>
      </c>
      <c r="G1943" t="s">
        <v>464</v>
      </c>
      <c r="H1943" s="2">
        <v>46143</v>
      </c>
      <c r="I1943" s="3" t="str">
        <f t="shared" si="151"/>
        <v/>
      </c>
      <c r="J1943" t="str">
        <f t="shared" si="152"/>
        <v/>
      </c>
      <c r="K1943" t="str">
        <f t="shared" si="153"/>
        <v/>
      </c>
      <c r="L1943" t="str">
        <f t="shared" si="154"/>
        <v/>
      </c>
      <c r="M1943" t="str">
        <f>IF(COUNTIF($A$2:A1943,A1943)=1,
     VLOOKUP(A1943,Season_Winners!A:B,2,FALSE),
     "")</f>
        <v/>
      </c>
      <c r="N1943" s="2"/>
    </row>
    <row r="1944" spans="1:14" hidden="1" x14ac:dyDescent="0.3">
      <c r="A1944" t="s">
        <v>745</v>
      </c>
      <c r="B1944">
        <v>5</v>
      </c>
      <c r="C1944" t="s">
        <v>766</v>
      </c>
      <c r="D1944" t="str">
        <f t="shared" si="150"/>
        <v>22.09.2018</v>
      </c>
      <c r="E1944" s="1">
        <v>0.67708333333333337</v>
      </c>
      <c r="F1944" t="s">
        <v>35</v>
      </c>
      <c r="G1944" t="s">
        <v>14</v>
      </c>
      <c r="H1944" s="2">
        <v>46084</v>
      </c>
      <c r="I1944" s="3" t="str">
        <f t="shared" si="151"/>
        <v/>
      </c>
      <c r="J1944" t="str">
        <f t="shared" si="152"/>
        <v/>
      </c>
      <c r="K1944" t="str">
        <f t="shared" si="153"/>
        <v/>
      </c>
      <c r="L1944" t="str">
        <f t="shared" si="154"/>
        <v/>
      </c>
      <c r="M1944" t="str">
        <f>IF(COUNTIF($A$2:A1944,A1944)=1,
     VLOOKUP(A1944,Season_Winners!A:B,2,FALSE),
     "")</f>
        <v/>
      </c>
      <c r="N1944" s="2"/>
    </row>
    <row r="1945" spans="1:14" x14ac:dyDescent="0.3">
      <c r="A1945" t="s">
        <v>745</v>
      </c>
      <c r="B1945">
        <v>5</v>
      </c>
      <c r="C1945" t="s">
        <v>766</v>
      </c>
      <c r="D1945" t="str">
        <f t="shared" si="150"/>
        <v>22.09.2018</v>
      </c>
      <c r="E1945" s="1">
        <v>0.67708333333333337</v>
      </c>
      <c r="F1945" t="s">
        <v>187</v>
      </c>
      <c r="G1945" t="s">
        <v>466</v>
      </c>
      <c r="H1945" t="s">
        <v>18</v>
      </c>
      <c r="I1945" t="str">
        <f t="shared" si="151"/>
        <v>1-0</v>
      </c>
      <c r="J1945" t="str">
        <f t="shared" si="152"/>
        <v>1</v>
      </c>
      <c r="K1945" t="str">
        <f t="shared" si="153"/>
        <v>0</v>
      </c>
      <c r="L1945" t="str">
        <f t="shared" si="154"/>
        <v>SD Eibar</v>
      </c>
      <c r="M1945" t="str">
        <f>IF(COUNTIF($A$2:A1945,A1945)=1,
     VLOOKUP(A1945,Season_Winners!A:B,2,FALSE),
     "")</f>
        <v/>
      </c>
    </row>
    <row r="1946" spans="1:14" x14ac:dyDescent="0.3">
      <c r="A1946" t="s">
        <v>745</v>
      </c>
      <c r="B1946">
        <v>5</v>
      </c>
      <c r="C1946" t="s">
        <v>766</v>
      </c>
      <c r="D1946" t="str">
        <f t="shared" si="150"/>
        <v>22.09.2018</v>
      </c>
      <c r="E1946" s="1">
        <v>0.77083333333333337</v>
      </c>
      <c r="F1946" t="s">
        <v>11</v>
      </c>
      <c r="G1946" t="s">
        <v>1425</v>
      </c>
      <c r="H1946" t="s">
        <v>54</v>
      </c>
      <c r="I1946" t="str">
        <f t="shared" si="151"/>
        <v>0-2</v>
      </c>
      <c r="J1946" t="str">
        <f t="shared" si="152"/>
        <v>0</v>
      </c>
      <c r="K1946" t="str">
        <f t="shared" si="153"/>
        <v>2</v>
      </c>
      <c r="L1946" t="str">
        <f t="shared" si="154"/>
        <v>Atlético de Madrid</v>
      </c>
      <c r="M1946" t="str">
        <f>IF(COUNTIF($A$2:A1946,A1946)=1,
     VLOOKUP(A1946,Season_Winners!A:B,2,FALSE),
     "")</f>
        <v/>
      </c>
    </row>
    <row r="1947" spans="1:14" x14ac:dyDescent="0.3">
      <c r="A1947" t="s">
        <v>745</v>
      </c>
      <c r="B1947">
        <v>5</v>
      </c>
      <c r="C1947" t="s">
        <v>766</v>
      </c>
      <c r="D1947" t="str">
        <f t="shared" si="150"/>
        <v>22.09.2018</v>
      </c>
      <c r="E1947" s="1">
        <v>0.86458333333333337</v>
      </c>
      <c r="F1947" t="s">
        <v>25</v>
      </c>
      <c r="G1947" t="s">
        <v>36</v>
      </c>
      <c r="H1947" t="s">
        <v>18</v>
      </c>
      <c r="I1947" t="str">
        <f t="shared" si="151"/>
        <v>1-0</v>
      </c>
      <c r="J1947" t="str">
        <f t="shared" si="152"/>
        <v>1</v>
      </c>
      <c r="K1947" t="str">
        <f t="shared" si="153"/>
        <v>0</v>
      </c>
      <c r="L1947" t="str">
        <f t="shared" si="154"/>
        <v>Real Madrid</v>
      </c>
      <c r="M1947" t="str">
        <f>IF(COUNTIF($A$2:A1947,A1947)=1,
     VLOOKUP(A1947,Season_Winners!A:B,2,FALSE),
     "")</f>
        <v/>
      </c>
    </row>
    <row r="1948" spans="1:14" hidden="1" x14ac:dyDescent="0.3">
      <c r="A1948" t="s">
        <v>745</v>
      </c>
      <c r="B1948">
        <v>5</v>
      </c>
      <c r="C1948" t="s">
        <v>767</v>
      </c>
      <c r="D1948" t="str">
        <f t="shared" si="150"/>
        <v>23.09.2018</v>
      </c>
      <c r="E1948" s="1">
        <v>0.5</v>
      </c>
      <c r="F1948" t="s">
        <v>21</v>
      </c>
      <c r="G1948" t="s">
        <v>27</v>
      </c>
      <c r="H1948" s="2">
        <v>46175</v>
      </c>
      <c r="I1948" s="3" t="str">
        <f t="shared" si="151"/>
        <v/>
      </c>
      <c r="J1948" t="str">
        <f t="shared" si="152"/>
        <v/>
      </c>
      <c r="K1948" t="str">
        <f t="shared" si="153"/>
        <v/>
      </c>
      <c r="L1948" t="str">
        <f t="shared" si="154"/>
        <v/>
      </c>
      <c r="M1948" t="str">
        <f>IF(COUNTIF($A$2:A1948,A1948)=1,
     VLOOKUP(A1948,Season_Winners!A:B,2,FALSE),
     "")</f>
        <v/>
      </c>
      <c r="N1948" s="2"/>
    </row>
    <row r="1949" spans="1:14" x14ac:dyDescent="0.3">
      <c r="A1949" t="s">
        <v>745</v>
      </c>
      <c r="B1949">
        <v>5</v>
      </c>
      <c r="C1949" t="s">
        <v>767</v>
      </c>
      <c r="D1949" t="str">
        <f t="shared" si="150"/>
        <v>23.09.2018</v>
      </c>
      <c r="E1949" s="1">
        <v>0.67708333333333337</v>
      </c>
      <c r="F1949" t="s">
        <v>34</v>
      </c>
      <c r="G1949" t="s">
        <v>16</v>
      </c>
      <c r="H1949" t="s">
        <v>41</v>
      </c>
      <c r="I1949" t="str">
        <f t="shared" si="151"/>
        <v>0-0</v>
      </c>
      <c r="J1949" t="str">
        <f t="shared" si="152"/>
        <v>0</v>
      </c>
      <c r="K1949" t="str">
        <f t="shared" si="153"/>
        <v>0</v>
      </c>
      <c r="L1949" t="str">
        <f t="shared" si="154"/>
        <v>Draw</v>
      </c>
      <c r="M1949" t="str">
        <f>IF(COUNTIF($A$2:A1949,A1949)=1,
     VLOOKUP(A1949,Season_Winners!A:B,2,FALSE),
     "")</f>
        <v/>
      </c>
    </row>
    <row r="1950" spans="1:14" hidden="1" x14ac:dyDescent="0.3">
      <c r="A1950" t="s">
        <v>745</v>
      </c>
      <c r="B1950">
        <v>5</v>
      </c>
      <c r="C1950" t="s">
        <v>767</v>
      </c>
      <c r="D1950" t="str">
        <f t="shared" si="150"/>
        <v>23.09.2018</v>
      </c>
      <c r="E1950" s="1">
        <v>0.83333333333333337</v>
      </c>
      <c r="F1950" t="s">
        <v>26</v>
      </c>
      <c r="G1950" t="s">
        <v>15</v>
      </c>
      <c r="H1950" s="2">
        <v>46055</v>
      </c>
      <c r="I1950" s="3" t="str">
        <f t="shared" si="151"/>
        <v/>
      </c>
      <c r="J1950" t="str">
        <f t="shared" si="152"/>
        <v/>
      </c>
      <c r="K1950" t="str">
        <f t="shared" si="153"/>
        <v/>
      </c>
      <c r="L1950" t="str">
        <f t="shared" si="154"/>
        <v/>
      </c>
      <c r="M1950" t="str">
        <f>IF(COUNTIF($A$2:A1950,A1950)=1,
     VLOOKUP(A1950,Season_Winners!A:B,2,FALSE),
     "")</f>
        <v/>
      </c>
      <c r="N1950" s="2"/>
    </row>
    <row r="1951" spans="1:14" hidden="1" x14ac:dyDescent="0.3">
      <c r="A1951" t="s">
        <v>745</v>
      </c>
      <c r="B1951">
        <v>5</v>
      </c>
      <c r="C1951" t="s">
        <v>767</v>
      </c>
      <c r="D1951" t="str">
        <f t="shared" si="150"/>
        <v>23.09.2018</v>
      </c>
      <c r="E1951" s="1">
        <v>0.86458333333333337</v>
      </c>
      <c r="F1951" t="s">
        <v>20</v>
      </c>
      <c r="G1951" t="s">
        <v>606</v>
      </c>
      <c r="H1951" s="2">
        <v>46055</v>
      </c>
      <c r="I1951" s="3" t="str">
        <f t="shared" si="151"/>
        <v/>
      </c>
      <c r="J1951" t="str">
        <f t="shared" si="152"/>
        <v/>
      </c>
      <c r="K1951" t="str">
        <f t="shared" si="153"/>
        <v/>
      </c>
      <c r="L1951" t="str">
        <f t="shared" si="154"/>
        <v/>
      </c>
      <c r="M1951" t="str">
        <f>IF(COUNTIF($A$2:A1951,A1951)=1,
     VLOOKUP(A1951,Season_Winners!A:B,2,FALSE),
     "")</f>
        <v/>
      </c>
      <c r="N1951" s="2"/>
    </row>
    <row r="1952" spans="1:14" x14ac:dyDescent="0.3">
      <c r="A1952" t="s">
        <v>745</v>
      </c>
      <c r="B1952">
        <v>6</v>
      </c>
      <c r="C1952" t="s">
        <v>768</v>
      </c>
      <c r="D1952" t="str">
        <f t="shared" si="150"/>
        <v>25.09.2018</v>
      </c>
      <c r="E1952" s="1">
        <v>0.83333333333333337</v>
      </c>
      <c r="F1952" t="s">
        <v>36</v>
      </c>
      <c r="G1952" t="s">
        <v>187</v>
      </c>
      <c r="H1952" t="s">
        <v>18</v>
      </c>
      <c r="I1952" t="str">
        <f t="shared" si="151"/>
        <v>1-0</v>
      </c>
      <c r="J1952" t="str">
        <f t="shared" si="152"/>
        <v>1</v>
      </c>
      <c r="K1952" t="str">
        <f t="shared" si="153"/>
        <v>0</v>
      </c>
      <c r="L1952" t="str">
        <f t="shared" si="154"/>
        <v>RCD Espanyol de Barcelona</v>
      </c>
      <c r="M1952" t="str">
        <f>IF(COUNTIF($A$2:A1952,A1952)=1,
     VLOOKUP(A1952,Season_Winners!A:B,2,FALSE),
     "")</f>
        <v/>
      </c>
    </row>
    <row r="1953" spans="1:14" hidden="1" x14ac:dyDescent="0.3">
      <c r="A1953" t="s">
        <v>745</v>
      </c>
      <c r="B1953">
        <v>6</v>
      </c>
      <c r="C1953" t="s">
        <v>768</v>
      </c>
      <c r="D1953" t="str">
        <f t="shared" si="150"/>
        <v>25.09.2018</v>
      </c>
      <c r="E1953" s="1">
        <v>0.875</v>
      </c>
      <c r="F1953" t="s">
        <v>10</v>
      </c>
      <c r="G1953" t="s">
        <v>30</v>
      </c>
      <c r="H1953" s="2">
        <v>46055</v>
      </c>
      <c r="I1953" s="3" t="str">
        <f t="shared" si="151"/>
        <v/>
      </c>
      <c r="J1953" t="str">
        <f t="shared" si="152"/>
        <v/>
      </c>
      <c r="K1953" t="str">
        <f t="shared" si="153"/>
        <v/>
      </c>
      <c r="L1953" t="str">
        <f t="shared" si="154"/>
        <v/>
      </c>
      <c r="M1953" t="str">
        <f>IF(COUNTIF($A$2:A1953,A1953)=1,
     VLOOKUP(A1953,Season_Winners!A:B,2,FALSE),
     "")</f>
        <v/>
      </c>
      <c r="N1953" s="2"/>
    </row>
    <row r="1954" spans="1:14" x14ac:dyDescent="0.3">
      <c r="A1954" t="s">
        <v>745</v>
      </c>
      <c r="B1954">
        <v>6</v>
      </c>
      <c r="C1954" t="s">
        <v>768</v>
      </c>
      <c r="D1954" t="str">
        <f t="shared" si="150"/>
        <v>25.09.2018</v>
      </c>
      <c r="E1954" s="1">
        <v>0.91666666666666663</v>
      </c>
      <c r="F1954" t="s">
        <v>1425</v>
      </c>
      <c r="G1954" t="s">
        <v>750</v>
      </c>
      <c r="H1954" t="s">
        <v>32</v>
      </c>
      <c r="I1954" t="str">
        <f t="shared" si="151"/>
        <v>3-0</v>
      </c>
      <c r="J1954" t="str">
        <f t="shared" si="152"/>
        <v>3</v>
      </c>
      <c r="K1954" t="str">
        <f t="shared" si="153"/>
        <v>0</v>
      </c>
      <c r="L1954" t="str">
        <f t="shared" si="154"/>
        <v>Atlético de Madrid</v>
      </c>
      <c r="M1954" t="str">
        <f>IF(COUNTIF($A$2:A1954,A1954)=1,
     VLOOKUP(A1954,Season_Winners!A:B,2,FALSE),
     "")</f>
        <v/>
      </c>
    </row>
    <row r="1955" spans="1:14" x14ac:dyDescent="0.3">
      <c r="A1955" t="s">
        <v>745</v>
      </c>
      <c r="B1955">
        <v>6</v>
      </c>
      <c r="C1955" t="s">
        <v>769</v>
      </c>
      <c r="D1955" t="str">
        <f t="shared" si="150"/>
        <v>26.09.2018</v>
      </c>
      <c r="E1955" s="1">
        <v>0.83333333333333337</v>
      </c>
      <c r="F1955" t="s">
        <v>15</v>
      </c>
      <c r="G1955" t="s">
        <v>34</v>
      </c>
      <c r="H1955" t="s">
        <v>46</v>
      </c>
      <c r="I1955" t="str">
        <f t="shared" si="151"/>
        <v>0-3</v>
      </c>
      <c r="J1955" t="str">
        <f t="shared" si="152"/>
        <v>0</v>
      </c>
      <c r="K1955" t="str">
        <f t="shared" si="153"/>
        <v>3</v>
      </c>
      <c r="L1955" t="str">
        <f t="shared" si="154"/>
        <v>Villarreal CF</v>
      </c>
      <c r="M1955" t="str">
        <f>IF(COUNTIF($A$2:A1955,A1955)=1,
     VLOOKUP(A1955,Season_Winners!A:B,2,FALSE),
     "")</f>
        <v/>
      </c>
    </row>
    <row r="1956" spans="1:14" hidden="1" x14ac:dyDescent="0.3">
      <c r="A1956" t="s">
        <v>745</v>
      </c>
      <c r="B1956">
        <v>6</v>
      </c>
      <c r="C1956" t="s">
        <v>769</v>
      </c>
      <c r="D1956" t="str">
        <f t="shared" si="150"/>
        <v>26.09.2018</v>
      </c>
      <c r="E1956" s="1">
        <v>0.83333333333333337</v>
      </c>
      <c r="F1956" t="s">
        <v>466</v>
      </c>
      <c r="G1956" t="s">
        <v>20</v>
      </c>
      <c r="H1956" s="2">
        <v>46024</v>
      </c>
      <c r="I1956" s="3" t="str">
        <f t="shared" si="151"/>
        <v/>
      </c>
      <c r="J1956" t="str">
        <f t="shared" si="152"/>
        <v/>
      </c>
      <c r="K1956" t="str">
        <f t="shared" si="153"/>
        <v/>
      </c>
      <c r="L1956" t="str">
        <f t="shared" si="154"/>
        <v/>
      </c>
      <c r="M1956" t="str">
        <f>IF(COUNTIF($A$2:A1956,A1956)=1,
     VLOOKUP(A1956,Season_Winners!A:B,2,FALSE),
     "")</f>
        <v/>
      </c>
      <c r="N1956" s="2"/>
    </row>
    <row r="1957" spans="1:14" x14ac:dyDescent="0.3">
      <c r="A1957" t="s">
        <v>745</v>
      </c>
      <c r="B1957">
        <v>6</v>
      </c>
      <c r="C1957" t="s">
        <v>769</v>
      </c>
      <c r="D1957" t="str">
        <f t="shared" si="150"/>
        <v>26.09.2018</v>
      </c>
      <c r="E1957" s="1">
        <v>0.91666666666666663</v>
      </c>
      <c r="F1957" t="s">
        <v>27</v>
      </c>
      <c r="G1957" t="s">
        <v>25</v>
      </c>
      <c r="H1957" t="s">
        <v>32</v>
      </c>
      <c r="I1957" t="str">
        <f t="shared" si="151"/>
        <v>3-0</v>
      </c>
      <c r="J1957" t="str">
        <f t="shared" si="152"/>
        <v>3</v>
      </c>
      <c r="K1957" t="str">
        <f t="shared" si="153"/>
        <v>0</v>
      </c>
      <c r="L1957" t="str">
        <f t="shared" si="154"/>
        <v>Sevilla FC</v>
      </c>
      <c r="M1957" t="str">
        <f>IF(COUNTIF($A$2:A1957,A1957)=1,
     VLOOKUP(A1957,Season_Winners!A:B,2,FALSE),
     "")</f>
        <v/>
      </c>
    </row>
    <row r="1958" spans="1:14" hidden="1" x14ac:dyDescent="0.3">
      <c r="A1958" t="s">
        <v>745</v>
      </c>
      <c r="B1958">
        <v>6</v>
      </c>
      <c r="C1958" t="s">
        <v>769</v>
      </c>
      <c r="D1958" t="str">
        <f t="shared" si="150"/>
        <v>26.09.2018</v>
      </c>
      <c r="E1958" s="1">
        <v>0.91666666666666663</v>
      </c>
      <c r="F1958" t="s">
        <v>16</v>
      </c>
      <c r="G1958" t="s">
        <v>35</v>
      </c>
      <c r="H1958" s="2">
        <v>46023</v>
      </c>
      <c r="I1958" s="3" t="str">
        <f t="shared" si="151"/>
        <v/>
      </c>
      <c r="J1958" t="str">
        <f t="shared" si="152"/>
        <v/>
      </c>
      <c r="K1958" t="str">
        <f t="shared" si="153"/>
        <v/>
      </c>
      <c r="L1958" t="str">
        <f t="shared" si="154"/>
        <v/>
      </c>
      <c r="M1958" t="str">
        <f>IF(COUNTIF($A$2:A1958,A1958)=1,
     VLOOKUP(A1958,Season_Winners!A:B,2,FALSE),
     "")</f>
        <v/>
      </c>
      <c r="N1958" s="2"/>
    </row>
    <row r="1959" spans="1:14" hidden="1" x14ac:dyDescent="0.3">
      <c r="A1959" t="s">
        <v>745</v>
      </c>
      <c r="B1959">
        <v>6</v>
      </c>
      <c r="C1959" t="s">
        <v>770</v>
      </c>
      <c r="D1959" t="str">
        <f t="shared" si="150"/>
        <v>27.09.2018</v>
      </c>
      <c r="E1959" s="1">
        <v>0.83333333333333337</v>
      </c>
      <c r="F1959" t="s">
        <v>14</v>
      </c>
      <c r="G1959" t="s">
        <v>21</v>
      </c>
      <c r="H1959" s="2">
        <v>46024</v>
      </c>
      <c r="I1959" s="3" t="str">
        <f t="shared" si="151"/>
        <v/>
      </c>
      <c r="J1959" t="str">
        <f t="shared" si="152"/>
        <v/>
      </c>
      <c r="K1959" t="str">
        <f t="shared" si="153"/>
        <v/>
      </c>
      <c r="L1959" t="str">
        <f t="shared" si="154"/>
        <v/>
      </c>
      <c r="M1959" t="str">
        <f>IF(COUNTIF($A$2:A1959,A1959)=1,
     VLOOKUP(A1959,Season_Winners!A:B,2,FALSE),
     "")</f>
        <v/>
      </c>
      <c r="N1959" s="2"/>
    </row>
    <row r="1960" spans="1:14" hidden="1" x14ac:dyDescent="0.3">
      <c r="A1960" t="s">
        <v>745</v>
      </c>
      <c r="B1960">
        <v>6</v>
      </c>
      <c r="C1960" t="s">
        <v>770</v>
      </c>
      <c r="D1960" t="str">
        <f t="shared" si="150"/>
        <v>27.09.2018</v>
      </c>
      <c r="E1960" s="1">
        <v>0.83333333333333337</v>
      </c>
      <c r="F1960" t="s">
        <v>464</v>
      </c>
      <c r="G1960" t="s">
        <v>11</v>
      </c>
      <c r="H1960" s="2">
        <v>46023</v>
      </c>
      <c r="I1960" s="3" t="str">
        <f t="shared" si="151"/>
        <v/>
      </c>
      <c r="J1960" t="str">
        <f t="shared" si="152"/>
        <v/>
      </c>
      <c r="K1960" t="str">
        <f t="shared" si="153"/>
        <v/>
      </c>
      <c r="L1960" t="str">
        <f t="shared" si="154"/>
        <v/>
      </c>
      <c r="M1960" t="str">
        <f>IF(COUNTIF($A$2:A1960,A1960)=1,
     VLOOKUP(A1960,Season_Winners!A:B,2,FALSE),
     "")</f>
        <v/>
      </c>
      <c r="N1960" s="2"/>
    </row>
    <row r="1961" spans="1:14" x14ac:dyDescent="0.3">
      <c r="A1961" t="s">
        <v>745</v>
      </c>
      <c r="B1961">
        <v>6</v>
      </c>
      <c r="C1961" t="s">
        <v>770</v>
      </c>
      <c r="D1961" t="str">
        <f t="shared" si="150"/>
        <v>27.09.2018</v>
      </c>
      <c r="E1961" s="1">
        <v>0.91666666666666663</v>
      </c>
      <c r="F1961" t="s">
        <v>606</v>
      </c>
      <c r="G1961" t="s">
        <v>26</v>
      </c>
      <c r="H1961" t="s">
        <v>42</v>
      </c>
      <c r="I1961" t="str">
        <f t="shared" si="151"/>
        <v>0-1</v>
      </c>
      <c r="J1961" t="str">
        <f t="shared" si="152"/>
        <v>0</v>
      </c>
      <c r="K1961" t="str">
        <f t="shared" si="153"/>
        <v>1</v>
      </c>
      <c r="L1961" t="str">
        <f t="shared" si="154"/>
        <v>Real Betis</v>
      </c>
      <c r="M1961" t="str">
        <f>IF(COUNTIF($A$2:A1961,A1961)=1,
     VLOOKUP(A1961,Season_Winners!A:B,2,FALSE),
     "")</f>
        <v/>
      </c>
    </row>
    <row r="1962" spans="1:14" hidden="1" x14ac:dyDescent="0.3">
      <c r="A1962" t="s">
        <v>745</v>
      </c>
      <c r="B1962">
        <v>7</v>
      </c>
      <c r="C1962" t="s">
        <v>771</v>
      </c>
      <c r="D1962" t="str">
        <f t="shared" si="150"/>
        <v>28.09.2018</v>
      </c>
      <c r="E1962" s="1">
        <v>0.875</v>
      </c>
      <c r="F1962" t="s">
        <v>30</v>
      </c>
      <c r="G1962" t="s">
        <v>36</v>
      </c>
      <c r="H1962" s="2">
        <v>46055</v>
      </c>
      <c r="I1962" s="3" t="str">
        <f t="shared" si="151"/>
        <v/>
      </c>
      <c r="J1962" t="str">
        <f t="shared" si="152"/>
        <v/>
      </c>
      <c r="K1962" t="str">
        <f t="shared" si="153"/>
        <v/>
      </c>
      <c r="L1962" t="str">
        <f t="shared" si="154"/>
        <v/>
      </c>
      <c r="M1962" t="str">
        <f>IF(COUNTIF($A$2:A1962,A1962)=1,
     VLOOKUP(A1962,Season_Winners!A:B,2,FALSE),
     "")</f>
        <v/>
      </c>
      <c r="N1962" s="2"/>
    </row>
    <row r="1963" spans="1:14" x14ac:dyDescent="0.3">
      <c r="A1963" t="s">
        <v>745</v>
      </c>
      <c r="B1963">
        <v>7</v>
      </c>
      <c r="C1963" t="s">
        <v>772</v>
      </c>
      <c r="D1963" t="str">
        <f t="shared" si="150"/>
        <v>29.09.2018</v>
      </c>
      <c r="E1963" s="1">
        <v>0.54166666666666663</v>
      </c>
      <c r="F1963" t="s">
        <v>10</v>
      </c>
      <c r="G1963" t="s">
        <v>16</v>
      </c>
      <c r="H1963" t="s">
        <v>42</v>
      </c>
      <c r="I1963" t="str">
        <f t="shared" si="151"/>
        <v>0-1</v>
      </c>
      <c r="J1963" t="str">
        <f t="shared" si="152"/>
        <v>0</v>
      </c>
      <c r="K1963" t="str">
        <f t="shared" si="153"/>
        <v>1</v>
      </c>
      <c r="L1963" t="str">
        <f t="shared" si="154"/>
        <v>Valencia CF</v>
      </c>
      <c r="M1963" t="str">
        <f>IF(COUNTIF($A$2:A1963,A1963)=1,
     VLOOKUP(A1963,Season_Winners!A:B,2,FALSE),
     "")</f>
        <v/>
      </c>
    </row>
    <row r="1964" spans="1:14" hidden="1" x14ac:dyDescent="0.3">
      <c r="A1964" t="s">
        <v>745</v>
      </c>
      <c r="B1964">
        <v>7</v>
      </c>
      <c r="C1964" t="s">
        <v>772</v>
      </c>
      <c r="D1964" t="str">
        <f t="shared" si="150"/>
        <v>29.09.2018</v>
      </c>
      <c r="E1964" s="1">
        <v>0.67708333333333337</v>
      </c>
      <c r="F1964" t="s">
        <v>20</v>
      </c>
      <c r="G1964" t="s">
        <v>15</v>
      </c>
      <c r="H1964" s="2">
        <v>46023</v>
      </c>
      <c r="I1964" s="3" t="str">
        <f t="shared" si="151"/>
        <v/>
      </c>
      <c r="J1964" t="str">
        <f t="shared" si="152"/>
        <v/>
      </c>
      <c r="K1964" t="str">
        <f t="shared" si="153"/>
        <v/>
      </c>
      <c r="L1964" t="str">
        <f t="shared" si="154"/>
        <v/>
      </c>
      <c r="M1964" t="str">
        <f>IF(COUNTIF($A$2:A1964,A1964)=1,
     VLOOKUP(A1964,Season_Winners!A:B,2,FALSE),
     "")</f>
        <v/>
      </c>
      <c r="N1964" s="2"/>
    </row>
    <row r="1965" spans="1:14" hidden="1" x14ac:dyDescent="0.3">
      <c r="A1965" t="s">
        <v>745</v>
      </c>
      <c r="B1965">
        <v>7</v>
      </c>
      <c r="C1965" t="s">
        <v>772</v>
      </c>
      <c r="D1965" t="str">
        <f t="shared" si="150"/>
        <v>29.09.2018</v>
      </c>
      <c r="E1965" s="1">
        <v>0.77083333333333337</v>
      </c>
      <c r="F1965" t="s">
        <v>187</v>
      </c>
      <c r="G1965" t="s">
        <v>27</v>
      </c>
      <c r="H1965" s="2">
        <v>46082</v>
      </c>
      <c r="I1965" s="3" t="str">
        <f t="shared" si="151"/>
        <v/>
      </c>
      <c r="J1965" t="str">
        <f t="shared" si="152"/>
        <v/>
      </c>
      <c r="K1965" t="str">
        <f t="shared" si="153"/>
        <v/>
      </c>
      <c r="L1965" t="str">
        <f t="shared" si="154"/>
        <v/>
      </c>
      <c r="M1965" t="str">
        <f>IF(COUNTIF($A$2:A1965,A1965)=1,
     VLOOKUP(A1965,Season_Winners!A:B,2,FALSE),
     "")</f>
        <v/>
      </c>
      <c r="N1965" s="2"/>
    </row>
    <row r="1966" spans="1:14" x14ac:dyDescent="0.3">
      <c r="A1966" t="s">
        <v>745</v>
      </c>
      <c r="B1966">
        <v>7</v>
      </c>
      <c r="C1966" t="s">
        <v>772</v>
      </c>
      <c r="D1966" t="str">
        <f t="shared" si="150"/>
        <v>29.09.2018</v>
      </c>
      <c r="E1966" s="1">
        <v>0.86458333333333337</v>
      </c>
      <c r="F1966" t="s">
        <v>25</v>
      </c>
      <c r="G1966" t="s">
        <v>1425</v>
      </c>
      <c r="H1966" t="s">
        <v>41</v>
      </c>
      <c r="I1966" t="str">
        <f t="shared" si="151"/>
        <v>0-0</v>
      </c>
      <c r="J1966" t="str">
        <f t="shared" si="152"/>
        <v>0</v>
      </c>
      <c r="K1966" t="str">
        <f t="shared" si="153"/>
        <v>0</v>
      </c>
      <c r="L1966" t="str">
        <f t="shared" si="154"/>
        <v>Draw</v>
      </c>
      <c r="M1966" t="str">
        <f>IF(COUNTIF($A$2:A1966,A1966)=1,
     VLOOKUP(A1966,Season_Winners!A:B,2,FALSE),
     "")</f>
        <v/>
      </c>
    </row>
    <row r="1967" spans="1:14" hidden="1" x14ac:dyDescent="0.3">
      <c r="A1967" t="s">
        <v>745</v>
      </c>
      <c r="B1967">
        <v>7</v>
      </c>
      <c r="C1967" t="s">
        <v>773</v>
      </c>
      <c r="D1967" t="str">
        <f t="shared" si="150"/>
        <v>30.09.2018</v>
      </c>
      <c r="E1967" s="1">
        <v>0.5</v>
      </c>
      <c r="F1967" t="s">
        <v>750</v>
      </c>
      <c r="G1967" t="s">
        <v>606</v>
      </c>
      <c r="H1967" s="2">
        <v>46023</v>
      </c>
      <c r="I1967" s="3" t="str">
        <f t="shared" si="151"/>
        <v/>
      </c>
      <c r="J1967" t="str">
        <f t="shared" si="152"/>
        <v/>
      </c>
      <c r="K1967" t="str">
        <f t="shared" si="153"/>
        <v/>
      </c>
      <c r="L1967" t="str">
        <f t="shared" si="154"/>
        <v/>
      </c>
      <c r="M1967" t="str">
        <f>IF(COUNTIF($A$2:A1967,A1967)=1,
     VLOOKUP(A1967,Season_Winners!A:B,2,FALSE),
     "")</f>
        <v/>
      </c>
      <c r="N1967" s="2"/>
    </row>
    <row r="1968" spans="1:14" x14ac:dyDescent="0.3">
      <c r="A1968" t="s">
        <v>745</v>
      </c>
      <c r="B1968">
        <v>7</v>
      </c>
      <c r="C1968" t="s">
        <v>773</v>
      </c>
      <c r="D1968" t="str">
        <f t="shared" si="150"/>
        <v>30.09.2018</v>
      </c>
      <c r="E1968" s="1">
        <v>0.67708333333333337</v>
      </c>
      <c r="F1968" t="s">
        <v>34</v>
      </c>
      <c r="G1968" t="s">
        <v>14</v>
      </c>
      <c r="H1968" t="s">
        <v>42</v>
      </c>
      <c r="I1968" t="str">
        <f t="shared" si="151"/>
        <v>0-1</v>
      </c>
      <c r="J1968" t="str">
        <f t="shared" si="152"/>
        <v>0</v>
      </c>
      <c r="K1968" t="str">
        <f t="shared" si="153"/>
        <v>1</v>
      </c>
      <c r="L1968" t="str">
        <f t="shared" si="154"/>
        <v>Real Valladolid CF</v>
      </c>
      <c r="M1968" t="str">
        <f>IF(COUNTIF($A$2:A1968,A1968)=1,
     VLOOKUP(A1968,Season_Winners!A:B,2,FALSE),
     "")</f>
        <v/>
      </c>
    </row>
    <row r="1969" spans="1:14" hidden="1" x14ac:dyDescent="0.3">
      <c r="A1969" t="s">
        <v>745</v>
      </c>
      <c r="B1969">
        <v>7</v>
      </c>
      <c r="C1969" t="s">
        <v>773</v>
      </c>
      <c r="D1969" t="str">
        <f t="shared" si="150"/>
        <v>30.09.2018</v>
      </c>
      <c r="E1969" s="1">
        <v>0.77083333333333337</v>
      </c>
      <c r="F1969" t="s">
        <v>21</v>
      </c>
      <c r="G1969" t="s">
        <v>464</v>
      </c>
      <c r="H1969" s="2">
        <v>46024</v>
      </c>
      <c r="I1969" s="3" t="str">
        <f t="shared" si="151"/>
        <v/>
      </c>
      <c r="J1969" t="str">
        <f t="shared" si="152"/>
        <v/>
      </c>
      <c r="K1969" t="str">
        <f t="shared" si="153"/>
        <v/>
      </c>
      <c r="L1969" t="str">
        <f t="shared" si="154"/>
        <v/>
      </c>
      <c r="M1969" t="str">
        <f>IF(COUNTIF($A$2:A1969,A1969)=1,
     VLOOKUP(A1969,Season_Winners!A:B,2,FALSE),
     "")</f>
        <v/>
      </c>
      <c r="N1969" s="2"/>
    </row>
    <row r="1970" spans="1:14" x14ac:dyDescent="0.3">
      <c r="A1970" t="s">
        <v>745</v>
      </c>
      <c r="B1970">
        <v>7</v>
      </c>
      <c r="C1970" t="s">
        <v>773</v>
      </c>
      <c r="D1970" t="str">
        <f t="shared" si="150"/>
        <v>30.09.2018</v>
      </c>
      <c r="E1970" s="1">
        <v>0.86458333333333337</v>
      </c>
      <c r="F1970" t="s">
        <v>26</v>
      </c>
      <c r="G1970" t="s">
        <v>466</v>
      </c>
      <c r="H1970" t="s">
        <v>18</v>
      </c>
      <c r="I1970" t="str">
        <f t="shared" si="151"/>
        <v>1-0</v>
      </c>
      <c r="J1970" t="str">
        <f t="shared" si="152"/>
        <v>1</v>
      </c>
      <c r="K1970" t="str">
        <f t="shared" si="153"/>
        <v>0</v>
      </c>
      <c r="L1970" t="str">
        <f t="shared" si="154"/>
        <v>Real Betis</v>
      </c>
      <c r="M1970" t="str">
        <f>IF(COUNTIF($A$2:A1970,A1970)=1,
     VLOOKUP(A1970,Season_Winners!A:B,2,FALSE),
     "")</f>
        <v/>
      </c>
    </row>
    <row r="1971" spans="1:14" hidden="1" x14ac:dyDescent="0.3">
      <c r="A1971" t="s">
        <v>745</v>
      </c>
      <c r="B1971">
        <v>7</v>
      </c>
      <c r="C1971" t="s">
        <v>774</v>
      </c>
      <c r="D1971" t="str">
        <f t="shared" si="150"/>
        <v>01.10.2018</v>
      </c>
      <c r="E1971" s="1">
        <v>0.875</v>
      </c>
      <c r="F1971" t="s">
        <v>35</v>
      </c>
      <c r="G1971" t="s">
        <v>11</v>
      </c>
      <c r="H1971" s="2">
        <v>46023</v>
      </c>
      <c r="I1971" s="3" t="str">
        <f t="shared" si="151"/>
        <v/>
      </c>
      <c r="J1971" t="str">
        <f t="shared" si="152"/>
        <v/>
      </c>
      <c r="K1971" t="str">
        <f t="shared" si="153"/>
        <v/>
      </c>
      <c r="L1971" t="str">
        <f t="shared" si="154"/>
        <v/>
      </c>
      <c r="M1971" t="str">
        <f>IF(COUNTIF($A$2:A1971,A1971)=1,
     VLOOKUP(A1971,Season_Winners!A:B,2,FALSE),
     "")</f>
        <v/>
      </c>
      <c r="N1971" s="2"/>
    </row>
    <row r="1972" spans="1:14" hidden="1" x14ac:dyDescent="0.3">
      <c r="A1972" t="s">
        <v>745</v>
      </c>
      <c r="B1972">
        <v>8</v>
      </c>
      <c r="C1972" t="s">
        <v>775</v>
      </c>
      <c r="D1972" t="str">
        <f t="shared" si="150"/>
        <v>05.10.2018</v>
      </c>
      <c r="E1972" s="1">
        <v>0.875</v>
      </c>
      <c r="F1972" t="s">
        <v>15</v>
      </c>
      <c r="G1972" t="s">
        <v>10</v>
      </c>
      <c r="H1972" s="2">
        <v>46082</v>
      </c>
      <c r="I1972" s="3" t="str">
        <f t="shared" si="151"/>
        <v/>
      </c>
      <c r="J1972" t="str">
        <f t="shared" si="152"/>
        <v/>
      </c>
      <c r="K1972" t="str">
        <f t="shared" si="153"/>
        <v/>
      </c>
      <c r="L1972" t="str">
        <f t="shared" si="154"/>
        <v/>
      </c>
      <c r="M1972" t="str">
        <f>IF(COUNTIF($A$2:A1972,A1972)=1,
     VLOOKUP(A1972,Season_Winners!A:B,2,FALSE),
     "")</f>
        <v/>
      </c>
      <c r="N1972" s="2"/>
    </row>
    <row r="1973" spans="1:14" hidden="1" x14ac:dyDescent="0.3">
      <c r="A1973" t="s">
        <v>745</v>
      </c>
      <c r="B1973">
        <v>8</v>
      </c>
      <c r="C1973" t="s">
        <v>776</v>
      </c>
      <c r="D1973" t="str">
        <f t="shared" si="150"/>
        <v>06.10.2018</v>
      </c>
      <c r="E1973" s="1">
        <v>0.54166666666666663</v>
      </c>
      <c r="F1973" t="s">
        <v>606</v>
      </c>
      <c r="G1973" t="s">
        <v>187</v>
      </c>
      <c r="H1973" s="2">
        <v>46083</v>
      </c>
      <c r="I1973" s="3" t="str">
        <f t="shared" si="151"/>
        <v/>
      </c>
      <c r="J1973" t="str">
        <f t="shared" si="152"/>
        <v/>
      </c>
      <c r="K1973" t="str">
        <f t="shared" si="153"/>
        <v/>
      </c>
      <c r="L1973" t="str">
        <f t="shared" si="154"/>
        <v/>
      </c>
      <c r="M1973" t="str">
        <f>IF(COUNTIF($A$2:A1973,A1973)=1,
     VLOOKUP(A1973,Season_Winners!A:B,2,FALSE),
     "")</f>
        <v/>
      </c>
      <c r="N1973" s="2"/>
    </row>
    <row r="1974" spans="1:14" x14ac:dyDescent="0.3">
      <c r="A1974" t="s">
        <v>745</v>
      </c>
      <c r="B1974">
        <v>8</v>
      </c>
      <c r="C1974" t="s">
        <v>776</v>
      </c>
      <c r="D1974" t="str">
        <f t="shared" si="150"/>
        <v>06.10.2018</v>
      </c>
      <c r="E1974" s="1">
        <v>0.67708333333333337</v>
      </c>
      <c r="F1974" t="s">
        <v>11</v>
      </c>
      <c r="G1974" t="s">
        <v>21</v>
      </c>
      <c r="H1974" t="s">
        <v>42</v>
      </c>
      <c r="I1974" t="str">
        <f t="shared" si="151"/>
        <v>0-1</v>
      </c>
      <c r="J1974" t="str">
        <f t="shared" si="152"/>
        <v>0</v>
      </c>
      <c r="K1974" t="str">
        <f t="shared" si="153"/>
        <v>1</v>
      </c>
      <c r="L1974" t="str">
        <f t="shared" si="154"/>
        <v>Levante UD</v>
      </c>
      <c r="M1974" t="str">
        <f>IF(COUNTIF($A$2:A1974,A1974)=1,
     VLOOKUP(A1974,Season_Winners!A:B,2,FALSE),
     "")</f>
        <v/>
      </c>
    </row>
    <row r="1975" spans="1:14" x14ac:dyDescent="0.3">
      <c r="A1975" t="s">
        <v>745</v>
      </c>
      <c r="B1975">
        <v>8</v>
      </c>
      <c r="C1975" t="s">
        <v>776</v>
      </c>
      <c r="D1975" t="str">
        <f t="shared" si="150"/>
        <v>06.10.2018</v>
      </c>
      <c r="E1975" s="1">
        <v>0.77083333333333337</v>
      </c>
      <c r="F1975" t="s">
        <v>464</v>
      </c>
      <c r="G1975" t="s">
        <v>25</v>
      </c>
      <c r="H1975" t="s">
        <v>18</v>
      </c>
      <c r="I1975" t="str">
        <f t="shared" si="151"/>
        <v>1-0</v>
      </c>
      <c r="J1975" t="str">
        <f t="shared" si="152"/>
        <v>1</v>
      </c>
      <c r="K1975" t="str">
        <f t="shared" si="153"/>
        <v>0</v>
      </c>
      <c r="L1975" t="str">
        <f t="shared" si="154"/>
        <v>Deportivo AlavÃ©s</v>
      </c>
      <c r="M1975" t="str">
        <f>IF(COUNTIF($A$2:A1975,A1975)=1,
     VLOOKUP(A1975,Season_Winners!A:B,2,FALSE),
     "")</f>
        <v/>
      </c>
    </row>
    <row r="1976" spans="1:14" x14ac:dyDescent="0.3">
      <c r="A1976" t="s">
        <v>745</v>
      </c>
      <c r="B1976">
        <v>8</v>
      </c>
      <c r="C1976" t="s">
        <v>776</v>
      </c>
      <c r="D1976" t="str">
        <f t="shared" si="150"/>
        <v>06.10.2018</v>
      </c>
      <c r="E1976" s="1">
        <v>0.86458333333333337</v>
      </c>
      <c r="F1976" t="s">
        <v>466</v>
      </c>
      <c r="G1976" t="s">
        <v>30</v>
      </c>
      <c r="H1976" t="s">
        <v>18</v>
      </c>
      <c r="I1976" t="str">
        <f t="shared" si="151"/>
        <v>1-0</v>
      </c>
      <c r="J1976" t="str">
        <f t="shared" si="152"/>
        <v>1</v>
      </c>
      <c r="K1976" t="str">
        <f t="shared" si="153"/>
        <v>0</v>
      </c>
      <c r="L1976" t="str">
        <f t="shared" si="154"/>
        <v>CD LeganÃ©s</v>
      </c>
      <c r="M1976" t="str">
        <f>IF(COUNTIF($A$2:A1976,A1976)=1,
     VLOOKUP(A1976,Season_Winners!A:B,2,FALSE),
     "")</f>
        <v/>
      </c>
    </row>
    <row r="1977" spans="1:14" x14ac:dyDescent="0.3">
      <c r="A1977" t="s">
        <v>745</v>
      </c>
      <c r="B1977">
        <v>8</v>
      </c>
      <c r="C1977" t="s">
        <v>777</v>
      </c>
      <c r="D1977" t="str">
        <f t="shared" si="150"/>
        <v>07.10.2018</v>
      </c>
      <c r="E1977" s="1">
        <v>0.5</v>
      </c>
      <c r="F1977" t="s">
        <v>14</v>
      </c>
      <c r="G1977" t="s">
        <v>750</v>
      </c>
      <c r="H1977" t="s">
        <v>18</v>
      </c>
      <c r="I1977" t="str">
        <f t="shared" si="151"/>
        <v>1-0</v>
      </c>
      <c r="J1977" t="str">
        <f t="shared" si="152"/>
        <v>1</v>
      </c>
      <c r="K1977" t="str">
        <f t="shared" si="153"/>
        <v>0</v>
      </c>
      <c r="L1977" t="str">
        <f t="shared" si="154"/>
        <v>Real Valladolid CF</v>
      </c>
      <c r="M1977" t="str">
        <f>IF(COUNTIF($A$2:A1977,A1977)=1,
     VLOOKUP(A1977,Season_Winners!A:B,2,FALSE),
     "")</f>
        <v/>
      </c>
    </row>
    <row r="1978" spans="1:14" x14ac:dyDescent="0.3">
      <c r="A1978" t="s">
        <v>745</v>
      </c>
      <c r="B1978">
        <v>8</v>
      </c>
      <c r="C1978" t="s">
        <v>777</v>
      </c>
      <c r="D1978" t="str">
        <f t="shared" si="150"/>
        <v>07.10.2018</v>
      </c>
      <c r="E1978" s="1">
        <v>0.67708333333333337</v>
      </c>
      <c r="F1978" t="s">
        <v>1425</v>
      </c>
      <c r="G1978" t="s">
        <v>26</v>
      </c>
      <c r="H1978" t="s">
        <v>18</v>
      </c>
      <c r="I1978" t="str">
        <f t="shared" si="151"/>
        <v>1-0</v>
      </c>
      <c r="J1978" t="str">
        <f t="shared" si="152"/>
        <v>1</v>
      </c>
      <c r="K1978" t="str">
        <f t="shared" si="153"/>
        <v>0</v>
      </c>
      <c r="L1978" t="str">
        <f t="shared" si="154"/>
        <v>Atlético de Madrid</v>
      </c>
      <c r="M1978" t="str">
        <f>IF(COUNTIF($A$2:A1978,A1978)=1,
     VLOOKUP(A1978,Season_Winners!A:B,2,FALSE),
     "")</f>
        <v/>
      </c>
    </row>
    <row r="1979" spans="1:14" hidden="1" x14ac:dyDescent="0.3">
      <c r="A1979" t="s">
        <v>745</v>
      </c>
      <c r="B1979">
        <v>8</v>
      </c>
      <c r="C1979" t="s">
        <v>777</v>
      </c>
      <c r="D1979" t="str">
        <f t="shared" si="150"/>
        <v>07.10.2018</v>
      </c>
      <c r="E1979" s="1">
        <v>0.77083333333333337</v>
      </c>
      <c r="F1979" t="s">
        <v>36</v>
      </c>
      <c r="G1979" t="s">
        <v>34</v>
      </c>
      <c r="H1979" s="2">
        <v>46025</v>
      </c>
      <c r="I1979" s="3" t="str">
        <f t="shared" si="151"/>
        <v/>
      </c>
      <c r="J1979" t="str">
        <f t="shared" si="152"/>
        <v/>
      </c>
      <c r="K1979" t="str">
        <f t="shared" si="153"/>
        <v/>
      </c>
      <c r="L1979" t="str">
        <f t="shared" si="154"/>
        <v/>
      </c>
      <c r="M1979" t="str">
        <f>IF(COUNTIF($A$2:A1979,A1979)=1,
     VLOOKUP(A1979,Season_Winners!A:B,2,FALSE),
     "")</f>
        <v/>
      </c>
      <c r="N1979" s="2"/>
    </row>
    <row r="1980" spans="1:14" hidden="1" x14ac:dyDescent="0.3">
      <c r="A1980" t="s">
        <v>745</v>
      </c>
      <c r="B1980">
        <v>8</v>
      </c>
      <c r="C1980" t="s">
        <v>777</v>
      </c>
      <c r="D1980" t="str">
        <f t="shared" si="150"/>
        <v>07.10.2018</v>
      </c>
      <c r="E1980" s="1">
        <v>0.77083333333333337</v>
      </c>
      <c r="F1980" t="s">
        <v>27</v>
      </c>
      <c r="G1980" t="s">
        <v>35</v>
      </c>
      <c r="H1980" s="2">
        <v>46024</v>
      </c>
      <c r="I1980" s="3" t="str">
        <f t="shared" si="151"/>
        <v/>
      </c>
      <c r="J1980" t="str">
        <f t="shared" si="152"/>
        <v/>
      </c>
      <c r="K1980" t="str">
        <f t="shared" si="153"/>
        <v/>
      </c>
      <c r="L1980" t="str">
        <f t="shared" si="154"/>
        <v/>
      </c>
      <c r="M1980" t="str">
        <f>IF(COUNTIF($A$2:A1980,A1980)=1,
     VLOOKUP(A1980,Season_Winners!A:B,2,FALSE),
     "")</f>
        <v/>
      </c>
      <c r="N1980" s="2"/>
    </row>
    <row r="1981" spans="1:14" hidden="1" x14ac:dyDescent="0.3">
      <c r="A1981" t="s">
        <v>745</v>
      </c>
      <c r="B1981">
        <v>8</v>
      </c>
      <c r="C1981" t="s">
        <v>777</v>
      </c>
      <c r="D1981" t="str">
        <f t="shared" si="150"/>
        <v>07.10.2018</v>
      </c>
      <c r="E1981" s="1">
        <v>0.86458333333333337</v>
      </c>
      <c r="F1981" t="s">
        <v>16</v>
      </c>
      <c r="G1981" t="s">
        <v>20</v>
      </c>
      <c r="H1981" s="2">
        <v>46023</v>
      </c>
      <c r="I1981" s="3" t="str">
        <f t="shared" si="151"/>
        <v/>
      </c>
      <c r="J1981" t="str">
        <f t="shared" si="152"/>
        <v/>
      </c>
      <c r="K1981" t="str">
        <f t="shared" si="153"/>
        <v/>
      </c>
      <c r="L1981" t="str">
        <f t="shared" si="154"/>
        <v/>
      </c>
      <c r="M1981" t="str">
        <f>IF(COUNTIF($A$2:A1981,A1981)=1,
     VLOOKUP(A1981,Season_Winners!A:B,2,FALSE),
     "")</f>
        <v/>
      </c>
      <c r="N1981" s="2"/>
    </row>
    <row r="1982" spans="1:14" x14ac:dyDescent="0.3">
      <c r="A1982" t="s">
        <v>745</v>
      </c>
      <c r="B1982">
        <v>9</v>
      </c>
      <c r="C1982" t="s">
        <v>778</v>
      </c>
      <c r="D1982" t="str">
        <f t="shared" si="150"/>
        <v>19.10.2018</v>
      </c>
      <c r="E1982" s="1">
        <v>0.875</v>
      </c>
      <c r="F1982" t="s">
        <v>35</v>
      </c>
      <c r="G1982" t="s">
        <v>464</v>
      </c>
      <c r="H1982" t="s">
        <v>42</v>
      </c>
      <c r="I1982" t="str">
        <f t="shared" si="151"/>
        <v>0-1</v>
      </c>
      <c r="J1982" t="str">
        <f t="shared" si="152"/>
        <v>0</v>
      </c>
      <c r="K1982" t="str">
        <f t="shared" si="153"/>
        <v>1</v>
      </c>
      <c r="L1982" t="str">
        <f t="shared" si="154"/>
        <v>Deportivo AlavÃ©s</v>
      </c>
      <c r="M1982" t="str">
        <f>IF(COUNTIF($A$2:A1982,A1982)=1,
     VLOOKUP(A1982,Season_Winners!A:B,2,FALSE),
     "")</f>
        <v/>
      </c>
    </row>
    <row r="1983" spans="1:14" hidden="1" x14ac:dyDescent="0.3">
      <c r="A1983" t="s">
        <v>745</v>
      </c>
      <c r="B1983">
        <v>9</v>
      </c>
      <c r="C1983" t="s">
        <v>779</v>
      </c>
      <c r="D1983" t="str">
        <f t="shared" si="150"/>
        <v>20.10.2018</v>
      </c>
      <c r="E1983" s="1">
        <v>0.54166666666666663</v>
      </c>
      <c r="F1983" t="s">
        <v>25</v>
      </c>
      <c r="G1983" t="s">
        <v>21</v>
      </c>
      <c r="H1983" s="2">
        <v>46054</v>
      </c>
      <c r="I1983" s="3" t="str">
        <f t="shared" si="151"/>
        <v/>
      </c>
      <c r="J1983" t="str">
        <f t="shared" si="152"/>
        <v/>
      </c>
      <c r="K1983" t="str">
        <f t="shared" si="153"/>
        <v/>
      </c>
      <c r="L1983" t="str">
        <f t="shared" si="154"/>
        <v/>
      </c>
      <c r="M1983" t="str">
        <f>IF(COUNTIF($A$2:A1983,A1983)=1,
     VLOOKUP(A1983,Season_Winners!A:B,2,FALSE),
     "")</f>
        <v/>
      </c>
      <c r="N1983" s="2"/>
    </row>
    <row r="1984" spans="1:14" hidden="1" x14ac:dyDescent="0.3">
      <c r="A1984" t="s">
        <v>745</v>
      </c>
      <c r="B1984">
        <v>9</v>
      </c>
      <c r="C1984" t="s">
        <v>779</v>
      </c>
      <c r="D1984" t="str">
        <f t="shared" si="150"/>
        <v>20.10.2018</v>
      </c>
      <c r="E1984" s="1">
        <v>0.67708333333333337</v>
      </c>
      <c r="F1984" t="s">
        <v>16</v>
      </c>
      <c r="G1984" t="s">
        <v>466</v>
      </c>
      <c r="H1984" s="2">
        <v>46023</v>
      </c>
      <c r="I1984" s="3" t="str">
        <f t="shared" si="151"/>
        <v/>
      </c>
      <c r="J1984" t="str">
        <f t="shared" si="152"/>
        <v/>
      </c>
      <c r="K1984" t="str">
        <f t="shared" si="153"/>
        <v/>
      </c>
      <c r="L1984" t="str">
        <f t="shared" si="154"/>
        <v/>
      </c>
      <c r="M1984" t="str">
        <f>IF(COUNTIF($A$2:A1984,A1984)=1,
     VLOOKUP(A1984,Season_Winners!A:B,2,FALSE),
     "")</f>
        <v/>
      </c>
      <c r="N1984" s="2"/>
    </row>
    <row r="1985" spans="1:14" hidden="1" x14ac:dyDescent="0.3">
      <c r="A1985" t="s">
        <v>745</v>
      </c>
      <c r="B1985">
        <v>9</v>
      </c>
      <c r="C1985" t="s">
        <v>779</v>
      </c>
      <c r="D1985" t="str">
        <f t="shared" si="150"/>
        <v>20.10.2018</v>
      </c>
      <c r="E1985" s="1">
        <v>0.77083333333333337</v>
      </c>
      <c r="F1985" t="s">
        <v>34</v>
      </c>
      <c r="G1985" t="s">
        <v>28</v>
      </c>
      <c r="H1985" s="2">
        <v>46023</v>
      </c>
      <c r="I1985" s="3" t="str">
        <f t="shared" si="151"/>
        <v/>
      </c>
      <c r="J1985" t="str">
        <f t="shared" si="152"/>
        <v/>
      </c>
      <c r="K1985" t="str">
        <f t="shared" si="153"/>
        <v/>
      </c>
      <c r="L1985" t="str">
        <f t="shared" si="154"/>
        <v/>
      </c>
      <c r="M1985" t="str">
        <f>IF(COUNTIF($A$2:A1985,A1985)=1,
     VLOOKUP(A1985,Season_Winners!A:B,2,FALSE),
     "")</f>
        <v/>
      </c>
      <c r="N1985" s="2"/>
    </row>
    <row r="1986" spans="1:14" hidden="1" x14ac:dyDescent="0.3">
      <c r="A1986" t="s">
        <v>745</v>
      </c>
      <c r="B1986">
        <v>9</v>
      </c>
      <c r="C1986" t="s">
        <v>779</v>
      </c>
      <c r="D1986" t="str">
        <f t="shared" ref="D1986:D2049" si="155">RIGHT(C1986,10)</f>
        <v>20.10.2018</v>
      </c>
      <c r="E1986" s="1">
        <v>0.86458333333333337</v>
      </c>
      <c r="F1986" t="s">
        <v>20</v>
      </c>
      <c r="G1986" t="s">
        <v>27</v>
      </c>
      <c r="H1986" s="2">
        <v>46057</v>
      </c>
      <c r="I1986" s="3" t="str">
        <f t="shared" ref="I1986:I2049" si="156">IF(ISNUMBER(SEARCH("-",H1986)),H1986,"")</f>
        <v/>
      </c>
      <c r="J1986" t="str">
        <f t="shared" ref="J1986:J2049" si="157">IF(I1986="","",LEFT(I1986,FIND("-",I1986)-1))</f>
        <v/>
      </c>
      <c r="K1986" t="str">
        <f t="shared" ref="K1986:K2049" si="158">IF(I1986="","",RIGHT(I1986,LEN(I1986)-FIND("-",I1986)))</f>
        <v/>
      </c>
      <c r="L1986" t="str">
        <f t="shared" ref="L1986:L2049" si="159">IF(I1986="","",IF(J1986&gt;K1986,F1986,IF(K1986&gt;J1986,G1986,"Draw")))</f>
        <v/>
      </c>
      <c r="M1986" t="str">
        <f>IF(COUNTIF($A$2:A1986,A1986)=1,
     VLOOKUP(A1986,Season_Winners!A:B,2,FALSE),
     "")</f>
        <v/>
      </c>
      <c r="N1986" s="2"/>
    </row>
    <row r="1987" spans="1:14" hidden="1" x14ac:dyDescent="0.3">
      <c r="A1987" t="s">
        <v>745</v>
      </c>
      <c r="B1987">
        <v>9</v>
      </c>
      <c r="C1987" t="s">
        <v>780</v>
      </c>
      <c r="D1987" t="str">
        <f t="shared" si="155"/>
        <v>21.10.2018</v>
      </c>
      <c r="E1987" s="1">
        <v>0.5</v>
      </c>
      <c r="F1987" t="s">
        <v>30</v>
      </c>
      <c r="G1987" t="s">
        <v>11</v>
      </c>
      <c r="H1987" s="2">
        <v>46054</v>
      </c>
      <c r="I1987" s="3" t="str">
        <f t="shared" si="156"/>
        <v/>
      </c>
      <c r="J1987" t="str">
        <f t="shared" si="157"/>
        <v/>
      </c>
      <c r="K1987" t="str">
        <f t="shared" si="158"/>
        <v/>
      </c>
      <c r="L1987" t="str">
        <f t="shared" si="159"/>
        <v/>
      </c>
      <c r="M1987" t="str">
        <f>IF(COUNTIF($A$2:A1987,A1987)=1,
     VLOOKUP(A1987,Season_Winners!A:B,2,FALSE),
     "")</f>
        <v/>
      </c>
      <c r="N1987" s="2"/>
    </row>
    <row r="1988" spans="1:14" hidden="1" x14ac:dyDescent="0.3">
      <c r="A1988" t="s">
        <v>745</v>
      </c>
      <c r="B1988">
        <v>9</v>
      </c>
      <c r="C1988" t="s">
        <v>780</v>
      </c>
      <c r="D1988" t="str">
        <f t="shared" si="155"/>
        <v>21.10.2018</v>
      </c>
      <c r="E1988" s="1">
        <v>0.67708333333333337</v>
      </c>
      <c r="F1988" t="s">
        <v>187</v>
      </c>
      <c r="G1988" t="s">
        <v>15</v>
      </c>
      <c r="H1988" s="2">
        <v>46023</v>
      </c>
      <c r="I1988" s="3" t="str">
        <f t="shared" si="156"/>
        <v/>
      </c>
      <c r="J1988" t="str">
        <f t="shared" si="157"/>
        <v/>
      </c>
      <c r="K1988" t="str">
        <f t="shared" si="158"/>
        <v/>
      </c>
      <c r="L1988" t="str">
        <f t="shared" si="159"/>
        <v/>
      </c>
      <c r="M1988" t="str">
        <f>IF(COUNTIF($A$2:A1988,A1988)=1,
     VLOOKUP(A1988,Season_Winners!A:B,2,FALSE),
     "")</f>
        <v/>
      </c>
      <c r="N1988" s="2"/>
    </row>
    <row r="1989" spans="1:14" x14ac:dyDescent="0.3">
      <c r="A1989" t="s">
        <v>745</v>
      </c>
      <c r="B1989">
        <v>9</v>
      </c>
      <c r="C1989" t="s">
        <v>780</v>
      </c>
      <c r="D1989" t="str">
        <f t="shared" si="155"/>
        <v>21.10.2018</v>
      </c>
      <c r="E1989" s="1">
        <v>0.77083333333333337</v>
      </c>
      <c r="F1989" t="s">
        <v>750</v>
      </c>
      <c r="G1989" t="s">
        <v>36</v>
      </c>
      <c r="H1989" t="s">
        <v>54</v>
      </c>
      <c r="I1989" t="str">
        <f t="shared" si="156"/>
        <v>0-2</v>
      </c>
      <c r="J1989" t="str">
        <f t="shared" si="157"/>
        <v>0</v>
      </c>
      <c r="K1989" t="str">
        <f t="shared" si="158"/>
        <v>2</v>
      </c>
      <c r="L1989" t="str">
        <f t="shared" si="159"/>
        <v>RCD Espanyol de Barcelona</v>
      </c>
      <c r="M1989" t="str">
        <f>IF(COUNTIF($A$2:A1989,A1989)=1,
     VLOOKUP(A1989,Season_Winners!A:B,2,FALSE),
     "")</f>
        <v/>
      </c>
    </row>
    <row r="1990" spans="1:14" x14ac:dyDescent="0.3">
      <c r="A1990" t="s">
        <v>745</v>
      </c>
      <c r="B1990">
        <v>9</v>
      </c>
      <c r="C1990" t="s">
        <v>780</v>
      </c>
      <c r="D1990" t="str">
        <f t="shared" si="155"/>
        <v>21.10.2018</v>
      </c>
      <c r="E1990" s="1">
        <v>0.86458333333333337</v>
      </c>
      <c r="F1990" t="s">
        <v>26</v>
      </c>
      <c r="G1990" t="s">
        <v>14</v>
      </c>
      <c r="H1990" t="s">
        <v>42</v>
      </c>
      <c r="I1990" t="str">
        <f t="shared" si="156"/>
        <v>0-1</v>
      </c>
      <c r="J1990" t="str">
        <f t="shared" si="157"/>
        <v>0</v>
      </c>
      <c r="K1990" t="str">
        <f t="shared" si="158"/>
        <v>1</v>
      </c>
      <c r="L1990" t="str">
        <f t="shared" si="159"/>
        <v>Real Valladolid CF</v>
      </c>
      <c r="M1990" t="str">
        <f>IF(COUNTIF($A$2:A1990,A1990)=1,
     VLOOKUP(A1990,Season_Winners!A:B,2,FALSE),
     "")</f>
        <v/>
      </c>
    </row>
    <row r="1991" spans="1:14" x14ac:dyDescent="0.3">
      <c r="A1991" t="s">
        <v>745</v>
      </c>
      <c r="B1991">
        <v>9</v>
      </c>
      <c r="C1991" t="s">
        <v>781</v>
      </c>
      <c r="D1991" t="str">
        <f t="shared" si="155"/>
        <v>22.10.2018</v>
      </c>
      <c r="E1991" s="1">
        <v>0.875</v>
      </c>
      <c r="F1991" t="s">
        <v>10</v>
      </c>
      <c r="G1991" t="s">
        <v>606</v>
      </c>
      <c r="H1991" t="s">
        <v>41</v>
      </c>
      <c r="I1991" t="str">
        <f t="shared" si="156"/>
        <v>0-0</v>
      </c>
      <c r="J1991" t="str">
        <f t="shared" si="157"/>
        <v>0</v>
      </c>
      <c r="K1991" t="str">
        <f t="shared" si="158"/>
        <v>0</v>
      </c>
      <c r="L1991" t="str">
        <f t="shared" si="159"/>
        <v>Draw</v>
      </c>
      <c r="M1991" t="str">
        <f>IF(COUNTIF($A$2:A1991,A1991)=1,
     VLOOKUP(A1991,Season_Winners!A:B,2,FALSE),
     "")</f>
        <v/>
      </c>
    </row>
    <row r="1992" spans="1:14" hidden="1" x14ac:dyDescent="0.3">
      <c r="A1992" t="s">
        <v>745</v>
      </c>
      <c r="B1992">
        <v>10</v>
      </c>
      <c r="C1992" t="s">
        <v>782</v>
      </c>
      <c r="D1992" t="str">
        <f t="shared" si="155"/>
        <v>26.10.2018</v>
      </c>
      <c r="E1992" s="1">
        <v>0.875</v>
      </c>
      <c r="F1992" t="s">
        <v>14</v>
      </c>
      <c r="G1992" t="s">
        <v>36</v>
      </c>
      <c r="H1992" s="2">
        <v>46023</v>
      </c>
      <c r="I1992" s="3" t="str">
        <f t="shared" si="156"/>
        <v/>
      </c>
      <c r="J1992" t="str">
        <f t="shared" si="157"/>
        <v/>
      </c>
      <c r="K1992" t="str">
        <f t="shared" si="158"/>
        <v/>
      </c>
      <c r="L1992" t="str">
        <f t="shared" si="159"/>
        <v/>
      </c>
      <c r="M1992" t="str">
        <f>IF(COUNTIF($A$2:A1992,A1992)=1,
     VLOOKUP(A1992,Season_Winners!A:B,2,FALSE),
     "")</f>
        <v/>
      </c>
      <c r="N1992" s="2"/>
    </row>
    <row r="1993" spans="1:14" hidden="1" x14ac:dyDescent="0.3">
      <c r="A1993" t="s">
        <v>745</v>
      </c>
      <c r="B1993">
        <v>10</v>
      </c>
      <c r="C1993" t="s">
        <v>783</v>
      </c>
      <c r="D1993" t="str">
        <f t="shared" si="155"/>
        <v>27.10.2018</v>
      </c>
      <c r="E1993" s="1">
        <v>0.54166666666666663</v>
      </c>
      <c r="F1993" t="s">
        <v>606</v>
      </c>
      <c r="G1993" t="s">
        <v>30</v>
      </c>
      <c r="H1993" s="2">
        <v>46024</v>
      </c>
      <c r="I1993" s="3" t="str">
        <f t="shared" si="156"/>
        <v/>
      </c>
      <c r="J1993" t="str">
        <f t="shared" si="157"/>
        <v/>
      </c>
      <c r="K1993" t="str">
        <f t="shared" si="158"/>
        <v/>
      </c>
      <c r="L1993" t="str">
        <f t="shared" si="159"/>
        <v/>
      </c>
      <c r="M1993" t="str">
        <f>IF(COUNTIF($A$2:A1993,A1993)=1,
     VLOOKUP(A1993,Season_Winners!A:B,2,FALSE),
     "")</f>
        <v/>
      </c>
      <c r="N1993" s="2"/>
    </row>
    <row r="1994" spans="1:14" x14ac:dyDescent="0.3">
      <c r="A1994" t="s">
        <v>745</v>
      </c>
      <c r="B1994">
        <v>10</v>
      </c>
      <c r="C1994" t="s">
        <v>783</v>
      </c>
      <c r="D1994" t="str">
        <f t="shared" si="155"/>
        <v>27.10.2018</v>
      </c>
      <c r="E1994" s="1">
        <v>0.67708333333333337</v>
      </c>
      <c r="F1994" t="s">
        <v>15</v>
      </c>
      <c r="G1994" t="s">
        <v>16</v>
      </c>
      <c r="H1994" t="s">
        <v>41</v>
      </c>
      <c r="I1994" t="str">
        <f t="shared" si="156"/>
        <v>0-0</v>
      </c>
      <c r="J1994" t="str">
        <f t="shared" si="157"/>
        <v>0</v>
      </c>
      <c r="K1994" t="str">
        <f t="shared" si="158"/>
        <v>0</v>
      </c>
      <c r="L1994" t="str">
        <f t="shared" si="159"/>
        <v>Draw</v>
      </c>
      <c r="M1994" t="str">
        <f>IF(COUNTIF($A$2:A1994,A1994)=1,
     VLOOKUP(A1994,Season_Winners!A:B,2,FALSE),
     "")</f>
        <v/>
      </c>
    </row>
    <row r="1995" spans="1:14" x14ac:dyDescent="0.3">
      <c r="A1995" t="s">
        <v>745</v>
      </c>
      <c r="B1995">
        <v>10</v>
      </c>
      <c r="C1995" t="s">
        <v>783</v>
      </c>
      <c r="D1995" t="str">
        <f t="shared" si="155"/>
        <v>27.10.2018</v>
      </c>
      <c r="E1995" s="1">
        <v>0.77083333333333337</v>
      </c>
      <c r="F1995" t="s">
        <v>35</v>
      </c>
      <c r="G1995" t="s">
        <v>187</v>
      </c>
      <c r="H1995" t="s">
        <v>88</v>
      </c>
      <c r="I1995" t="str">
        <f t="shared" si="156"/>
        <v>4-0</v>
      </c>
      <c r="J1995" t="str">
        <f t="shared" si="157"/>
        <v>4</v>
      </c>
      <c r="K1995" t="str">
        <f t="shared" si="158"/>
        <v>0</v>
      </c>
      <c r="L1995" t="str">
        <f t="shared" si="159"/>
        <v>RC Celta</v>
      </c>
      <c r="M1995" t="str">
        <f>IF(COUNTIF($A$2:A1995,A1995)=1,
     VLOOKUP(A1995,Season_Winners!A:B,2,FALSE),
     "")</f>
        <v/>
      </c>
    </row>
    <row r="1996" spans="1:14" x14ac:dyDescent="0.3">
      <c r="A1996" t="s">
        <v>745</v>
      </c>
      <c r="B1996">
        <v>10</v>
      </c>
      <c r="C1996" t="s">
        <v>783</v>
      </c>
      <c r="D1996" t="str">
        <f t="shared" si="155"/>
        <v>27.10.2018</v>
      </c>
      <c r="E1996" s="1">
        <v>0.77083333333333337</v>
      </c>
      <c r="F1996" t="s">
        <v>21</v>
      </c>
      <c r="G1996" t="s">
        <v>466</v>
      </c>
      <c r="H1996" t="s">
        <v>12</v>
      </c>
      <c r="I1996" t="str">
        <f t="shared" si="156"/>
        <v>2-0</v>
      </c>
      <c r="J1996" t="str">
        <f t="shared" si="157"/>
        <v>2</v>
      </c>
      <c r="K1996" t="str">
        <f t="shared" si="158"/>
        <v>0</v>
      </c>
      <c r="L1996" t="str">
        <f t="shared" si="159"/>
        <v>Levante UD</v>
      </c>
      <c r="M1996" t="str">
        <f>IF(COUNTIF($A$2:A1996,A1996)=1,
     VLOOKUP(A1996,Season_Winners!A:B,2,FALSE),
     "")</f>
        <v/>
      </c>
    </row>
    <row r="1997" spans="1:14" x14ac:dyDescent="0.3">
      <c r="A1997" t="s">
        <v>745</v>
      </c>
      <c r="B1997">
        <v>10</v>
      </c>
      <c r="C1997" t="s">
        <v>783</v>
      </c>
      <c r="D1997" t="str">
        <f t="shared" si="155"/>
        <v>27.10.2018</v>
      </c>
      <c r="E1997" s="1">
        <v>0.86458333333333337</v>
      </c>
      <c r="F1997" t="s">
        <v>1425</v>
      </c>
      <c r="G1997" t="s">
        <v>10</v>
      </c>
      <c r="H1997" t="s">
        <v>12</v>
      </c>
      <c r="I1997" t="str">
        <f t="shared" si="156"/>
        <v>2-0</v>
      </c>
      <c r="J1997" t="str">
        <f t="shared" si="157"/>
        <v>2</v>
      </c>
      <c r="K1997" t="str">
        <f t="shared" si="158"/>
        <v>0</v>
      </c>
      <c r="L1997" t="str">
        <f t="shared" si="159"/>
        <v>Atlético de Madrid</v>
      </c>
      <c r="M1997" t="str">
        <f>IF(COUNTIF($A$2:A1997,A1997)=1,
     VLOOKUP(A1997,Season_Winners!A:B,2,FALSE),
     "")</f>
        <v/>
      </c>
    </row>
    <row r="1998" spans="1:14" x14ac:dyDescent="0.3">
      <c r="A1998" t="s">
        <v>745</v>
      </c>
      <c r="B1998">
        <v>10</v>
      </c>
      <c r="C1998" t="s">
        <v>784</v>
      </c>
      <c r="D1998" t="str">
        <f t="shared" si="155"/>
        <v>28.10.2018</v>
      </c>
      <c r="E1998" s="1">
        <v>0.5</v>
      </c>
      <c r="F1998" t="s">
        <v>11</v>
      </c>
      <c r="G1998" t="s">
        <v>26</v>
      </c>
      <c r="H1998" t="s">
        <v>12</v>
      </c>
      <c r="I1998" t="str">
        <f t="shared" si="156"/>
        <v>2-0</v>
      </c>
      <c r="J1998" t="str">
        <f t="shared" si="157"/>
        <v>2</v>
      </c>
      <c r="K1998" t="str">
        <f t="shared" si="158"/>
        <v>0</v>
      </c>
      <c r="L1998" t="str">
        <f t="shared" si="159"/>
        <v>Getafe CF</v>
      </c>
      <c r="M1998" t="str">
        <f>IF(COUNTIF($A$2:A1998,A1998)=1,
     VLOOKUP(A1998,Season_Winners!A:B,2,FALSE),
     "")</f>
        <v/>
      </c>
    </row>
    <row r="1999" spans="1:14" hidden="1" x14ac:dyDescent="0.3">
      <c r="A1999" t="s">
        <v>745</v>
      </c>
      <c r="B1999">
        <v>10</v>
      </c>
      <c r="C1999" t="s">
        <v>784</v>
      </c>
      <c r="D1999" t="str">
        <f t="shared" si="155"/>
        <v>28.10.2018</v>
      </c>
      <c r="E1999" s="1">
        <v>0.67708333333333337</v>
      </c>
      <c r="F1999" t="s">
        <v>20</v>
      </c>
      <c r="G1999" t="s">
        <v>25</v>
      </c>
      <c r="H1999" s="2">
        <v>46027</v>
      </c>
      <c r="I1999" s="3" t="str">
        <f t="shared" si="156"/>
        <v/>
      </c>
      <c r="J1999" t="str">
        <f t="shared" si="157"/>
        <v/>
      </c>
      <c r="K1999" t="str">
        <f t="shared" si="158"/>
        <v/>
      </c>
      <c r="L1999" t="str">
        <f t="shared" si="159"/>
        <v/>
      </c>
      <c r="M1999" t="str">
        <f>IF(COUNTIF($A$2:A1999,A1999)=1,
     VLOOKUP(A1999,Season_Winners!A:B,2,FALSE),
     "")</f>
        <v/>
      </c>
      <c r="N1999" s="2"/>
    </row>
    <row r="2000" spans="1:14" hidden="1" x14ac:dyDescent="0.3">
      <c r="A2000" t="s">
        <v>745</v>
      </c>
      <c r="B2000">
        <v>10</v>
      </c>
      <c r="C2000" t="s">
        <v>784</v>
      </c>
      <c r="D2000" t="str">
        <f t="shared" si="155"/>
        <v>28.10.2018</v>
      </c>
      <c r="E2000" s="1">
        <v>0.77083333333333337</v>
      </c>
      <c r="F2000" t="s">
        <v>464</v>
      </c>
      <c r="G2000" t="s">
        <v>34</v>
      </c>
      <c r="H2000" s="2">
        <v>46024</v>
      </c>
      <c r="I2000" s="3" t="str">
        <f t="shared" si="156"/>
        <v/>
      </c>
      <c r="J2000" t="str">
        <f t="shared" si="157"/>
        <v/>
      </c>
      <c r="K2000" t="str">
        <f t="shared" si="158"/>
        <v/>
      </c>
      <c r="L2000" t="str">
        <f t="shared" si="159"/>
        <v/>
      </c>
      <c r="M2000" t="str">
        <f>IF(COUNTIF($A$2:A2000,A2000)=1,
     VLOOKUP(A2000,Season_Winners!A:B,2,FALSE),
     "")</f>
        <v/>
      </c>
      <c r="N2000" s="2"/>
    </row>
    <row r="2001" spans="1:14" hidden="1" x14ac:dyDescent="0.3">
      <c r="A2001" t="s">
        <v>745</v>
      </c>
      <c r="B2001">
        <v>10</v>
      </c>
      <c r="C2001" t="s">
        <v>784</v>
      </c>
      <c r="D2001" t="str">
        <f t="shared" si="155"/>
        <v>28.10.2018</v>
      </c>
      <c r="E2001" s="1">
        <v>0.86458333333333337</v>
      </c>
      <c r="F2001" t="s">
        <v>27</v>
      </c>
      <c r="G2001" t="s">
        <v>750</v>
      </c>
      <c r="H2001" s="2">
        <v>46024</v>
      </c>
      <c r="I2001" s="3" t="str">
        <f t="shared" si="156"/>
        <v/>
      </c>
      <c r="J2001" t="str">
        <f t="shared" si="157"/>
        <v/>
      </c>
      <c r="K2001" t="str">
        <f t="shared" si="158"/>
        <v/>
      </c>
      <c r="L2001" t="str">
        <f t="shared" si="159"/>
        <v/>
      </c>
      <c r="M2001" t="str">
        <f>IF(COUNTIF($A$2:A2001,A2001)=1,
     VLOOKUP(A2001,Season_Winners!A:B,2,FALSE),
     "")</f>
        <v/>
      </c>
      <c r="N2001" s="2"/>
    </row>
    <row r="2002" spans="1:14" hidden="1" x14ac:dyDescent="0.3">
      <c r="A2002" t="s">
        <v>745</v>
      </c>
      <c r="B2002">
        <v>11</v>
      </c>
      <c r="C2002" t="s">
        <v>785</v>
      </c>
      <c r="D2002" t="str">
        <f t="shared" si="155"/>
        <v>03.11.2018</v>
      </c>
      <c r="E2002" s="1">
        <v>0.54166666666666663</v>
      </c>
      <c r="F2002" t="s">
        <v>466</v>
      </c>
      <c r="G2002" t="s">
        <v>28</v>
      </c>
      <c r="H2002" s="2">
        <v>46023</v>
      </c>
      <c r="I2002" s="3" t="str">
        <f t="shared" si="156"/>
        <v/>
      </c>
      <c r="J2002" t="str">
        <f t="shared" si="157"/>
        <v/>
      </c>
      <c r="K2002" t="str">
        <f t="shared" si="158"/>
        <v/>
      </c>
      <c r="L2002" t="str">
        <f t="shared" si="159"/>
        <v/>
      </c>
      <c r="M2002" t="str">
        <f>IF(COUNTIF($A$2:A2002,A2002)=1,
     VLOOKUP(A2002,Season_Winners!A:B,2,FALSE),
     "")</f>
        <v/>
      </c>
      <c r="N2002" s="2"/>
    </row>
    <row r="2003" spans="1:14" x14ac:dyDescent="0.3">
      <c r="A2003" t="s">
        <v>745</v>
      </c>
      <c r="B2003">
        <v>11</v>
      </c>
      <c r="C2003" t="s">
        <v>785</v>
      </c>
      <c r="D2003" t="str">
        <f t="shared" si="155"/>
        <v>03.11.2018</v>
      </c>
      <c r="E2003" s="1">
        <v>0.67708333333333337</v>
      </c>
      <c r="F2003" t="s">
        <v>25</v>
      </c>
      <c r="G2003" t="s">
        <v>14</v>
      </c>
      <c r="H2003" t="s">
        <v>12</v>
      </c>
      <c r="I2003" t="str">
        <f t="shared" si="156"/>
        <v>2-0</v>
      </c>
      <c r="J2003" t="str">
        <f t="shared" si="157"/>
        <v>2</v>
      </c>
      <c r="K2003" t="str">
        <f t="shared" si="158"/>
        <v>0</v>
      </c>
      <c r="L2003" t="str">
        <f t="shared" si="159"/>
        <v>Real Madrid</v>
      </c>
      <c r="M2003" t="str">
        <f>IF(COUNTIF($A$2:A2003,A2003)=1,
     VLOOKUP(A2003,Season_Winners!A:B,2,FALSE),
     "")</f>
        <v/>
      </c>
    </row>
    <row r="2004" spans="1:14" x14ac:dyDescent="0.3">
      <c r="A2004" t="s">
        <v>745</v>
      </c>
      <c r="B2004">
        <v>11</v>
      </c>
      <c r="C2004" t="s">
        <v>785</v>
      </c>
      <c r="D2004" t="str">
        <f t="shared" si="155"/>
        <v>03.11.2018</v>
      </c>
      <c r="E2004" s="1">
        <v>0.77083333333333337</v>
      </c>
      <c r="F2004" t="s">
        <v>16</v>
      </c>
      <c r="G2004" t="s">
        <v>606</v>
      </c>
      <c r="H2004" t="s">
        <v>42</v>
      </c>
      <c r="I2004" t="str">
        <f t="shared" si="156"/>
        <v>0-1</v>
      </c>
      <c r="J2004" t="str">
        <f t="shared" si="157"/>
        <v>0</v>
      </c>
      <c r="K2004" t="str">
        <f t="shared" si="158"/>
        <v>1</v>
      </c>
      <c r="L2004" t="str">
        <f t="shared" si="159"/>
        <v>Girona FC</v>
      </c>
      <c r="M2004" t="str">
        <f>IF(COUNTIF($A$2:A2004,A2004)=1,
     VLOOKUP(A2004,Season_Winners!A:B,2,FALSE),
     "")</f>
        <v/>
      </c>
    </row>
    <row r="2005" spans="1:14" hidden="1" x14ac:dyDescent="0.3">
      <c r="A2005" t="s">
        <v>745</v>
      </c>
      <c r="B2005">
        <v>11</v>
      </c>
      <c r="C2005" t="s">
        <v>785</v>
      </c>
      <c r="D2005" t="str">
        <f t="shared" si="155"/>
        <v>03.11.2018</v>
      </c>
      <c r="E2005" s="1">
        <v>0.86458333333333337</v>
      </c>
      <c r="F2005" t="s">
        <v>30</v>
      </c>
      <c r="G2005" t="s">
        <v>20</v>
      </c>
      <c r="H2005" s="2">
        <v>46083</v>
      </c>
      <c r="I2005" s="3" t="str">
        <f t="shared" si="156"/>
        <v/>
      </c>
      <c r="J2005" t="str">
        <f t="shared" si="157"/>
        <v/>
      </c>
      <c r="K2005" t="str">
        <f t="shared" si="158"/>
        <v/>
      </c>
      <c r="L2005" t="str">
        <f t="shared" si="159"/>
        <v/>
      </c>
      <c r="M2005" t="str">
        <f>IF(COUNTIF($A$2:A2005,A2005)=1,
     VLOOKUP(A2005,Season_Winners!A:B,2,FALSE),
     "")</f>
        <v/>
      </c>
      <c r="N2005" s="2"/>
    </row>
    <row r="2006" spans="1:14" hidden="1" x14ac:dyDescent="0.3">
      <c r="A2006" t="s">
        <v>745</v>
      </c>
      <c r="B2006">
        <v>11</v>
      </c>
      <c r="C2006" t="s">
        <v>786</v>
      </c>
      <c r="D2006" t="str">
        <f t="shared" si="155"/>
        <v>04.11.2018</v>
      </c>
      <c r="E2006" s="1">
        <v>0.5</v>
      </c>
      <c r="F2006" t="s">
        <v>187</v>
      </c>
      <c r="G2006" t="s">
        <v>464</v>
      </c>
      <c r="H2006" s="2">
        <v>46024</v>
      </c>
      <c r="I2006" s="3" t="str">
        <f t="shared" si="156"/>
        <v/>
      </c>
      <c r="J2006" t="str">
        <f t="shared" si="157"/>
        <v/>
      </c>
      <c r="K2006" t="str">
        <f t="shared" si="158"/>
        <v/>
      </c>
      <c r="L2006" t="str">
        <f t="shared" si="159"/>
        <v/>
      </c>
      <c r="M2006" t="str">
        <f>IF(COUNTIF($A$2:A2006,A2006)=1,
     VLOOKUP(A2006,Season_Winners!A:B,2,FALSE),
     "")</f>
        <v/>
      </c>
      <c r="N2006" s="2"/>
    </row>
    <row r="2007" spans="1:14" hidden="1" x14ac:dyDescent="0.3">
      <c r="A2007" t="s">
        <v>745</v>
      </c>
      <c r="B2007">
        <v>11</v>
      </c>
      <c r="C2007" t="s">
        <v>786</v>
      </c>
      <c r="D2007" t="str">
        <f t="shared" si="155"/>
        <v>04.11.2018</v>
      </c>
      <c r="E2007" s="1">
        <v>0.67708333333333337</v>
      </c>
      <c r="F2007" t="s">
        <v>34</v>
      </c>
      <c r="G2007" t="s">
        <v>21</v>
      </c>
      <c r="H2007" s="2">
        <v>46023</v>
      </c>
      <c r="I2007" s="3" t="str">
        <f t="shared" si="156"/>
        <v/>
      </c>
      <c r="J2007" t="str">
        <f t="shared" si="157"/>
        <v/>
      </c>
      <c r="K2007" t="str">
        <f t="shared" si="158"/>
        <v/>
      </c>
      <c r="L2007" t="str">
        <f t="shared" si="159"/>
        <v/>
      </c>
      <c r="M2007" t="str">
        <f>IF(COUNTIF($A$2:A2007,A2007)=1,
     VLOOKUP(A2007,Season_Winners!A:B,2,FALSE),
     "")</f>
        <v/>
      </c>
      <c r="N2007" s="2"/>
    </row>
    <row r="2008" spans="1:14" x14ac:dyDescent="0.3">
      <c r="A2008" t="s">
        <v>745</v>
      </c>
      <c r="B2008">
        <v>11</v>
      </c>
      <c r="C2008" t="s">
        <v>786</v>
      </c>
      <c r="D2008" t="str">
        <f t="shared" si="155"/>
        <v>04.11.2018</v>
      </c>
      <c r="E2008" s="1">
        <v>0.77083333333333337</v>
      </c>
      <c r="F2008" t="s">
        <v>10</v>
      </c>
      <c r="G2008" t="s">
        <v>27</v>
      </c>
      <c r="H2008" t="s">
        <v>41</v>
      </c>
      <c r="I2008" t="str">
        <f t="shared" si="156"/>
        <v>0-0</v>
      </c>
      <c r="J2008" t="str">
        <f t="shared" si="157"/>
        <v>0</v>
      </c>
      <c r="K2008" t="str">
        <f t="shared" si="158"/>
        <v>0</v>
      </c>
      <c r="L2008" t="str">
        <f t="shared" si="159"/>
        <v>Draw</v>
      </c>
      <c r="M2008" t="str">
        <f>IF(COUNTIF($A$2:A2008,A2008)=1,
     VLOOKUP(A2008,Season_Winners!A:B,2,FALSE),
     "")</f>
        <v/>
      </c>
    </row>
    <row r="2009" spans="1:14" hidden="1" x14ac:dyDescent="0.3">
      <c r="A2009" t="s">
        <v>745</v>
      </c>
      <c r="B2009">
        <v>11</v>
      </c>
      <c r="C2009" t="s">
        <v>786</v>
      </c>
      <c r="D2009" t="str">
        <f t="shared" si="155"/>
        <v>04.11.2018</v>
      </c>
      <c r="E2009" s="1">
        <v>0.77083333333333337</v>
      </c>
      <c r="F2009" t="s">
        <v>750</v>
      </c>
      <c r="G2009" t="s">
        <v>11</v>
      </c>
      <c r="H2009" s="2">
        <v>46023</v>
      </c>
      <c r="I2009" s="3" t="str">
        <f t="shared" si="156"/>
        <v/>
      </c>
      <c r="J2009" t="str">
        <f t="shared" si="157"/>
        <v/>
      </c>
      <c r="K2009" t="str">
        <f t="shared" si="158"/>
        <v/>
      </c>
      <c r="L2009" t="str">
        <f t="shared" si="159"/>
        <v/>
      </c>
      <c r="M2009" t="str">
        <f>IF(COUNTIF($A$2:A2009,A2009)=1,
     VLOOKUP(A2009,Season_Winners!A:B,2,FALSE),
     "")</f>
        <v/>
      </c>
      <c r="N2009" s="2"/>
    </row>
    <row r="2010" spans="1:14" hidden="1" x14ac:dyDescent="0.3">
      <c r="A2010" t="s">
        <v>745</v>
      </c>
      <c r="B2010">
        <v>11</v>
      </c>
      <c r="C2010" t="s">
        <v>786</v>
      </c>
      <c r="D2010" t="str">
        <f t="shared" si="155"/>
        <v>04.11.2018</v>
      </c>
      <c r="E2010" s="1">
        <v>0.86458333333333337</v>
      </c>
      <c r="F2010" t="s">
        <v>26</v>
      </c>
      <c r="G2010" t="s">
        <v>35</v>
      </c>
      <c r="H2010" s="2">
        <v>46084</v>
      </c>
      <c r="I2010" s="3" t="str">
        <f t="shared" si="156"/>
        <v/>
      </c>
      <c r="J2010" t="str">
        <f t="shared" si="157"/>
        <v/>
      </c>
      <c r="K2010" t="str">
        <f t="shared" si="158"/>
        <v/>
      </c>
      <c r="L2010" t="str">
        <f t="shared" si="159"/>
        <v/>
      </c>
      <c r="M2010" t="str">
        <f>IF(COUNTIF($A$2:A2010,A2010)=1,
     VLOOKUP(A2010,Season_Winners!A:B,2,FALSE),
     "")</f>
        <v/>
      </c>
      <c r="N2010" s="2"/>
    </row>
    <row r="2011" spans="1:14" x14ac:dyDescent="0.3">
      <c r="A2011" t="s">
        <v>745</v>
      </c>
      <c r="B2011">
        <v>11</v>
      </c>
      <c r="C2011" t="s">
        <v>787</v>
      </c>
      <c r="D2011" t="str">
        <f t="shared" si="155"/>
        <v>05.11.2018</v>
      </c>
      <c r="E2011" s="1">
        <v>0.875</v>
      </c>
      <c r="F2011" t="s">
        <v>36</v>
      </c>
      <c r="G2011" t="s">
        <v>15</v>
      </c>
      <c r="H2011" t="s">
        <v>18</v>
      </c>
      <c r="I2011" t="str">
        <f t="shared" si="156"/>
        <v>1-0</v>
      </c>
      <c r="J2011" t="str">
        <f t="shared" si="157"/>
        <v>1</v>
      </c>
      <c r="K2011" t="str">
        <f t="shared" si="158"/>
        <v>0</v>
      </c>
      <c r="L2011" t="str">
        <f t="shared" si="159"/>
        <v>RCD Espanyol de Barcelona</v>
      </c>
      <c r="M2011" t="str">
        <f>IF(COUNTIF($A$2:A2011,A2011)=1,
     VLOOKUP(A2011,Season_Winners!A:B,2,FALSE),
     "")</f>
        <v/>
      </c>
    </row>
    <row r="2012" spans="1:14" hidden="1" x14ac:dyDescent="0.3">
      <c r="A2012" t="s">
        <v>745</v>
      </c>
      <c r="B2012">
        <v>12</v>
      </c>
      <c r="C2012" t="s">
        <v>788</v>
      </c>
      <c r="D2012" t="str">
        <f t="shared" si="155"/>
        <v>09.11.2018</v>
      </c>
      <c r="E2012" s="1">
        <v>0.875</v>
      </c>
      <c r="F2012" t="s">
        <v>21</v>
      </c>
      <c r="G2012" t="s">
        <v>10</v>
      </c>
      <c r="H2012" s="2">
        <v>46082</v>
      </c>
      <c r="I2012" s="3" t="str">
        <f t="shared" si="156"/>
        <v/>
      </c>
      <c r="J2012" t="str">
        <f t="shared" si="157"/>
        <v/>
      </c>
      <c r="K2012" t="str">
        <f t="shared" si="158"/>
        <v/>
      </c>
      <c r="L2012" t="str">
        <f t="shared" si="159"/>
        <v/>
      </c>
      <c r="M2012" t="str">
        <f>IF(COUNTIF($A$2:A2012,A2012)=1,
     VLOOKUP(A2012,Season_Winners!A:B,2,FALSE),
     "")</f>
        <v/>
      </c>
      <c r="N2012" s="2"/>
    </row>
    <row r="2013" spans="1:14" x14ac:dyDescent="0.3">
      <c r="A2013" t="s">
        <v>745</v>
      </c>
      <c r="B2013">
        <v>12</v>
      </c>
      <c r="C2013" t="s">
        <v>789</v>
      </c>
      <c r="D2013" t="str">
        <f t="shared" si="155"/>
        <v>10.11.2018</v>
      </c>
      <c r="E2013" s="1">
        <v>0.54166666666666663</v>
      </c>
      <c r="F2013" t="s">
        <v>14</v>
      </c>
      <c r="G2013" t="s">
        <v>187</v>
      </c>
      <c r="H2013" t="s">
        <v>41</v>
      </c>
      <c r="I2013" t="str">
        <f t="shared" si="156"/>
        <v>0-0</v>
      </c>
      <c r="J2013" t="str">
        <f t="shared" si="157"/>
        <v>0</v>
      </c>
      <c r="K2013" t="str">
        <f t="shared" si="158"/>
        <v>0</v>
      </c>
      <c r="L2013" t="str">
        <f t="shared" si="159"/>
        <v>Draw</v>
      </c>
      <c r="M2013" t="str">
        <f>IF(COUNTIF($A$2:A2013,A2013)=1,
     VLOOKUP(A2013,Season_Winners!A:B,2,FALSE),
     "")</f>
        <v/>
      </c>
    </row>
    <row r="2014" spans="1:14" x14ac:dyDescent="0.3">
      <c r="A2014" t="s">
        <v>745</v>
      </c>
      <c r="B2014">
        <v>12</v>
      </c>
      <c r="C2014" t="s">
        <v>789</v>
      </c>
      <c r="D2014" t="str">
        <f t="shared" si="155"/>
        <v>10.11.2018</v>
      </c>
      <c r="E2014" s="1">
        <v>0.67708333333333337</v>
      </c>
      <c r="F2014" t="s">
        <v>11</v>
      </c>
      <c r="G2014" t="s">
        <v>16</v>
      </c>
      <c r="H2014" t="s">
        <v>42</v>
      </c>
      <c r="I2014" t="str">
        <f t="shared" si="156"/>
        <v>0-1</v>
      </c>
      <c r="J2014" t="str">
        <f t="shared" si="157"/>
        <v>0</v>
      </c>
      <c r="K2014" t="str">
        <f t="shared" si="158"/>
        <v>1</v>
      </c>
      <c r="L2014" t="str">
        <f t="shared" si="159"/>
        <v>Valencia CF</v>
      </c>
      <c r="M2014" t="str">
        <f>IF(COUNTIF($A$2:A2014,A2014)=1,
     VLOOKUP(A2014,Season_Winners!A:B,2,FALSE),
     "")</f>
        <v/>
      </c>
    </row>
    <row r="2015" spans="1:14" hidden="1" x14ac:dyDescent="0.3">
      <c r="A2015" t="s">
        <v>745</v>
      </c>
      <c r="B2015">
        <v>12</v>
      </c>
      <c r="C2015" t="s">
        <v>789</v>
      </c>
      <c r="D2015" t="str">
        <f t="shared" si="155"/>
        <v>10.11.2018</v>
      </c>
      <c r="E2015" s="1">
        <v>0.77083333333333337</v>
      </c>
      <c r="F2015" t="s">
        <v>28</v>
      </c>
      <c r="G2015" t="s">
        <v>15</v>
      </c>
      <c r="H2015" s="2">
        <v>46056</v>
      </c>
      <c r="I2015" s="3" t="str">
        <f t="shared" si="156"/>
        <v/>
      </c>
      <c r="J2015" t="str">
        <f t="shared" si="157"/>
        <v/>
      </c>
      <c r="K2015" t="str">
        <f t="shared" si="158"/>
        <v/>
      </c>
      <c r="L2015" t="str">
        <f t="shared" si="159"/>
        <v/>
      </c>
      <c r="M2015" t="str">
        <f>IF(COUNTIF($A$2:A2015,A2015)=1,
     VLOOKUP(A2015,Season_Winners!A:B,2,FALSE),
     "")</f>
        <v/>
      </c>
      <c r="N2015" s="2"/>
    </row>
    <row r="2016" spans="1:14" x14ac:dyDescent="0.3">
      <c r="A2016" t="s">
        <v>745</v>
      </c>
      <c r="B2016">
        <v>12</v>
      </c>
      <c r="C2016" t="s">
        <v>789</v>
      </c>
      <c r="D2016" t="str">
        <f t="shared" si="155"/>
        <v>10.11.2018</v>
      </c>
      <c r="E2016" s="1">
        <v>0.86458333333333337</v>
      </c>
      <c r="F2016" t="s">
        <v>606</v>
      </c>
      <c r="G2016" t="s">
        <v>466</v>
      </c>
      <c r="H2016" t="s">
        <v>41</v>
      </c>
      <c r="I2016" t="str">
        <f t="shared" si="156"/>
        <v>0-0</v>
      </c>
      <c r="J2016" t="str">
        <f t="shared" si="157"/>
        <v>0</v>
      </c>
      <c r="K2016" t="str">
        <f t="shared" si="158"/>
        <v>0</v>
      </c>
      <c r="L2016" t="str">
        <f t="shared" si="159"/>
        <v>Draw</v>
      </c>
      <c r="M2016" t="str">
        <f>IF(COUNTIF($A$2:A2016,A2016)=1,
     VLOOKUP(A2016,Season_Winners!A:B,2,FALSE),
     "")</f>
        <v/>
      </c>
    </row>
    <row r="2017" spans="1:14" hidden="1" x14ac:dyDescent="0.3">
      <c r="A2017" t="s">
        <v>745</v>
      </c>
      <c r="B2017">
        <v>12</v>
      </c>
      <c r="C2017" t="s">
        <v>790</v>
      </c>
      <c r="D2017" t="str">
        <f t="shared" si="155"/>
        <v>11.11.2018</v>
      </c>
      <c r="E2017" s="1">
        <v>0.5</v>
      </c>
      <c r="F2017" t="s">
        <v>464</v>
      </c>
      <c r="G2017" t="s">
        <v>750</v>
      </c>
      <c r="H2017" s="2">
        <v>46024</v>
      </c>
      <c r="I2017" s="3" t="str">
        <f t="shared" si="156"/>
        <v/>
      </c>
      <c r="J2017" t="str">
        <f t="shared" si="157"/>
        <v/>
      </c>
      <c r="K2017" t="str">
        <f t="shared" si="158"/>
        <v/>
      </c>
      <c r="L2017" t="str">
        <f t="shared" si="159"/>
        <v/>
      </c>
      <c r="M2017" t="str">
        <f>IF(COUNTIF($A$2:A2017,A2017)=1,
     VLOOKUP(A2017,Season_Winners!A:B,2,FALSE),
     "")</f>
        <v/>
      </c>
      <c r="N2017" s="2"/>
    </row>
    <row r="2018" spans="1:14" hidden="1" x14ac:dyDescent="0.3">
      <c r="A2018" t="s">
        <v>745</v>
      </c>
      <c r="B2018">
        <v>12</v>
      </c>
      <c r="C2018" t="s">
        <v>790</v>
      </c>
      <c r="D2018" t="str">
        <f t="shared" si="155"/>
        <v>11.11.2018</v>
      </c>
      <c r="E2018" s="1">
        <v>0.67708333333333337</v>
      </c>
      <c r="F2018" t="s">
        <v>20</v>
      </c>
      <c r="G2018" t="s">
        <v>26</v>
      </c>
      <c r="H2018" s="2">
        <v>46115</v>
      </c>
      <c r="I2018" s="3" t="str">
        <f t="shared" si="156"/>
        <v/>
      </c>
      <c r="J2018" t="str">
        <f t="shared" si="157"/>
        <v/>
      </c>
      <c r="K2018" t="str">
        <f t="shared" si="158"/>
        <v/>
      </c>
      <c r="L2018" t="str">
        <f t="shared" si="159"/>
        <v/>
      </c>
      <c r="M2018" t="str">
        <f>IF(COUNTIF($A$2:A2018,A2018)=1,
     VLOOKUP(A2018,Season_Winners!A:B,2,FALSE),
     "")</f>
        <v/>
      </c>
      <c r="N2018" s="2"/>
    </row>
    <row r="2019" spans="1:14" hidden="1" x14ac:dyDescent="0.3">
      <c r="A2019" t="s">
        <v>745</v>
      </c>
      <c r="B2019">
        <v>12</v>
      </c>
      <c r="C2019" t="s">
        <v>790</v>
      </c>
      <c r="D2019" t="str">
        <f t="shared" si="155"/>
        <v>11.11.2018</v>
      </c>
      <c r="E2019" s="1">
        <v>0.77083333333333337</v>
      </c>
      <c r="F2019" t="s">
        <v>30</v>
      </c>
      <c r="G2019" t="s">
        <v>34</v>
      </c>
      <c r="H2019" s="2">
        <v>46055</v>
      </c>
      <c r="I2019" s="3" t="str">
        <f t="shared" si="156"/>
        <v/>
      </c>
      <c r="J2019" t="str">
        <f t="shared" si="157"/>
        <v/>
      </c>
      <c r="K2019" t="str">
        <f t="shared" si="158"/>
        <v/>
      </c>
      <c r="L2019" t="str">
        <f t="shared" si="159"/>
        <v/>
      </c>
      <c r="M2019" t="str">
        <f>IF(COUNTIF($A$2:A2019,A2019)=1,
     VLOOKUP(A2019,Season_Winners!A:B,2,FALSE),
     "")</f>
        <v/>
      </c>
      <c r="N2019" s="2"/>
    </row>
    <row r="2020" spans="1:14" hidden="1" x14ac:dyDescent="0.3">
      <c r="A2020" t="s">
        <v>745</v>
      </c>
      <c r="B2020">
        <v>12</v>
      </c>
      <c r="C2020" t="s">
        <v>790</v>
      </c>
      <c r="D2020" t="str">
        <f t="shared" si="155"/>
        <v>11.11.2018</v>
      </c>
      <c r="E2020" s="1">
        <v>0.77083333333333337</v>
      </c>
      <c r="F2020" t="s">
        <v>27</v>
      </c>
      <c r="G2020" t="s">
        <v>36</v>
      </c>
      <c r="H2020" s="2">
        <v>46024</v>
      </c>
      <c r="I2020" s="3" t="str">
        <f t="shared" si="156"/>
        <v/>
      </c>
      <c r="J2020" t="str">
        <f t="shared" si="157"/>
        <v/>
      </c>
      <c r="K2020" t="str">
        <f t="shared" si="158"/>
        <v/>
      </c>
      <c r="L2020" t="str">
        <f t="shared" si="159"/>
        <v/>
      </c>
      <c r="M2020" t="str">
        <f>IF(COUNTIF($A$2:A2020,A2020)=1,
     VLOOKUP(A2020,Season_Winners!A:B,2,FALSE),
     "")</f>
        <v/>
      </c>
      <c r="N2020" s="2"/>
    </row>
    <row r="2021" spans="1:14" hidden="1" x14ac:dyDescent="0.3">
      <c r="A2021" t="s">
        <v>745</v>
      </c>
      <c r="B2021">
        <v>12</v>
      </c>
      <c r="C2021" t="s">
        <v>790</v>
      </c>
      <c r="D2021" t="str">
        <f t="shared" si="155"/>
        <v>11.11.2018</v>
      </c>
      <c r="E2021" s="1">
        <v>0.86458333333333337</v>
      </c>
      <c r="F2021" t="s">
        <v>35</v>
      </c>
      <c r="G2021" t="s">
        <v>25</v>
      </c>
      <c r="H2021" s="2">
        <v>46114</v>
      </c>
      <c r="I2021" s="3" t="str">
        <f t="shared" si="156"/>
        <v/>
      </c>
      <c r="J2021" t="str">
        <f t="shared" si="157"/>
        <v/>
      </c>
      <c r="K2021" t="str">
        <f t="shared" si="158"/>
        <v/>
      </c>
      <c r="L2021" t="str">
        <f t="shared" si="159"/>
        <v/>
      </c>
      <c r="M2021" t="str">
        <f>IF(COUNTIF($A$2:A2021,A2021)=1,
     VLOOKUP(A2021,Season_Winners!A:B,2,FALSE),
     "")</f>
        <v/>
      </c>
      <c r="N2021" s="2"/>
    </row>
    <row r="2022" spans="1:14" x14ac:dyDescent="0.3">
      <c r="A2022" t="s">
        <v>745</v>
      </c>
      <c r="B2022">
        <v>13</v>
      </c>
      <c r="C2022" t="s">
        <v>791</v>
      </c>
      <c r="D2022" t="str">
        <f t="shared" si="155"/>
        <v>23.11.2018</v>
      </c>
      <c r="E2022" s="1">
        <v>0.875</v>
      </c>
      <c r="F2022" t="s">
        <v>466</v>
      </c>
      <c r="G2022" t="s">
        <v>464</v>
      </c>
      <c r="H2022" t="s">
        <v>18</v>
      </c>
      <c r="I2022" t="str">
        <f t="shared" si="156"/>
        <v>1-0</v>
      </c>
      <c r="J2022" t="str">
        <f t="shared" si="157"/>
        <v>1</v>
      </c>
      <c r="K2022" t="str">
        <f t="shared" si="158"/>
        <v>0</v>
      </c>
      <c r="L2022" t="str">
        <f t="shared" si="159"/>
        <v>CD LeganÃ©s</v>
      </c>
      <c r="M2022" t="str">
        <f>IF(COUNTIF($A$2:A2022,A2022)=1,
     VLOOKUP(A2022,Season_Winners!A:B,2,FALSE),
     "")</f>
        <v/>
      </c>
    </row>
    <row r="2023" spans="1:14" x14ac:dyDescent="0.3">
      <c r="A2023" t="s">
        <v>745</v>
      </c>
      <c r="B2023">
        <v>13</v>
      </c>
      <c r="C2023" t="s">
        <v>792</v>
      </c>
      <c r="D2023" t="str">
        <f t="shared" si="155"/>
        <v>24.11.2018</v>
      </c>
      <c r="E2023" s="1">
        <v>0.54166666666666663</v>
      </c>
      <c r="F2023" t="s">
        <v>187</v>
      </c>
      <c r="G2023" t="s">
        <v>25</v>
      </c>
      <c r="H2023" t="s">
        <v>32</v>
      </c>
      <c r="I2023" t="str">
        <f t="shared" si="156"/>
        <v>3-0</v>
      </c>
      <c r="J2023" t="str">
        <f t="shared" si="157"/>
        <v>3</v>
      </c>
      <c r="K2023" t="str">
        <f t="shared" si="158"/>
        <v>0</v>
      </c>
      <c r="L2023" t="str">
        <f t="shared" si="159"/>
        <v>SD Eibar</v>
      </c>
      <c r="M2023" t="str">
        <f>IF(COUNTIF($A$2:A2023,A2023)=1,
     VLOOKUP(A2023,Season_Winners!A:B,2,FALSE),
     "")</f>
        <v/>
      </c>
    </row>
    <row r="2024" spans="1:14" x14ac:dyDescent="0.3">
      <c r="A2024" t="s">
        <v>745</v>
      </c>
      <c r="B2024">
        <v>13</v>
      </c>
      <c r="C2024" t="s">
        <v>792</v>
      </c>
      <c r="D2024" t="str">
        <f t="shared" si="155"/>
        <v>24.11.2018</v>
      </c>
      <c r="E2024" s="1">
        <v>0.67708333333333337</v>
      </c>
      <c r="F2024" t="s">
        <v>16</v>
      </c>
      <c r="G2024" t="s">
        <v>30</v>
      </c>
      <c r="H2024" t="s">
        <v>32</v>
      </c>
      <c r="I2024" t="str">
        <f t="shared" si="156"/>
        <v>3-0</v>
      </c>
      <c r="J2024" t="str">
        <f t="shared" si="157"/>
        <v>3</v>
      </c>
      <c r="K2024" t="str">
        <f t="shared" si="158"/>
        <v>0</v>
      </c>
      <c r="L2024" t="str">
        <f t="shared" si="159"/>
        <v>Valencia CF</v>
      </c>
      <c r="M2024" t="str">
        <f>IF(COUNTIF($A$2:A2024,A2024)=1,
     VLOOKUP(A2024,Season_Winners!A:B,2,FALSE),
     "")</f>
        <v/>
      </c>
    </row>
    <row r="2025" spans="1:14" hidden="1" x14ac:dyDescent="0.3">
      <c r="A2025" t="s">
        <v>745</v>
      </c>
      <c r="B2025">
        <v>13</v>
      </c>
      <c r="C2025" t="s">
        <v>792</v>
      </c>
      <c r="D2025" t="str">
        <f t="shared" si="155"/>
        <v>24.11.2018</v>
      </c>
      <c r="E2025" s="1">
        <v>0.77083333333333337</v>
      </c>
      <c r="F2025" t="s">
        <v>750</v>
      </c>
      <c r="G2025" t="s">
        <v>21</v>
      </c>
      <c r="H2025" s="2">
        <v>46055</v>
      </c>
      <c r="I2025" s="3" t="str">
        <f t="shared" si="156"/>
        <v/>
      </c>
      <c r="J2025" t="str">
        <f t="shared" si="157"/>
        <v/>
      </c>
      <c r="K2025" t="str">
        <f t="shared" si="158"/>
        <v/>
      </c>
      <c r="L2025" t="str">
        <f t="shared" si="159"/>
        <v/>
      </c>
      <c r="M2025" t="str">
        <f>IF(COUNTIF($A$2:A2025,A2025)=1,
     VLOOKUP(A2025,Season_Winners!A:B,2,FALSE),
     "")</f>
        <v/>
      </c>
      <c r="N2025" s="2"/>
    </row>
    <row r="2026" spans="1:14" hidden="1" x14ac:dyDescent="0.3">
      <c r="A2026" t="s">
        <v>745</v>
      </c>
      <c r="B2026">
        <v>13</v>
      </c>
      <c r="C2026" t="s">
        <v>792</v>
      </c>
      <c r="D2026" t="str">
        <f t="shared" si="155"/>
        <v>24.11.2018</v>
      </c>
      <c r="E2026" s="1">
        <v>0.86458333333333337</v>
      </c>
      <c r="F2026" t="s">
        <v>28</v>
      </c>
      <c r="G2026" t="s">
        <v>20</v>
      </c>
      <c r="H2026" s="2">
        <v>46023</v>
      </c>
      <c r="I2026" s="3" t="str">
        <f t="shared" si="156"/>
        <v/>
      </c>
      <c r="J2026" t="str">
        <f t="shared" si="157"/>
        <v/>
      </c>
      <c r="K2026" t="str">
        <f t="shared" si="158"/>
        <v/>
      </c>
      <c r="L2026" t="str">
        <f t="shared" si="159"/>
        <v/>
      </c>
      <c r="M2026" t="str">
        <f>IF(COUNTIF($A$2:A2026,A2026)=1,
     VLOOKUP(A2026,Season_Winners!A:B,2,FALSE),
     "")</f>
        <v/>
      </c>
      <c r="N2026" s="2"/>
    </row>
    <row r="2027" spans="1:14" hidden="1" x14ac:dyDescent="0.3">
      <c r="A2027" t="s">
        <v>745</v>
      </c>
      <c r="B2027">
        <v>13</v>
      </c>
      <c r="C2027" t="s">
        <v>793</v>
      </c>
      <c r="D2027" t="str">
        <f t="shared" si="155"/>
        <v>25.11.2018</v>
      </c>
      <c r="E2027" s="1">
        <v>0.5</v>
      </c>
      <c r="F2027" t="s">
        <v>15</v>
      </c>
      <c r="G2027" t="s">
        <v>11</v>
      </c>
      <c r="H2027" s="2">
        <v>46023</v>
      </c>
      <c r="I2027" s="3" t="str">
        <f t="shared" si="156"/>
        <v/>
      </c>
      <c r="J2027" t="str">
        <f t="shared" si="157"/>
        <v/>
      </c>
      <c r="K2027" t="str">
        <f t="shared" si="158"/>
        <v/>
      </c>
      <c r="L2027" t="str">
        <f t="shared" si="159"/>
        <v/>
      </c>
      <c r="M2027" t="str">
        <f>IF(COUNTIF($A$2:A2027,A2027)=1,
     VLOOKUP(A2027,Season_Winners!A:B,2,FALSE),
     "")</f>
        <v/>
      </c>
      <c r="N2027" s="2"/>
    </row>
    <row r="2028" spans="1:14" x14ac:dyDescent="0.3">
      <c r="A2028" t="s">
        <v>745</v>
      </c>
      <c r="B2028">
        <v>13</v>
      </c>
      <c r="C2028" t="s">
        <v>793</v>
      </c>
      <c r="D2028" t="str">
        <f t="shared" si="155"/>
        <v>25.11.2018</v>
      </c>
      <c r="E2028" s="1">
        <v>0.67708333333333337</v>
      </c>
      <c r="F2028" t="s">
        <v>27</v>
      </c>
      <c r="G2028" t="s">
        <v>14</v>
      </c>
      <c r="H2028" t="s">
        <v>18</v>
      </c>
      <c r="I2028" t="str">
        <f t="shared" si="156"/>
        <v>1-0</v>
      </c>
      <c r="J2028" t="str">
        <f t="shared" si="157"/>
        <v>1</v>
      </c>
      <c r="K2028" t="str">
        <f t="shared" si="158"/>
        <v>0</v>
      </c>
      <c r="L2028" t="str">
        <f t="shared" si="159"/>
        <v>Sevilla FC</v>
      </c>
      <c r="M2028" t="str">
        <f>IF(COUNTIF($A$2:A2028,A2028)=1,
     VLOOKUP(A2028,Season_Winners!A:B,2,FALSE),
     "")</f>
        <v/>
      </c>
    </row>
    <row r="2029" spans="1:14" hidden="1" x14ac:dyDescent="0.3">
      <c r="A2029" t="s">
        <v>745</v>
      </c>
      <c r="B2029">
        <v>13</v>
      </c>
      <c r="C2029" t="s">
        <v>793</v>
      </c>
      <c r="D2029" t="str">
        <f t="shared" si="155"/>
        <v>25.11.2018</v>
      </c>
      <c r="E2029" s="1">
        <v>0.77083333333333337</v>
      </c>
      <c r="F2029" t="s">
        <v>36</v>
      </c>
      <c r="G2029" t="s">
        <v>606</v>
      </c>
      <c r="H2029" s="2">
        <v>46082</v>
      </c>
      <c r="I2029" s="3" t="str">
        <f t="shared" si="156"/>
        <v/>
      </c>
      <c r="J2029" t="str">
        <f t="shared" si="157"/>
        <v/>
      </c>
      <c r="K2029" t="str">
        <f t="shared" si="158"/>
        <v/>
      </c>
      <c r="L2029" t="str">
        <f t="shared" si="159"/>
        <v/>
      </c>
      <c r="M2029" t="str">
        <f>IF(COUNTIF($A$2:A2029,A2029)=1,
     VLOOKUP(A2029,Season_Winners!A:B,2,FALSE),
     "")</f>
        <v/>
      </c>
      <c r="N2029" s="2"/>
    </row>
    <row r="2030" spans="1:14" hidden="1" x14ac:dyDescent="0.3">
      <c r="A2030" t="s">
        <v>745</v>
      </c>
      <c r="B2030">
        <v>13</v>
      </c>
      <c r="C2030" t="s">
        <v>793</v>
      </c>
      <c r="D2030" t="str">
        <f t="shared" si="155"/>
        <v>25.11.2018</v>
      </c>
      <c r="E2030" s="1">
        <v>0.86458333333333337</v>
      </c>
      <c r="F2030" t="s">
        <v>34</v>
      </c>
      <c r="G2030" t="s">
        <v>26</v>
      </c>
      <c r="H2030" s="2">
        <v>46024</v>
      </c>
      <c r="I2030" s="3" t="str">
        <f t="shared" si="156"/>
        <v/>
      </c>
      <c r="J2030" t="str">
        <f t="shared" si="157"/>
        <v/>
      </c>
      <c r="K2030" t="str">
        <f t="shared" si="158"/>
        <v/>
      </c>
      <c r="L2030" t="str">
        <f t="shared" si="159"/>
        <v/>
      </c>
      <c r="M2030" t="str">
        <f>IF(COUNTIF($A$2:A2030,A2030)=1,
     VLOOKUP(A2030,Season_Winners!A:B,2,FALSE),
     "")</f>
        <v/>
      </c>
      <c r="N2030" s="2"/>
    </row>
    <row r="2031" spans="1:14" hidden="1" x14ac:dyDescent="0.3">
      <c r="A2031" t="s">
        <v>745</v>
      </c>
      <c r="B2031">
        <v>13</v>
      </c>
      <c r="C2031" t="s">
        <v>794</v>
      </c>
      <c r="D2031" t="str">
        <f t="shared" si="155"/>
        <v>26.11.2018</v>
      </c>
      <c r="E2031" s="1">
        <v>0.875</v>
      </c>
      <c r="F2031" t="s">
        <v>10</v>
      </c>
      <c r="G2031" t="s">
        <v>35</v>
      </c>
      <c r="H2031" s="2">
        <v>46024</v>
      </c>
      <c r="I2031" s="3" t="str">
        <f t="shared" si="156"/>
        <v/>
      </c>
      <c r="J2031" t="str">
        <f t="shared" si="157"/>
        <v/>
      </c>
      <c r="K2031" t="str">
        <f t="shared" si="158"/>
        <v/>
      </c>
      <c r="L2031" t="str">
        <f t="shared" si="159"/>
        <v/>
      </c>
      <c r="M2031" t="str">
        <f>IF(COUNTIF($A$2:A2031,A2031)=1,
     VLOOKUP(A2031,Season_Winners!A:B,2,FALSE),
     "")</f>
        <v/>
      </c>
      <c r="N2031" s="2"/>
    </row>
    <row r="2032" spans="1:14" x14ac:dyDescent="0.3">
      <c r="A2032" t="s">
        <v>745</v>
      </c>
      <c r="B2032">
        <v>14</v>
      </c>
      <c r="C2032" t="s">
        <v>795</v>
      </c>
      <c r="D2032" t="str">
        <f t="shared" si="155"/>
        <v>30.11.2018</v>
      </c>
      <c r="E2032" s="1">
        <v>0.875</v>
      </c>
      <c r="F2032" t="s">
        <v>30</v>
      </c>
      <c r="G2032" t="s">
        <v>187</v>
      </c>
      <c r="H2032" t="s">
        <v>18</v>
      </c>
      <c r="I2032" t="str">
        <f t="shared" si="156"/>
        <v>1-0</v>
      </c>
      <c r="J2032" t="str">
        <f t="shared" si="157"/>
        <v>1</v>
      </c>
      <c r="K2032" t="str">
        <f t="shared" si="158"/>
        <v>0</v>
      </c>
      <c r="L2032" t="str">
        <f t="shared" si="159"/>
        <v>Rayo Vallecano</v>
      </c>
      <c r="M2032" t="str">
        <f>IF(COUNTIF($A$2:A2032,A2032)=1,
     VLOOKUP(A2032,Season_Winners!A:B,2,FALSE),
     "")</f>
        <v/>
      </c>
    </row>
    <row r="2033" spans="1:14" x14ac:dyDescent="0.3">
      <c r="A2033" t="s">
        <v>745</v>
      </c>
      <c r="B2033">
        <v>14</v>
      </c>
      <c r="C2033" t="s">
        <v>796</v>
      </c>
      <c r="D2033" t="str">
        <f t="shared" si="155"/>
        <v>01.12.2018</v>
      </c>
      <c r="E2033" s="1">
        <v>0.54166666666666663</v>
      </c>
      <c r="F2033" t="s">
        <v>35</v>
      </c>
      <c r="G2033" t="s">
        <v>750</v>
      </c>
      <c r="H2033" t="s">
        <v>12</v>
      </c>
      <c r="I2033" t="str">
        <f t="shared" si="156"/>
        <v>2-0</v>
      </c>
      <c r="J2033" t="str">
        <f t="shared" si="157"/>
        <v>2</v>
      </c>
      <c r="K2033" t="str">
        <f t="shared" si="158"/>
        <v>0</v>
      </c>
      <c r="L2033" t="str">
        <f t="shared" si="159"/>
        <v>RC Celta</v>
      </c>
      <c r="M2033" t="str">
        <f>IF(COUNTIF($A$2:A2033,A2033)=1,
     VLOOKUP(A2033,Season_Winners!A:B,2,FALSE),
     "")</f>
        <v/>
      </c>
    </row>
    <row r="2034" spans="1:14" hidden="1" x14ac:dyDescent="0.3">
      <c r="A2034" t="s">
        <v>745</v>
      </c>
      <c r="B2034">
        <v>14</v>
      </c>
      <c r="C2034" t="s">
        <v>796</v>
      </c>
      <c r="D2034" t="str">
        <f t="shared" si="155"/>
        <v>01.12.2018</v>
      </c>
      <c r="E2034" s="1">
        <v>0.67708333333333337</v>
      </c>
      <c r="F2034" t="s">
        <v>14</v>
      </c>
      <c r="G2034" t="s">
        <v>466</v>
      </c>
      <c r="H2034" s="2">
        <v>46114</v>
      </c>
      <c r="I2034" s="3" t="str">
        <f t="shared" si="156"/>
        <v/>
      </c>
      <c r="J2034" t="str">
        <f t="shared" si="157"/>
        <v/>
      </c>
      <c r="K2034" t="str">
        <f t="shared" si="158"/>
        <v/>
      </c>
      <c r="L2034" t="str">
        <f t="shared" si="159"/>
        <v/>
      </c>
      <c r="M2034" t="str">
        <f>IF(COUNTIF($A$2:A2034,A2034)=1,
     VLOOKUP(A2034,Season_Winners!A:B,2,FALSE),
     "")</f>
        <v/>
      </c>
      <c r="N2034" s="2"/>
    </row>
    <row r="2035" spans="1:14" x14ac:dyDescent="0.3">
      <c r="A2035" t="s">
        <v>745</v>
      </c>
      <c r="B2035">
        <v>14</v>
      </c>
      <c r="C2035" t="s">
        <v>796</v>
      </c>
      <c r="D2035" t="str">
        <f t="shared" si="155"/>
        <v>01.12.2018</v>
      </c>
      <c r="E2035" s="1">
        <v>0.77083333333333337</v>
      </c>
      <c r="F2035" t="s">
        <v>11</v>
      </c>
      <c r="G2035" t="s">
        <v>36</v>
      </c>
      <c r="H2035" t="s">
        <v>32</v>
      </c>
      <c r="I2035" t="str">
        <f t="shared" si="156"/>
        <v>3-0</v>
      </c>
      <c r="J2035" t="str">
        <f t="shared" si="157"/>
        <v>3</v>
      </c>
      <c r="K2035" t="str">
        <f t="shared" si="158"/>
        <v>0</v>
      </c>
      <c r="L2035" t="str">
        <f t="shared" si="159"/>
        <v>Getafe CF</v>
      </c>
      <c r="M2035" t="str">
        <f>IF(COUNTIF($A$2:A2035,A2035)=1,
     VLOOKUP(A2035,Season_Winners!A:B,2,FALSE),
     "")</f>
        <v/>
      </c>
    </row>
    <row r="2036" spans="1:14" x14ac:dyDescent="0.3">
      <c r="A2036" t="s">
        <v>745</v>
      </c>
      <c r="B2036">
        <v>14</v>
      </c>
      <c r="C2036" t="s">
        <v>796</v>
      </c>
      <c r="D2036" t="str">
        <f t="shared" si="155"/>
        <v>01.12.2018</v>
      </c>
      <c r="E2036" s="1">
        <v>0.86458333333333337</v>
      </c>
      <c r="F2036" t="s">
        <v>25</v>
      </c>
      <c r="G2036" t="s">
        <v>16</v>
      </c>
      <c r="H2036" t="s">
        <v>12</v>
      </c>
      <c r="I2036" t="str">
        <f t="shared" si="156"/>
        <v>2-0</v>
      </c>
      <c r="J2036" t="str">
        <f t="shared" si="157"/>
        <v>2</v>
      </c>
      <c r="K2036" t="str">
        <f t="shared" si="158"/>
        <v>0</v>
      </c>
      <c r="L2036" t="str">
        <f t="shared" si="159"/>
        <v>Real Madrid</v>
      </c>
      <c r="M2036" t="str">
        <f>IF(COUNTIF($A$2:A2036,A2036)=1,
     VLOOKUP(A2036,Season_Winners!A:B,2,FALSE),
     "")</f>
        <v/>
      </c>
    </row>
    <row r="2037" spans="1:14" x14ac:dyDescent="0.3">
      <c r="A2037" t="s">
        <v>745</v>
      </c>
      <c r="B2037">
        <v>14</v>
      </c>
      <c r="C2037" t="s">
        <v>797</v>
      </c>
      <c r="D2037" t="str">
        <f t="shared" si="155"/>
        <v>02.12.2018</v>
      </c>
      <c r="E2037" s="1">
        <v>0.5</v>
      </c>
      <c r="F2037" t="s">
        <v>26</v>
      </c>
      <c r="G2037" t="s">
        <v>10</v>
      </c>
      <c r="H2037" t="s">
        <v>18</v>
      </c>
      <c r="I2037" t="str">
        <f t="shared" si="156"/>
        <v>1-0</v>
      </c>
      <c r="J2037" t="str">
        <f t="shared" si="157"/>
        <v>1</v>
      </c>
      <c r="K2037" t="str">
        <f t="shared" si="158"/>
        <v>0</v>
      </c>
      <c r="L2037" t="str">
        <f t="shared" si="159"/>
        <v>Real Betis</v>
      </c>
      <c r="M2037" t="str">
        <f>IF(COUNTIF($A$2:A2037,A2037)=1,
     VLOOKUP(A2037,Season_Winners!A:B,2,FALSE),
     "")</f>
        <v/>
      </c>
    </row>
    <row r="2038" spans="1:14" hidden="1" x14ac:dyDescent="0.3">
      <c r="A2038" t="s">
        <v>745</v>
      </c>
      <c r="B2038">
        <v>14</v>
      </c>
      <c r="C2038" t="s">
        <v>797</v>
      </c>
      <c r="D2038" t="str">
        <f t="shared" si="155"/>
        <v>02.12.2018</v>
      </c>
      <c r="E2038" s="1">
        <v>0.67708333333333337</v>
      </c>
      <c r="F2038" t="s">
        <v>606</v>
      </c>
      <c r="G2038" t="s">
        <v>28</v>
      </c>
      <c r="H2038" s="2">
        <v>46023</v>
      </c>
      <c r="I2038" s="3" t="str">
        <f t="shared" si="156"/>
        <v/>
      </c>
      <c r="J2038" t="str">
        <f t="shared" si="157"/>
        <v/>
      </c>
      <c r="K2038" t="str">
        <f t="shared" si="158"/>
        <v/>
      </c>
      <c r="L2038" t="str">
        <f t="shared" si="159"/>
        <v/>
      </c>
      <c r="M2038" t="str">
        <f>IF(COUNTIF($A$2:A2038,A2038)=1,
     VLOOKUP(A2038,Season_Winners!A:B,2,FALSE),
     "")</f>
        <v/>
      </c>
      <c r="N2038" s="2"/>
    </row>
    <row r="2039" spans="1:14" x14ac:dyDescent="0.3">
      <c r="A2039" t="s">
        <v>745</v>
      </c>
      <c r="B2039">
        <v>14</v>
      </c>
      <c r="C2039" t="s">
        <v>797</v>
      </c>
      <c r="D2039" t="str">
        <f t="shared" si="155"/>
        <v>02.12.2018</v>
      </c>
      <c r="E2039" s="1">
        <v>0.77083333333333337</v>
      </c>
      <c r="F2039" t="s">
        <v>20</v>
      </c>
      <c r="G2039" t="s">
        <v>34</v>
      </c>
      <c r="H2039" t="s">
        <v>12</v>
      </c>
      <c r="I2039" t="str">
        <f t="shared" si="156"/>
        <v>2-0</v>
      </c>
      <c r="J2039" t="str">
        <f t="shared" si="157"/>
        <v>2</v>
      </c>
      <c r="K2039" t="str">
        <f t="shared" si="158"/>
        <v>0</v>
      </c>
      <c r="L2039" t="str">
        <f t="shared" si="159"/>
        <v>FC Barcelona</v>
      </c>
      <c r="M2039" t="str">
        <f>IF(COUNTIF($A$2:A2039,A2039)=1,
     VLOOKUP(A2039,Season_Winners!A:B,2,FALSE),
     "")</f>
        <v/>
      </c>
    </row>
    <row r="2040" spans="1:14" hidden="1" x14ac:dyDescent="0.3">
      <c r="A2040" t="s">
        <v>745</v>
      </c>
      <c r="B2040">
        <v>14</v>
      </c>
      <c r="C2040" t="s">
        <v>797</v>
      </c>
      <c r="D2040" t="str">
        <f t="shared" si="155"/>
        <v>02.12.2018</v>
      </c>
      <c r="E2040" s="1">
        <v>0.86458333333333337</v>
      </c>
      <c r="F2040" t="s">
        <v>464</v>
      </c>
      <c r="G2040" t="s">
        <v>27</v>
      </c>
      <c r="H2040" s="2">
        <v>46023</v>
      </c>
      <c r="I2040" s="3" t="str">
        <f t="shared" si="156"/>
        <v/>
      </c>
      <c r="J2040" t="str">
        <f t="shared" si="157"/>
        <v/>
      </c>
      <c r="K2040" t="str">
        <f t="shared" si="158"/>
        <v/>
      </c>
      <c r="L2040" t="str">
        <f t="shared" si="159"/>
        <v/>
      </c>
      <c r="M2040" t="str">
        <f>IF(COUNTIF($A$2:A2040,A2040)=1,
     VLOOKUP(A2040,Season_Winners!A:B,2,FALSE),
     "")</f>
        <v/>
      </c>
      <c r="N2040" s="2"/>
    </row>
    <row r="2041" spans="1:14" x14ac:dyDescent="0.3">
      <c r="A2041" t="s">
        <v>745</v>
      </c>
      <c r="B2041">
        <v>14</v>
      </c>
      <c r="C2041" t="s">
        <v>798</v>
      </c>
      <c r="D2041" t="str">
        <f t="shared" si="155"/>
        <v>03.12.2018</v>
      </c>
      <c r="E2041" s="1">
        <v>0.875</v>
      </c>
      <c r="F2041" t="s">
        <v>21</v>
      </c>
      <c r="G2041" t="s">
        <v>15</v>
      </c>
      <c r="H2041" t="s">
        <v>32</v>
      </c>
      <c r="I2041" t="str">
        <f t="shared" si="156"/>
        <v>3-0</v>
      </c>
      <c r="J2041" t="str">
        <f t="shared" si="157"/>
        <v>3</v>
      </c>
      <c r="K2041" t="str">
        <f t="shared" si="158"/>
        <v>0</v>
      </c>
      <c r="L2041" t="str">
        <f t="shared" si="159"/>
        <v>Levante UD</v>
      </c>
      <c r="M2041" t="str">
        <f>IF(COUNTIF($A$2:A2041,A2041)=1,
     VLOOKUP(A2041,Season_Winners!A:B,2,FALSE),
     "")</f>
        <v/>
      </c>
    </row>
    <row r="2042" spans="1:14" hidden="1" x14ac:dyDescent="0.3">
      <c r="A2042" t="s">
        <v>745</v>
      </c>
      <c r="B2042">
        <v>15</v>
      </c>
      <c r="C2042" t="s">
        <v>799</v>
      </c>
      <c r="D2042" t="str">
        <f t="shared" si="155"/>
        <v>07.12.2018</v>
      </c>
      <c r="E2042" s="1">
        <v>0.875</v>
      </c>
      <c r="F2042" t="s">
        <v>466</v>
      </c>
      <c r="G2042" t="s">
        <v>11</v>
      </c>
      <c r="H2042" s="2">
        <v>46023</v>
      </c>
      <c r="I2042" s="3" t="str">
        <f t="shared" si="156"/>
        <v/>
      </c>
      <c r="J2042" t="str">
        <f t="shared" si="157"/>
        <v/>
      </c>
      <c r="K2042" t="str">
        <f t="shared" si="158"/>
        <v/>
      </c>
      <c r="L2042" t="str">
        <f t="shared" si="159"/>
        <v/>
      </c>
      <c r="M2042" t="str">
        <f>IF(COUNTIF($A$2:A2042,A2042)=1,
     VLOOKUP(A2042,Season_Winners!A:B,2,FALSE),
     "")</f>
        <v/>
      </c>
    </row>
    <row r="2043" spans="1:14" x14ac:dyDescent="0.3">
      <c r="A2043" t="s">
        <v>745</v>
      </c>
      <c r="B2043">
        <v>15</v>
      </c>
      <c r="C2043" t="s">
        <v>800</v>
      </c>
      <c r="D2043" t="str">
        <f t="shared" si="155"/>
        <v>08.12.2018</v>
      </c>
      <c r="E2043" s="1">
        <v>0.54166666666666663</v>
      </c>
      <c r="F2043" t="s">
        <v>1425</v>
      </c>
      <c r="G2043" t="s">
        <v>464</v>
      </c>
      <c r="H2043" t="s">
        <v>32</v>
      </c>
      <c r="I2043" t="str">
        <f t="shared" si="156"/>
        <v>3-0</v>
      </c>
      <c r="J2043" t="str">
        <f t="shared" si="157"/>
        <v>3</v>
      </c>
      <c r="K2043" t="str">
        <f t="shared" si="158"/>
        <v>0</v>
      </c>
      <c r="L2043" t="str">
        <f t="shared" si="159"/>
        <v>Atlético de Madrid</v>
      </c>
      <c r="M2043" t="str">
        <f>IF(COUNTIF($A$2:A2043,A2043)=1,
     VLOOKUP(A2043,Season_Winners!A:B,2,FALSE),
     "")</f>
        <v/>
      </c>
    </row>
    <row r="2044" spans="1:14" hidden="1" x14ac:dyDescent="0.3">
      <c r="A2044" t="s">
        <v>745</v>
      </c>
      <c r="B2044">
        <v>15</v>
      </c>
      <c r="C2044" t="s">
        <v>800</v>
      </c>
      <c r="D2044" t="str">
        <f t="shared" si="155"/>
        <v>08.12.2018</v>
      </c>
      <c r="E2044" s="1">
        <v>0.67708333333333337</v>
      </c>
      <c r="F2044" t="s">
        <v>16</v>
      </c>
      <c r="G2044" t="s">
        <v>27</v>
      </c>
      <c r="H2044" s="2">
        <v>46023</v>
      </c>
      <c r="I2044" s="3" t="str">
        <f t="shared" si="156"/>
        <v/>
      </c>
      <c r="J2044" t="str">
        <f t="shared" si="157"/>
        <v/>
      </c>
      <c r="K2044" t="str">
        <f t="shared" si="158"/>
        <v/>
      </c>
      <c r="L2044" t="str">
        <f t="shared" si="159"/>
        <v/>
      </c>
      <c r="M2044" t="str">
        <f>IF(COUNTIF($A$2:A2044,A2044)=1,
     VLOOKUP(A2044,Season_Winners!A:B,2,FALSE),
     "")</f>
        <v/>
      </c>
    </row>
    <row r="2045" spans="1:14" hidden="1" x14ac:dyDescent="0.3">
      <c r="A2045" t="s">
        <v>745</v>
      </c>
      <c r="B2045">
        <v>15</v>
      </c>
      <c r="C2045" t="s">
        <v>800</v>
      </c>
      <c r="D2045" t="str">
        <f t="shared" si="155"/>
        <v>08.12.2018</v>
      </c>
      <c r="E2045" s="1">
        <v>0.77083333333333337</v>
      </c>
      <c r="F2045" t="s">
        <v>34</v>
      </c>
      <c r="G2045" t="s">
        <v>35</v>
      </c>
      <c r="H2045" s="2">
        <v>46083</v>
      </c>
      <c r="I2045" s="3" t="str">
        <f t="shared" si="156"/>
        <v/>
      </c>
      <c r="J2045" t="str">
        <f t="shared" si="157"/>
        <v/>
      </c>
      <c r="K2045" t="str">
        <f t="shared" si="158"/>
        <v/>
      </c>
      <c r="L2045" t="str">
        <f t="shared" si="159"/>
        <v/>
      </c>
      <c r="M2045" t="str">
        <f>IF(COUNTIF($A$2:A2045,A2045)=1,
     VLOOKUP(A2045,Season_Winners!A:B,2,FALSE),
     "")</f>
        <v/>
      </c>
    </row>
    <row r="2046" spans="1:14" x14ac:dyDescent="0.3">
      <c r="A2046" t="s">
        <v>745</v>
      </c>
      <c r="B2046">
        <v>15</v>
      </c>
      <c r="C2046" t="s">
        <v>800</v>
      </c>
      <c r="D2046" t="str">
        <f t="shared" si="155"/>
        <v>08.12.2018</v>
      </c>
      <c r="E2046" s="1">
        <v>0.86458333333333337</v>
      </c>
      <c r="F2046" t="s">
        <v>36</v>
      </c>
      <c r="G2046" t="s">
        <v>20</v>
      </c>
      <c r="H2046" t="s">
        <v>53</v>
      </c>
      <c r="I2046" t="str">
        <f t="shared" si="156"/>
        <v>0-4</v>
      </c>
      <c r="J2046" t="str">
        <f t="shared" si="157"/>
        <v>0</v>
      </c>
      <c r="K2046" t="str">
        <f t="shared" si="158"/>
        <v>4</v>
      </c>
      <c r="L2046" t="str">
        <f t="shared" si="159"/>
        <v>FC Barcelona</v>
      </c>
      <c r="M2046" t="str">
        <f>IF(COUNTIF($A$2:A2046,A2046)=1,
     VLOOKUP(A2046,Season_Winners!A:B,2,FALSE),
     "")</f>
        <v/>
      </c>
    </row>
    <row r="2047" spans="1:14" hidden="1" x14ac:dyDescent="0.3">
      <c r="A2047" t="s">
        <v>745</v>
      </c>
      <c r="B2047">
        <v>15</v>
      </c>
      <c r="C2047" t="s">
        <v>801</v>
      </c>
      <c r="D2047" t="str">
        <f t="shared" si="155"/>
        <v>09.12.2018</v>
      </c>
      <c r="E2047" s="1">
        <v>0.5</v>
      </c>
      <c r="F2047" t="s">
        <v>187</v>
      </c>
      <c r="G2047" t="s">
        <v>21</v>
      </c>
      <c r="H2047" s="2">
        <v>46116</v>
      </c>
      <c r="I2047" s="3" t="str">
        <f t="shared" si="156"/>
        <v/>
      </c>
      <c r="J2047" t="str">
        <f t="shared" si="157"/>
        <v/>
      </c>
      <c r="K2047" t="str">
        <f t="shared" si="158"/>
        <v/>
      </c>
      <c r="L2047" t="str">
        <f t="shared" si="159"/>
        <v/>
      </c>
      <c r="M2047" t="str">
        <f>IF(COUNTIF($A$2:A2047,A2047)=1,
     VLOOKUP(A2047,Season_Winners!A:B,2,FALSE),
     "")</f>
        <v/>
      </c>
    </row>
    <row r="2048" spans="1:14" x14ac:dyDescent="0.3">
      <c r="A2048" t="s">
        <v>745</v>
      </c>
      <c r="B2048">
        <v>15</v>
      </c>
      <c r="C2048" t="s">
        <v>801</v>
      </c>
      <c r="D2048" t="str">
        <f t="shared" si="155"/>
        <v>09.12.2018</v>
      </c>
      <c r="E2048" s="1">
        <v>0.67708333333333337</v>
      </c>
      <c r="F2048" t="s">
        <v>750</v>
      </c>
      <c r="G2048" t="s">
        <v>25</v>
      </c>
      <c r="H2048" t="s">
        <v>42</v>
      </c>
      <c r="I2048" t="str">
        <f t="shared" si="156"/>
        <v>0-1</v>
      </c>
      <c r="J2048" t="str">
        <f t="shared" si="157"/>
        <v>0</v>
      </c>
      <c r="K2048" t="str">
        <f t="shared" si="158"/>
        <v>1</v>
      </c>
      <c r="L2048" t="str">
        <f t="shared" si="159"/>
        <v>Real Madrid</v>
      </c>
      <c r="M2048" t="str">
        <f>IF(COUNTIF($A$2:A2048,A2048)=1,
     VLOOKUP(A2048,Season_Winners!A:B,2,FALSE),
     "")</f>
        <v/>
      </c>
    </row>
    <row r="2049" spans="1:13" hidden="1" x14ac:dyDescent="0.3">
      <c r="A2049" t="s">
        <v>745</v>
      </c>
      <c r="B2049">
        <v>15</v>
      </c>
      <c r="C2049" t="s">
        <v>801</v>
      </c>
      <c r="D2049" t="str">
        <f t="shared" si="155"/>
        <v>09.12.2018</v>
      </c>
      <c r="E2049" s="1">
        <v>0.77083333333333337</v>
      </c>
      <c r="F2049" t="s">
        <v>10</v>
      </c>
      <c r="G2049" t="s">
        <v>14</v>
      </c>
      <c r="H2049" s="2">
        <v>46054</v>
      </c>
      <c r="I2049" s="3" t="str">
        <f t="shared" si="156"/>
        <v/>
      </c>
      <c r="J2049" t="str">
        <f t="shared" si="157"/>
        <v/>
      </c>
      <c r="K2049" t="str">
        <f t="shared" si="158"/>
        <v/>
      </c>
      <c r="L2049" t="str">
        <f t="shared" si="159"/>
        <v/>
      </c>
      <c r="M2049" t="str">
        <f>IF(COUNTIF($A$2:A2049,A2049)=1,
     VLOOKUP(A2049,Season_Winners!A:B,2,FALSE),
     "")</f>
        <v/>
      </c>
    </row>
    <row r="2050" spans="1:13" x14ac:dyDescent="0.3">
      <c r="A2050" t="s">
        <v>745</v>
      </c>
      <c r="B2050">
        <v>15</v>
      </c>
      <c r="C2050" t="s">
        <v>801</v>
      </c>
      <c r="D2050" t="str">
        <f t="shared" ref="D2050:D2113" si="160">RIGHT(C2050,10)</f>
        <v>09.12.2018</v>
      </c>
      <c r="E2050" s="1">
        <v>0.86458333333333337</v>
      </c>
      <c r="F2050" t="s">
        <v>26</v>
      </c>
      <c r="G2050" t="s">
        <v>30</v>
      </c>
      <c r="H2050" t="s">
        <v>12</v>
      </c>
      <c r="I2050" t="str">
        <f t="shared" ref="I2050:I2113" si="161">IF(ISNUMBER(SEARCH("-",H2050)),H2050,"")</f>
        <v>2-0</v>
      </c>
      <c r="J2050" t="str">
        <f t="shared" ref="J2050:J2113" si="162">IF(I2050="","",LEFT(I2050,FIND("-",I2050)-1))</f>
        <v>2</v>
      </c>
      <c r="K2050" t="str">
        <f t="shared" ref="K2050:K2113" si="163">IF(I2050="","",RIGHT(I2050,LEN(I2050)-FIND("-",I2050)))</f>
        <v>0</v>
      </c>
      <c r="L2050" t="str">
        <f t="shared" ref="L2050:L2113" si="164">IF(I2050="","",IF(J2050&gt;K2050,F2050,IF(K2050&gt;J2050,G2050,"Draw")))</f>
        <v>Real Betis</v>
      </c>
      <c r="M2050" t="str">
        <f>IF(COUNTIF($A$2:A2050,A2050)=1,
     VLOOKUP(A2050,Season_Winners!A:B,2,FALSE),
     "")</f>
        <v/>
      </c>
    </row>
    <row r="2051" spans="1:13" x14ac:dyDescent="0.3">
      <c r="A2051" t="s">
        <v>745</v>
      </c>
      <c r="B2051">
        <v>15</v>
      </c>
      <c r="C2051" t="s">
        <v>802</v>
      </c>
      <c r="D2051" t="str">
        <f t="shared" si="160"/>
        <v>10.12.2018</v>
      </c>
      <c r="E2051" s="1">
        <v>0.875</v>
      </c>
      <c r="F2051" t="s">
        <v>15</v>
      </c>
      <c r="G2051" t="s">
        <v>606</v>
      </c>
      <c r="H2051" t="s">
        <v>18</v>
      </c>
      <c r="I2051" t="str">
        <f t="shared" si="161"/>
        <v>1-0</v>
      </c>
      <c r="J2051" t="str">
        <f t="shared" si="162"/>
        <v>1</v>
      </c>
      <c r="K2051" t="str">
        <f t="shared" si="163"/>
        <v>0</v>
      </c>
      <c r="L2051" t="str">
        <f t="shared" si="164"/>
        <v>Athletic Club</v>
      </c>
      <c r="M2051" t="str">
        <f>IF(COUNTIF($A$2:A2051,A2051)=1,
     VLOOKUP(A2051,Season_Winners!A:B,2,FALSE),
     "")</f>
        <v/>
      </c>
    </row>
    <row r="2052" spans="1:13" x14ac:dyDescent="0.3">
      <c r="A2052" t="s">
        <v>745</v>
      </c>
      <c r="B2052">
        <v>16</v>
      </c>
      <c r="C2052" t="s">
        <v>803</v>
      </c>
      <c r="D2052" t="str">
        <f t="shared" si="160"/>
        <v>14.12.2018</v>
      </c>
      <c r="E2052" s="1">
        <v>0.875</v>
      </c>
      <c r="F2052" t="s">
        <v>35</v>
      </c>
      <c r="G2052" t="s">
        <v>466</v>
      </c>
      <c r="H2052" t="s">
        <v>41</v>
      </c>
      <c r="I2052" t="str">
        <f t="shared" si="161"/>
        <v>0-0</v>
      </c>
      <c r="J2052" t="str">
        <f t="shared" si="162"/>
        <v>0</v>
      </c>
      <c r="K2052" t="str">
        <f t="shared" si="163"/>
        <v>0</v>
      </c>
      <c r="L2052" t="str">
        <f t="shared" si="164"/>
        <v>Draw</v>
      </c>
      <c r="M2052" t="str">
        <f>IF(COUNTIF($A$2:A2052,A2052)=1,
     VLOOKUP(A2052,Season_Winners!A:B,2,FALSE),
     "")</f>
        <v/>
      </c>
    </row>
    <row r="2053" spans="1:13" x14ac:dyDescent="0.3">
      <c r="A2053" t="s">
        <v>745</v>
      </c>
      <c r="B2053">
        <v>16</v>
      </c>
      <c r="C2053" t="s">
        <v>804</v>
      </c>
      <c r="D2053" t="str">
        <f t="shared" si="160"/>
        <v>15.12.2018</v>
      </c>
      <c r="E2053" s="1">
        <v>0.54166666666666663</v>
      </c>
      <c r="F2053" t="s">
        <v>11</v>
      </c>
      <c r="G2053" t="s">
        <v>10</v>
      </c>
      <c r="H2053" t="s">
        <v>18</v>
      </c>
      <c r="I2053" t="str">
        <f t="shared" si="161"/>
        <v>1-0</v>
      </c>
      <c r="J2053" t="str">
        <f t="shared" si="162"/>
        <v>1</v>
      </c>
      <c r="K2053" t="str">
        <f t="shared" si="163"/>
        <v>0</v>
      </c>
      <c r="L2053" t="str">
        <f t="shared" si="164"/>
        <v>Getafe CF</v>
      </c>
      <c r="M2053" t="str">
        <f>IF(COUNTIF($A$2:A2053,A2053)=1,
     VLOOKUP(A2053,Season_Winners!A:B,2,FALSE),
     "")</f>
        <v/>
      </c>
    </row>
    <row r="2054" spans="1:13" hidden="1" x14ac:dyDescent="0.3">
      <c r="A2054" t="s">
        <v>745</v>
      </c>
      <c r="B2054">
        <v>16</v>
      </c>
      <c r="C2054" t="s">
        <v>804</v>
      </c>
      <c r="D2054" t="str">
        <f t="shared" si="160"/>
        <v>15.12.2018</v>
      </c>
      <c r="E2054" s="1">
        <v>0.67708333333333337</v>
      </c>
      <c r="F2054" t="s">
        <v>14</v>
      </c>
      <c r="G2054" t="s">
        <v>28</v>
      </c>
      <c r="H2054" s="2">
        <v>46083</v>
      </c>
      <c r="I2054" s="3" t="str">
        <f t="shared" si="161"/>
        <v/>
      </c>
      <c r="J2054" t="str">
        <f t="shared" si="162"/>
        <v/>
      </c>
      <c r="K2054" t="str">
        <f t="shared" si="163"/>
        <v/>
      </c>
      <c r="L2054" t="str">
        <f t="shared" si="164"/>
        <v/>
      </c>
      <c r="M2054" t="str">
        <f>IF(COUNTIF($A$2:A2054,A2054)=1,
     VLOOKUP(A2054,Season_Winners!A:B,2,FALSE),
     "")</f>
        <v/>
      </c>
    </row>
    <row r="2055" spans="1:13" x14ac:dyDescent="0.3">
      <c r="A2055" t="s">
        <v>745</v>
      </c>
      <c r="B2055">
        <v>16</v>
      </c>
      <c r="C2055" t="s">
        <v>804</v>
      </c>
      <c r="D2055" t="str">
        <f t="shared" si="160"/>
        <v>15.12.2018</v>
      </c>
      <c r="E2055" s="1">
        <v>0.77083333333333337</v>
      </c>
      <c r="F2055" t="s">
        <v>25</v>
      </c>
      <c r="G2055" t="s">
        <v>30</v>
      </c>
      <c r="H2055" t="s">
        <v>18</v>
      </c>
      <c r="I2055" t="str">
        <f t="shared" si="161"/>
        <v>1-0</v>
      </c>
      <c r="J2055" t="str">
        <f t="shared" si="162"/>
        <v>1</v>
      </c>
      <c r="K2055" t="str">
        <f t="shared" si="163"/>
        <v>0</v>
      </c>
      <c r="L2055" t="str">
        <f t="shared" si="164"/>
        <v>Real Madrid</v>
      </c>
      <c r="M2055" t="str">
        <f>IF(COUNTIF($A$2:A2055,A2055)=1,
     VLOOKUP(A2055,Season_Winners!A:B,2,FALSE),
     "")</f>
        <v/>
      </c>
    </row>
    <row r="2056" spans="1:13" hidden="1" x14ac:dyDescent="0.3">
      <c r="A2056" t="s">
        <v>745</v>
      </c>
      <c r="B2056">
        <v>16</v>
      </c>
      <c r="C2056" t="s">
        <v>804</v>
      </c>
      <c r="D2056" t="str">
        <f t="shared" si="160"/>
        <v>15.12.2018</v>
      </c>
      <c r="E2056" s="1">
        <v>0.86458333333333337</v>
      </c>
      <c r="F2056" t="s">
        <v>187</v>
      </c>
      <c r="G2056" t="s">
        <v>16</v>
      </c>
      <c r="H2056" s="2">
        <v>46023</v>
      </c>
      <c r="I2056" s="3" t="str">
        <f t="shared" si="161"/>
        <v/>
      </c>
      <c r="J2056" t="str">
        <f t="shared" si="162"/>
        <v/>
      </c>
      <c r="K2056" t="str">
        <f t="shared" si="163"/>
        <v/>
      </c>
      <c r="L2056" t="str">
        <f t="shared" si="164"/>
        <v/>
      </c>
      <c r="M2056" t="str">
        <f>IF(COUNTIF($A$2:A2056,A2056)=1,
     VLOOKUP(A2056,Season_Winners!A:B,2,FALSE),
     "")</f>
        <v/>
      </c>
    </row>
    <row r="2057" spans="1:13" x14ac:dyDescent="0.3">
      <c r="A2057" t="s">
        <v>745</v>
      </c>
      <c r="B2057">
        <v>16</v>
      </c>
      <c r="C2057" t="s">
        <v>805</v>
      </c>
      <c r="D2057" t="str">
        <f t="shared" si="160"/>
        <v>16.12.2018</v>
      </c>
      <c r="E2057" s="1">
        <v>0.5</v>
      </c>
      <c r="F2057" t="s">
        <v>27</v>
      </c>
      <c r="G2057" t="s">
        <v>606</v>
      </c>
      <c r="H2057" t="s">
        <v>12</v>
      </c>
      <c r="I2057" t="str">
        <f t="shared" si="161"/>
        <v>2-0</v>
      </c>
      <c r="J2057" t="str">
        <f t="shared" si="162"/>
        <v>2</v>
      </c>
      <c r="K2057" t="str">
        <f t="shared" si="163"/>
        <v>0</v>
      </c>
      <c r="L2057" t="str">
        <f t="shared" si="164"/>
        <v>Sevilla FC</v>
      </c>
      <c r="M2057" t="str">
        <f>IF(COUNTIF($A$2:A2057,A2057)=1,
     VLOOKUP(A2057,Season_Winners!A:B,2,FALSE),
     "")</f>
        <v/>
      </c>
    </row>
    <row r="2058" spans="1:13" hidden="1" x14ac:dyDescent="0.3">
      <c r="A2058" t="s">
        <v>745</v>
      </c>
      <c r="B2058">
        <v>16</v>
      </c>
      <c r="C2058" t="s">
        <v>805</v>
      </c>
      <c r="D2058" t="str">
        <f t="shared" si="160"/>
        <v>16.12.2018</v>
      </c>
      <c r="E2058" s="1">
        <v>0.67708333333333337</v>
      </c>
      <c r="F2058" t="s">
        <v>36</v>
      </c>
      <c r="G2058" t="s">
        <v>26</v>
      </c>
      <c r="H2058" s="2">
        <v>46082</v>
      </c>
      <c r="I2058" s="3" t="str">
        <f t="shared" si="161"/>
        <v/>
      </c>
      <c r="J2058" t="str">
        <f t="shared" si="162"/>
        <v/>
      </c>
      <c r="K2058" t="str">
        <f t="shared" si="163"/>
        <v/>
      </c>
      <c r="L2058" t="str">
        <f t="shared" si="164"/>
        <v/>
      </c>
      <c r="M2058" t="str">
        <f>IF(COUNTIF($A$2:A2058,A2058)=1,
     VLOOKUP(A2058,Season_Winners!A:B,2,FALSE),
     "")</f>
        <v/>
      </c>
    </row>
    <row r="2059" spans="1:13" hidden="1" x14ac:dyDescent="0.3">
      <c r="A2059" t="s">
        <v>745</v>
      </c>
      <c r="B2059">
        <v>16</v>
      </c>
      <c r="C2059" t="s">
        <v>805</v>
      </c>
      <c r="D2059" t="str">
        <f t="shared" si="160"/>
        <v>16.12.2018</v>
      </c>
      <c r="E2059" s="1">
        <v>0.77083333333333337</v>
      </c>
      <c r="F2059" t="s">
        <v>750</v>
      </c>
      <c r="G2059" t="s">
        <v>34</v>
      </c>
      <c r="H2059" s="2">
        <v>46055</v>
      </c>
      <c r="I2059" s="3" t="str">
        <f t="shared" si="161"/>
        <v/>
      </c>
      <c r="J2059" t="str">
        <f t="shared" si="162"/>
        <v/>
      </c>
      <c r="K2059" t="str">
        <f t="shared" si="163"/>
        <v/>
      </c>
      <c r="L2059" t="str">
        <f t="shared" si="164"/>
        <v/>
      </c>
      <c r="M2059" t="str">
        <f>IF(COUNTIF($A$2:A2059,A2059)=1,
     VLOOKUP(A2059,Season_Winners!A:B,2,FALSE),
     "")</f>
        <v/>
      </c>
    </row>
    <row r="2060" spans="1:13" x14ac:dyDescent="0.3">
      <c r="A2060" t="s">
        <v>745</v>
      </c>
      <c r="B2060">
        <v>16</v>
      </c>
      <c r="C2060" t="s">
        <v>805</v>
      </c>
      <c r="D2060" t="str">
        <f t="shared" si="160"/>
        <v>16.12.2018</v>
      </c>
      <c r="E2060" s="1">
        <v>0.86458333333333337</v>
      </c>
      <c r="F2060" t="s">
        <v>21</v>
      </c>
      <c r="G2060" t="s">
        <v>20</v>
      </c>
      <c r="H2060" t="s">
        <v>72</v>
      </c>
      <c r="I2060" t="str">
        <f t="shared" si="161"/>
        <v>0-5</v>
      </c>
      <c r="J2060" t="str">
        <f t="shared" si="162"/>
        <v>0</v>
      </c>
      <c r="K2060" t="str">
        <f t="shared" si="163"/>
        <v>5</v>
      </c>
      <c r="L2060" t="str">
        <f t="shared" si="164"/>
        <v>FC Barcelona</v>
      </c>
      <c r="M2060" t="str">
        <f>IF(COUNTIF($A$2:A2060,A2060)=1,
     VLOOKUP(A2060,Season_Winners!A:B,2,FALSE),
     "")</f>
        <v/>
      </c>
    </row>
    <row r="2061" spans="1:13" x14ac:dyDescent="0.3">
      <c r="A2061" t="s">
        <v>745</v>
      </c>
      <c r="B2061">
        <v>16</v>
      </c>
      <c r="C2061" t="s">
        <v>806</v>
      </c>
      <c r="D2061" t="str">
        <f t="shared" si="160"/>
        <v>17.12.2018</v>
      </c>
      <c r="E2061" s="1">
        <v>0.875</v>
      </c>
      <c r="F2061" t="s">
        <v>464</v>
      </c>
      <c r="G2061" t="s">
        <v>15</v>
      </c>
      <c r="H2061" t="s">
        <v>41</v>
      </c>
      <c r="I2061" t="str">
        <f t="shared" si="161"/>
        <v>0-0</v>
      </c>
      <c r="J2061" t="str">
        <f t="shared" si="162"/>
        <v>0</v>
      </c>
      <c r="K2061" t="str">
        <f t="shared" si="163"/>
        <v>0</v>
      </c>
      <c r="L2061" t="str">
        <f t="shared" si="164"/>
        <v>Draw</v>
      </c>
      <c r="M2061" t="str">
        <f>IF(COUNTIF($A$2:A2061,A2061)=1,
     VLOOKUP(A2061,Season_Winners!A:B,2,FALSE),
     "")</f>
        <v/>
      </c>
    </row>
    <row r="2062" spans="1:13" hidden="1" x14ac:dyDescent="0.3">
      <c r="A2062" t="s">
        <v>745</v>
      </c>
      <c r="B2062">
        <v>17</v>
      </c>
      <c r="C2062" t="s">
        <v>807</v>
      </c>
      <c r="D2062" t="str">
        <f t="shared" si="160"/>
        <v>21.12.2018</v>
      </c>
      <c r="E2062" s="1">
        <v>0.8125</v>
      </c>
      <c r="F2062" t="s">
        <v>606</v>
      </c>
      <c r="G2062" t="s">
        <v>11</v>
      </c>
      <c r="H2062" s="2">
        <v>46023</v>
      </c>
      <c r="I2062" s="3" t="str">
        <f t="shared" si="161"/>
        <v/>
      </c>
      <c r="J2062" t="str">
        <f t="shared" si="162"/>
        <v/>
      </c>
      <c r="K2062" t="str">
        <f t="shared" si="163"/>
        <v/>
      </c>
      <c r="L2062" t="str">
        <f t="shared" si="164"/>
        <v/>
      </c>
      <c r="M2062" t="str">
        <f>IF(COUNTIF($A$2:A2062,A2062)=1,
     VLOOKUP(A2062,Season_Winners!A:B,2,FALSE),
     "")</f>
        <v/>
      </c>
    </row>
    <row r="2063" spans="1:13" x14ac:dyDescent="0.3">
      <c r="A2063" t="s">
        <v>745</v>
      </c>
      <c r="B2063">
        <v>17</v>
      </c>
      <c r="C2063" t="s">
        <v>807</v>
      </c>
      <c r="D2063" t="str">
        <f t="shared" si="160"/>
        <v>21.12.2018</v>
      </c>
      <c r="E2063" s="1">
        <v>0.875</v>
      </c>
      <c r="F2063" t="s">
        <v>10</v>
      </c>
      <c r="G2063" t="s">
        <v>464</v>
      </c>
      <c r="H2063" t="s">
        <v>42</v>
      </c>
      <c r="I2063" t="str">
        <f t="shared" si="161"/>
        <v>0-1</v>
      </c>
      <c r="J2063" t="str">
        <f t="shared" si="162"/>
        <v>0</v>
      </c>
      <c r="K2063" t="str">
        <f t="shared" si="163"/>
        <v>1</v>
      </c>
      <c r="L2063" t="str">
        <f t="shared" si="164"/>
        <v>Deportivo AlavÃ©s</v>
      </c>
      <c r="M2063" t="str">
        <f>IF(COUNTIF($A$2:A2063,A2063)=1,
     VLOOKUP(A2063,Season_Winners!A:B,2,FALSE),
     "")</f>
        <v/>
      </c>
    </row>
    <row r="2064" spans="1:13" hidden="1" x14ac:dyDescent="0.3">
      <c r="A2064" t="s">
        <v>745</v>
      </c>
      <c r="B2064">
        <v>17</v>
      </c>
      <c r="C2064" t="s">
        <v>808</v>
      </c>
      <c r="D2064" t="str">
        <f t="shared" si="160"/>
        <v>22.12.2018</v>
      </c>
      <c r="E2064" s="1">
        <v>0.54166666666666663</v>
      </c>
      <c r="F2064" t="s">
        <v>26</v>
      </c>
      <c r="G2064" t="s">
        <v>187</v>
      </c>
      <c r="H2064" s="2">
        <v>46023</v>
      </c>
      <c r="I2064" s="3" t="str">
        <f t="shared" si="161"/>
        <v/>
      </c>
      <c r="J2064" t="str">
        <f t="shared" si="162"/>
        <v/>
      </c>
      <c r="K2064" t="str">
        <f t="shared" si="163"/>
        <v/>
      </c>
      <c r="L2064" t="str">
        <f t="shared" si="164"/>
        <v/>
      </c>
      <c r="M2064" t="str">
        <f>IF(COUNTIF($A$2:A2064,A2064)=1,
     VLOOKUP(A2064,Season_Winners!A:B,2,FALSE),
     "")</f>
        <v/>
      </c>
    </row>
    <row r="2065" spans="1:13" x14ac:dyDescent="0.3">
      <c r="A2065" t="s">
        <v>745</v>
      </c>
      <c r="B2065">
        <v>17</v>
      </c>
      <c r="C2065" t="s">
        <v>808</v>
      </c>
      <c r="D2065" t="str">
        <f t="shared" si="160"/>
        <v>22.12.2018</v>
      </c>
      <c r="E2065" s="1">
        <v>0.67708333333333337</v>
      </c>
      <c r="F2065" t="s">
        <v>1425</v>
      </c>
      <c r="G2065" t="s">
        <v>36</v>
      </c>
      <c r="H2065" t="s">
        <v>18</v>
      </c>
      <c r="I2065" t="str">
        <f t="shared" si="161"/>
        <v>1-0</v>
      </c>
      <c r="J2065" t="str">
        <f t="shared" si="162"/>
        <v>1</v>
      </c>
      <c r="K2065" t="str">
        <f t="shared" si="163"/>
        <v>0</v>
      </c>
      <c r="L2065" t="str">
        <f t="shared" si="164"/>
        <v>Atlético de Madrid</v>
      </c>
      <c r="M2065" t="str">
        <f>IF(COUNTIF($A$2:A2065,A2065)=1,
     VLOOKUP(A2065,Season_Winners!A:B,2,FALSE),
     "")</f>
        <v/>
      </c>
    </row>
    <row r="2066" spans="1:13" x14ac:dyDescent="0.3">
      <c r="A2066" t="s">
        <v>745</v>
      </c>
      <c r="B2066">
        <v>17</v>
      </c>
      <c r="C2066" t="s">
        <v>808</v>
      </c>
      <c r="D2066" t="str">
        <f t="shared" si="160"/>
        <v>22.12.2018</v>
      </c>
      <c r="E2066" s="1">
        <v>0.77083333333333337</v>
      </c>
      <c r="F2066" t="s">
        <v>20</v>
      </c>
      <c r="G2066" t="s">
        <v>35</v>
      </c>
      <c r="H2066" t="s">
        <v>12</v>
      </c>
      <c r="I2066" t="str">
        <f t="shared" si="161"/>
        <v>2-0</v>
      </c>
      <c r="J2066" t="str">
        <f t="shared" si="162"/>
        <v>2</v>
      </c>
      <c r="K2066" t="str">
        <f t="shared" si="163"/>
        <v>0</v>
      </c>
      <c r="L2066" t="str">
        <f t="shared" si="164"/>
        <v>FC Barcelona</v>
      </c>
      <c r="M2066" t="str">
        <f>IF(COUNTIF($A$2:A2066,A2066)=1,
     VLOOKUP(A2066,Season_Winners!A:B,2,FALSE),
     "")</f>
        <v/>
      </c>
    </row>
    <row r="2067" spans="1:13" hidden="1" x14ac:dyDescent="0.3">
      <c r="A2067" t="s">
        <v>745</v>
      </c>
      <c r="B2067">
        <v>17</v>
      </c>
      <c r="C2067" t="s">
        <v>808</v>
      </c>
      <c r="D2067" t="str">
        <f t="shared" si="160"/>
        <v>22.12.2018</v>
      </c>
      <c r="E2067" s="1">
        <v>0.86458333333333337</v>
      </c>
      <c r="F2067" t="s">
        <v>15</v>
      </c>
      <c r="G2067" t="s">
        <v>14</v>
      </c>
      <c r="H2067" s="2">
        <v>46023</v>
      </c>
      <c r="I2067" s="3" t="str">
        <f t="shared" si="161"/>
        <v/>
      </c>
      <c r="J2067" t="str">
        <f t="shared" si="162"/>
        <v/>
      </c>
      <c r="K2067" t="str">
        <f t="shared" si="163"/>
        <v/>
      </c>
      <c r="L2067" t="str">
        <f t="shared" si="164"/>
        <v/>
      </c>
      <c r="M2067" t="str">
        <f>IF(COUNTIF($A$2:A2067,A2067)=1,
     VLOOKUP(A2067,Season_Winners!A:B,2,FALSE),
     "")</f>
        <v/>
      </c>
    </row>
    <row r="2068" spans="1:13" hidden="1" x14ac:dyDescent="0.3">
      <c r="A2068" t="s">
        <v>745</v>
      </c>
      <c r="B2068">
        <v>17</v>
      </c>
      <c r="C2068" t="s">
        <v>809</v>
      </c>
      <c r="D2068" t="str">
        <f t="shared" si="160"/>
        <v>23.12.2018</v>
      </c>
      <c r="E2068" s="1">
        <v>0.5</v>
      </c>
      <c r="F2068" t="s">
        <v>16</v>
      </c>
      <c r="G2068" t="s">
        <v>750</v>
      </c>
      <c r="H2068" s="2">
        <v>46024</v>
      </c>
      <c r="I2068" s="3" t="str">
        <f t="shared" si="161"/>
        <v/>
      </c>
      <c r="J2068" t="str">
        <f t="shared" si="162"/>
        <v/>
      </c>
      <c r="K2068" t="str">
        <f t="shared" si="163"/>
        <v/>
      </c>
      <c r="L2068" t="str">
        <f t="shared" si="164"/>
        <v/>
      </c>
      <c r="M2068" t="str">
        <f>IF(COUNTIF($A$2:A2068,A2068)=1,
     VLOOKUP(A2068,Season_Winners!A:B,2,FALSE),
     "")</f>
        <v/>
      </c>
    </row>
    <row r="2069" spans="1:13" hidden="1" x14ac:dyDescent="0.3">
      <c r="A2069" t="s">
        <v>745</v>
      </c>
      <c r="B2069">
        <v>17</v>
      </c>
      <c r="C2069" t="s">
        <v>809</v>
      </c>
      <c r="D2069" t="str">
        <f t="shared" si="160"/>
        <v>23.12.2018</v>
      </c>
      <c r="E2069" s="1">
        <v>0.67708333333333337</v>
      </c>
      <c r="F2069" t="s">
        <v>466</v>
      </c>
      <c r="G2069" t="s">
        <v>27</v>
      </c>
      <c r="H2069" s="2">
        <v>46023</v>
      </c>
      <c r="I2069" s="3" t="str">
        <f t="shared" si="161"/>
        <v/>
      </c>
      <c r="J2069" t="str">
        <f t="shared" si="162"/>
        <v/>
      </c>
      <c r="K2069" t="str">
        <f t="shared" si="163"/>
        <v/>
      </c>
      <c r="L2069" t="str">
        <f t="shared" si="164"/>
        <v/>
      </c>
      <c r="M2069" t="str">
        <f>IF(COUNTIF($A$2:A2069,A2069)=1,
     VLOOKUP(A2069,Season_Winners!A:B,2,FALSE),
     "")</f>
        <v/>
      </c>
    </row>
    <row r="2070" spans="1:13" hidden="1" x14ac:dyDescent="0.3">
      <c r="A2070" t="s">
        <v>745</v>
      </c>
      <c r="B2070">
        <v>17</v>
      </c>
      <c r="C2070" t="s">
        <v>809</v>
      </c>
      <c r="D2070" t="str">
        <f t="shared" si="160"/>
        <v>23.12.2018</v>
      </c>
      <c r="E2070" s="1">
        <v>0.77083333333333337</v>
      </c>
      <c r="F2070" t="s">
        <v>30</v>
      </c>
      <c r="G2070" t="s">
        <v>21</v>
      </c>
      <c r="H2070" s="2">
        <v>46024</v>
      </c>
      <c r="I2070" s="3" t="str">
        <f t="shared" si="161"/>
        <v/>
      </c>
      <c r="J2070" t="str">
        <f t="shared" si="162"/>
        <v/>
      </c>
      <c r="K2070" t="str">
        <f t="shared" si="163"/>
        <v/>
      </c>
      <c r="L2070" t="str">
        <f t="shared" si="164"/>
        <v/>
      </c>
      <c r="M2070" t="str">
        <f>IF(COUNTIF($A$2:A2070,A2070)=1,
     VLOOKUP(A2070,Season_Winners!A:B,2,FALSE),
     "")</f>
        <v/>
      </c>
    </row>
    <row r="2071" spans="1:13" hidden="1" x14ac:dyDescent="0.3">
      <c r="A2071" t="s">
        <v>745</v>
      </c>
      <c r="B2071">
        <v>17</v>
      </c>
      <c r="C2071" t="s">
        <v>810</v>
      </c>
      <c r="D2071" t="str">
        <f t="shared" si="160"/>
        <v>03.01.2019</v>
      </c>
      <c r="E2071" s="1">
        <v>0.89583333333333337</v>
      </c>
      <c r="F2071" t="s">
        <v>34</v>
      </c>
      <c r="G2071" t="s">
        <v>25</v>
      </c>
      <c r="H2071" s="2">
        <v>46055</v>
      </c>
      <c r="I2071" s="3" t="str">
        <f t="shared" si="161"/>
        <v/>
      </c>
      <c r="J2071" t="str">
        <f t="shared" si="162"/>
        <v/>
      </c>
      <c r="K2071" t="str">
        <f t="shared" si="163"/>
        <v/>
      </c>
      <c r="L2071" t="str">
        <f t="shared" si="164"/>
        <v/>
      </c>
      <c r="M2071" t="str">
        <f>IF(COUNTIF($A$2:A2071,A2071)=1,
     VLOOKUP(A2071,Season_Winners!A:B,2,FALSE),
     "")</f>
        <v/>
      </c>
    </row>
    <row r="2072" spans="1:13" hidden="1" x14ac:dyDescent="0.3">
      <c r="A2072" t="s">
        <v>745</v>
      </c>
      <c r="B2072">
        <v>18</v>
      </c>
      <c r="C2072" t="s">
        <v>811</v>
      </c>
      <c r="D2072" t="str">
        <f t="shared" si="160"/>
        <v>04.01.2019</v>
      </c>
      <c r="E2072" s="1">
        <v>0.79166666666666663</v>
      </c>
      <c r="F2072" t="s">
        <v>21</v>
      </c>
      <c r="G2072" t="s">
        <v>606</v>
      </c>
      <c r="H2072" s="2">
        <v>46055</v>
      </c>
      <c r="I2072" s="3" t="str">
        <f t="shared" si="161"/>
        <v/>
      </c>
      <c r="J2072" t="str">
        <f t="shared" si="162"/>
        <v/>
      </c>
      <c r="K2072" t="str">
        <f t="shared" si="163"/>
        <v/>
      </c>
      <c r="L2072" t="str">
        <f t="shared" si="164"/>
        <v/>
      </c>
      <c r="M2072" t="str">
        <f>IF(COUNTIF($A$2:A2072,A2072)=1,
     VLOOKUP(A2072,Season_Winners!A:B,2,FALSE),
     "")</f>
        <v/>
      </c>
    </row>
    <row r="2073" spans="1:13" x14ac:dyDescent="0.3">
      <c r="A2073" t="s">
        <v>745</v>
      </c>
      <c r="B2073">
        <v>18</v>
      </c>
      <c r="C2073" t="s">
        <v>811</v>
      </c>
      <c r="D2073" t="str">
        <f t="shared" si="160"/>
        <v>04.01.2019</v>
      </c>
      <c r="E2073" s="1">
        <v>0.875</v>
      </c>
      <c r="F2073" t="s">
        <v>36</v>
      </c>
      <c r="G2073" t="s">
        <v>466</v>
      </c>
      <c r="H2073" t="s">
        <v>18</v>
      </c>
      <c r="I2073" t="str">
        <f t="shared" si="161"/>
        <v>1-0</v>
      </c>
      <c r="J2073" t="str">
        <f t="shared" si="162"/>
        <v>1</v>
      </c>
      <c r="K2073" t="str">
        <f t="shared" si="163"/>
        <v>0</v>
      </c>
      <c r="L2073" t="str">
        <f t="shared" si="164"/>
        <v>RCD Espanyol de Barcelona</v>
      </c>
      <c r="M2073" t="str">
        <f>IF(COUNTIF($A$2:A2073,A2073)=1,
     VLOOKUP(A2073,Season_Winners!A:B,2,FALSE),
     "")</f>
        <v/>
      </c>
    </row>
    <row r="2074" spans="1:13" x14ac:dyDescent="0.3">
      <c r="A2074" t="s">
        <v>745</v>
      </c>
      <c r="B2074">
        <v>18</v>
      </c>
      <c r="C2074" t="s">
        <v>812</v>
      </c>
      <c r="D2074" t="str">
        <f t="shared" si="160"/>
        <v>05.01.2019</v>
      </c>
      <c r="E2074" s="1">
        <v>0.54166666666666663</v>
      </c>
      <c r="F2074" t="s">
        <v>14</v>
      </c>
      <c r="G2074" t="s">
        <v>30</v>
      </c>
      <c r="H2074" t="s">
        <v>42</v>
      </c>
      <c r="I2074" t="str">
        <f t="shared" si="161"/>
        <v>0-1</v>
      </c>
      <c r="J2074" t="str">
        <f t="shared" si="162"/>
        <v>0</v>
      </c>
      <c r="K2074" t="str">
        <f t="shared" si="163"/>
        <v>1</v>
      </c>
      <c r="L2074" t="str">
        <f t="shared" si="164"/>
        <v>Rayo Vallecano</v>
      </c>
      <c r="M2074" t="str">
        <f>IF(COUNTIF($A$2:A2074,A2074)=1,
     VLOOKUP(A2074,Season_Winners!A:B,2,FALSE),
     "")</f>
        <v/>
      </c>
    </row>
    <row r="2075" spans="1:13" hidden="1" x14ac:dyDescent="0.3">
      <c r="A2075" t="s">
        <v>745</v>
      </c>
      <c r="B2075">
        <v>18</v>
      </c>
      <c r="C2075" t="s">
        <v>812</v>
      </c>
      <c r="D2075" t="str">
        <f t="shared" si="160"/>
        <v>05.01.2019</v>
      </c>
      <c r="E2075" s="1">
        <v>0.67708333333333337</v>
      </c>
      <c r="F2075" t="s">
        <v>464</v>
      </c>
      <c r="G2075" t="s">
        <v>16</v>
      </c>
      <c r="H2075" s="2">
        <v>46024</v>
      </c>
      <c r="I2075" s="3" t="str">
        <f t="shared" si="161"/>
        <v/>
      </c>
      <c r="J2075" t="str">
        <f t="shared" si="162"/>
        <v/>
      </c>
      <c r="K2075" t="str">
        <f t="shared" si="163"/>
        <v/>
      </c>
      <c r="L2075" t="str">
        <f t="shared" si="164"/>
        <v/>
      </c>
      <c r="M2075" t="str">
        <f>IF(COUNTIF($A$2:A2075,A2075)=1,
     VLOOKUP(A2075,Season_Winners!A:B,2,FALSE),
     "")</f>
        <v/>
      </c>
    </row>
    <row r="2076" spans="1:13" hidden="1" x14ac:dyDescent="0.3">
      <c r="A2076" t="s">
        <v>745</v>
      </c>
      <c r="B2076">
        <v>18</v>
      </c>
      <c r="C2076" t="s">
        <v>812</v>
      </c>
      <c r="D2076" t="str">
        <f t="shared" si="160"/>
        <v>05.01.2019</v>
      </c>
      <c r="E2076" s="1">
        <v>0.86458333333333337</v>
      </c>
      <c r="F2076" t="s">
        <v>750</v>
      </c>
      <c r="G2076" t="s">
        <v>26</v>
      </c>
      <c r="H2076" s="2">
        <v>46024</v>
      </c>
      <c r="I2076" s="3" t="str">
        <f t="shared" si="161"/>
        <v/>
      </c>
      <c r="J2076" t="str">
        <f t="shared" si="162"/>
        <v/>
      </c>
      <c r="K2076" t="str">
        <f t="shared" si="163"/>
        <v/>
      </c>
      <c r="L2076" t="str">
        <f t="shared" si="164"/>
        <v/>
      </c>
      <c r="M2076" t="str">
        <f>IF(COUNTIF($A$2:A2076,A2076)=1,
     VLOOKUP(A2076,Season_Winners!A:B,2,FALSE),
     "")</f>
        <v/>
      </c>
    </row>
    <row r="2077" spans="1:13" x14ac:dyDescent="0.3">
      <c r="A2077" t="s">
        <v>745</v>
      </c>
      <c r="B2077">
        <v>18</v>
      </c>
      <c r="C2077" t="s">
        <v>813</v>
      </c>
      <c r="D2077" t="str">
        <f t="shared" si="160"/>
        <v>06.01.2019</v>
      </c>
      <c r="E2077" s="1">
        <v>0.5</v>
      </c>
      <c r="F2077" t="s">
        <v>187</v>
      </c>
      <c r="G2077" t="s">
        <v>34</v>
      </c>
      <c r="H2077" t="s">
        <v>41</v>
      </c>
      <c r="I2077" t="str">
        <f t="shared" si="161"/>
        <v>0-0</v>
      </c>
      <c r="J2077" t="str">
        <f t="shared" si="162"/>
        <v>0</v>
      </c>
      <c r="K2077" t="str">
        <f t="shared" si="163"/>
        <v>0</v>
      </c>
      <c r="L2077" t="str">
        <f t="shared" si="164"/>
        <v>Draw</v>
      </c>
      <c r="M2077" t="str">
        <f>IF(COUNTIF($A$2:A2077,A2077)=1,
     VLOOKUP(A2077,Season_Winners!A:B,2,FALSE),
     "")</f>
        <v/>
      </c>
    </row>
    <row r="2078" spans="1:13" hidden="1" x14ac:dyDescent="0.3">
      <c r="A2078" t="s">
        <v>745</v>
      </c>
      <c r="B2078">
        <v>18</v>
      </c>
      <c r="C2078" t="s">
        <v>813</v>
      </c>
      <c r="D2078" t="str">
        <f t="shared" si="160"/>
        <v>06.01.2019</v>
      </c>
      <c r="E2078" s="1">
        <v>0.67708333333333337</v>
      </c>
      <c r="F2078" t="s">
        <v>27</v>
      </c>
      <c r="G2078" t="s">
        <v>28</v>
      </c>
      <c r="H2078" s="2">
        <v>46023</v>
      </c>
      <c r="I2078" s="3" t="str">
        <f t="shared" si="161"/>
        <v/>
      </c>
      <c r="J2078" t="str">
        <f t="shared" si="162"/>
        <v/>
      </c>
      <c r="K2078" t="str">
        <f t="shared" si="163"/>
        <v/>
      </c>
      <c r="L2078" t="str">
        <f t="shared" si="164"/>
        <v/>
      </c>
      <c r="M2078" t="str">
        <f>IF(COUNTIF($A$2:A2078,A2078)=1,
     VLOOKUP(A2078,Season_Winners!A:B,2,FALSE),
     "")</f>
        <v/>
      </c>
    </row>
    <row r="2079" spans="1:13" x14ac:dyDescent="0.3">
      <c r="A2079" t="s">
        <v>745</v>
      </c>
      <c r="B2079">
        <v>18</v>
      </c>
      <c r="C2079" t="s">
        <v>813</v>
      </c>
      <c r="D2079" t="str">
        <f t="shared" si="160"/>
        <v>06.01.2019</v>
      </c>
      <c r="E2079" s="1">
        <v>0.77083333333333337</v>
      </c>
      <c r="F2079" t="s">
        <v>25</v>
      </c>
      <c r="G2079" t="s">
        <v>10</v>
      </c>
      <c r="H2079" t="s">
        <v>54</v>
      </c>
      <c r="I2079" t="str">
        <f t="shared" si="161"/>
        <v>0-2</v>
      </c>
      <c r="J2079" t="str">
        <f t="shared" si="162"/>
        <v>0</v>
      </c>
      <c r="K2079" t="str">
        <f t="shared" si="163"/>
        <v>2</v>
      </c>
      <c r="L2079" t="str">
        <f t="shared" si="164"/>
        <v>Real Sociedad</v>
      </c>
      <c r="M2079" t="str">
        <f>IF(COUNTIF($A$2:A2079,A2079)=1,
     VLOOKUP(A2079,Season_Winners!A:B,2,FALSE),
     "")</f>
        <v/>
      </c>
    </row>
    <row r="2080" spans="1:13" hidden="1" x14ac:dyDescent="0.3">
      <c r="A2080" t="s">
        <v>745</v>
      </c>
      <c r="B2080">
        <v>18</v>
      </c>
      <c r="C2080" t="s">
        <v>813</v>
      </c>
      <c r="D2080" t="str">
        <f t="shared" si="160"/>
        <v>06.01.2019</v>
      </c>
      <c r="E2080" s="1">
        <v>0.86458333333333337</v>
      </c>
      <c r="F2080" t="s">
        <v>11</v>
      </c>
      <c r="G2080" t="s">
        <v>20</v>
      </c>
      <c r="H2080" s="2">
        <v>46054</v>
      </c>
      <c r="I2080" s="3" t="str">
        <f t="shared" si="161"/>
        <v/>
      </c>
      <c r="J2080" t="str">
        <f t="shared" si="162"/>
        <v/>
      </c>
      <c r="K2080" t="str">
        <f t="shared" si="163"/>
        <v/>
      </c>
      <c r="L2080" t="str">
        <f t="shared" si="164"/>
        <v/>
      </c>
      <c r="M2080" t="str">
        <f>IF(COUNTIF($A$2:A2080,A2080)=1,
     VLOOKUP(A2080,Season_Winners!A:B,2,FALSE),
     "")</f>
        <v/>
      </c>
    </row>
    <row r="2081" spans="1:13" hidden="1" x14ac:dyDescent="0.3">
      <c r="A2081" t="s">
        <v>745</v>
      </c>
      <c r="B2081">
        <v>18</v>
      </c>
      <c r="C2081" t="s">
        <v>814</v>
      </c>
      <c r="D2081" t="str">
        <f t="shared" si="160"/>
        <v>07.01.2019</v>
      </c>
      <c r="E2081" s="1">
        <v>0.875</v>
      </c>
      <c r="F2081" t="s">
        <v>35</v>
      </c>
      <c r="G2081" t="s">
        <v>15</v>
      </c>
      <c r="H2081" s="2">
        <v>46054</v>
      </c>
      <c r="I2081" s="3" t="str">
        <f t="shared" si="161"/>
        <v/>
      </c>
      <c r="J2081" t="str">
        <f t="shared" si="162"/>
        <v/>
      </c>
      <c r="K2081" t="str">
        <f t="shared" si="163"/>
        <v/>
      </c>
      <c r="L2081" t="str">
        <f t="shared" si="164"/>
        <v/>
      </c>
      <c r="M2081" t="str">
        <f>IF(COUNTIF($A$2:A2081,A2081)=1,
     VLOOKUP(A2081,Season_Winners!A:B,2,FALSE),
     "")</f>
        <v/>
      </c>
    </row>
    <row r="2082" spans="1:13" hidden="1" x14ac:dyDescent="0.3">
      <c r="A2082" t="s">
        <v>745</v>
      </c>
      <c r="B2082">
        <v>19</v>
      </c>
      <c r="C2082" t="s">
        <v>815</v>
      </c>
      <c r="D2082" t="str">
        <f t="shared" si="160"/>
        <v>11.01.2019</v>
      </c>
      <c r="E2082" s="1">
        <v>0.875</v>
      </c>
      <c r="F2082" t="s">
        <v>30</v>
      </c>
      <c r="G2082" t="s">
        <v>35</v>
      </c>
      <c r="H2082" s="2">
        <v>46057</v>
      </c>
      <c r="I2082" s="3" t="str">
        <f t="shared" si="161"/>
        <v/>
      </c>
      <c r="J2082" t="str">
        <f t="shared" si="162"/>
        <v/>
      </c>
      <c r="K2082" t="str">
        <f t="shared" si="163"/>
        <v/>
      </c>
      <c r="L2082" t="str">
        <f t="shared" si="164"/>
        <v/>
      </c>
      <c r="M2082" t="str">
        <f>IF(COUNTIF($A$2:A2082,A2082)=1,
     VLOOKUP(A2082,Season_Winners!A:B,2,FALSE),
     "")</f>
        <v/>
      </c>
    </row>
    <row r="2083" spans="1:13" x14ac:dyDescent="0.3">
      <c r="A2083" t="s">
        <v>745</v>
      </c>
      <c r="B2083">
        <v>19</v>
      </c>
      <c r="C2083" t="s">
        <v>816</v>
      </c>
      <c r="D2083" t="str">
        <f t="shared" si="160"/>
        <v>12.01.2019</v>
      </c>
      <c r="E2083" s="1">
        <v>0.54166666666666663</v>
      </c>
      <c r="F2083" t="s">
        <v>466</v>
      </c>
      <c r="G2083" t="s">
        <v>750</v>
      </c>
      <c r="H2083" t="s">
        <v>18</v>
      </c>
      <c r="I2083" t="str">
        <f t="shared" si="161"/>
        <v>1-0</v>
      </c>
      <c r="J2083" t="str">
        <f t="shared" si="162"/>
        <v>1</v>
      </c>
      <c r="K2083" t="str">
        <f t="shared" si="163"/>
        <v>0</v>
      </c>
      <c r="L2083" t="str">
        <f t="shared" si="164"/>
        <v>CD LeganÃ©s</v>
      </c>
      <c r="M2083" t="str">
        <f>IF(COUNTIF($A$2:A2083,A2083)=1,
     VLOOKUP(A2083,Season_Winners!A:B,2,FALSE),
     "")</f>
        <v/>
      </c>
    </row>
    <row r="2084" spans="1:13" hidden="1" x14ac:dyDescent="0.3">
      <c r="A2084" t="s">
        <v>745</v>
      </c>
      <c r="B2084">
        <v>19</v>
      </c>
      <c r="C2084" t="s">
        <v>816</v>
      </c>
      <c r="D2084" t="str">
        <f t="shared" si="160"/>
        <v>12.01.2019</v>
      </c>
      <c r="E2084" s="1">
        <v>0.67708333333333337</v>
      </c>
      <c r="F2084" t="s">
        <v>16</v>
      </c>
      <c r="G2084" t="s">
        <v>14</v>
      </c>
      <c r="H2084" s="2">
        <v>46023</v>
      </c>
      <c r="I2084" s="3" t="str">
        <f t="shared" si="161"/>
        <v/>
      </c>
      <c r="J2084" t="str">
        <f t="shared" si="162"/>
        <v/>
      </c>
      <c r="K2084" t="str">
        <f t="shared" si="163"/>
        <v/>
      </c>
      <c r="L2084" t="str">
        <f t="shared" si="164"/>
        <v/>
      </c>
      <c r="M2084" t="str">
        <f>IF(COUNTIF($A$2:A2084,A2084)=1,
     VLOOKUP(A2084,Season_Winners!A:B,2,FALSE),
     "")</f>
        <v/>
      </c>
    </row>
    <row r="2085" spans="1:13" hidden="1" x14ac:dyDescent="0.3">
      <c r="A2085" t="s">
        <v>745</v>
      </c>
      <c r="B2085">
        <v>19</v>
      </c>
      <c r="C2085" t="s">
        <v>816</v>
      </c>
      <c r="D2085" t="str">
        <f t="shared" si="160"/>
        <v>12.01.2019</v>
      </c>
      <c r="E2085" s="1">
        <v>0.77083333333333337</v>
      </c>
      <c r="F2085" t="s">
        <v>606</v>
      </c>
      <c r="G2085" t="s">
        <v>464</v>
      </c>
      <c r="H2085" s="2">
        <v>46023</v>
      </c>
      <c r="I2085" s="3" t="str">
        <f t="shared" si="161"/>
        <v/>
      </c>
      <c r="J2085" t="str">
        <f t="shared" si="162"/>
        <v/>
      </c>
      <c r="K2085" t="str">
        <f t="shared" si="163"/>
        <v/>
      </c>
      <c r="L2085" t="str">
        <f t="shared" si="164"/>
        <v/>
      </c>
      <c r="M2085" t="str">
        <f>IF(COUNTIF($A$2:A2085,A2085)=1,
     VLOOKUP(A2085,Season_Winners!A:B,2,FALSE),
     "")</f>
        <v/>
      </c>
    </row>
    <row r="2086" spans="1:13" hidden="1" x14ac:dyDescent="0.3">
      <c r="A2086" t="s">
        <v>745</v>
      </c>
      <c r="B2086">
        <v>19</v>
      </c>
      <c r="C2086" t="s">
        <v>816</v>
      </c>
      <c r="D2086" t="str">
        <f t="shared" si="160"/>
        <v>12.01.2019</v>
      </c>
      <c r="E2086" s="1">
        <v>0.86458333333333337</v>
      </c>
      <c r="F2086" t="s">
        <v>34</v>
      </c>
      <c r="G2086" t="s">
        <v>11</v>
      </c>
      <c r="H2086" s="2">
        <v>46054</v>
      </c>
      <c r="I2086" s="3" t="str">
        <f t="shared" si="161"/>
        <v/>
      </c>
      <c r="J2086" t="str">
        <f t="shared" si="162"/>
        <v/>
      </c>
      <c r="K2086" t="str">
        <f t="shared" si="163"/>
        <v/>
      </c>
      <c r="L2086" t="str">
        <f t="shared" si="164"/>
        <v/>
      </c>
      <c r="M2086" t="str">
        <f>IF(COUNTIF($A$2:A2086,A2086)=1,
     VLOOKUP(A2086,Season_Winners!A:B,2,FALSE),
     "")</f>
        <v/>
      </c>
    </row>
    <row r="2087" spans="1:13" x14ac:dyDescent="0.3">
      <c r="A2087" t="s">
        <v>745</v>
      </c>
      <c r="B2087">
        <v>19</v>
      </c>
      <c r="C2087" t="s">
        <v>817</v>
      </c>
      <c r="D2087" t="str">
        <f t="shared" si="160"/>
        <v>13.01.2019</v>
      </c>
      <c r="E2087" s="1">
        <v>0.5</v>
      </c>
      <c r="F2087" t="s">
        <v>1425</v>
      </c>
      <c r="G2087" t="s">
        <v>21</v>
      </c>
      <c r="H2087" t="s">
        <v>18</v>
      </c>
      <c r="I2087" t="str">
        <f t="shared" si="161"/>
        <v>1-0</v>
      </c>
      <c r="J2087" t="str">
        <f t="shared" si="162"/>
        <v>1</v>
      </c>
      <c r="K2087" t="str">
        <f t="shared" si="163"/>
        <v>0</v>
      </c>
      <c r="L2087" t="str">
        <f t="shared" si="164"/>
        <v>Atlético de Madrid</v>
      </c>
      <c r="M2087" t="str">
        <f>IF(COUNTIF($A$2:A2087,A2087)=1,
     VLOOKUP(A2087,Season_Winners!A:B,2,FALSE),
     "")</f>
        <v/>
      </c>
    </row>
    <row r="2088" spans="1:13" x14ac:dyDescent="0.3">
      <c r="A2088" t="s">
        <v>745</v>
      </c>
      <c r="B2088">
        <v>19</v>
      </c>
      <c r="C2088" t="s">
        <v>817</v>
      </c>
      <c r="D2088" t="str">
        <f t="shared" si="160"/>
        <v>13.01.2019</v>
      </c>
      <c r="E2088" s="1">
        <v>0.67708333333333337</v>
      </c>
      <c r="F2088" t="s">
        <v>15</v>
      </c>
      <c r="G2088" t="s">
        <v>27</v>
      </c>
      <c r="H2088" t="s">
        <v>12</v>
      </c>
      <c r="I2088" t="str">
        <f t="shared" si="161"/>
        <v>2-0</v>
      </c>
      <c r="J2088" t="str">
        <f t="shared" si="162"/>
        <v>2</v>
      </c>
      <c r="K2088" t="str">
        <f t="shared" si="163"/>
        <v>0</v>
      </c>
      <c r="L2088" t="str">
        <f t="shared" si="164"/>
        <v>Athletic Club</v>
      </c>
      <c r="M2088" t="str">
        <f>IF(COUNTIF($A$2:A2088,A2088)=1,
     VLOOKUP(A2088,Season_Winners!A:B,2,FALSE),
     "")</f>
        <v/>
      </c>
    </row>
    <row r="2089" spans="1:13" x14ac:dyDescent="0.3">
      <c r="A2089" t="s">
        <v>745</v>
      </c>
      <c r="B2089">
        <v>19</v>
      </c>
      <c r="C2089" t="s">
        <v>817</v>
      </c>
      <c r="D2089" t="str">
        <f t="shared" si="160"/>
        <v>13.01.2019</v>
      </c>
      <c r="E2089" s="1">
        <v>0.77083333333333337</v>
      </c>
      <c r="F2089" t="s">
        <v>20</v>
      </c>
      <c r="G2089" t="s">
        <v>187</v>
      </c>
      <c r="H2089" t="s">
        <v>32</v>
      </c>
      <c r="I2089" t="str">
        <f t="shared" si="161"/>
        <v>3-0</v>
      </c>
      <c r="J2089" t="str">
        <f t="shared" si="162"/>
        <v>3</v>
      </c>
      <c r="K2089" t="str">
        <f t="shared" si="163"/>
        <v>0</v>
      </c>
      <c r="L2089" t="str">
        <f t="shared" si="164"/>
        <v>FC Barcelona</v>
      </c>
      <c r="M2089" t="str">
        <f>IF(COUNTIF($A$2:A2089,A2089)=1,
     VLOOKUP(A2089,Season_Winners!A:B,2,FALSE),
     "")</f>
        <v/>
      </c>
    </row>
    <row r="2090" spans="1:13" hidden="1" x14ac:dyDescent="0.3">
      <c r="A2090" t="s">
        <v>745</v>
      </c>
      <c r="B2090">
        <v>19</v>
      </c>
      <c r="C2090" t="s">
        <v>817</v>
      </c>
      <c r="D2090" t="str">
        <f t="shared" si="160"/>
        <v>13.01.2019</v>
      </c>
      <c r="E2090" s="1">
        <v>0.86458333333333337</v>
      </c>
      <c r="F2090" t="s">
        <v>26</v>
      </c>
      <c r="G2090" t="s">
        <v>25</v>
      </c>
      <c r="H2090" s="2">
        <v>46054</v>
      </c>
      <c r="I2090" s="3" t="str">
        <f t="shared" si="161"/>
        <v/>
      </c>
      <c r="J2090" t="str">
        <f t="shared" si="162"/>
        <v/>
      </c>
      <c r="K2090" t="str">
        <f t="shared" si="163"/>
        <v/>
      </c>
      <c r="L2090" t="str">
        <f t="shared" si="164"/>
        <v/>
      </c>
      <c r="M2090" t="str">
        <f>IF(COUNTIF($A$2:A2090,A2090)=1,
     VLOOKUP(A2090,Season_Winners!A:B,2,FALSE),
     "")</f>
        <v/>
      </c>
    </row>
    <row r="2091" spans="1:13" hidden="1" x14ac:dyDescent="0.3">
      <c r="A2091" t="s">
        <v>745</v>
      </c>
      <c r="B2091">
        <v>19</v>
      </c>
      <c r="C2091" t="s">
        <v>818</v>
      </c>
      <c r="D2091" t="str">
        <f t="shared" si="160"/>
        <v>14.01.2019</v>
      </c>
      <c r="E2091" s="1">
        <v>0.875</v>
      </c>
      <c r="F2091" t="s">
        <v>10</v>
      </c>
      <c r="G2091" t="s">
        <v>36</v>
      </c>
      <c r="H2091" s="2">
        <v>46056</v>
      </c>
      <c r="I2091" s="3" t="str">
        <f t="shared" si="161"/>
        <v/>
      </c>
      <c r="J2091" t="str">
        <f t="shared" si="162"/>
        <v/>
      </c>
      <c r="K2091" t="str">
        <f t="shared" si="163"/>
        <v/>
      </c>
      <c r="L2091" t="str">
        <f t="shared" si="164"/>
        <v/>
      </c>
      <c r="M2091" t="str">
        <f>IF(COUNTIF($A$2:A2091,A2091)=1,
     VLOOKUP(A2091,Season_Winners!A:B,2,FALSE),
     "")</f>
        <v/>
      </c>
    </row>
    <row r="2092" spans="1:13" x14ac:dyDescent="0.3">
      <c r="A2092" t="s">
        <v>745</v>
      </c>
      <c r="B2092">
        <v>20</v>
      </c>
      <c r="C2092" t="s">
        <v>819</v>
      </c>
      <c r="D2092" t="str">
        <f t="shared" si="160"/>
        <v>18.01.2019</v>
      </c>
      <c r="E2092" s="1">
        <v>0.875</v>
      </c>
      <c r="F2092" t="s">
        <v>11</v>
      </c>
      <c r="G2092" t="s">
        <v>464</v>
      </c>
      <c r="H2092" t="s">
        <v>88</v>
      </c>
      <c r="I2092" t="str">
        <f t="shared" si="161"/>
        <v>4-0</v>
      </c>
      <c r="J2092" t="str">
        <f t="shared" si="162"/>
        <v>4</v>
      </c>
      <c r="K2092" t="str">
        <f t="shared" si="163"/>
        <v>0</v>
      </c>
      <c r="L2092" t="str">
        <f t="shared" si="164"/>
        <v>Getafe CF</v>
      </c>
      <c r="M2092" t="str">
        <f>IF(COUNTIF($A$2:A2092,A2092)=1,
     VLOOKUP(A2092,Season_Winners!A:B,2,FALSE),
     "")</f>
        <v/>
      </c>
    </row>
    <row r="2093" spans="1:13" x14ac:dyDescent="0.3">
      <c r="A2093" t="s">
        <v>745</v>
      </c>
      <c r="B2093">
        <v>20</v>
      </c>
      <c r="C2093" t="s">
        <v>820</v>
      </c>
      <c r="D2093" t="str">
        <f t="shared" si="160"/>
        <v>19.01.2019</v>
      </c>
      <c r="E2093" s="1">
        <v>0.67708333333333337</v>
      </c>
      <c r="F2093" t="s">
        <v>25</v>
      </c>
      <c r="G2093" t="s">
        <v>27</v>
      </c>
      <c r="H2093" t="s">
        <v>12</v>
      </c>
      <c r="I2093" t="str">
        <f t="shared" si="161"/>
        <v>2-0</v>
      </c>
      <c r="J2093" t="str">
        <f t="shared" si="162"/>
        <v>2</v>
      </c>
      <c r="K2093" t="str">
        <f t="shared" si="163"/>
        <v>0</v>
      </c>
      <c r="L2093" t="str">
        <f t="shared" si="164"/>
        <v>Real Madrid</v>
      </c>
      <c r="M2093" t="str">
        <f>IF(COUNTIF($A$2:A2093,A2093)=1,
     VLOOKUP(A2093,Season_Winners!A:B,2,FALSE),
     "")</f>
        <v/>
      </c>
    </row>
    <row r="2094" spans="1:13" x14ac:dyDescent="0.3">
      <c r="A2094" t="s">
        <v>745</v>
      </c>
      <c r="B2094">
        <v>20</v>
      </c>
      <c r="C2094" t="s">
        <v>820</v>
      </c>
      <c r="D2094" t="str">
        <f t="shared" si="160"/>
        <v>19.01.2019</v>
      </c>
      <c r="E2094" s="1">
        <v>0.77083333333333337</v>
      </c>
      <c r="F2094" t="s">
        <v>750</v>
      </c>
      <c r="G2094" t="s">
        <v>1425</v>
      </c>
      <c r="H2094" t="s">
        <v>46</v>
      </c>
      <c r="I2094" t="str">
        <f t="shared" si="161"/>
        <v>0-3</v>
      </c>
      <c r="J2094" t="str">
        <f t="shared" si="162"/>
        <v>0</v>
      </c>
      <c r="K2094" t="str">
        <f t="shared" si="163"/>
        <v>3</v>
      </c>
      <c r="L2094" t="str">
        <f t="shared" si="164"/>
        <v>Atlético de Madrid</v>
      </c>
      <c r="M2094" t="str">
        <f>IF(COUNTIF($A$2:A2094,A2094)=1,
     VLOOKUP(A2094,Season_Winners!A:B,2,FALSE),
     "")</f>
        <v/>
      </c>
    </row>
    <row r="2095" spans="1:13" hidden="1" x14ac:dyDescent="0.3">
      <c r="A2095" t="s">
        <v>745</v>
      </c>
      <c r="B2095">
        <v>20</v>
      </c>
      <c r="C2095" t="s">
        <v>820</v>
      </c>
      <c r="D2095" t="str">
        <f t="shared" si="160"/>
        <v>19.01.2019</v>
      </c>
      <c r="E2095" s="1">
        <v>0.86458333333333337</v>
      </c>
      <c r="F2095" t="s">
        <v>35</v>
      </c>
      <c r="G2095" t="s">
        <v>16</v>
      </c>
      <c r="H2095" s="2">
        <v>46054</v>
      </c>
      <c r="I2095" s="3" t="str">
        <f t="shared" si="161"/>
        <v/>
      </c>
      <c r="J2095" t="str">
        <f t="shared" si="162"/>
        <v/>
      </c>
      <c r="K2095" t="str">
        <f t="shared" si="163"/>
        <v/>
      </c>
      <c r="L2095" t="str">
        <f t="shared" si="164"/>
        <v/>
      </c>
      <c r="M2095" t="str">
        <f>IF(COUNTIF($A$2:A2095,A2095)=1,
     VLOOKUP(A2095,Season_Winners!A:B,2,FALSE),
     "")</f>
        <v/>
      </c>
    </row>
    <row r="2096" spans="1:13" hidden="1" x14ac:dyDescent="0.3">
      <c r="A2096" t="s">
        <v>745</v>
      </c>
      <c r="B2096">
        <v>20</v>
      </c>
      <c r="C2096" t="s">
        <v>821</v>
      </c>
      <c r="D2096" t="str">
        <f t="shared" si="160"/>
        <v>20.01.2019</v>
      </c>
      <c r="E2096" s="1">
        <v>0.5</v>
      </c>
      <c r="F2096" t="s">
        <v>26</v>
      </c>
      <c r="G2096" t="s">
        <v>606</v>
      </c>
      <c r="H2096" s="2">
        <v>46056</v>
      </c>
      <c r="I2096" s="3" t="str">
        <f t="shared" si="161"/>
        <v/>
      </c>
      <c r="J2096" t="str">
        <f t="shared" si="162"/>
        <v/>
      </c>
      <c r="K2096" t="str">
        <f t="shared" si="163"/>
        <v/>
      </c>
      <c r="L2096" t="str">
        <f t="shared" si="164"/>
        <v/>
      </c>
      <c r="M2096" t="str">
        <f>IF(COUNTIF($A$2:A2096,A2096)=1,
     VLOOKUP(A2096,Season_Winners!A:B,2,FALSE),
     "")</f>
        <v/>
      </c>
    </row>
    <row r="2097" spans="1:13" hidden="1" x14ac:dyDescent="0.3">
      <c r="A2097" t="s">
        <v>745</v>
      </c>
      <c r="B2097">
        <v>20</v>
      </c>
      <c r="C2097" t="s">
        <v>821</v>
      </c>
      <c r="D2097" t="str">
        <f t="shared" si="160"/>
        <v>20.01.2019</v>
      </c>
      <c r="E2097" s="1">
        <v>0.67708333333333337</v>
      </c>
      <c r="F2097" t="s">
        <v>34</v>
      </c>
      <c r="G2097" t="s">
        <v>15</v>
      </c>
      <c r="H2097" s="2">
        <v>46023</v>
      </c>
      <c r="I2097" s="3" t="str">
        <f t="shared" si="161"/>
        <v/>
      </c>
      <c r="J2097" t="str">
        <f t="shared" si="162"/>
        <v/>
      </c>
      <c r="K2097" t="str">
        <f t="shared" si="163"/>
        <v/>
      </c>
      <c r="L2097" t="str">
        <f t="shared" si="164"/>
        <v/>
      </c>
      <c r="M2097" t="str">
        <f>IF(COUNTIF($A$2:A2097,A2097)=1,
     VLOOKUP(A2097,Season_Winners!A:B,2,FALSE),
     "")</f>
        <v/>
      </c>
    </row>
    <row r="2098" spans="1:13" x14ac:dyDescent="0.3">
      <c r="A2098" t="s">
        <v>745</v>
      </c>
      <c r="B2098">
        <v>20</v>
      </c>
      <c r="C2098" t="s">
        <v>821</v>
      </c>
      <c r="D2098" t="str">
        <f t="shared" si="160"/>
        <v>20.01.2019</v>
      </c>
      <c r="E2098" s="1">
        <v>0.77083333333333337</v>
      </c>
      <c r="F2098" t="s">
        <v>21</v>
      </c>
      <c r="G2098" t="s">
        <v>14</v>
      </c>
      <c r="H2098" t="s">
        <v>12</v>
      </c>
      <c r="I2098" t="str">
        <f t="shared" si="161"/>
        <v>2-0</v>
      </c>
      <c r="J2098" t="str">
        <f t="shared" si="162"/>
        <v>2</v>
      </c>
      <c r="K2098" t="str">
        <f t="shared" si="163"/>
        <v>0</v>
      </c>
      <c r="L2098" t="str">
        <f t="shared" si="164"/>
        <v>Levante UD</v>
      </c>
      <c r="M2098" t="str">
        <f>IF(COUNTIF($A$2:A2098,A2098)=1,
     VLOOKUP(A2098,Season_Winners!A:B,2,FALSE),
     "")</f>
        <v/>
      </c>
    </row>
    <row r="2099" spans="1:13" hidden="1" x14ac:dyDescent="0.3">
      <c r="A2099" t="s">
        <v>745</v>
      </c>
      <c r="B2099">
        <v>20</v>
      </c>
      <c r="C2099" t="s">
        <v>821</v>
      </c>
      <c r="D2099" t="str">
        <f t="shared" si="160"/>
        <v>20.01.2019</v>
      </c>
      <c r="E2099" s="1">
        <v>0.77083333333333337</v>
      </c>
      <c r="F2099" t="s">
        <v>30</v>
      </c>
      <c r="G2099" t="s">
        <v>10</v>
      </c>
      <c r="H2099" s="2">
        <v>46055</v>
      </c>
      <c r="I2099" s="3" t="str">
        <f t="shared" si="161"/>
        <v/>
      </c>
      <c r="J2099" t="str">
        <f t="shared" si="162"/>
        <v/>
      </c>
      <c r="K2099" t="str">
        <f t="shared" si="163"/>
        <v/>
      </c>
      <c r="L2099" t="str">
        <f t="shared" si="164"/>
        <v/>
      </c>
      <c r="M2099" t="str">
        <f>IF(COUNTIF($A$2:A2099,A2099)=1,
     VLOOKUP(A2099,Season_Winners!A:B,2,FALSE),
     "")</f>
        <v/>
      </c>
    </row>
    <row r="2100" spans="1:13" hidden="1" x14ac:dyDescent="0.3">
      <c r="A2100" t="s">
        <v>745</v>
      </c>
      <c r="B2100">
        <v>20</v>
      </c>
      <c r="C2100" t="s">
        <v>821</v>
      </c>
      <c r="D2100" t="str">
        <f t="shared" si="160"/>
        <v>20.01.2019</v>
      </c>
      <c r="E2100" s="1">
        <v>0.86458333333333337</v>
      </c>
      <c r="F2100" t="s">
        <v>20</v>
      </c>
      <c r="G2100" t="s">
        <v>466</v>
      </c>
      <c r="H2100" s="2">
        <v>46025</v>
      </c>
      <c r="I2100" s="3" t="str">
        <f t="shared" si="161"/>
        <v/>
      </c>
      <c r="J2100" t="str">
        <f t="shared" si="162"/>
        <v/>
      </c>
      <c r="K2100" t="str">
        <f t="shared" si="163"/>
        <v/>
      </c>
      <c r="L2100" t="str">
        <f t="shared" si="164"/>
        <v/>
      </c>
      <c r="M2100" t="str">
        <f>IF(COUNTIF($A$2:A2100,A2100)=1,
     VLOOKUP(A2100,Season_Winners!A:B,2,FALSE),
     "")</f>
        <v/>
      </c>
    </row>
    <row r="2101" spans="1:13" x14ac:dyDescent="0.3">
      <c r="A2101" t="s">
        <v>745</v>
      </c>
      <c r="B2101">
        <v>20</v>
      </c>
      <c r="C2101" t="s">
        <v>822</v>
      </c>
      <c r="D2101" t="str">
        <f t="shared" si="160"/>
        <v>21.01.2019</v>
      </c>
      <c r="E2101" s="1">
        <v>0.875</v>
      </c>
      <c r="F2101" t="s">
        <v>187</v>
      </c>
      <c r="G2101" t="s">
        <v>36</v>
      </c>
      <c r="H2101" t="s">
        <v>32</v>
      </c>
      <c r="I2101" t="str">
        <f t="shared" si="161"/>
        <v>3-0</v>
      </c>
      <c r="J2101" t="str">
        <f t="shared" si="162"/>
        <v>3</v>
      </c>
      <c r="K2101" t="str">
        <f t="shared" si="163"/>
        <v>0</v>
      </c>
      <c r="L2101" t="str">
        <f t="shared" si="164"/>
        <v>SD Eibar</v>
      </c>
      <c r="M2101" t="str">
        <f>IF(COUNTIF($A$2:A2101,A2101)=1,
     VLOOKUP(A2101,Season_Winners!A:B,2,FALSE),
     "")</f>
        <v/>
      </c>
    </row>
    <row r="2102" spans="1:13" x14ac:dyDescent="0.3">
      <c r="A2102" t="s">
        <v>745</v>
      </c>
      <c r="B2102">
        <v>21</v>
      </c>
      <c r="C2102" t="s">
        <v>823</v>
      </c>
      <c r="D2102" t="str">
        <f t="shared" si="160"/>
        <v>26.01.2019</v>
      </c>
      <c r="E2102" s="1">
        <v>0.54166666666666663</v>
      </c>
      <c r="F2102" t="s">
        <v>27</v>
      </c>
      <c r="G2102" t="s">
        <v>21</v>
      </c>
      <c r="H2102" t="s">
        <v>40</v>
      </c>
      <c r="I2102" t="str">
        <f t="shared" si="161"/>
        <v>5-0</v>
      </c>
      <c r="J2102" t="str">
        <f t="shared" si="162"/>
        <v>5</v>
      </c>
      <c r="K2102" t="str">
        <f t="shared" si="163"/>
        <v>0</v>
      </c>
      <c r="L2102" t="str">
        <f t="shared" si="164"/>
        <v>Sevilla FC</v>
      </c>
      <c r="M2102" t="str">
        <f>IF(COUNTIF($A$2:A2102,A2102)=1,
     VLOOKUP(A2102,Season_Winners!A:B,2,FALSE),
     "")</f>
        <v/>
      </c>
    </row>
    <row r="2103" spans="1:13" x14ac:dyDescent="0.3">
      <c r="A2103" t="s">
        <v>745</v>
      </c>
      <c r="B2103">
        <v>21</v>
      </c>
      <c r="C2103" t="s">
        <v>823</v>
      </c>
      <c r="D2103" t="str">
        <f t="shared" si="160"/>
        <v>26.01.2019</v>
      </c>
      <c r="E2103" s="1">
        <v>0.67708333333333337</v>
      </c>
      <c r="F2103" t="s">
        <v>1425</v>
      </c>
      <c r="G2103" t="s">
        <v>11</v>
      </c>
      <c r="H2103" t="s">
        <v>12</v>
      </c>
      <c r="I2103" t="str">
        <f t="shared" si="161"/>
        <v>2-0</v>
      </c>
      <c r="J2103" t="str">
        <f t="shared" si="162"/>
        <v>2</v>
      </c>
      <c r="K2103" t="str">
        <f t="shared" si="163"/>
        <v>0</v>
      </c>
      <c r="L2103" t="str">
        <f t="shared" si="164"/>
        <v>Atlético de Madrid</v>
      </c>
      <c r="M2103" t="str">
        <f>IF(COUNTIF($A$2:A2103,A2103)=1,
     VLOOKUP(A2103,Season_Winners!A:B,2,FALSE),
     "")</f>
        <v/>
      </c>
    </row>
    <row r="2104" spans="1:13" hidden="1" x14ac:dyDescent="0.3">
      <c r="A2104" t="s">
        <v>745</v>
      </c>
      <c r="B2104">
        <v>21</v>
      </c>
      <c r="C2104" t="s">
        <v>823</v>
      </c>
      <c r="D2104" t="str">
        <f t="shared" si="160"/>
        <v>26.01.2019</v>
      </c>
      <c r="E2104" s="1">
        <v>0.77083333333333337</v>
      </c>
      <c r="F2104" t="s">
        <v>466</v>
      </c>
      <c r="G2104" t="s">
        <v>187</v>
      </c>
      <c r="H2104" s="2">
        <v>46055</v>
      </c>
      <c r="I2104" s="3" t="str">
        <f t="shared" si="161"/>
        <v/>
      </c>
      <c r="J2104" t="str">
        <f t="shared" si="162"/>
        <v/>
      </c>
      <c r="K2104" t="str">
        <f t="shared" si="163"/>
        <v/>
      </c>
      <c r="L2104" t="str">
        <f t="shared" si="164"/>
        <v/>
      </c>
      <c r="M2104" t="str">
        <f>IF(COUNTIF($A$2:A2104,A2104)=1,
     VLOOKUP(A2104,Season_Winners!A:B,2,FALSE),
     "")</f>
        <v/>
      </c>
    </row>
    <row r="2105" spans="1:13" x14ac:dyDescent="0.3">
      <c r="A2105" t="s">
        <v>745</v>
      </c>
      <c r="B2105">
        <v>21</v>
      </c>
      <c r="C2105" t="s">
        <v>823</v>
      </c>
      <c r="D2105" t="str">
        <f t="shared" si="160"/>
        <v>26.01.2019</v>
      </c>
      <c r="E2105" s="1">
        <v>0.86458333333333337</v>
      </c>
      <c r="F2105" t="s">
        <v>16</v>
      </c>
      <c r="G2105" t="s">
        <v>34</v>
      </c>
      <c r="H2105" t="s">
        <v>32</v>
      </c>
      <c r="I2105" t="str">
        <f t="shared" si="161"/>
        <v>3-0</v>
      </c>
      <c r="J2105" t="str">
        <f t="shared" si="162"/>
        <v>3</v>
      </c>
      <c r="K2105" t="str">
        <f t="shared" si="163"/>
        <v>0</v>
      </c>
      <c r="L2105" t="str">
        <f t="shared" si="164"/>
        <v>Valencia CF</v>
      </c>
      <c r="M2105" t="str">
        <f>IF(COUNTIF($A$2:A2105,A2105)=1,
     VLOOKUP(A2105,Season_Winners!A:B,2,FALSE),
     "")</f>
        <v/>
      </c>
    </row>
    <row r="2106" spans="1:13" hidden="1" x14ac:dyDescent="0.3">
      <c r="A2106" t="s">
        <v>745</v>
      </c>
      <c r="B2106">
        <v>21</v>
      </c>
      <c r="C2106" t="s">
        <v>824</v>
      </c>
      <c r="D2106" t="str">
        <f t="shared" si="160"/>
        <v>27.01.2019</v>
      </c>
      <c r="E2106" s="1">
        <v>0.5</v>
      </c>
      <c r="F2106" t="s">
        <v>14</v>
      </c>
      <c r="G2106" t="s">
        <v>35</v>
      </c>
      <c r="H2106" s="2">
        <v>46024</v>
      </c>
      <c r="I2106" s="3" t="str">
        <f t="shared" si="161"/>
        <v/>
      </c>
      <c r="J2106" t="str">
        <f t="shared" si="162"/>
        <v/>
      </c>
      <c r="K2106" t="str">
        <f t="shared" si="163"/>
        <v/>
      </c>
      <c r="L2106" t="str">
        <f t="shared" si="164"/>
        <v/>
      </c>
      <c r="M2106" t="str">
        <f>IF(COUNTIF($A$2:A2106,A2106)=1,
     VLOOKUP(A2106,Season_Winners!A:B,2,FALSE),
     "")</f>
        <v/>
      </c>
    </row>
    <row r="2107" spans="1:13" x14ac:dyDescent="0.3">
      <c r="A2107" t="s">
        <v>745</v>
      </c>
      <c r="B2107">
        <v>21</v>
      </c>
      <c r="C2107" t="s">
        <v>824</v>
      </c>
      <c r="D2107" t="str">
        <f t="shared" si="160"/>
        <v>27.01.2019</v>
      </c>
      <c r="E2107" s="1">
        <v>0.67708333333333337</v>
      </c>
      <c r="F2107" t="s">
        <v>606</v>
      </c>
      <c r="G2107" t="s">
        <v>20</v>
      </c>
      <c r="H2107" t="s">
        <v>54</v>
      </c>
      <c r="I2107" t="str">
        <f t="shared" si="161"/>
        <v>0-2</v>
      </c>
      <c r="J2107" t="str">
        <f t="shared" si="162"/>
        <v>0</v>
      </c>
      <c r="K2107" t="str">
        <f t="shared" si="163"/>
        <v>2</v>
      </c>
      <c r="L2107" t="str">
        <f t="shared" si="164"/>
        <v>FC Barcelona</v>
      </c>
      <c r="M2107" t="str">
        <f>IF(COUNTIF($A$2:A2107,A2107)=1,
     VLOOKUP(A2107,Season_Winners!A:B,2,FALSE),
     "")</f>
        <v/>
      </c>
    </row>
    <row r="2108" spans="1:13" x14ac:dyDescent="0.3">
      <c r="A2108" t="s">
        <v>745</v>
      </c>
      <c r="B2108">
        <v>21</v>
      </c>
      <c r="C2108" t="s">
        <v>824</v>
      </c>
      <c r="D2108" t="str">
        <f t="shared" si="160"/>
        <v>27.01.2019</v>
      </c>
      <c r="E2108" s="1">
        <v>0.77083333333333337</v>
      </c>
      <c r="F2108" t="s">
        <v>15</v>
      </c>
      <c r="G2108" t="s">
        <v>26</v>
      </c>
      <c r="H2108" t="s">
        <v>18</v>
      </c>
      <c r="I2108" t="str">
        <f t="shared" si="161"/>
        <v>1-0</v>
      </c>
      <c r="J2108" t="str">
        <f t="shared" si="162"/>
        <v>1</v>
      </c>
      <c r="K2108" t="str">
        <f t="shared" si="163"/>
        <v>0</v>
      </c>
      <c r="L2108" t="str">
        <f t="shared" si="164"/>
        <v>Athletic Club</v>
      </c>
      <c r="M2108" t="str">
        <f>IF(COUNTIF($A$2:A2108,A2108)=1,
     VLOOKUP(A2108,Season_Winners!A:B,2,FALSE),
     "")</f>
        <v/>
      </c>
    </row>
    <row r="2109" spans="1:13" x14ac:dyDescent="0.3">
      <c r="A2109" t="s">
        <v>745</v>
      </c>
      <c r="B2109">
        <v>21</v>
      </c>
      <c r="C2109" t="s">
        <v>824</v>
      </c>
      <c r="D2109" t="str">
        <f t="shared" si="160"/>
        <v>27.01.2019</v>
      </c>
      <c r="E2109" s="1">
        <v>0.77083333333333337</v>
      </c>
      <c r="F2109" t="s">
        <v>10</v>
      </c>
      <c r="G2109" t="s">
        <v>750</v>
      </c>
      <c r="H2109" t="s">
        <v>41</v>
      </c>
      <c r="I2109" t="str">
        <f t="shared" si="161"/>
        <v>0-0</v>
      </c>
      <c r="J2109" t="str">
        <f t="shared" si="162"/>
        <v>0</v>
      </c>
      <c r="K2109" t="str">
        <f t="shared" si="163"/>
        <v>0</v>
      </c>
      <c r="L2109" t="str">
        <f t="shared" si="164"/>
        <v>Draw</v>
      </c>
      <c r="M2109" t="str">
        <f>IF(COUNTIF($A$2:A2109,A2109)=1,
     VLOOKUP(A2109,Season_Winners!A:B,2,FALSE),
     "")</f>
        <v/>
      </c>
    </row>
    <row r="2110" spans="1:13" hidden="1" x14ac:dyDescent="0.3">
      <c r="A2110" t="s">
        <v>745</v>
      </c>
      <c r="B2110">
        <v>21</v>
      </c>
      <c r="C2110" t="s">
        <v>824</v>
      </c>
      <c r="D2110" t="str">
        <f t="shared" si="160"/>
        <v>27.01.2019</v>
      </c>
      <c r="E2110" s="1">
        <v>0.86458333333333337</v>
      </c>
      <c r="F2110" t="s">
        <v>36</v>
      </c>
      <c r="G2110" t="s">
        <v>25</v>
      </c>
      <c r="H2110" s="2">
        <v>46114</v>
      </c>
      <c r="I2110" s="3" t="str">
        <f t="shared" si="161"/>
        <v/>
      </c>
      <c r="J2110" t="str">
        <f t="shared" si="162"/>
        <v/>
      </c>
      <c r="K2110" t="str">
        <f t="shared" si="163"/>
        <v/>
      </c>
      <c r="L2110" t="str">
        <f t="shared" si="164"/>
        <v/>
      </c>
      <c r="M2110" t="str">
        <f>IF(COUNTIF($A$2:A2110,A2110)=1,
     VLOOKUP(A2110,Season_Winners!A:B,2,FALSE),
     "")</f>
        <v/>
      </c>
    </row>
    <row r="2111" spans="1:13" x14ac:dyDescent="0.3">
      <c r="A2111" t="s">
        <v>745</v>
      </c>
      <c r="B2111">
        <v>21</v>
      </c>
      <c r="C2111" t="s">
        <v>825</v>
      </c>
      <c r="D2111" t="str">
        <f t="shared" si="160"/>
        <v>28.01.2019</v>
      </c>
      <c r="E2111" s="1">
        <v>0.875</v>
      </c>
      <c r="F2111" t="s">
        <v>464</v>
      </c>
      <c r="G2111" t="s">
        <v>30</v>
      </c>
      <c r="H2111" t="s">
        <v>42</v>
      </c>
      <c r="I2111" t="str">
        <f t="shared" si="161"/>
        <v>0-1</v>
      </c>
      <c r="J2111" t="str">
        <f t="shared" si="162"/>
        <v>0</v>
      </c>
      <c r="K2111" t="str">
        <f t="shared" si="163"/>
        <v>1</v>
      </c>
      <c r="L2111" t="str">
        <f t="shared" si="164"/>
        <v>Rayo Vallecano</v>
      </c>
      <c r="M2111" t="str">
        <f>IF(COUNTIF($A$2:A2111,A2111)=1,
     VLOOKUP(A2111,Season_Winners!A:B,2,FALSE),
     "")</f>
        <v/>
      </c>
    </row>
    <row r="2112" spans="1:13" x14ac:dyDescent="0.3">
      <c r="A2112" t="s">
        <v>745</v>
      </c>
      <c r="B2112">
        <v>22</v>
      </c>
      <c r="C2112" t="s">
        <v>826</v>
      </c>
      <c r="D2112" t="str">
        <f t="shared" si="160"/>
        <v>01.02.2019</v>
      </c>
      <c r="E2112" s="1">
        <v>0.875</v>
      </c>
      <c r="F2112" t="s">
        <v>750</v>
      </c>
      <c r="G2112" t="s">
        <v>14</v>
      </c>
      <c r="H2112" t="s">
        <v>88</v>
      </c>
      <c r="I2112" t="str">
        <f t="shared" si="161"/>
        <v>4-0</v>
      </c>
      <c r="J2112" t="str">
        <f t="shared" si="162"/>
        <v>4</v>
      </c>
      <c r="K2112" t="str">
        <f t="shared" si="163"/>
        <v>0</v>
      </c>
      <c r="L2112" t="str">
        <f t="shared" si="164"/>
        <v>SD Huesca</v>
      </c>
      <c r="M2112" t="str">
        <f>IF(COUNTIF($A$2:A2112,A2112)=1,
     VLOOKUP(A2112,Season_Winners!A:B,2,FALSE),
     "")</f>
        <v/>
      </c>
    </row>
    <row r="2113" spans="1:13" x14ac:dyDescent="0.3">
      <c r="A2113" t="s">
        <v>745</v>
      </c>
      <c r="B2113">
        <v>22</v>
      </c>
      <c r="C2113" t="s">
        <v>827</v>
      </c>
      <c r="D2113" t="str">
        <f t="shared" si="160"/>
        <v>02.02.2019</v>
      </c>
      <c r="E2113" s="1">
        <v>0.54166666666666663</v>
      </c>
      <c r="F2113" t="s">
        <v>21</v>
      </c>
      <c r="G2113" t="s">
        <v>11</v>
      </c>
      <c r="H2113" t="s">
        <v>41</v>
      </c>
      <c r="I2113" t="str">
        <f t="shared" si="161"/>
        <v>0-0</v>
      </c>
      <c r="J2113" t="str">
        <f t="shared" si="162"/>
        <v>0</v>
      </c>
      <c r="K2113" t="str">
        <f t="shared" si="163"/>
        <v>0</v>
      </c>
      <c r="L2113" t="str">
        <f t="shared" si="164"/>
        <v>Draw</v>
      </c>
      <c r="M2113" t="str">
        <f>IF(COUNTIF($A$2:A2113,A2113)=1,
     VLOOKUP(A2113,Season_Winners!A:B,2,FALSE),
     "")</f>
        <v/>
      </c>
    </row>
    <row r="2114" spans="1:13" hidden="1" x14ac:dyDescent="0.3">
      <c r="A2114" t="s">
        <v>745</v>
      </c>
      <c r="B2114">
        <v>22</v>
      </c>
      <c r="C2114" t="s">
        <v>827</v>
      </c>
      <c r="D2114" t="str">
        <f t="shared" ref="D2114:D2177" si="165">RIGHT(C2114,10)</f>
        <v>02.02.2019</v>
      </c>
      <c r="E2114" s="1">
        <v>0.67708333333333337</v>
      </c>
      <c r="F2114" t="s">
        <v>10</v>
      </c>
      <c r="G2114" t="s">
        <v>15</v>
      </c>
      <c r="H2114" s="2">
        <v>46024</v>
      </c>
      <c r="I2114" s="3" t="str">
        <f t="shared" ref="I2114:I2177" si="166">IF(ISNUMBER(SEARCH("-",H2114)),H2114,"")</f>
        <v/>
      </c>
      <c r="J2114" t="str">
        <f t="shared" ref="J2114:J2177" si="167">IF(I2114="","",LEFT(I2114,FIND("-",I2114)-1))</f>
        <v/>
      </c>
      <c r="K2114" t="str">
        <f t="shared" ref="K2114:K2177" si="168">IF(I2114="","",RIGHT(I2114,LEN(I2114)-FIND("-",I2114)))</f>
        <v/>
      </c>
      <c r="L2114" t="str">
        <f t="shared" ref="L2114:L2177" si="169">IF(I2114="","",IF(J2114&gt;K2114,F2114,IF(K2114&gt;J2114,G2114,"Draw")))</f>
        <v/>
      </c>
      <c r="M2114" t="str">
        <f>IF(COUNTIF($A$2:A2114,A2114)=1,
     VLOOKUP(A2114,Season_Winners!A:B,2,FALSE),
     "")</f>
        <v/>
      </c>
    </row>
    <row r="2115" spans="1:13" hidden="1" x14ac:dyDescent="0.3">
      <c r="A2115" t="s">
        <v>745</v>
      </c>
      <c r="B2115">
        <v>22</v>
      </c>
      <c r="C2115" t="s">
        <v>827</v>
      </c>
      <c r="D2115" t="str">
        <f t="shared" si="165"/>
        <v>02.02.2019</v>
      </c>
      <c r="E2115" s="1">
        <v>0.77083333333333337</v>
      </c>
      <c r="F2115" t="s">
        <v>20</v>
      </c>
      <c r="G2115" t="s">
        <v>16</v>
      </c>
      <c r="H2115" s="2">
        <v>46055</v>
      </c>
      <c r="I2115" s="3" t="str">
        <f t="shared" si="166"/>
        <v/>
      </c>
      <c r="J2115" t="str">
        <f t="shared" si="167"/>
        <v/>
      </c>
      <c r="K2115" t="str">
        <f t="shared" si="168"/>
        <v/>
      </c>
      <c r="L2115" t="str">
        <f t="shared" si="169"/>
        <v/>
      </c>
      <c r="M2115" t="str">
        <f>IF(COUNTIF($A$2:A2115,A2115)=1,
     VLOOKUP(A2115,Season_Winners!A:B,2,FALSE),
     "")</f>
        <v/>
      </c>
    </row>
    <row r="2116" spans="1:13" x14ac:dyDescent="0.3">
      <c r="A2116" t="s">
        <v>745</v>
      </c>
      <c r="B2116">
        <v>22</v>
      </c>
      <c r="C2116" t="s">
        <v>827</v>
      </c>
      <c r="D2116" t="str">
        <f t="shared" si="165"/>
        <v>02.02.2019</v>
      </c>
      <c r="E2116" s="1">
        <v>0.86458333333333337</v>
      </c>
      <c r="F2116" t="s">
        <v>35</v>
      </c>
      <c r="G2116" t="s">
        <v>27</v>
      </c>
      <c r="H2116" t="s">
        <v>18</v>
      </c>
      <c r="I2116" t="str">
        <f t="shared" si="166"/>
        <v>1-0</v>
      </c>
      <c r="J2116" t="str">
        <f t="shared" si="167"/>
        <v>1</v>
      </c>
      <c r="K2116" t="str">
        <f t="shared" si="168"/>
        <v>0</v>
      </c>
      <c r="L2116" t="str">
        <f t="shared" si="169"/>
        <v>RC Celta</v>
      </c>
      <c r="M2116" t="str">
        <f>IF(COUNTIF($A$2:A2116,A2116)=1,
     VLOOKUP(A2116,Season_Winners!A:B,2,FALSE),
     "")</f>
        <v/>
      </c>
    </row>
    <row r="2117" spans="1:13" hidden="1" x14ac:dyDescent="0.3">
      <c r="A2117" t="s">
        <v>745</v>
      </c>
      <c r="B2117">
        <v>22</v>
      </c>
      <c r="C2117" t="s">
        <v>828</v>
      </c>
      <c r="D2117" t="str">
        <f t="shared" si="165"/>
        <v>03.02.2019</v>
      </c>
      <c r="E2117" s="1">
        <v>0.5</v>
      </c>
      <c r="F2117" t="s">
        <v>34</v>
      </c>
      <c r="G2117" t="s">
        <v>36</v>
      </c>
      <c r="H2117" s="2">
        <v>46055</v>
      </c>
      <c r="I2117" s="3" t="str">
        <f t="shared" si="166"/>
        <v/>
      </c>
      <c r="J2117" t="str">
        <f t="shared" si="167"/>
        <v/>
      </c>
      <c r="K2117" t="str">
        <f t="shared" si="168"/>
        <v/>
      </c>
      <c r="L2117" t="str">
        <f t="shared" si="169"/>
        <v/>
      </c>
      <c r="M2117" t="str">
        <f>IF(COUNTIF($A$2:A2117,A2117)=1,
     VLOOKUP(A2117,Season_Winners!A:B,2,FALSE),
     "")</f>
        <v/>
      </c>
    </row>
    <row r="2118" spans="1:13" x14ac:dyDescent="0.3">
      <c r="A2118" t="s">
        <v>745</v>
      </c>
      <c r="B2118">
        <v>22</v>
      </c>
      <c r="C2118" t="s">
        <v>828</v>
      </c>
      <c r="D2118" t="str">
        <f t="shared" si="165"/>
        <v>03.02.2019</v>
      </c>
      <c r="E2118" s="1">
        <v>0.67708333333333337</v>
      </c>
      <c r="F2118" t="s">
        <v>26</v>
      </c>
      <c r="G2118" t="s">
        <v>1425</v>
      </c>
      <c r="H2118" t="s">
        <v>18</v>
      </c>
      <c r="I2118" t="str">
        <f t="shared" si="166"/>
        <v>1-0</v>
      </c>
      <c r="J2118" t="str">
        <f t="shared" si="167"/>
        <v>1</v>
      </c>
      <c r="K2118" t="str">
        <f t="shared" si="168"/>
        <v>0</v>
      </c>
      <c r="L2118" t="str">
        <f t="shared" si="169"/>
        <v>Real Betis</v>
      </c>
      <c r="M2118" t="str">
        <f>IF(COUNTIF($A$2:A2118,A2118)=1,
     VLOOKUP(A2118,Season_Winners!A:B,2,FALSE),
     "")</f>
        <v/>
      </c>
    </row>
    <row r="2119" spans="1:13" x14ac:dyDescent="0.3">
      <c r="A2119" t="s">
        <v>745</v>
      </c>
      <c r="B2119">
        <v>22</v>
      </c>
      <c r="C2119" t="s">
        <v>828</v>
      </c>
      <c r="D2119" t="str">
        <f t="shared" si="165"/>
        <v>03.02.2019</v>
      </c>
      <c r="E2119" s="1">
        <v>0.77083333333333337</v>
      </c>
      <c r="F2119" t="s">
        <v>187</v>
      </c>
      <c r="G2119" t="s">
        <v>606</v>
      </c>
      <c r="H2119" t="s">
        <v>32</v>
      </c>
      <c r="I2119" t="str">
        <f t="shared" si="166"/>
        <v>3-0</v>
      </c>
      <c r="J2119" t="str">
        <f t="shared" si="167"/>
        <v>3</v>
      </c>
      <c r="K2119" t="str">
        <f t="shared" si="168"/>
        <v>0</v>
      </c>
      <c r="L2119" t="str">
        <f t="shared" si="169"/>
        <v>SD Eibar</v>
      </c>
      <c r="M2119" t="str">
        <f>IF(COUNTIF($A$2:A2119,A2119)=1,
     VLOOKUP(A2119,Season_Winners!A:B,2,FALSE),
     "")</f>
        <v/>
      </c>
    </row>
    <row r="2120" spans="1:13" x14ac:dyDescent="0.3">
      <c r="A2120" t="s">
        <v>745</v>
      </c>
      <c r="B2120">
        <v>22</v>
      </c>
      <c r="C2120" t="s">
        <v>828</v>
      </c>
      <c r="D2120" t="str">
        <f t="shared" si="165"/>
        <v>03.02.2019</v>
      </c>
      <c r="E2120" s="1">
        <v>0.86458333333333337</v>
      </c>
      <c r="F2120" t="s">
        <v>25</v>
      </c>
      <c r="G2120" t="s">
        <v>464</v>
      </c>
      <c r="H2120" t="s">
        <v>32</v>
      </c>
      <c r="I2120" t="str">
        <f t="shared" si="166"/>
        <v>3-0</v>
      </c>
      <c r="J2120" t="str">
        <f t="shared" si="167"/>
        <v>3</v>
      </c>
      <c r="K2120" t="str">
        <f t="shared" si="168"/>
        <v>0</v>
      </c>
      <c r="L2120" t="str">
        <f t="shared" si="169"/>
        <v>Real Madrid</v>
      </c>
      <c r="M2120" t="str">
        <f>IF(COUNTIF($A$2:A2120,A2120)=1,
     VLOOKUP(A2120,Season_Winners!A:B,2,FALSE),
     "")</f>
        <v/>
      </c>
    </row>
    <row r="2121" spans="1:13" hidden="1" x14ac:dyDescent="0.3">
      <c r="A2121" t="s">
        <v>745</v>
      </c>
      <c r="B2121">
        <v>22</v>
      </c>
      <c r="C2121" t="s">
        <v>829</v>
      </c>
      <c r="D2121" t="str">
        <f t="shared" si="165"/>
        <v>04.02.2019</v>
      </c>
      <c r="E2121" s="1">
        <v>0.875</v>
      </c>
      <c r="F2121" t="s">
        <v>30</v>
      </c>
      <c r="G2121" t="s">
        <v>466</v>
      </c>
      <c r="H2121" s="2">
        <v>46054</v>
      </c>
      <c r="I2121" s="3" t="str">
        <f t="shared" si="166"/>
        <v/>
      </c>
      <c r="J2121" t="str">
        <f t="shared" si="167"/>
        <v/>
      </c>
      <c r="K2121" t="str">
        <f t="shared" si="168"/>
        <v/>
      </c>
      <c r="L2121" t="str">
        <f t="shared" si="169"/>
        <v/>
      </c>
      <c r="M2121" t="str">
        <f>IF(COUNTIF($A$2:A2121,A2121)=1,
     VLOOKUP(A2121,Season_Winners!A:B,2,FALSE),
     "")</f>
        <v/>
      </c>
    </row>
    <row r="2122" spans="1:13" x14ac:dyDescent="0.3">
      <c r="A2122" t="s">
        <v>745</v>
      </c>
      <c r="B2122">
        <v>23</v>
      </c>
      <c r="C2122" t="s">
        <v>830</v>
      </c>
      <c r="D2122" t="str">
        <f t="shared" si="165"/>
        <v>08.02.2019</v>
      </c>
      <c r="E2122" s="1">
        <v>0.875</v>
      </c>
      <c r="F2122" t="s">
        <v>14</v>
      </c>
      <c r="G2122" t="s">
        <v>34</v>
      </c>
      <c r="H2122" t="s">
        <v>41</v>
      </c>
      <c r="I2122" t="str">
        <f t="shared" si="166"/>
        <v>0-0</v>
      </c>
      <c r="J2122" t="str">
        <f t="shared" si="167"/>
        <v>0</v>
      </c>
      <c r="K2122" t="str">
        <f t="shared" si="168"/>
        <v>0</v>
      </c>
      <c r="L2122" t="str">
        <f t="shared" si="169"/>
        <v>Draw</v>
      </c>
      <c r="M2122" t="str">
        <f>IF(COUNTIF($A$2:A2122,A2122)=1,
     VLOOKUP(A2122,Season_Winners!A:B,2,FALSE),
     "")</f>
        <v/>
      </c>
    </row>
    <row r="2123" spans="1:13" hidden="1" x14ac:dyDescent="0.3">
      <c r="A2123" t="s">
        <v>745</v>
      </c>
      <c r="B2123">
        <v>23</v>
      </c>
      <c r="C2123" t="s">
        <v>831</v>
      </c>
      <c r="D2123" t="str">
        <f t="shared" si="165"/>
        <v>09.02.2019</v>
      </c>
      <c r="E2123" s="1">
        <v>0.54166666666666663</v>
      </c>
      <c r="F2123" t="s">
        <v>11</v>
      </c>
      <c r="G2123" t="s">
        <v>35</v>
      </c>
      <c r="H2123" s="2">
        <v>46025</v>
      </c>
      <c r="I2123" s="3" t="str">
        <f t="shared" si="166"/>
        <v/>
      </c>
      <c r="J2123" t="str">
        <f t="shared" si="167"/>
        <v/>
      </c>
      <c r="K2123" t="str">
        <f t="shared" si="168"/>
        <v/>
      </c>
      <c r="L2123" t="str">
        <f t="shared" si="169"/>
        <v/>
      </c>
      <c r="M2123" t="str">
        <f>IF(COUNTIF($A$2:A2123,A2123)=1,
     VLOOKUP(A2123,Season_Winners!A:B,2,FALSE),
     "")</f>
        <v/>
      </c>
    </row>
    <row r="2124" spans="1:13" hidden="1" x14ac:dyDescent="0.3">
      <c r="A2124" t="s">
        <v>745</v>
      </c>
      <c r="B2124">
        <v>23</v>
      </c>
      <c r="C2124" t="s">
        <v>831</v>
      </c>
      <c r="D2124" t="str">
        <f t="shared" si="165"/>
        <v>09.02.2019</v>
      </c>
      <c r="E2124" s="1">
        <v>0.67708333333333337</v>
      </c>
      <c r="F2124" t="s">
        <v>28</v>
      </c>
      <c r="G2124" t="s">
        <v>25</v>
      </c>
      <c r="H2124" s="2">
        <v>46082</v>
      </c>
      <c r="I2124" s="3" t="str">
        <f t="shared" si="166"/>
        <v/>
      </c>
      <c r="J2124" t="str">
        <f t="shared" si="167"/>
        <v/>
      </c>
      <c r="K2124" t="str">
        <f t="shared" si="168"/>
        <v/>
      </c>
      <c r="L2124" t="str">
        <f t="shared" si="169"/>
        <v/>
      </c>
      <c r="M2124" t="str">
        <f>IF(COUNTIF($A$2:A2124,A2124)=1,
     VLOOKUP(A2124,Season_Winners!A:B,2,FALSE),
     "")</f>
        <v/>
      </c>
    </row>
    <row r="2125" spans="1:13" hidden="1" x14ac:dyDescent="0.3">
      <c r="A2125" t="s">
        <v>745</v>
      </c>
      <c r="B2125">
        <v>23</v>
      </c>
      <c r="C2125" t="s">
        <v>831</v>
      </c>
      <c r="D2125" t="str">
        <f t="shared" si="165"/>
        <v>09.02.2019</v>
      </c>
      <c r="E2125" s="1">
        <v>0.77083333333333337</v>
      </c>
      <c r="F2125" t="s">
        <v>36</v>
      </c>
      <c r="G2125" t="s">
        <v>30</v>
      </c>
      <c r="H2125" s="2">
        <v>46024</v>
      </c>
      <c r="I2125" s="3" t="str">
        <f t="shared" si="166"/>
        <v/>
      </c>
      <c r="J2125" t="str">
        <f t="shared" si="167"/>
        <v/>
      </c>
      <c r="K2125" t="str">
        <f t="shared" si="168"/>
        <v/>
      </c>
      <c r="L2125" t="str">
        <f t="shared" si="169"/>
        <v/>
      </c>
      <c r="M2125" t="str">
        <f>IF(COUNTIF($A$2:A2125,A2125)=1,
     VLOOKUP(A2125,Season_Winners!A:B,2,FALSE),
     "")</f>
        <v/>
      </c>
    </row>
    <row r="2126" spans="1:13" x14ac:dyDescent="0.3">
      <c r="A2126" t="s">
        <v>745</v>
      </c>
      <c r="B2126">
        <v>23</v>
      </c>
      <c r="C2126" t="s">
        <v>831</v>
      </c>
      <c r="D2126" t="str">
        <f t="shared" si="165"/>
        <v>09.02.2019</v>
      </c>
      <c r="E2126" s="1">
        <v>0.86458333333333337</v>
      </c>
      <c r="F2126" t="s">
        <v>606</v>
      </c>
      <c r="G2126" t="s">
        <v>750</v>
      </c>
      <c r="H2126" t="s">
        <v>54</v>
      </c>
      <c r="I2126" t="str">
        <f t="shared" si="166"/>
        <v>0-2</v>
      </c>
      <c r="J2126" t="str">
        <f t="shared" si="167"/>
        <v>0</v>
      </c>
      <c r="K2126" t="str">
        <f t="shared" si="168"/>
        <v>2</v>
      </c>
      <c r="L2126" t="str">
        <f t="shared" si="169"/>
        <v>SD Huesca</v>
      </c>
      <c r="M2126" t="str">
        <f>IF(COUNTIF($A$2:A2126,A2126)=1,
     VLOOKUP(A2126,Season_Winners!A:B,2,FALSE),
     "")</f>
        <v/>
      </c>
    </row>
    <row r="2127" spans="1:13" x14ac:dyDescent="0.3">
      <c r="A2127" t="s">
        <v>745</v>
      </c>
      <c r="B2127">
        <v>23</v>
      </c>
      <c r="C2127" t="s">
        <v>832</v>
      </c>
      <c r="D2127" t="str">
        <f t="shared" si="165"/>
        <v>10.02.2019</v>
      </c>
      <c r="E2127" s="1">
        <v>0.5</v>
      </c>
      <c r="F2127" t="s">
        <v>466</v>
      </c>
      <c r="G2127" t="s">
        <v>26</v>
      </c>
      <c r="H2127" t="s">
        <v>32</v>
      </c>
      <c r="I2127" t="str">
        <f t="shared" si="166"/>
        <v>3-0</v>
      </c>
      <c r="J2127" t="str">
        <f t="shared" si="167"/>
        <v>3</v>
      </c>
      <c r="K2127" t="str">
        <f t="shared" si="168"/>
        <v>0</v>
      </c>
      <c r="L2127" t="str">
        <f t="shared" si="169"/>
        <v>CD LeganÃ©s</v>
      </c>
      <c r="M2127" t="str">
        <f>IF(COUNTIF($A$2:A2127,A2127)=1,
     VLOOKUP(A2127,Season_Winners!A:B,2,FALSE),
     "")</f>
        <v/>
      </c>
    </row>
    <row r="2128" spans="1:13" x14ac:dyDescent="0.3">
      <c r="A2128" t="s">
        <v>745</v>
      </c>
      <c r="B2128">
        <v>23</v>
      </c>
      <c r="C2128" t="s">
        <v>832</v>
      </c>
      <c r="D2128" t="str">
        <f t="shared" si="165"/>
        <v>10.02.2019</v>
      </c>
      <c r="E2128" s="1">
        <v>0.67708333333333337</v>
      </c>
      <c r="F2128" t="s">
        <v>16</v>
      </c>
      <c r="G2128" t="s">
        <v>10</v>
      </c>
      <c r="H2128" t="s">
        <v>41</v>
      </c>
      <c r="I2128" t="str">
        <f t="shared" si="166"/>
        <v>0-0</v>
      </c>
      <c r="J2128" t="str">
        <f t="shared" si="167"/>
        <v>0</v>
      </c>
      <c r="K2128" t="str">
        <f t="shared" si="168"/>
        <v>0</v>
      </c>
      <c r="L2128" t="str">
        <f t="shared" si="169"/>
        <v>Draw</v>
      </c>
      <c r="M2128" t="str">
        <f>IF(COUNTIF($A$2:A2128,A2128)=1,
     VLOOKUP(A2128,Season_Winners!A:B,2,FALSE),
     "")</f>
        <v/>
      </c>
    </row>
    <row r="2129" spans="1:13" hidden="1" x14ac:dyDescent="0.3">
      <c r="A2129" t="s">
        <v>745</v>
      </c>
      <c r="B2129">
        <v>23</v>
      </c>
      <c r="C2129" t="s">
        <v>832</v>
      </c>
      <c r="D2129" t="str">
        <f t="shared" si="165"/>
        <v>10.02.2019</v>
      </c>
      <c r="E2129" s="1">
        <v>0.77083333333333337</v>
      </c>
      <c r="F2129" t="s">
        <v>27</v>
      </c>
      <c r="G2129" t="s">
        <v>187</v>
      </c>
      <c r="H2129" s="2">
        <v>46055</v>
      </c>
      <c r="I2129" s="3" t="str">
        <f t="shared" si="166"/>
        <v/>
      </c>
      <c r="J2129" t="str">
        <f t="shared" si="167"/>
        <v/>
      </c>
      <c r="K2129" t="str">
        <f t="shared" si="168"/>
        <v/>
      </c>
      <c r="L2129" t="str">
        <f t="shared" si="169"/>
        <v/>
      </c>
      <c r="M2129" t="str">
        <f>IF(COUNTIF($A$2:A2129,A2129)=1,
     VLOOKUP(A2129,Season_Winners!A:B,2,FALSE),
     "")</f>
        <v/>
      </c>
    </row>
    <row r="2130" spans="1:13" x14ac:dyDescent="0.3">
      <c r="A2130" t="s">
        <v>745</v>
      </c>
      <c r="B2130">
        <v>23</v>
      </c>
      <c r="C2130" t="s">
        <v>832</v>
      </c>
      <c r="D2130" t="str">
        <f t="shared" si="165"/>
        <v>10.02.2019</v>
      </c>
      <c r="E2130" s="1">
        <v>0.86458333333333337</v>
      </c>
      <c r="F2130" t="s">
        <v>15</v>
      </c>
      <c r="G2130" t="s">
        <v>20</v>
      </c>
      <c r="H2130" t="s">
        <v>41</v>
      </c>
      <c r="I2130" t="str">
        <f t="shared" si="166"/>
        <v>0-0</v>
      </c>
      <c r="J2130" t="str">
        <f t="shared" si="167"/>
        <v>0</v>
      </c>
      <c r="K2130" t="str">
        <f t="shared" si="168"/>
        <v>0</v>
      </c>
      <c r="L2130" t="str">
        <f t="shared" si="169"/>
        <v>Draw</v>
      </c>
      <c r="M2130" t="str">
        <f>IF(COUNTIF($A$2:A2130,A2130)=1,
     VLOOKUP(A2130,Season_Winners!A:B,2,FALSE),
     "")</f>
        <v/>
      </c>
    </row>
    <row r="2131" spans="1:13" x14ac:dyDescent="0.3">
      <c r="A2131" t="s">
        <v>745</v>
      </c>
      <c r="B2131">
        <v>23</v>
      </c>
      <c r="C2131" t="s">
        <v>833</v>
      </c>
      <c r="D2131" t="str">
        <f t="shared" si="165"/>
        <v>11.02.2019</v>
      </c>
      <c r="E2131" s="1">
        <v>0.875</v>
      </c>
      <c r="F2131" t="s">
        <v>464</v>
      </c>
      <c r="G2131" t="s">
        <v>21</v>
      </c>
      <c r="H2131" t="s">
        <v>12</v>
      </c>
      <c r="I2131" t="str">
        <f t="shared" si="166"/>
        <v>2-0</v>
      </c>
      <c r="J2131" t="str">
        <f t="shared" si="167"/>
        <v>2</v>
      </c>
      <c r="K2131" t="str">
        <f t="shared" si="168"/>
        <v>0</v>
      </c>
      <c r="L2131" t="str">
        <f t="shared" si="169"/>
        <v>Deportivo AlavÃ©s</v>
      </c>
      <c r="M2131" t="str">
        <f>IF(COUNTIF($A$2:A2131,A2131)=1,
     VLOOKUP(A2131,Season_Winners!A:B,2,FALSE),
     "")</f>
        <v/>
      </c>
    </row>
    <row r="2132" spans="1:13" hidden="1" x14ac:dyDescent="0.3">
      <c r="A2132" t="s">
        <v>745</v>
      </c>
      <c r="B2132">
        <v>24</v>
      </c>
      <c r="C2132" t="s">
        <v>834</v>
      </c>
      <c r="D2132" t="str">
        <f t="shared" si="165"/>
        <v>15.02.2019</v>
      </c>
      <c r="E2132" s="1">
        <v>0.875</v>
      </c>
      <c r="F2132" t="s">
        <v>187</v>
      </c>
      <c r="G2132" t="s">
        <v>11</v>
      </c>
      <c r="H2132" s="2">
        <v>46055</v>
      </c>
      <c r="I2132" s="3" t="str">
        <f t="shared" si="166"/>
        <v/>
      </c>
      <c r="J2132" t="str">
        <f t="shared" si="167"/>
        <v/>
      </c>
      <c r="K2132" t="str">
        <f t="shared" si="168"/>
        <v/>
      </c>
      <c r="L2132" t="str">
        <f t="shared" si="169"/>
        <v/>
      </c>
      <c r="M2132" t="str">
        <f>IF(COUNTIF($A$2:A2132,A2132)=1,
     VLOOKUP(A2132,Season_Winners!A:B,2,FALSE),
     "")</f>
        <v/>
      </c>
    </row>
    <row r="2133" spans="1:13" hidden="1" x14ac:dyDescent="0.3">
      <c r="A2133" t="s">
        <v>745</v>
      </c>
      <c r="B2133">
        <v>24</v>
      </c>
      <c r="C2133" t="s">
        <v>835</v>
      </c>
      <c r="D2133" t="str">
        <f t="shared" si="165"/>
        <v>16.02.2019</v>
      </c>
      <c r="E2133" s="1">
        <v>0.54166666666666663</v>
      </c>
      <c r="F2133" t="s">
        <v>35</v>
      </c>
      <c r="G2133" t="s">
        <v>21</v>
      </c>
      <c r="H2133" s="2">
        <v>46113</v>
      </c>
      <c r="I2133" s="3" t="str">
        <f t="shared" si="166"/>
        <v/>
      </c>
      <c r="J2133" t="str">
        <f t="shared" si="167"/>
        <v/>
      </c>
      <c r="K2133" t="str">
        <f t="shared" si="168"/>
        <v/>
      </c>
      <c r="L2133" t="str">
        <f t="shared" si="169"/>
        <v/>
      </c>
      <c r="M2133" t="str">
        <f>IF(COUNTIF($A$2:A2133,A2133)=1,
     VLOOKUP(A2133,Season_Winners!A:B,2,FALSE),
     "")</f>
        <v/>
      </c>
    </row>
    <row r="2134" spans="1:13" x14ac:dyDescent="0.3">
      <c r="A2134" t="s">
        <v>745</v>
      </c>
      <c r="B2134">
        <v>24</v>
      </c>
      <c r="C2134" t="s">
        <v>835</v>
      </c>
      <c r="D2134" t="str">
        <f t="shared" si="165"/>
        <v>16.02.2019</v>
      </c>
      <c r="E2134" s="1">
        <v>0.67708333333333337</v>
      </c>
      <c r="F2134" t="s">
        <v>30</v>
      </c>
      <c r="G2134" t="s">
        <v>1425</v>
      </c>
      <c r="H2134" t="s">
        <v>42</v>
      </c>
      <c r="I2134" t="str">
        <f t="shared" si="166"/>
        <v>0-1</v>
      </c>
      <c r="J2134" t="str">
        <f t="shared" si="167"/>
        <v>0</v>
      </c>
      <c r="K2134" t="str">
        <f t="shared" si="168"/>
        <v>1</v>
      </c>
      <c r="L2134" t="str">
        <f t="shared" si="169"/>
        <v>Atlético de Madrid</v>
      </c>
      <c r="M2134" t="str">
        <f>IF(COUNTIF($A$2:A2134,A2134)=1,
     VLOOKUP(A2134,Season_Winners!A:B,2,FALSE),
     "")</f>
        <v/>
      </c>
    </row>
    <row r="2135" spans="1:13" x14ac:dyDescent="0.3">
      <c r="A2135" t="s">
        <v>745</v>
      </c>
      <c r="B2135">
        <v>24</v>
      </c>
      <c r="C2135" t="s">
        <v>835</v>
      </c>
      <c r="D2135" t="str">
        <f t="shared" si="165"/>
        <v>16.02.2019</v>
      </c>
      <c r="E2135" s="1">
        <v>0.77083333333333337</v>
      </c>
      <c r="F2135" t="s">
        <v>10</v>
      </c>
      <c r="G2135" t="s">
        <v>466</v>
      </c>
      <c r="H2135" t="s">
        <v>32</v>
      </c>
      <c r="I2135" t="str">
        <f t="shared" si="166"/>
        <v>3-0</v>
      </c>
      <c r="J2135" t="str">
        <f t="shared" si="167"/>
        <v>3</v>
      </c>
      <c r="K2135" t="str">
        <f t="shared" si="168"/>
        <v>0</v>
      </c>
      <c r="L2135" t="str">
        <f t="shared" si="169"/>
        <v>Real Sociedad</v>
      </c>
      <c r="M2135" t="str">
        <f>IF(COUNTIF($A$2:A2135,A2135)=1,
     VLOOKUP(A2135,Season_Winners!A:B,2,FALSE),
     "")</f>
        <v/>
      </c>
    </row>
    <row r="2136" spans="1:13" x14ac:dyDescent="0.3">
      <c r="A2136" t="s">
        <v>745</v>
      </c>
      <c r="B2136">
        <v>24</v>
      </c>
      <c r="C2136" t="s">
        <v>835</v>
      </c>
      <c r="D2136" t="str">
        <f t="shared" si="165"/>
        <v>16.02.2019</v>
      </c>
      <c r="E2136" s="1">
        <v>0.86458333333333337</v>
      </c>
      <c r="F2136" t="s">
        <v>20</v>
      </c>
      <c r="G2136" t="s">
        <v>14</v>
      </c>
      <c r="H2136" t="s">
        <v>18</v>
      </c>
      <c r="I2136" t="str">
        <f t="shared" si="166"/>
        <v>1-0</v>
      </c>
      <c r="J2136" t="str">
        <f t="shared" si="167"/>
        <v>1</v>
      </c>
      <c r="K2136" t="str">
        <f t="shared" si="168"/>
        <v>0</v>
      </c>
      <c r="L2136" t="str">
        <f t="shared" si="169"/>
        <v>FC Barcelona</v>
      </c>
      <c r="M2136" t="str">
        <f>IF(COUNTIF($A$2:A2136,A2136)=1,
     VLOOKUP(A2136,Season_Winners!A:B,2,FALSE),
     "")</f>
        <v/>
      </c>
    </row>
    <row r="2137" spans="1:13" hidden="1" x14ac:dyDescent="0.3">
      <c r="A2137" t="s">
        <v>745</v>
      </c>
      <c r="B2137">
        <v>24</v>
      </c>
      <c r="C2137" t="s">
        <v>836</v>
      </c>
      <c r="D2137" t="str">
        <f t="shared" si="165"/>
        <v>17.02.2019</v>
      </c>
      <c r="E2137" s="1">
        <v>0.5</v>
      </c>
      <c r="F2137" t="s">
        <v>25</v>
      </c>
      <c r="G2137" t="s">
        <v>606</v>
      </c>
      <c r="H2137" s="2">
        <v>46054</v>
      </c>
      <c r="I2137" s="3" t="str">
        <f t="shared" si="166"/>
        <v/>
      </c>
      <c r="J2137" t="str">
        <f t="shared" si="167"/>
        <v/>
      </c>
      <c r="K2137" t="str">
        <f t="shared" si="168"/>
        <v/>
      </c>
      <c r="L2137" t="str">
        <f t="shared" si="169"/>
        <v/>
      </c>
      <c r="M2137" t="str">
        <f>IF(COUNTIF($A$2:A2137,A2137)=1,
     VLOOKUP(A2137,Season_Winners!A:B,2,FALSE),
     "")</f>
        <v/>
      </c>
    </row>
    <row r="2138" spans="1:13" x14ac:dyDescent="0.3">
      <c r="A2138" t="s">
        <v>745</v>
      </c>
      <c r="B2138">
        <v>24</v>
      </c>
      <c r="C2138" t="s">
        <v>836</v>
      </c>
      <c r="D2138" t="str">
        <f t="shared" si="165"/>
        <v>17.02.2019</v>
      </c>
      <c r="E2138" s="1">
        <v>0.67708333333333337</v>
      </c>
      <c r="F2138" t="s">
        <v>16</v>
      </c>
      <c r="G2138" t="s">
        <v>36</v>
      </c>
      <c r="H2138" t="s">
        <v>41</v>
      </c>
      <c r="I2138" t="str">
        <f t="shared" si="166"/>
        <v>0-0</v>
      </c>
      <c r="J2138" t="str">
        <f t="shared" si="167"/>
        <v>0</v>
      </c>
      <c r="K2138" t="str">
        <f t="shared" si="168"/>
        <v>0</v>
      </c>
      <c r="L2138" t="str">
        <f t="shared" si="169"/>
        <v>Draw</v>
      </c>
      <c r="M2138" t="str">
        <f>IF(COUNTIF($A$2:A2138,A2138)=1,
     VLOOKUP(A2138,Season_Winners!A:B,2,FALSE),
     "")</f>
        <v/>
      </c>
    </row>
    <row r="2139" spans="1:13" x14ac:dyDescent="0.3">
      <c r="A2139" t="s">
        <v>745</v>
      </c>
      <c r="B2139">
        <v>24</v>
      </c>
      <c r="C2139" t="s">
        <v>836</v>
      </c>
      <c r="D2139" t="str">
        <f t="shared" si="165"/>
        <v>17.02.2019</v>
      </c>
      <c r="E2139" s="1">
        <v>0.77083333333333337</v>
      </c>
      <c r="F2139" t="s">
        <v>34</v>
      </c>
      <c r="G2139" t="s">
        <v>27</v>
      </c>
      <c r="H2139" t="s">
        <v>32</v>
      </c>
      <c r="I2139" t="str">
        <f t="shared" si="166"/>
        <v>3-0</v>
      </c>
      <c r="J2139" t="str">
        <f t="shared" si="167"/>
        <v>3</v>
      </c>
      <c r="K2139" t="str">
        <f t="shared" si="168"/>
        <v>0</v>
      </c>
      <c r="L2139" t="str">
        <f t="shared" si="169"/>
        <v>Villarreal CF</v>
      </c>
      <c r="M2139" t="str">
        <f>IF(COUNTIF($A$2:A2139,A2139)=1,
     VLOOKUP(A2139,Season_Winners!A:B,2,FALSE),
     "")</f>
        <v/>
      </c>
    </row>
    <row r="2140" spans="1:13" hidden="1" x14ac:dyDescent="0.3">
      <c r="A2140" t="s">
        <v>745</v>
      </c>
      <c r="B2140">
        <v>24</v>
      </c>
      <c r="C2140" t="s">
        <v>836</v>
      </c>
      <c r="D2140" t="str">
        <f t="shared" si="165"/>
        <v>17.02.2019</v>
      </c>
      <c r="E2140" s="1">
        <v>0.86458333333333337</v>
      </c>
      <c r="F2140" t="s">
        <v>26</v>
      </c>
      <c r="G2140" t="s">
        <v>464</v>
      </c>
      <c r="H2140" s="2">
        <v>46023</v>
      </c>
      <c r="I2140" s="3" t="str">
        <f t="shared" si="166"/>
        <v/>
      </c>
      <c r="J2140" t="str">
        <f t="shared" si="167"/>
        <v/>
      </c>
      <c r="K2140" t="str">
        <f t="shared" si="168"/>
        <v/>
      </c>
      <c r="L2140" t="str">
        <f t="shared" si="169"/>
        <v/>
      </c>
      <c r="M2140" t="str">
        <f>IF(COUNTIF($A$2:A2140,A2140)=1,
     VLOOKUP(A2140,Season_Winners!A:B,2,FALSE),
     "")</f>
        <v/>
      </c>
    </row>
    <row r="2141" spans="1:13" x14ac:dyDescent="0.3">
      <c r="A2141" t="s">
        <v>745</v>
      </c>
      <c r="B2141">
        <v>24</v>
      </c>
      <c r="C2141" t="s">
        <v>837</v>
      </c>
      <c r="D2141" t="str">
        <f t="shared" si="165"/>
        <v>18.02.2019</v>
      </c>
      <c r="E2141" s="1">
        <v>0.875</v>
      </c>
      <c r="F2141" t="s">
        <v>750</v>
      </c>
      <c r="G2141" t="s">
        <v>15</v>
      </c>
      <c r="H2141" t="s">
        <v>42</v>
      </c>
      <c r="I2141" t="str">
        <f t="shared" si="166"/>
        <v>0-1</v>
      </c>
      <c r="J2141" t="str">
        <f t="shared" si="167"/>
        <v>0</v>
      </c>
      <c r="K2141" t="str">
        <f t="shared" si="168"/>
        <v>1</v>
      </c>
      <c r="L2141" t="str">
        <f t="shared" si="169"/>
        <v>Athletic Club</v>
      </c>
      <c r="M2141" t="str">
        <f>IF(COUNTIF($A$2:A2141,A2141)=1,
     VLOOKUP(A2141,Season_Winners!A:B,2,FALSE),
     "")</f>
        <v/>
      </c>
    </row>
    <row r="2142" spans="1:13" hidden="1" x14ac:dyDescent="0.3">
      <c r="A2142" t="s">
        <v>745</v>
      </c>
      <c r="B2142">
        <v>25</v>
      </c>
      <c r="C2142" t="s">
        <v>838</v>
      </c>
      <c r="D2142" t="str">
        <f t="shared" si="165"/>
        <v>22.02.2019</v>
      </c>
      <c r="E2142" s="1">
        <v>0.875</v>
      </c>
      <c r="F2142" t="s">
        <v>36</v>
      </c>
      <c r="G2142" t="s">
        <v>750</v>
      </c>
      <c r="H2142" s="2">
        <v>46023</v>
      </c>
      <c r="I2142" s="3" t="str">
        <f t="shared" si="166"/>
        <v/>
      </c>
      <c r="J2142" t="str">
        <f t="shared" si="167"/>
        <v/>
      </c>
      <c r="K2142" t="str">
        <f t="shared" si="168"/>
        <v/>
      </c>
      <c r="L2142" t="str">
        <f t="shared" si="169"/>
        <v/>
      </c>
      <c r="M2142" t="str">
        <f>IF(COUNTIF($A$2:A2142,A2142)=1,
     VLOOKUP(A2142,Season_Winners!A:B,2,FALSE),
     "")</f>
        <v/>
      </c>
    </row>
    <row r="2143" spans="1:13" hidden="1" x14ac:dyDescent="0.3">
      <c r="A2143" t="s">
        <v>745</v>
      </c>
      <c r="B2143">
        <v>25</v>
      </c>
      <c r="C2143" t="s">
        <v>839</v>
      </c>
      <c r="D2143" t="str">
        <f t="shared" si="165"/>
        <v>23.02.2019</v>
      </c>
      <c r="E2143" s="1">
        <v>0.54166666666666663</v>
      </c>
      <c r="F2143" t="s">
        <v>11</v>
      </c>
      <c r="G2143" t="s">
        <v>30</v>
      </c>
      <c r="H2143" s="2">
        <v>46024</v>
      </c>
      <c r="I2143" s="3" t="str">
        <f t="shared" si="166"/>
        <v/>
      </c>
      <c r="J2143" t="str">
        <f t="shared" si="167"/>
        <v/>
      </c>
      <c r="K2143" t="str">
        <f t="shared" si="168"/>
        <v/>
      </c>
      <c r="L2143" t="str">
        <f t="shared" si="169"/>
        <v/>
      </c>
      <c r="M2143" t="str">
        <f>IF(COUNTIF($A$2:A2143,A2143)=1,
     VLOOKUP(A2143,Season_Winners!A:B,2,FALSE),
     "")</f>
        <v/>
      </c>
    </row>
    <row r="2144" spans="1:13" hidden="1" x14ac:dyDescent="0.3">
      <c r="A2144" t="s">
        <v>745</v>
      </c>
      <c r="B2144">
        <v>25</v>
      </c>
      <c r="C2144" t="s">
        <v>839</v>
      </c>
      <c r="D2144" t="str">
        <f t="shared" si="165"/>
        <v>23.02.2019</v>
      </c>
      <c r="E2144" s="1">
        <v>0.67708333333333337</v>
      </c>
      <c r="F2144" t="s">
        <v>27</v>
      </c>
      <c r="G2144" t="s">
        <v>20</v>
      </c>
      <c r="H2144" s="2">
        <v>46114</v>
      </c>
      <c r="I2144" s="3" t="str">
        <f t="shared" si="166"/>
        <v/>
      </c>
      <c r="J2144" t="str">
        <f t="shared" si="167"/>
        <v/>
      </c>
      <c r="K2144" t="str">
        <f t="shared" si="168"/>
        <v/>
      </c>
      <c r="L2144" t="str">
        <f t="shared" si="169"/>
        <v/>
      </c>
      <c r="M2144" t="str">
        <f>IF(COUNTIF($A$2:A2144,A2144)=1,
     VLOOKUP(A2144,Season_Winners!A:B,2,FALSE),
     "")</f>
        <v/>
      </c>
    </row>
    <row r="2145" spans="1:13" x14ac:dyDescent="0.3">
      <c r="A2145" t="s">
        <v>745</v>
      </c>
      <c r="B2145">
        <v>25</v>
      </c>
      <c r="C2145" t="s">
        <v>839</v>
      </c>
      <c r="D2145" t="str">
        <f t="shared" si="165"/>
        <v>23.02.2019</v>
      </c>
      <c r="E2145" s="1">
        <v>0.77083333333333337</v>
      </c>
      <c r="F2145" t="s">
        <v>464</v>
      </c>
      <c r="G2145" t="s">
        <v>35</v>
      </c>
      <c r="H2145" t="s">
        <v>41</v>
      </c>
      <c r="I2145" t="str">
        <f t="shared" si="166"/>
        <v>0-0</v>
      </c>
      <c r="J2145" t="str">
        <f t="shared" si="167"/>
        <v>0</v>
      </c>
      <c r="K2145" t="str">
        <f t="shared" si="168"/>
        <v>0</v>
      </c>
      <c r="L2145" t="str">
        <f t="shared" si="169"/>
        <v>Draw</v>
      </c>
      <c r="M2145" t="str">
        <f>IF(COUNTIF($A$2:A2145,A2145)=1,
     VLOOKUP(A2145,Season_Winners!A:B,2,FALSE),
     "")</f>
        <v/>
      </c>
    </row>
    <row r="2146" spans="1:13" x14ac:dyDescent="0.3">
      <c r="A2146" t="s">
        <v>745</v>
      </c>
      <c r="B2146">
        <v>25</v>
      </c>
      <c r="C2146" t="s">
        <v>839</v>
      </c>
      <c r="D2146" t="str">
        <f t="shared" si="165"/>
        <v>23.02.2019</v>
      </c>
      <c r="E2146" s="1">
        <v>0.86458333333333337</v>
      </c>
      <c r="F2146" t="s">
        <v>15</v>
      </c>
      <c r="G2146" t="s">
        <v>187</v>
      </c>
      <c r="H2146" t="s">
        <v>18</v>
      </c>
      <c r="I2146" t="str">
        <f t="shared" si="166"/>
        <v>1-0</v>
      </c>
      <c r="J2146" t="str">
        <f t="shared" si="167"/>
        <v>1</v>
      </c>
      <c r="K2146" t="str">
        <f t="shared" si="168"/>
        <v>0</v>
      </c>
      <c r="L2146" t="str">
        <f t="shared" si="169"/>
        <v>Athletic Club</v>
      </c>
      <c r="M2146" t="str">
        <f>IF(COUNTIF($A$2:A2146,A2146)=1,
     VLOOKUP(A2146,Season_Winners!A:B,2,FALSE),
     "")</f>
        <v/>
      </c>
    </row>
    <row r="2147" spans="1:13" hidden="1" x14ac:dyDescent="0.3">
      <c r="A2147" t="s">
        <v>745</v>
      </c>
      <c r="B2147">
        <v>25</v>
      </c>
      <c r="C2147" t="s">
        <v>840</v>
      </c>
      <c r="D2147" t="str">
        <f t="shared" si="165"/>
        <v>24.02.2019</v>
      </c>
      <c r="E2147" s="1">
        <v>0.5</v>
      </c>
      <c r="F2147" t="s">
        <v>466</v>
      </c>
      <c r="G2147" t="s">
        <v>16</v>
      </c>
      <c r="H2147" s="2">
        <v>46023</v>
      </c>
      <c r="I2147" s="3" t="str">
        <f t="shared" si="166"/>
        <v/>
      </c>
      <c r="J2147" t="str">
        <f t="shared" si="167"/>
        <v/>
      </c>
      <c r="K2147" t="str">
        <f t="shared" si="168"/>
        <v/>
      </c>
      <c r="L2147" t="str">
        <f t="shared" si="169"/>
        <v/>
      </c>
      <c r="M2147" t="str">
        <f>IF(COUNTIF($A$2:A2147,A2147)=1,
     VLOOKUP(A2147,Season_Winners!A:B,2,FALSE),
     "")</f>
        <v/>
      </c>
    </row>
    <row r="2148" spans="1:13" x14ac:dyDescent="0.3">
      <c r="A2148" t="s">
        <v>745</v>
      </c>
      <c r="B2148">
        <v>25</v>
      </c>
      <c r="C2148" t="s">
        <v>840</v>
      </c>
      <c r="D2148" t="str">
        <f t="shared" si="165"/>
        <v>24.02.2019</v>
      </c>
      <c r="E2148" s="1">
        <v>0.67708333333333337</v>
      </c>
      <c r="F2148" t="s">
        <v>1425</v>
      </c>
      <c r="G2148" t="s">
        <v>34</v>
      </c>
      <c r="H2148" t="s">
        <v>12</v>
      </c>
      <c r="I2148" t="str">
        <f t="shared" si="166"/>
        <v>2-0</v>
      </c>
      <c r="J2148" t="str">
        <f t="shared" si="167"/>
        <v>2</v>
      </c>
      <c r="K2148" t="str">
        <f t="shared" si="168"/>
        <v>0</v>
      </c>
      <c r="L2148" t="str">
        <f t="shared" si="169"/>
        <v>Atlético de Madrid</v>
      </c>
      <c r="M2148" t="str">
        <f>IF(COUNTIF($A$2:A2148,A2148)=1,
     VLOOKUP(A2148,Season_Winners!A:B,2,FALSE),
     "")</f>
        <v/>
      </c>
    </row>
    <row r="2149" spans="1:13" x14ac:dyDescent="0.3">
      <c r="A2149" t="s">
        <v>745</v>
      </c>
      <c r="B2149">
        <v>25</v>
      </c>
      <c r="C2149" t="s">
        <v>840</v>
      </c>
      <c r="D2149" t="str">
        <f t="shared" si="165"/>
        <v>24.02.2019</v>
      </c>
      <c r="E2149" s="1">
        <v>0.77083333333333337</v>
      </c>
      <c r="F2149" t="s">
        <v>14</v>
      </c>
      <c r="G2149" t="s">
        <v>26</v>
      </c>
      <c r="H2149" t="s">
        <v>54</v>
      </c>
      <c r="I2149" t="str">
        <f t="shared" si="166"/>
        <v>0-2</v>
      </c>
      <c r="J2149" t="str">
        <f t="shared" si="167"/>
        <v>0</v>
      </c>
      <c r="K2149" t="str">
        <f t="shared" si="168"/>
        <v>2</v>
      </c>
      <c r="L2149" t="str">
        <f t="shared" si="169"/>
        <v>Real Betis</v>
      </c>
      <c r="M2149" t="str">
        <f>IF(COUNTIF($A$2:A2149,A2149)=1,
     VLOOKUP(A2149,Season_Winners!A:B,2,FALSE),
     "")</f>
        <v/>
      </c>
    </row>
    <row r="2150" spans="1:13" hidden="1" x14ac:dyDescent="0.3">
      <c r="A2150" t="s">
        <v>745</v>
      </c>
      <c r="B2150">
        <v>25</v>
      </c>
      <c r="C2150" t="s">
        <v>840</v>
      </c>
      <c r="D2150" t="str">
        <f t="shared" si="165"/>
        <v>24.02.2019</v>
      </c>
      <c r="E2150" s="1">
        <v>0.86458333333333337</v>
      </c>
      <c r="F2150" t="s">
        <v>21</v>
      </c>
      <c r="G2150" t="s">
        <v>25</v>
      </c>
      <c r="H2150" s="2">
        <v>46054</v>
      </c>
      <c r="I2150" s="3" t="str">
        <f t="shared" si="166"/>
        <v/>
      </c>
      <c r="J2150" t="str">
        <f t="shared" si="167"/>
        <v/>
      </c>
      <c r="K2150" t="str">
        <f t="shared" si="168"/>
        <v/>
      </c>
      <c r="L2150" t="str">
        <f t="shared" si="169"/>
        <v/>
      </c>
      <c r="M2150" t="str">
        <f>IF(COUNTIF($A$2:A2150,A2150)=1,
     VLOOKUP(A2150,Season_Winners!A:B,2,FALSE),
     "")</f>
        <v/>
      </c>
    </row>
    <row r="2151" spans="1:13" x14ac:dyDescent="0.3">
      <c r="A2151" t="s">
        <v>745</v>
      </c>
      <c r="B2151">
        <v>25</v>
      </c>
      <c r="C2151" t="s">
        <v>841</v>
      </c>
      <c r="D2151" t="str">
        <f t="shared" si="165"/>
        <v>25.02.2019</v>
      </c>
      <c r="E2151" s="1">
        <v>0.875</v>
      </c>
      <c r="F2151" t="s">
        <v>606</v>
      </c>
      <c r="G2151" t="s">
        <v>10</v>
      </c>
      <c r="H2151" t="s">
        <v>41</v>
      </c>
      <c r="I2151" t="str">
        <f t="shared" si="166"/>
        <v>0-0</v>
      </c>
      <c r="J2151" t="str">
        <f t="shared" si="167"/>
        <v>0</v>
      </c>
      <c r="K2151" t="str">
        <f t="shared" si="168"/>
        <v>0</v>
      </c>
      <c r="L2151" t="str">
        <f t="shared" si="169"/>
        <v>Draw</v>
      </c>
      <c r="M2151" t="str">
        <f>IF(COUNTIF($A$2:A2151,A2151)=1,
     VLOOKUP(A2151,Season_Winners!A:B,2,FALSE),
     "")</f>
        <v/>
      </c>
    </row>
    <row r="2152" spans="1:13" x14ac:dyDescent="0.3">
      <c r="A2152" t="s">
        <v>745</v>
      </c>
      <c r="B2152">
        <v>26</v>
      </c>
      <c r="C2152" t="s">
        <v>842</v>
      </c>
      <c r="D2152" t="str">
        <f t="shared" si="165"/>
        <v>01.03.2019</v>
      </c>
      <c r="E2152" s="1">
        <v>0.875</v>
      </c>
      <c r="F2152" t="s">
        <v>30</v>
      </c>
      <c r="G2152" t="s">
        <v>606</v>
      </c>
      <c r="H2152" t="s">
        <v>54</v>
      </c>
      <c r="I2152" t="str">
        <f t="shared" si="166"/>
        <v>0-2</v>
      </c>
      <c r="J2152" t="str">
        <f t="shared" si="167"/>
        <v>0</v>
      </c>
      <c r="K2152" t="str">
        <f t="shared" si="168"/>
        <v>2</v>
      </c>
      <c r="L2152" t="str">
        <f t="shared" si="169"/>
        <v>Girona FC</v>
      </c>
      <c r="M2152" t="str">
        <f>IF(COUNTIF($A$2:A2152,A2152)=1,
     VLOOKUP(A2152,Season_Winners!A:B,2,FALSE),
     "")</f>
        <v/>
      </c>
    </row>
    <row r="2153" spans="1:13" hidden="1" x14ac:dyDescent="0.3">
      <c r="A2153" t="s">
        <v>745</v>
      </c>
      <c r="B2153">
        <v>26</v>
      </c>
      <c r="C2153" t="s">
        <v>843</v>
      </c>
      <c r="D2153" t="str">
        <f t="shared" si="165"/>
        <v>02.03.2019</v>
      </c>
      <c r="E2153" s="1">
        <v>0.54166666666666663</v>
      </c>
      <c r="F2153" t="s">
        <v>36</v>
      </c>
      <c r="G2153" t="s">
        <v>14</v>
      </c>
      <c r="H2153" s="2">
        <v>46025</v>
      </c>
      <c r="I2153" s="3" t="str">
        <f t="shared" si="166"/>
        <v/>
      </c>
      <c r="J2153" t="str">
        <f t="shared" si="167"/>
        <v/>
      </c>
      <c r="K2153" t="str">
        <f t="shared" si="168"/>
        <v/>
      </c>
      <c r="L2153" t="str">
        <f t="shared" si="169"/>
        <v/>
      </c>
      <c r="M2153" t="str">
        <f>IF(COUNTIF($A$2:A2153,A2153)=1,
     VLOOKUP(A2153,Season_Winners!A:B,2,FALSE),
     "")</f>
        <v/>
      </c>
    </row>
    <row r="2154" spans="1:13" hidden="1" x14ac:dyDescent="0.3">
      <c r="A2154" t="s">
        <v>745</v>
      </c>
      <c r="B2154">
        <v>26</v>
      </c>
      <c r="C2154" t="s">
        <v>843</v>
      </c>
      <c r="D2154" t="str">
        <f t="shared" si="165"/>
        <v>02.03.2019</v>
      </c>
      <c r="E2154" s="1">
        <v>0.67708333333333337</v>
      </c>
      <c r="F2154" t="s">
        <v>34</v>
      </c>
      <c r="G2154" t="s">
        <v>464</v>
      </c>
      <c r="H2154" s="2">
        <v>46054</v>
      </c>
      <c r="I2154" s="3" t="str">
        <f t="shared" si="166"/>
        <v/>
      </c>
      <c r="J2154" t="str">
        <f t="shared" si="167"/>
        <v/>
      </c>
      <c r="K2154" t="str">
        <f t="shared" si="168"/>
        <v/>
      </c>
      <c r="L2154" t="str">
        <f t="shared" si="169"/>
        <v/>
      </c>
      <c r="M2154" t="str">
        <f>IF(COUNTIF($A$2:A2154,A2154)=1,
     VLOOKUP(A2154,Season_Winners!A:B,2,FALSE),
     "")</f>
        <v/>
      </c>
    </row>
    <row r="2155" spans="1:13" hidden="1" x14ac:dyDescent="0.3">
      <c r="A2155" t="s">
        <v>745</v>
      </c>
      <c r="B2155">
        <v>26</v>
      </c>
      <c r="C2155" t="s">
        <v>843</v>
      </c>
      <c r="D2155" t="str">
        <f t="shared" si="165"/>
        <v>02.03.2019</v>
      </c>
      <c r="E2155" s="1">
        <v>0.77083333333333337</v>
      </c>
      <c r="F2155" t="s">
        <v>750</v>
      </c>
      <c r="G2155" t="s">
        <v>27</v>
      </c>
      <c r="H2155" s="2">
        <v>46024</v>
      </c>
      <c r="I2155" s="3" t="str">
        <f t="shared" si="166"/>
        <v/>
      </c>
      <c r="J2155" t="str">
        <f t="shared" si="167"/>
        <v/>
      </c>
      <c r="K2155" t="str">
        <f t="shared" si="168"/>
        <v/>
      </c>
      <c r="L2155" t="str">
        <f t="shared" si="169"/>
        <v/>
      </c>
      <c r="M2155" t="str">
        <f>IF(COUNTIF($A$2:A2155,A2155)=1,
     VLOOKUP(A2155,Season_Winners!A:B,2,FALSE),
     "")</f>
        <v/>
      </c>
    </row>
    <row r="2156" spans="1:13" x14ac:dyDescent="0.3">
      <c r="A2156" t="s">
        <v>745</v>
      </c>
      <c r="B2156">
        <v>26</v>
      </c>
      <c r="C2156" t="s">
        <v>843</v>
      </c>
      <c r="D2156" t="str">
        <f t="shared" si="165"/>
        <v>02.03.2019</v>
      </c>
      <c r="E2156" s="1">
        <v>0.86458333333333337</v>
      </c>
      <c r="F2156" t="s">
        <v>25</v>
      </c>
      <c r="G2156" t="s">
        <v>20</v>
      </c>
      <c r="H2156" t="s">
        <v>42</v>
      </c>
      <c r="I2156" t="str">
        <f t="shared" si="166"/>
        <v>0-1</v>
      </c>
      <c r="J2156" t="str">
        <f t="shared" si="167"/>
        <v>0</v>
      </c>
      <c r="K2156" t="str">
        <f t="shared" si="168"/>
        <v>1</v>
      </c>
      <c r="L2156" t="str">
        <f t="shared" si="169"/>
        <v>FC Barcelona</v>
      </c>
      <c r="M2156" t="str">
        <f>IF(COUNTIF($A$2:A2156,A2156)=1,
     VLOOKUP(A2156,Season_Winners!A:B,2,FALSE),
     "")</f>
        <v/>
      </c>
    </row>
    <row r="2157" spans="1:13" x14ac:dyDescent="0.3">
      <c r="A2157" t="s">
        <v>745</v>
      </c>
      <c r="B2157">
        <v>26</v>
      </c>
      <c r="C2157" t="s">
        <v>844</v>
      </c>
      <c r="D2157" t="str">
        <f t="shared" si="165"/>
        <v>03.03.2019</v>
      </c>
      <c r="E2157" s="1">
        <v>0.5</v>
      </c>
      <c r="F2157" t="s">
        <v>187</v>
      </c>
      <c r="G2157" t="s">
        <v>35</v>
      </c>
      <c r="H2157" t="s">
        <v>18</v>
      </c>
      <c r="I2157" t="str">
        <f t="shared" si="166"/>
        <v>1-0</v>
      </c>
      <c r="J2157" t="str">
        <f t="shared" si="167"/>
        <v>1</v>
      </c>
      <c r="K2157" t="str">
        <f t="shared" si="168"/>
        <v>0</v>
      </c>
      <c r="L2157" t="str">
        <f t="shared" si="169"/>
        <v>SD Eibar</v>
      </c>
      <c r="M2157" t="str">
        <f>IF(COUNTIF($A$2:A2157,A2157)=1,
     VLOOKUP(A2157,Season_Winners!A:B,2,FALSE),
     "")</f>
        <v/>
      </c>
    </row>
    <row r="2158" spans="1:13" hidden="1" x14ac:dyDescent="0.3">
      <c r="A2158" t="s">
        <v>745</v>
      </c>
      <c r="B2158">
        <v>26</v>
      </c>
      <c r="C2158" t="s">
        <v>844</v>
      </c>
      <c r="D2158" t="str">
        <f t="shared" si="165"/>
        <v>03.03.2019</v>
      </c>
      <c r="E2158" s="1">
        <v>0.67708333333333337</v>
      </c>
      <c r="F2158" t="s">
        <v>26</v>
      </c>
      <c r="G2158" t="s">
        <v>11</v>
      </c>
      <c r="H2158" s="2">
        <v>46054</v>
      </c>
      <c r="I2158" s="3" t="str">
        <f t="shared" si="166"/>
        <v/>
      </c>
      <c r="J2158" t="str">
        <f t="shared" si="167"/>
        <v/>
      </c>
      <c r="K2158" t="str">
        <f t="shared" si="168"/>
        <v/>
      </c>
      <c r="L2158" t="str">
        <f t="shared" si="169"/>
        <v/>
      </c>
      <c r="M2158" t="str">
        <f>IF(COUNTIF($A$2:A2158,A2158)=1,
     VLOOKUP(A2158,Season_Winners!A:B,2,FALSE),
     "")</f>
        <v/>
      </c>
    </row>
    <row r="2159" spans="1:13" x14ac:dyDescent="0.3">
      <c r="A2159" t="s">
        <v>745</v>
      </c>
      <c r="B2159">
        <v>26</v>
      </c>
      <c r="C2159" t="s">
        <v>844</v>
      </c>
      <c r="D2159" t="str">
        <f t="shared" si="165"/>
        <v>03.03.2019</v>
      </c>
      <c r="E2159" s="1">
        <v>0.77083333333333337</v>
      </c>
      <c r="F2159" t="s">
        <v>10</v>
      </c>
      <c r="G2159" t="s">
        <v>1425</v>
      </c>
      <c r="H2159" t="s">
        <v>54</v>
      </c>
      <c r="I2159" t="str">
        <f t="shared" si="166"/>
        <v>0-2</v>
      </c>
      <c r="J2159" t="str">
        <f t="shared" si="167"/>
        <v>0</v>
      </c>
      <c r="K2159" t="str">
        <f t="shared" si="168"/>
        <v>2</v>
      </c>
      <c r="L2159" t="str">
        <f t="shared" si="169"/>
        <v>Atlético de Madrid</v>
      </c>
      <c r="M2159" t="str">
        <f>IF(COUNTIF($A$2:A2159,A2159)=1,
     VLOOKUP(A2159,Season_Winners!A:B,2,FALSE),
     "")</f>
        <v/>
      </c>
    </row>
    <row r="2160" spans="1:13" x14ac:dyDescent="0.3">
      <c r="A2160" t="s">
        <v>745</v>
      </c>
      <c r="B2160">
        <v>26</v>
      </c>
      <c r="C2160" t="s">
        <v>844</v>
      </c>
      <c r="D2160" t="str">
        <f t="shared" si="165"/>
        <v>03.03.2019</v>
      </c>
      <c r="E2160" s="1">
        <v>0.86458333333333337</v>
      </c>
      <c r="F2160" t="s">
        <v>16</v>
      </c>
      <c r="G2160" t="s">
        <v>15</v>
      </c>
      <c r="H2160" t="s">
        <v>12</v>
      </c>
      <c r="I2160" t="str">
        <f t="shared" si="166"/>
        <v>2-0</v>
      </c>
      <c r="J2160" t="str">
        <f t="shared" si="167"/>
        <v>2</v>
      </c>
      <c r="K2160" t="str">
        <f t="shared" si="168"/>
        <v>0</v>
      </c>
      <c r="L2160" t="str">
        <f t="shared" si="169"/>
        <v>Valencia CF</v>
      </c>
      <c r="M2160" t="str">
        <f>IF(COUNTIF($A$2:A2160,A2160)=1,
     VLOOKUP(A2160,Season_Winners!A:B,2,FALSE),
     "")</f>
        <v/>
      </c>
    </row>
    <row r="2161" spans="1:13" x14ac:dyDescent="0.3">
      <c r="A2161" t="s">
        <v>745</v>
      </c>
      <c r="B2161">
        <v>26</v>
      </c>
      <c r="C2161" t="s">
        <v>845</v>
      </c>
      <c r="D2161" t="str">
        <f t="shared" si="165"/>
        <v>04.03.2019</v>
      </c>
      <c r="E2161" s="1">
        <v>0.875</v>
      </c>
      <c r="F2161" t="s">
        <v>466</v>
      </c>
      <c r="G2161" t="s">
        <v>21</v>
      </c>
      <c r="H2161" t="s">
        <v>18</v>
      </c>
      <c r="I2161" t="str">
        <f t="shared" si="166"/>
        <v>1-0</v>
      </c>
      <c r="J2161" t="str">
        <f t="shared" si="167"/>
        <v>1</v>
      </c>
      <c r="K2161" t="str">
        <f t="shared" si="168"/>
        <v>0</v>
      </c>
      <c r="L2161" t="str">
        <f t="shared" si="169"/>
        <v>CD LeganÃ©s</v>
      </c>
      <c r="M2161" t="str">
        <f>IF(COUNTIF($A$2:A2161,A2161)=1,
     VLOOKUP(A2161,Season_Winners!A:B,2,FALSE),
     "")</f>
        <v/>
      </c>
    </row>
    <row r="2162" spans="1:13" hidden="1" x14ac:dyDescent="0.3">
      <c r="A2162" t="s">
        <v>745</v>
      </c>
      <c r="B2162">
        <v>27</v>
      </c>
      <c r="C2162" t="s">
        <v>846</v>
      </c>
      <c r="D2162" t="str">
        <f t="shared" si="165"/>
        <v>08.03.2019</v>
      </c>
      <c r="E2162" s="1">
        <v>0.875</v>
      </c>
      <c r="F2162" t="s">
        <v>15</v>
      </c>
      <c r="G2162" t="s">
        <v>36</v>
      </c>
      <c r="H2162" s="2">
        <v>46023</v>
      </c>
      <c r="I2162" s="3" t="str">
        <f t="shared" si="166"/>
        <v/>
      </c>
      <c r="J2162" t="str">
        <f t="shared" si="167"/>
        <v/>
      </c>
      <c r="K2162" t="str">
        <f t="shared" si="168"/>
        <v/>
      </c>
      <c r="L2162" t="str">
        <f t="shared" si="169"/>
        <v/>
      </c>
      <c r="M2162" t="str">
        <f>IF(COUNTIF($A$2:A2162,A2162)=1,
     VLOOKUP(A2162,Season_Winners!A:B,2,FALSE),
     "")</f>
        <v/>
      </c>
    </row>
    <row r="2163" spans="1:13" hidden="1" x14ac:dyDescent="0.3">
      <c r="A2163" t="s">
        <v>745</v>
      </c>
      <c r="B2163">
        <v>27</v>
      </c>
      <c r="C2163" t="s">
        <v>847</v>
      </c>
      <c r="D2163" t="str">
        <f t="shared" si="165"/>
        <v>09.03.2019</v>
      </c>
      <c r="E2163" s="1">
        <v>0.54166666666666663</v>
      </c>
      <c r="F2163" t="s">
        <v>464</v>
      </c>
      <c r="G2163" t="s">
        <v>187</v>
      </c>
      <c r="H2163" s="2">
        <v>46023</v>
      </c>
      <c r="I2163" s="3" t="str">
        <f t="shared" si="166"/>
        <v/>
      </c>
      <c r="J2163" t="str">
        <f t="shared" si="167"/>
        <v/>
      </c>
      <c r="K2163" t="str">
        <f t="shared" si="168"/>
        <v/>
      </c>
      <c r="L2163" t="str">
        <f t="shared" si="169"/>
        <v/>
      </c>
      <c r="M2163" t="str">
        <f>IF(COUNTIF($A$2:A2163,A2163)=1,
     VLOOKUP(A2163,Season_Winners!A:B,2,FALSE),
     "")</f>
        <v/>
      </c>
    </row>
    <row r="2164" spans="1:13" x14ac:dyDescent="0.3">
      <c r="A2164" t="s">
        <v>745</v>
      </c>
      <c r="B2164">
        <v>27</v>
      </c>
      <c r="C2164" t="s">
        <v>847</v>
      </c>
      <c r="D2164" t="str">
        <f t="shared" si="165"/>
        <v>09.03.2019</v>
      </c>
      <c r="E2164" s="1">
        <v>0.67708333333333337</v>
      </c>
      <c r="F2164" t="s">
        <v>1425</v>
      </c>
      <c r="G2164" t="s">
        <v>466</v>
      </c>
      <c r="H2164" t="s">
        <v>18</v>
      </c>
      <c r="I2164" t="str">
        <f t="shared" si="166"/>
        <v>1-0</v>
      </c>
      <c r="J2164" t="str">
        <f t="shared" si="167"/>
        <v>1</v>
      </c>
      <c r="K2164" t="str">
        <f t="shared" si="168"/>
        <v>0</v>
      </c>
      <c r="L2164" t="str">
        <f t="shared" si="169"/>
        <v>Atlético de Madrid</v>
      </c>
      <c r="M2164" t="str">
        <f>IF(COUNTIF($A$2:A2164,A2164)=1,
     VLOOKUP(A2164,Season_Winners!A:B,2,FALSE),
     "")</f>
        <v/>
      </c>
    </row>
    <row r="2165" spans="1:13" hidden="1" x14ac:dyDescent="0.3">
      <c r="A2165" t="s">
        <v>745</v>
      </c>
      <c r="B2165">
        <v>27</v>
      </c>
      <c r="C2165" t="s">
        <v>847</v>
      </c>
      <c r="D2165" t="str">
        <f t="shared" si="165"/>
        <v>09.03.2019</v>
      </c>
      <c r="E2165" s="1">
        <v>0.77083333333333337</v>
      </c>
      <c r="F2165" t="s">
        <v>20</v>
      </c>
      <c r="G2165" t="s">
        <v>30</v>
      </c>
      <c r="H2165" s="2">
        <v>46025</v>
      </c>
      <c r="I2165" s="3" t="str">
        <f t="shared" si="166"/>
        <v/>
      </c>
      <c r="J2165" t="str">
        <f t="shared" si="167"/>
        <v/>
      </c>
      <c r="K2165" t="str">
        <f t="shared" si="168"/>
        <v/>
      </c>
      <c r="L2165" t="str">
        <f t="shared" si="169"/>
        <v/>
      </c>
      <c r="M2165" t="str">
        <f>IF(COUNTIF($A$2:A2165,A2165)=1,
     VLOOKUP(A2165,Season_Winners!A:B,2,FALSE),
     "")</f>
        <v/>
      </c>
    </row>
    <row r="2166" spans="1:13" hidden="1" x14ac:dyDescent="0.3">
      <c r="A2166" t="s">
        <v>745</v>
      </c>
      <c r="B2166">
        <v>27</v>
      </c>
      <c r="C2166" t="s">
        <v>847</v>
      </c>
      <c r="D2166" t="str">
        <f t="shared" si="165"/>
        <v>09.03.2019</v>
      </c>
      <c r="E2166" s="1">
        <v>0.86458333333333337</v>
      </c>
      <c r="F2166" t="s">
        <v>11</v>
      </c>
      <c r="G2166" t="s">
        <v>750</v>
      </c>
      <c r="H2166" s="2">
        <v>46024</v>
      </c>
      <c r="I2166" s="3" t="str">
        <f t="shared" si="166"/>
        <v/>
      </c>
      <c r="J2166" t="str">
        <f t="shared" si="167"/>
        <v/>
      </c>
      <c r="K2166" t="str">
        <f t="shared" si="168"/>
        <v/>
      </c>
      <c r="L2166" t="str">
        <f t="shared" si="169"/>
        <v/>
      </c>
      <c r="M2166" t="str">
        <f>IF(COUNTIF($A$2:A2166,A2166)=1,
     VLOOKUP(A2166,Season_Winners!A:B,2,FALSE),
     "")</f>
        <v/>
      </c>
    </row>
    <row r="2167" spans="1:13" x14ac:dyDescent="0.3">
      <c r="A2167" t="s">
        <v>745</v>
      </c>
      <c r="B2167">
        <v>27</v>
      </c>
      <c r="C2167" t="s">
        <v>848</v>
      </c>
      <c r="D2167" t="str">
        <f t="shared" si="165"/>
        <v>10.03.2019</v>
      </c>
      <c r="E2167" s="1">
        <v>0.5</v>
      </c>
      <c r="F2167" t="s">
        <v>35</v>
      </c>
      <c r="G2167" t="s">
        <v>26</v>
      </c>
      <c r="H2167" t="s">
        <v>42</v>
      </c>
      <c r="I2167" t="str">
        <f t="shared" si="166"/>
        <v>0-1</v>
      </c>
      <c r="J2167" t="str">
        <f t="shared" si="167"/>
        <v>0</v>
      </c>
      <c r="K2167" t="str">
        <f t="shared" si="168"/>
        <v>1</v>
      </c>
      <c r="L2167" t="str">
        <f t="shared" si="169"/>
        <v>Real Betis</v>
      </c>
      <c r="M2167" t="str">
        <f>IF(COUNTIF($A$2:A2167,A2167)=1,
     VLOOKUP(A2167,Season_Winners!A:B,2,FALSE),
     "")</f>
        <v/>
      </c>
    </row>
    <row r="2168" spans="1:13" hidden="1" x14ac:dyDescent="0.3">
      <c r="A2168" t="s">
        <v>745</v>
      </c>
      <c r="B2168">
        <v>27</v>
      </c>
      <c r="C2168" t="s">
        <v>848</v>
      </c>
      <c r="D2168" t="str">
        <f t="shared" si="165"/>
        <v>10.03.2019</v>
      </c>
      <c r="E2168" s="1">
        <v>0.67708333333333337</v>
      </c>
      <c r="F2168" t="s">
        <v>606</v>
      </c>
      <c r="G2168" t="s">
        <v>16</v>
      </c>
      <c r="H2168" s="2">
        <v>46083</v>
      </c>
      <c r="I2168" s="3" t="str">
        <f t="shared" si="166"/>
        <v/>
      </c>
      <c r="J2168" t="str">
        <f t="shared" si="167"/>
        <v/>
      </c>
      <c r="K2168" t="str">
        <f t="shared" si="168"/>
        <v/>
      </c>
      <c r="L2168" t="str">
        <f t="shared" si="169"/>
        <v/>
      </c>
      <c r="M2168" t="str">
        <f>IF(COUNTIF($A$2:A2168,A2168)=1,
     VLOOKUP(A2168,Season_Winners!A:B,2,FALSE),
     "")</f>
        <v/>
      </c>
    </row>
    <row r="2169" spans="1:13" x14ac:dyDescent="0.3">
      <c r="A2169" t="s">
        <v>745</v>
      </c>
      <c r="B2169">
        <v>27</v>
      </c>
      <c r="C2169" t="s">
        <v>848</v>
      </c>
      <c r="D2169" t="str">
        <f t="shared" si="165"/>
        <v>10.03.2019</v>
      </c>
      <c r="E2169" s="1">
        <v>0.77083333333333337</v>
      </c>
      <c r="F2169" t="s">
        <v>21</v>
      </c>
      <c r="G2169" t="s">
        <v>34</v>
      </c>
      <c r="H2169" t="s">
        <v>54</v>
      </c>
      <c r="I2169" t="str">
        <f t="shared" si="166"/>
        <v>0-2</v>
      </c>
      <c r="J2169" t="str">
        <f t="shared" si="167"/>
        <v>0</v>
      </c>
      <c r="K2169" t="str">
        <f t="shared" si="168"/>
        <v>2</v>
      </c>
      <c r="L2169" t="str">
        <f t="shared" si="169"/>
        <v>Villarreal CF</v>
      </c>
      <c r="M2169" t="str">
        <f>IF(COUNTIF($A$2:A2169,A2169)=1,
     VLOOKUP(A2169,Season_Winners!A:B,2,FALSE),
     "")</f>
        <v/>
      </c>
    </row>
    <row r="2170" spans="1:13" hidden="1" x14ac:dyDescent="0.3">
      <c r="A2170" t="s">
        <v>745</v>
      </c>
      <c r="B2170">
        <v>27</v>
      </c>
      <c r="C2170" t="s">
        <v>848</v>
      </c>
      <c r="D2170" t="str">
        <f t="shared" si="165"/>
        <v>10.03.2019</v>
      </c>
      <c r="E2170" s="1">
        <v>0.77083333333333337</v>
      </c>
      <c r="F2170" t="s">
        <v>27</v>
      </c>
      <c r="G2170" t="s">
        <v>10</v>
      </c>
      <c r="H2170" s="2">
        <v>46058</v>
      </c>
      <c r="I2170" s="3" t="str">
        <f t="shared" si="166"/>
        <v/>
      </c>
      <c r="J2170" t="str">
        <f t="shared" si="167"/>
        <v/>
      </c>
      <c r="K2170" t="str">
        <f t="shared" si="168"/>
        <v/>
      </c>
      <c r="L2170" t="str">
        <f t="shared" si="169"/>
        <v/>
      </c>
      <c r="M2170" t="str">
        <f>IF(COUNTIF($A$2:A2170,A2170)=1,
     VLOOKUP(A2170,Season_Winners!A:B,2,FALSE),
     "")</f>
        <v/>
      </c>
    </row>
    <row r="2171" spans="1:13" hidden="1" x14ac:dyDescent="0.3">
      <c r="A2171" t="s">
        <v>745</v>
      </c>
      <c r="B2171">
        <v>27</v>
      </c>
      <c r="C2171" t="s">
        <v>848</v>
      </c>
      <c r="D2171" t="str">
        <f t="shared" si="165"/>
        <v>10.03.2019</v>
      </c>
      <c r="E2171" s="1">
        <v>0.86458333333333337</v>
      </c>
      <c r="F2171" t="s">
        <v>14</v>
      </c>
      <c r="G2171" t="s">
        <v>25</v>
      </c>
      <c r="H2171" s="2">
        <v>46113</v>
      </c>
      <c r="I2171" s="3" t="str">
        <f t="shared" si="166"/>
        <v/>
      </c>
      <c r="J2171" t="str">
        <f t="shared" si="167"/>
        <v/>
      </c>
      <c r="K2171" t="str">
        <f t="shared" si="168"/>
        <v/>
      </c>
      <c r="L2171" t="str">
        <f t="shared" si="169"/>
        <v/>
      </c>
      <c r="M2171" t="str">
        <f>IF(COUNTIF($A$2:A2171,A2171)=1,
     VLOOKUP(A2171,Season_Winners!A:B,2,FALSE),
     "")</f>
        <v/>
      </c>
    </row>
    <row r="2172" spans="1:13" hidden="1" x14ac:dyDescent="0.3">
      <c r="A2172" t="s">
        <v>745</v>
      </c>
      <c r="B2172">
        <v>28</v>
      </c>
      <c r="C2172" t="s">
        <v>849</v>
      </c>
      <c r="D2172" t="str">
        <f t="shared" si="165"/>
        <v>15.03.2019</v>
      </c>
      <c r="E2172" s="1">
        <v>0.875</v>
      </c>
      <c r="F2172" t="s">
        <v>10</v>
      </c>
      <c r="G2172" t="s">
        <v>21</v>
      </c>
      <c r="H2172" s="2">
        <v>46023</v>
      </c>
      <c r="I2172" s="3" t="str">
        <f t="shared" si="166"/>
        <v/>
      </c>
      <c r="J2172" t="str">
        <f t="shared" si="167"/>
        <v/>
      </c>
      <c r="K2172" t="str">
        <f t="shared" si="168"/>
        <v/>
      </c>
      <c r="L2172" t="str">
        <f t="shared" si="169"/>
        <v/>
      </c>
      <c r="M2172" t="str">
        <f>IF(COUNTIF($A$2:A2172,A2172)=1,
     VLOOKUP(A2172,Season_Winners!A:B,2,FALSE),
     "")</f>
        <v/>
      </c>
    </row>
    <row r="2173" spans="1:13" hidden="1" x14ac:dyDescent="0.3">
      <c r="A2173" t="s">
        <v>745</v>
      </c>
      <c r="B2173">
        <v>28</v>
      </c>
      <c r="C2173" t="s">
        <v>850</v>
      </c>
      <c r="D2173" t="str">
        <f t="shared" si="165"/>
        <v>16.03.2019</v>
      </c>
      <c r="E2173" s="1">
        <v>0.54166666666666663</v>
      </c>
      <c r="F2173" t="s">
        <v>750</v>
      </c>
      <c r="G2173" t="s">
        <v>464</v>
      </c>
      <c r="H2173" s="2">
        <v>46082</v>
      </c>
      <c r="I2173" s="3" t="str">
        <f t="shared" si="166"/>
        <v/>
      </c>
      <c r="J2173" t="str">
        <f t="shared" si="167"/>
        <v/>
      </c>
      <c r="K2173" t="str">
        <f t="shared" si="168"/>
        <v/>
      </c>
      <c r="L2173" t="str">
        <f t="shared" si="169"/>
        <v/>
      </c>
      <c r="M2173" t="str">
        <f>IF(COUNTIF($A$2:A2173,A2173)=1,
     VLOOKUP(A2173,Season_Winners!A:B,2,FALSE),
     "")</f>
        <v/>
      </c>
    </row>
    <row r="2174" spans="1:13" x14ac:dyDescent="0.3">
      <c r="A2174" t="s">
        <v>745</v>
      </c>
      <c r="B2174">
        <v>28</v>
      </c>
      <c r="C2174" t="s">
        <v>850</v>
      </c>
      <c r="D2174" t="str">
        <f t="shared" si="165"/>
        <v>16.03.2019</v>
      </c>
      <c r="E2174" s="1">
        <v>0.67708333333333337</v>
      </c>
      <c r="F2174" t="s">
        <v>25</v>
      </c>
      <c r="G2174" t="s">
        <v>35</v>
      </c>
      <c r="H2174" t="s">
        <v>12</v>
      </c>
      <c r="I2174" t="str">
        <f t="shared" si="166"/>
        <v>2-0</v>
      </c>
      <c r="J2174" t="str">
        <f t="shared" si="167"/>
        <v>2</v>
      </c>
      <c r="K2174" t="str">
        <f t="shared" si="168"/>
        <v>0</v>
      </c>
      <c r="L2174" t="str">
        <f t="shared" si="169"/>
        <v>Real Madrid</v>
      </c>
      <c r="M2174" t="str">
        <f>IF(COUNTIF($A$2:A2174,A2174)=1,
     VLOOKUP(A2174,Season_Winners!A:B,2,FALSE),
     "")</f>
        <v/>
      </c>
    </row>
    <row r="2175" spans="1:13" x14ac:dyDescent="0.3">
      <c r="A2175" t="s">
        <v>745</v>
      </c>
      <c r="B2175">
        <v>28</v>
      </c>
      <c r="C2175" t="s">
        <v>850</v>
      </c>
      <c r="D2175" t="str">
        <f t="shared" si="165"/>
        <v>16.03.2019</v>
      </c>
      <c r="E2175" s="1">
        <v>0.77083333333333337</v>
      </c>
      <c r="F2175" t="s">
        <v>15</v>
      </c>
      <c r="G2175" t="s">
        <v>1425</v>
      </c>
      <c r="H2175" t="s">
        <v>12</v>
      </c>
      <c r="I2175" t="str">
        <f t="shared" si="166"/>
        <v>2-0</v>
      </c>
      <c r="J2175" t="str">
        <f t="shared" si="167"/>
        <v>2</v>
      </c>
      <c r="K2175" t="str">
        <f t="shared" si="168"/>
        <v>0</v>
      </c>
      <c r="L2175" t="str">
        <f t="shared" si="169"/>
        <v>Athletic Club</v>
      </c>
      <c r="M2175" t="str">
        <f>IF(COUNTIF($A$2:A2175,A2175)=1,
     VLOOKUP(A2175,Season_Winners!A:B,2,FALSE),
     "")</f>
        <v/>
      </c>
    </row>
    <row r="2176" spans="1:13" x14ac:dyDescent="0.3">
      <c r="A2176" t="s">
        <v>745</v>
      </c>
      <c r="B2176">
        <v>28</v>
      </c>
      <c r="C2176" t="s">
        <v>850</v>
      </c>
      <c r="D2176" t="str">
        <f t="shared" si="165"/>
        <v>16.03.2019</v>
      </c>
      <c r="E2176" s="1">
        <v>0.86458333333333337</v>
      </c>
      <c r="F2176" t="s">
        <v>466</v>
      </c>
      <c r="G2176" t="s">
        <v>606</v>
      </c>
      <c r="H2176" t="s">
        <v>54</v>
      </c>
      <c r="I2176" t="str">
        <f t="shared" si="166"/>
        <v>0-2</v>
      </c>
      <c r="J2176" t="str">
        <f t="shared" si="167"/>
        <v>0</v>
      </c>
      <c r="K2176" t="str">
        <f t="shared" si="168"/>
        <v>2</v>
      </c>
      <c r="L2176" t="str">
        <f t="shared" si="169"/>
        <v>Girona FC</v>
      </c>
      <c r="M2176" t="str">
        <f>IF(COUNTIF($A$2:A2176,A2176)=1,
     VLOOKUP(A2176,Season_Winners!A:B,2,FALSE),
     "")</f>
        <v/>
      </c>
    </row>
    <row r="2177" spans="1:13" hidden="1" x14ac:dyDescent="0.3">
      <c r="A2177" t="s">
        <v>745</v>
      </c>
      <c r="B2177">
        <v>28</v>
      </c>
      <c r="C2177" t="s">
        <v>851</v>
      </c>
      <c r="D2177" t="str">
        <f t="shared" si="165"/>
        <v>17.03.2019</v>
      </c>
      <c r="E2177" s="1">
        <v>0.5</v>
      </c>
      <c r="F2177" t="s">
        <v>187</v>
      </c>
      <c r="G2177" t="s">
        <v>14</v>
      </c>
      <c r="H2177" s="2">
        <v>46054</v>
      </c>
      <c r="I2177" s="3" t="str">
        <f t="shared" si="166"/>
        <v/>
      </c>
      <c r="J2177" t="str">
        <f t="shared" si="167"/>
        <v/>
      </c>
      <c r="K2177" t="str">
        <f t="shared" si="168"/>
        <v/>
      </c>
      <c r="L2177" t="str">
        <f t="shared" si="169"/>
        <v/>
      </c>
      <c r="M2177" t="str">
        <f>IF(COUNTIF($A$2:A2177,A2177)=1,
     VLOOKUP(A2177,Season_Winners!A:B,2,FALSE),
     "")</f>
        <v/>
      </c>
    </row>
    <row r="2178" spans="1:13" x14ac:dyDescent="0.3">
      <c r="A2178" t="s">
        <v>745</v>
      </c>
      <c r="B2178">
        <v>28</v>
      </c>
      <c r="C2178" t="s">
        <v>851</v>
      </c>
      <c r="D2178" t="str">
        <f t="shared" ref="D2178:D2241" si="170">RIGHT(C2178,10)</f>
        <v>17.03.2019</v>
      </c>
      <c r="E2178" s="1">
        <v>0.67708333333333337</v>
      </c>
      <c r="F2178" t="s">
        <v>36</v>
      </c>
      <c r="G2178" t="s">
        <v>27</v>
      </c>
      <c r="H2178" t="s">
        <v>42</v>
      </c>
      <c r="I2178" t="str">
        <f t="shared" ref="I2178:I2241" si="171">IF(ISNUMBER(SEARCH("-",H2178)),H2178,"")</f>
        <v>0-1</v>
      </c>
      <c r="J2178" t="str">
        <f t="shared" ref="J2178:J2241" si="172">IF(I2178="","",LEFT(I2178,FIND("-",I2178)-1))</f>
        <v>0</v>
      </c>
      <c r="K2178" t="str">
        <f t="shared" ref="K2178:K2241" si="173">IF(I2178="","",RIGHT(I2178,LEN(I2178)-FIND("-",I2178)))</f>
        <v>1</v>
      </c>
      <c r="L2178" t="str">
        <f t="shared" ref="L2178:L2241" si="174">IF(I2178="","",IF(J2178&gt;K2178,F2178,IF(K2178&gt;J2178,G2178,"Draw")))</f>
        <v>Sevilla FC</v>
      </c>
      <c r="M2178" t="str">
        <f>IF(COUNTIF($A$2:A2178,A2178)=1,
     VLOOKUP(A2178,Season_Winners!A:B,2,FALSE),
     "")</f>
        <v/>
      </c>
    </row>
    <row r="2179" spans="1:13" x14ac:dyDescent="0.3">
      <c r="A2179" t="s">
        <v>745</v>
      </c>
      <c r="B2179">
        <v>28</v>
      </c>
      <c r="C2179" t="s">
        <v>851</v>
      </c>
      <c r="D2179" t="str">
        <f t="shared" si="170"/>
        <v>17.03.2019</v>
      </c>
      <c r="E2179" s="1">
        <v>0.77083333333333337</v>
      </c>
      <c r="F2179" t="s">
        <v>16</v>
      </c>
      <c r="G2179" t="s">
        <v>11</v>
      </c>
      <c r="H2179" t="s">
        <v>41</v>
      </c>
      <c r="I2179" t="str">
        <f t="shared" si="171"/>
        <v>0-0</v>
      </c>
      <c r="J2179" t="str">
        <f t="shared" si="172"/>
        <v>0</v>
      </c>
      <c r="K2179" t="str">
        <f t="shared" si="173"/>
        <v>0</v>
      </c>
      <c r="L2179" t="str">
        <f t="shared" si="174"/>
        <v>Draw</v>
      </c>
      <c r="M2179" t="str">
        <f>IF(COUNTIF($A$2:A2179,A2179)=1,
     VLOOKUP(A2179,Season_Winners!A:B,2,FALSE),
     "")</f>
        <v/>
      </c>
    </row>
    <row r="2180" spans="1:13" hidden="1" x14ac:dyDescent="0.3">
      <c r="A2180" t="s">
        <v>745</v>
      </c>
      <c r="B2180">
        <v>28</v>
      </c>
      <c r="C2180" t="s">
        <v>851</v>
      </c>
      <c r="D2180" t="str">
        <f t="shared" si="170"/>
        <v>17.03.2019</v>
      </c>
      <c r="E2180" s="1">
        <v>0.77083333333333337</v>
      </c>
      <c r="F2180" t="s">
        <v>34</v>
      </c>
      <c r="G2180" t="s">
        <v>30</v>
      </c>
      <c r="H2180" s="2">
        <v>46025</v>
      </c>
      <c r="I2180" s="3" t="str">
        <f t="shared" si="171"/>
        <v/>
      </c>
      <c r="J2180" t="str">
        <f t="shared" si="172"/>
        <v/>
      </c>
      <c r="K2180" t="str">
        <f t="shared" si="173"/>
        <v/>
      </c>
      <c r="L2180" t="str">
        <f t="shared" si="174"/>
        <v/>
      </c>
      <c r="M2180" t="str">
        <f>IF(COUNTIF($A$2:A2180,A2180)=1,
     VLOOKUP(A2180,Season_Winners!A:B,2,FALSE),
     "")</f>
        <v/>
      </c>
    </row>
    <row r="2181" spans="1:13" hidden="1" x14ac:dyDescent="0.3">
      <c r="A2181" t="s">
        <v>745</v>
      </c>
      <c r="B2181">
        <v>28</v>
      </c>
      <c r="C2181" t="s">
        <v>851</v>
      </c>
      <c r="D2181" t="str">
        <f t="shared" si="170"/>
        <v>17.03.2019</v>
      </c>
      <c r="E2181" s="1">
        <v>0.86458333333333337</v>
      </c>
      <c r="F2181" t="s">
        <v>26</v>
      </c>
      <c r="G2181" t="s">
        <v>20</v>
      </c>
      <c r="H2181" s="2">
        <v>46113</v>
      </c>
      <c r="I2181" s="3" t="str">
        <f t="shared" si="171"/>
        <v/>
      </c>
      <c r="J2181" t="str">
        <f t="shared" si="172"/>
        <v/>
      </c>
      <c r="K2181" t="str">
        <f t="shared" si="173"/>
        <v/>
      </c>
      <c r="L2181" t="str">
        <f t="shared" si="174"/>
        <v/>
      </c>
      <c r="M2181" t="str">
        <f>IF(COUNTIF($A$2:A2181,A2181)=1,
     VLOOKUP(A2181,Season_Winners!A:B,2,FALSE),
     "")</f>
        <v/>
      </c>
    </row>
    <row r="2182" spans="1:13" hidden="1" x14ac:dyDescent="0.3">
      <c r="A2182" t="s">
        <v>745</v>
      </c>
      <c r="B2182">
        <v>29</v>
      </c>
      <c r="C2182" t="s">
        <v>852</v>
      </c>
      <c r="D2182" t="str">
        <f t="shared" si="170"/>
        <v>29.03.2019</v>
      </c>
      <c r="E2182" s="1">
        <v>0.875</v>
      </c>
      <c r="F2182" t="s">
        <v>606</v>
      </c>
      <c r="G2182" t="s">
        <v>15</v>
      </c>
      <c r="H2182" s="2">
        <v>46054</v>
      </c>
      <c r="I2182" s="3" t="str">
        <f t="shared" si="171"/>
        <v/>
      </c>
      <c r="J2182" t="str">
        <f t="shared" si="172"/>
        <v/>
      </c>
      <c r="K2182" t="str">
        <f t="shared" si="173"/>
        <v/>
      </c>
      <c r="L2182" t="str">
        <f t="shared" si="174"/>
        <v/>
      </c>
      <c r="M2182" t="str">
        <f>IF(COUNTIF($A$2:A2182,A2182)=1,
     VLOOKUP(A2182,Season_Winners!A:B,2,FALSE),
     "")</f>
        <v/>
      </c>
    </row>
    <row r="2183" spans="1:13" x14ac:dyDescent="0.3">
      <c r="A2183" t="s">
        <v>745</v>
      </c>
      <c r="B2183">
        <v>29</v>
      </c>
      <c r="C2183" t="s">
        <v>853</v>
      </c>
      <c r="D2183" t="str">
        <f t="shared" si="170"/>
        <v>30.03.2019</v>
      </c>
      <c r="E2183" s="1">
        <v>0.54166666666666663</v>
      </c>
      <c r="F2183" t="s">
        <v>11</v>
      </c>
      <c r="G2183" t="s">
        <v>466</v>
      </c>
      <c r="H2183" t="s">
        <v>54</v>
      </c>
      <c r="I2183" t="str">
        <f t="shared" si="171"/>
        <v>0-2</v>
      </c>
      <c r="J2183" t="str">
        <f t="shared" si="172"/>
        <v>0</v>
      </c>
      <c r="K2183" t="str">
        <f t="shared" si="173"/>
        <v>2</v>
      </c>
      <c r="L2183" t="str">
        <f t="shared" si="174"/>
        <v>CD LeganÃ©s</v>
      </c>
      <c r="M2183" t="str">
        <f>IF(COUNTIF($A$2:A2183,A2183)=1,
     VLOOKUP(A2183,Season_Winners!A:B,2,FALSE),
     "")</f>
        <v/>
      </c>
    </row>
    <row r="2184" spans="1:13" x14ac:dyDescent="0.3">
      <c r="A2184" t="s">
        <v>745</v>
      </c>
      <c r="B2184">
        <v>29</v>
      </c>
      <c r="C2184" t="s">
        <v>853</v>
      </c>
      <c r="D2184" t="str">
        <f t="shared" si="170"/>
        <v>30.03.2019</v>
      </c>
      <c r="E2184" s="1">
        <v>0.67708333333333337</v>
      </c>
      <c r="F2184" t="s">
        <v>20</v>
      </c>
      <c r="G2184" t="s">
        <v>36</v>
      </c>
      <c r="H2184" t="s">
        <v>12</v>
      </c>
      <c r="I2184" t="str">
        <f t="shared" si="171"/>
        <v>2-0</v>
      </c>
      <c r="J2184" t="str">
        <f t="shared" si="172"/>
        <v>2</v>
      </c>
      <c r="K2184" t="str">
        <f t="shared" si="173"/>
        <v>0</v>
      </c>
      <c r="L2184" t="str">
        <f t="shared" si="174"/>
        <v>FC Barcelona</v>
      </c>
      <c r="M2184" t="str">
        <f>IF(COUNTIF($A$2:A2184,A2184)=1,
     VLOOKUP(A2184,Season_Winners!A:B,2,FALSE),
     "")</f>
        <v/>
      </c>
    </row>
    <row r="2185" spans="1:13" hidden="1" x14ac:dyDescent="0.3">
      <c r="A2185" t="s">
        <v>745</v>
      </c>
      <c r="B2185">
        <v>29</v>
      </c>
      <c r="C2185" t="s">
        <v>853</v>
      </c>
      <c r="D2185" t="str">
        <f t="shared" si="170"/>
        <v>30.03.2019</v>
      </c>
      <c r="E2185" s="1">
        <v>0.77083333333333337</v>
      </c>
      <c r="F2185" t="s">
        <v>35</v>
      </c>
      <c r="G2185" t="s">
        <v>34</v>
      </c>
      <c r="H2185" s="2">
        <v>46056</v>
      </c>
      <c r="I2185" s="3" t="str">
        <f t="shared" si="171"/>
        <v/>
      </c>
      <c r="J2185" t="str">
        <f t="shared" si="172"/>
        <v/>
      </c>
      <c r="K2185" t="str">
        <f t="shared" si="173"/>
        <v/>
      </c>
      <c r="L2185" t="str">
        <f t="shared" si="174"/>
        <v/>
      </c>
      <c r="M2185" t="str">
        <f>IF(COUNTIF($A$2:A2185,A2185)=1,
     VLOOKUP(A2185,Season_Winners!A:B,2,FALSE),
     "")</f>
        <v/>
      </c>
    </row>
    <row r="2186" spans="1:13" x14ac:dyDescent="0.3">
      <c r="A2186" t="s">
        <v>745</v>
      </c>
      <c r="B2186">
        <v>29</v>
      </c>
      <c r="C2186" t="s">
        <v>853</v>
      </c>
      <c r="D2186" t="str">
        <f t="shared" si="170"/>
        <v>30.03.2019</v>
      </c>
      <c r="E2186" s="1">
        <v>0.86458333333333337</v>
      </c>
      <c r="F2186" t="s">
        <v>464</v>
      </c>
      <c r="G2186" t="s">
        <v>1425</v>
      </c>
      <c r="H2186" t="s">
        <v>53</v>
      </c>
      <c r="I2186" t="str">
        <f t="shared" si="171"/>
        <v>0-4</v>
      </c>
      <c r="J2186" t="str">
        <f t="shared" si="172"/>
        <v>0</v>
      </c>
      <c r="K2186" t="str">
        <f t="shared" si="173"/>
        <v>4</v>
      </c>
      <c r="L2186" t="str">
        <f t="shared" si="174"/>
        <v>Atlético de Madrid</v>
      </c>
      <c r="M2186" t="str">
        <f>IF(COUNTIF($A$2:A2186,A2186)=1,
     VLOOKUP(A2186,Season_Winners!A:B,2,FALSE),
     "")</f>
        <v/>
      </c>
    </row>
    <row r="2187" spans="1:13" hidden="1" x14ac:dyDescent="0.3">
      <c r="A2187" t="s">
        <v>745</v>
      </c>
      <c r="B2187">
        <v>29</v>
      </c>
      <c r="C2187" t="s">
        <v>854</v>
      </c>
      <c r="D2187" t="str">
        <f t="shared" si="170"/>
        <v>31.03.2019</v>
      </c>
      <c r="E2187" s="1">
        <v>0.5</v>
      </c>
      <c r="F2187" t="s">
        <v>21</v>
      </c>
      <c r="G2187" t="s">
        <v>187</v>
      </c>
      <c r="H2187" s="2">
        <v>46055</v>
      </c>
      <c r="I2187" s="3" t="str">
        <f t="shared" si="171"/>
        <v/>
      </c>
      <c r="J2187" t="str">
        <f t="shared" si="172"/>
        <v/>
      </c>
      <c r="K2187" t="str">
        <f t="shared" si="173"/>
        <v/>
      </c>
      <c r="L2187" t="str">
        <f t="shared" si="174"/>
        <v/>
      </c>
      <c r="M2187" t="str">
        <f>IF(COUNTIF($A$2:A2187,A2187)=1,
     VLOOKUP(A2187,Season_Winners!A:B,2,FALSE),
     "")</f>
        <v/>
      </c>
    </row>
    <row r="2188" spans="1:13" hidden="1" x14ac:dyDescent="0.3">
      <c r="A2188" t="s">
        <v>745</v>
      </c>
      <c r="B2188">
        <v>29</v>
      </c>
      <c r="C2188" t="s">
        <v>854</v>
      </c>
      <c r="D2188" t="str">
        <f t="shared" si="170"/>
        <v>31.03.2019</v>
      </c>
      <c r="E2188" s="1">
        <v>0.58333333333333337</v>
      </c>
      <c r="F2188" t="s">
        <v>30</v>
      </c>
      <c r="G2188" t="s">
        <v>26</v>
      </c>
      <c r="H2188" s="2">
        <v>46023</v>
      </c>
      <c r="I2188" s="3" t="str">
        <f t="shared" si="171"/>
        <v/>
      </c>
      <c r="J2188" t="str">
        <f t="shared" si="172"/>
        <v/>
      </c>
      <c r="K2188" t="str">
        <f t="shared" si="173"/>
        <v/>
      </c>
      <c r="L2188" t="str">
        <f t="shared" si="174"/>
        <v/>
      </c>
      <c r="M2188" t="str">
        <f>IF(COUNTIF($A$2:A2188,A2188)=1,
     VLOOKUP(A2188,Season_Winners!A:B,2,FALSE),
     "")</f>
        <v/>
      </c>
    </row>
    <row r="2189" spans="1:13" x14ac:dyDescent="0.3">
      <c r="A2189" t="s">
        <v>745</v>
      </c>
      <c r="B2189">
        <v>29</v>
      </c>
      <c r="C2189" t="s">
        <v>854</v>
      </c>
      <c r="D2189" t="str">
        <f t="shared" si="170"/>
        <v>31.03.2019</v>
      </c>
      <c r="E2189" s="1">
        <v>0.67708333333333337</v>
      </c>
      <c r="F2189" t="s">
        <v>27</v>
      </c>
      <c r="G2189" t="s">
        <v>16</v>
      </c>
      <c r="H2189" t="s">
        <v>42</v>
      </c>
      <c r="I2189" t="str">
        <f t="shared" si="171"/>
        <v>0-1</v>
      </c>
      <c r="J2189" t="str">
        <f t="shared" si="172"/>
        <v>0</v>
      </c>
      <c r="K2189" t="str">
        <f t="shared" si="173"/>
        <v>1</v>
      </c>
      <c r="L2189" t="str">
        <f t="shared" si="174"/>
        <v>Valencia CF</v>
      </c>
      <c r="M2189" t="str">
        <f>IF(COUNTIF($A$2:A2189,A2189)=1,
     VLOOKUP(A2189,Season_Winners!A:B,2,FALSE),
     "")</f>
        <v/>
      </c>
    </row>
    <row r="2190" spans="1:13" hidden="1" x14ac:dyDescent="0.3">
      <c r="A2190" t="s">
        <v>745</v>
      </c>
      <c r="B2190">
        <v>29</v>
      </c>
      <c r="C2190" t="s">
        <v>854</v>
      </c>
      <c r="D2190" t="str">
        <f t="shared" si="170"/>
        <v>31.03.2019</v>
      </c>
      <c r="E2190" s="1">
        <v>0.77083333333333337</v>
      </c>
      <c r="F2190" t="s">
        <v>14</v>
      </c>
      <c r="G2190" t="s">
        <v>10</v>
      </c>
      <c r="H2190" s="2">
        <v>46023</v>
      </c>
      <c r="I2190" s="3" t="str">
        <f t="shared" si="171"/>
        <v/>
      </c>
      <c r="J2190" t="str">
        <f t="shared" si="172"/>
        <v/>
      </c>
      <c r="K2190" t="str">
        <f t="shared" si="173"/>
        <v/>
      </c>
      <c r="L2190" t="str">
        <f t="shared" si="174"/>
        <v/>
      </c>
      <c r="M2190" t="str">
        <f>IF(COUNTIF($A$2:A2190,A2190)=1,
     VLOOKUP(A2190,Season_Winners!A:B,2,FALSE),
     "")</f>
        <v/>
      </c>
    </row>
    <row r="2191" spans="1:13" hidden="1" x14ac:dyDescent="0.3">
      <c r="A2191" t="s">
        <v>745</v>
      </c>
      <c r="B2191">
        <v>29</v>
      </c>
      <c r="C2191" t="s">
        <v>854</v>
      </c>
      <c r="D2191" t="str">
        <f t="shared" si="170"/>
        <v>31.03.2019</v>
      </c>
      <c r="E2191" s="1">
        <v>0.86458333333333337</v>
      </c>
      <c r="F2191" t="s">
        <v>25</v>
      </c>
      <c r="G2191" t="s">
        <v>750</v>
      </c>
      <c r="H2191" s="2">
        <v>46056</v>
      </c>
      <c r="I2191" s="3" t="str">
        <f t="shared" si="171"/>
        <v/>
      </c>
      <c r="J2191" t="str">
        <f t="shared" si="172"/>
        <v/>
      </c>
      <c r="K2191" t="str">
        <f t="shared" si="173"/>
        <v/>
      </c>
      <c r="L2191" t="str">
        <f t="shared" si="174"/>
        <v/>
      </c>
      <c r="M2191" t="str">
        <f>IF(COUNTIF($A$2:A2191,A2191)=1,
     VLOOKUP(A2191,Season_Winners!A:B,2,FALSE),
     "")</f>
        <v/>
      </c>
    </row>
    <row r="2192" spans="1:13" x14ac:dyDescent="0.3">
      <c r="A2192" t="s">
        <v>745</v>
      </c>
      <c r="B2192">
        <v>30</v>
      </c>
      <c r="C2192" t="s">
        <v>855</v>
      </c>
      <c r="D2192" t="str">
        <f t="shared" si="170"/>
        <v>02.04.2019</v>
      </c>
      <c r="E2192" s="1">
        <v>0.8125</v>
      </c>
      <c r="F2192" t="s">
        <v>1425</v>
      </c>
      <c r="G2192" t="s">
        <v>606</v>
      </c>
      <c r="H2192" t="s">
        <v>12</v>
      </c>
      <c r="I2192" t="str">
        <f t="shared" si="171"/>
        <v>2-0</v>
      </c>
      <c r="J2192" t="str">
        <f t="shared" si="172"/>
        <v>2</v>
      </c>
      <c r="K2192" t="str">
        <f t="shared" si="173"/>
        <v>0</v>
      </c>
      <c r="L2192" t="str">
        <f t="shared" si="174"/>
        <v>Atlético de Madrid</v>
      </c>
      <c r="M2192" t="str">
        <f>IF(COUNTIF($A$2:A2192,A2192)=1,
     VLOOKUP(A2192,Season_Winners!A:B,2,FALSE),
     "")</f>
        <v/>
      </c>
    </row>
    <row r="2193" spans="1:13" hidden="1" x14ac:dyDescent="0.3">
      <c r="A2193" t="s">
        <v>745</v>
      </c>
      <c r="B2193">
        <v>30</v>
      </c>
      <c r="C2193" t="s">
        <v>855</v>
      </c>
      <c r="D2193" t="str">
        <f t="shared" si="170"/>
        <v>02.04.2019</v>
      </c>
      <c r="E2193" s="1">
        <v>0.85416666666666663</v>
      </c>
      <c r="F2193" t="s">
        <v>36</v>
      </c>
      <c r="G2193" t="s">
        <v>11</v>
      </c>
      <c r="H2193" s="2">
        <v>46023</v>
      </c>
      <c r="I2193" s="3" t="str">
        <f t="shared" si="171"/>
        <v/>
      </c>
      <c r="J2193" t="str">
        <f t="shared" si="172"/>
        <v/>
      </c>
      <c r="K2193" t="str">
        <f t="shared" si="173"/>
        <v/>
      </c>
      <c r="L2193" t="str">
        <f t="shared" si="174"/>
        <v/>
      </c>
      <c r="M2193" t="str">
        <f>IF(COUNTIF($A$2:A2193,A2193)=1,
     VLOOKUP(A2193,Season_Winners!A:B,2,FALSE),
     "")</f>
        <v/>
      </c>
    </row>
    <row r="2194" spans="1:13" hidden="1" x14ac:dyDescent="0.3">
      <c r="A2194" t="s">
        <v>745</v>
      </c>
      <c r="B2194">
        <v>30</v>
      </c>
      <c r="C2194" t="s">
        <v>855</v>
      </c>
      <c r="D2194" t="str">
        <f t="shared" si="170"/>
        <v>02.04.2019</v>
      </c>
      <c r="E2194" s="1">
        <v>0.89583333333333337</v>
      </c>
      <c r="F2194" t="s">
        <v>34</v>
      </c>
      <c r="G2194" t="s">
        <v>20</v>
      </c>
      <c r="H2194" s="2">
        <v>46116</v>
      </c>
      <c r="I2194" s="3" t="str">
        <f t="shared" si="171"/>
        <v/>
      </c>
      <c r="J2194" t="str">
        <f t="shared" si="172"/>
        <v/>
      </c>
      <c r="K2194" t="str">
        <f t="shared" si="173"/>
        <v/>
      </c>
      <c r="L2194" t="str">
        <f t="shared" si="174"/>
        <v/>
      </c>
      <c r="M2194" t="str">
        <f>IF(COUNTIF($A$2:A2194,A2194)=1,
     VLOOKUP(A2194,Season_Winners!A:B,2,FALSE),
     "")</f>
        <v/>
      </c>
    </row>
    <row r="2195" spans="1:13" hidden="1" x14ac:dyDescent="0.3">
      <c r="A2195" t="s">
        <v>745</v>
      </c>
      <c r="B2195">
        <v>30</v>
      </c>
      <c r="C2195" t="s">
        <v>856</v>
      </c>
      <c r="D2195" t="str">
        <f t="shared" si="170"/>
        <v>03.04.2019</v>
      </c>
      <c r="E2195" s="1">
        <v>0.8125</v>
      </c>
      <c r="F2195" t="s">
        <v>15</v>
      </c>
      <c r="G2195" t="s">
        <v>21</v>
      </c>
      <c r="H2195" s="2">
        <v>46056</v>
      </c>
      <c r="I2195" s="3" t="str">
        <f t="shared" si="171"/>
        <v/>
      </c>
      <c r="J2195" t="str">
        <f t="shared" si="172"/>
        <v/>
      </c>
      <c r="K2195" t="str">
        <f t="shared" si="173"/>
        <v/>
      </c>
      <c r="L2195" t="str">
        <f t="shared" si="174"/>
        <v/>
      </c>
      <c r="M2195" t="str">
        <f>IF(COUNTIF($A$2:A2195,A2195)=1,
     VLOOKUP(A2195,Season_Winners!A:B,2,FALSE),
     "")</f>
        <v/>
      </c>
    </row>
    <row r="2196" spans="1:13" hidden="1" x14ac:dyDescent="0.3">
      <c r="A2196" t="s">
        <v>745</v>
      </c>
      <c r="B2196">
        <v>30</v>
      </c>
      <c r="C2196" t="s">
        <v>856</v>
      </c>
      <c r="D2196" t="str">
        <f t="shared" si="170"/>
        <v>03.04.2019</v>
      </c>
      <c r="E2196" s="1">
        <v>0.85416666666666663</v>
      </c>
      <c r="F2196" t="s">
        <v>187</v>
      </c>
      <c r="G2196" t="s">
        <v>30</v>
      </c>
      <c r="H2196" s="2">
        <v>46024</v>
      </c>
      <c r="I2196" s="3" t="str">
        <f t="shared" si="171"/>
        <v/>
      </c>
      <c r="J2196" t="str">
        <f t="shared" si="172"/>
        <v/>
      </c>
      <c r="K2196" t="str">
        <f t="shared" si="173"/>
        <v/>
      </c>
      <c r="L2196" t="str">
        <f t="shared" si="174"/>
        <v/>
      </c>
      <c r="M2196" t="str">
        <f>IF(COUNTIF($A$2:A2196,A2196)=1,
     VLOOKUP(A2196,Season_Winners!A:B,2,FALSE),
     "")</f>
        <v/>
      </c>
    </row>
    <row r="2197" spans="1:13" hidden="1" x14ac:dyDescent="0.3">
      <c r="A2197" t="s">
        <v>745</v>
      </c>
      <c r="B2197">
        <v>30</v>
      </c>
      <c r="C2197" t="s">
        <v>856</v>
      </c>
      <c r="D2197" t="str">
        <f t="shared" si="170"/>
        <v>03.04.2019</v>
      </c>
      <c r="E2197" s="1">
        <v>0.85416666666666663</v>
      </c>
      <c r="F2197" t="s">
        <v>750</v>
      </c>
      <c r="G2197" t="s">
        <v>35</v>
      </c>
      <c r="H2197" s="2">
        <v>46084</v>
      </c>
      <c r="I2197" s="3" t="str">
        <f t="shared" si="171"/>
        <v/>
      </c>
      <c r="J2197" t="str">
        <f t="shared" si="172"/>
        <v/>
      </c>
      <c r="K2197" t="str">
        <f t="shared" si="173"/>
        <v/>
      </c>
      <c r="L2197" t="str">
        <f t="shared" si="174"/>
        <v/>
      </c>
      <c r="M2197" t="str">
        <f>IF(COUNTIF($A$2:A2197,A2197)=1,
     VLOOKUP(A2197,Season_Winners!A:B,2,FALSE),
     "")</f>
        <v/>
      </c>
    </row>
    <row r="2198" spans="1:13" hidden="1" x14ac:dyDescent="0.3">
      <c r="A2198" t="s">
        <v>745</v>
      </c>
      <c r="B2198">
        <v>30</v>
      </c>
      <c r="C2198" t="s">
        <v>856</v>
      </c>
      <c r="D2198" t="str">
        <f t="shared" si="170"/>
        <v>03.04.2019</v>
      </c>
      <c r="E2198" s="1">
        <v>0.89583333333333337</v>
      </c>
      <c r="F2198" t="s">
        <v>16</v>
      </c>
      <c r="G2198" t="s">
        <v>25</v>
      </c>
      <c r="H2198" s="2">
        <v>46024</v>
      </c>
      <c r="I2198" s="3" t="str">
        <f t="shared" si="171"/>
        <v/>
      </c>
      <c r="J2198" t="str">
        <f t="shared" si="172"/>
        <v/>
      </c>
      <c r="K2198" t="str">
        <f t="shared" si="173"/>
        <v/>
      </c>
      <c r="L2198" t="str">
        <f t="shared" si="174"/>
        <v/>
      </c>
      <c r="M2198" t="str">
        <f>IF(COUNTIF($A$2:A2198,A2198)=1,
     VLOOKUP(A2198,Season_Winners!A:B,2,FALSE),
     "")</f>
        <v/>
      </c>
    </row>
    <row r="2199" spans="1:13" x14ac:dyDescent="0.3">
      <c r="A2199" t="s">
        <v>745</v>
      </c>
      <c r="B2199">
        <v>30</v>
      </c>
      <c r="C2199" t="s">
        <v>857</v>
      </c>
      <c r="D2199" t="str">
        <f t="shared" si="170"/>
        <v>04.04.2019</v>
      </c>
      <c r="E2199" s="1">
        <v>0.8125</v>
      </c>
      <c r="F2199" t="s">
        <v>27</v>
      </c>
      <c r="G2199" t="s">
        <v>464</v>
      </c>
      <c r="H2199" t="s">
        <v>12</v>
      </c>
      <c r="I2199" t="str">
        <f t="shared" si="171"/>
        <v>2-0</v>
      </c>
      <c r="J2199" t="str">
        <f t="shared" si="172"/>
        <v>2</v>
      </c>
      <c r="K2199" t="str">
        <f t="shared" si="173"/>
        <v>0</v>
      </c>
      <c r="L2199" t="str">
        <f t="shared" si="174"/>
        <v>Sevilla FC</v>
      </c>
      <c r="M2199" t="str">
        <f>IF(COUNTIF($A$2:A2199,A2199)=1,
     VLOOKUP(A2199,Season_Winners!A:B,2,FALSE),
     "")</f>
        <v/>
      </c>
    </row>
    <row r="2200" spans="1:13" x14ac:dyDescent="0.3">
      <c r="A2200" t="s">
        <v>745</v>
      </c>
      <c r="B2200">
        <v>30</v>
      </c>
      <c r="C2200" t="s">
        <v>857</v>
      </c>
      <c r="D2200" t="str">
        <f t="shared" si="170"/>
        <v>04.04.2019</v>
      </c>
      <c r="E2200" s="1">
        <v>0.85416666666666663</v>
      </c>
      <c r="F2200" t="s">
        <v>466</v>
      </c>
      <c r="G2200" t="s">
        <v>14</v>
      </c>
      <c r="H2200" t="s">
        <v>18</v>
      </c>
      <c r="I2200" t="str">
        <f t="shared" si="171"/>
        <v>1-0</v>
      </c>
      <c r="J2200" t="str">
        <f t="shared" si="172"/>
        <v>1</v>
      </c>
      <c r="K2200" t="str">
        <f t="shared" si="173"/>
        <v>0</v>
      </c>
      <c r="L2200" t="str">
        <f t="shared" si="174"/>
        <v>CD LeganÃ©s</v>
      </c>
      <c r="M2200" t="str">
        <f>IF(COUNTIF($A$2:A2200,A2200)=1,
     VLOOKUP(A2200,Season_Winners!A:B,2,FALSE),
     "")</f>
        <v/>
      </c>
    </row>
    <row r="2201" spans="1:13" hidden="1" x14ac:dyDescent="0.3">
      <c r="A2201" t="s">
        <v>745</v>
      </c>
      <c r="B2201">
        <v>30</v>
      </c>
      <c r="C2201" t="s">
        <v>857</v>
      </c>
      <c r="D2201" t="str">
        <f t="shared" si="170"/>
        <v>04.04.2019</v>
      </c>
      <c r="E2201" s="1">
        <v>0.89583333333333337</v>
      </c>
      <c r="F2201" t="s">
        <v>10</v>
      </c>
      <c r="G2201" t="s">
        <v>26</v>
      </c>
      <c r="H2201" s="2">
        <v>46024</v>
      </c>
      <c r="I2201" s="3" t="str">
        <f t="shared" si="171"/>
        <v/>
      </c>
      <c r="J2201" t="str">
        <f t="shared" si="172"/>
        <v/>
      </c>
      <c r="K2201" t="str">
        <f t="shared" si="173"/>
        <v/>
      </c>
      <c r="L2201" t="str">
        <f t="shared" si="174"/>
        <v/>
      </c>
      <c r="M2201" t="str">
        <f>IF(COUNTIF($A$2:A2201,A2201)=1,
     VLOOKUP(A2201,Season_Winners!A:B,2,FALSE),
     "")</f>
        <v/>
      </c>
    </row>
    <row r="2202" spans="1:13" hidden="1" x14ac:dyDescent="0.3">
      <c r="A2202" t="s">
        <v>745</v>
      </c>
      <c r="B2202">
        <v>31</v>
      </c>
      <c r="C2202" t="s">
        <v>858</v>
      </c>
      <c r="D2202" t="str">
        <f t="shared" si="170"/>
        <v>06.04.2019</v>
      </c>
      <c r="E2202" s="1">
        <v>0.54166666666666663</v>
      </c>
      <c r="F2202" t="s">
        <v>606</v>
      </c>
      <c r="G2202" t="s">
        <v>36</v>
      </c>
      <c r="H2202" s="2">
        <v>46054</v>
      </c>
      <c r="I2202" s="3" t="str">
        <f t="shared" si="171"/>
        <v/>
      </c>
      <c r="J2202" t="str">
        <f t="shared" si="172"/>
        <v/>
      </c>
      <c r="K2202" t="str">
        <f t="shared" si="173"/>
        <v/>
      </c>
      <c r="L2202" t="str">
        <f t="shared" si="174"/>
        <v/>
      </c>
      <c r="M2202" t="str">
        <f>IF(COUNTIF($A$2:A2202,A2202)=1,
     VLOOKUP(A2202,Season_Winners!A:B,2,FALSE),
     "")</f>
        <v/>
      </c>
    </row>
    <row r="2203" spans="1:13" hidden="1" x14ac:dyDescent="0.3">
      <c r="A2203" t="s">
        <v>745</v>
      </c>
      <c r="B2203">
        <v>31</v>
      </c>
      <c r="C2203" t="s">
        <v>858</v>
      </c>
      <c r="D2203" t="str">
        <f t="shared" si="170"/>
        <v>06.04.2019</v>
      </c>
      <c r="E2203" s="1">
        <v>0.67708333333333337</v>
      </c>
      <c r="F2203" t="s">
        <v>25</v>
      </c>
      <c r="G2203" t="s">
        <v>187</v>
      </c>
      <c r="H2203" s="2">
        <v>46024</v>
      </c>
      <c r="I2203" s="3" t="str">
        <f t="shared" si="171"/>
        <v/>
      </c>
      <c r="J2203" t="str">
        <f t="shared" si="172"/>
        <v/>
      </c>
      <c r="K2203" t="str">
        <f t="shared" si="173"/>
        <v/>
      </c>
      <c r="L2203" t="str">
        <f t="shared" si="174"/>
        <v/>
      </c>
      <c r="M2203" t="str">
        <f>IF(COUNTIF($A$2:A2203,A2203)=1,
     VLOOKUP(A2203,Season_Winners!A:B,2,FALSE),
     "")</f>
        <v/>
      </c>
    </row>
    <row r="2204" spans="1:13" x14ac:dyDescent="0.3">
      <c r="A2204" t="s">
        <v>745</v>
      </c>
      <c r="B2204">
        <v>31</v>
      </c>
      <c r="C2204" t="s">
        <v>858</v>
      </c>
      <c r="D2204" t="str">
        <f t="shared" si="170"/>
        <v>06.04.2019</v>
      </c>
      <c r="E2204" s="1">
        <v>0.77083333333333337</v>
      </c>
      <c r="F2204" t="s">
        <v>30</v>
      </c>
      <c r="G2204" t="s">
        <v>16</v>
      </c>
      <c r="H2204" t="s">
        <v>12</v>
      </c>
      <c r="I2204" t="str">
        <f t="shared" si="171"/>
        <v>2-0</v>
      </c>
      <c r="J2204" t="str">
        <f t="shared" si="172"/>
        <v>2</v>
      </c>
      <c r="K2204" t="str">
        <f t="shared" si="173"/>
        <v>0</v>
      </c>
      <c r="L2204" t="str">
        <f t="shared" si="174"/>
        <v>Rayo Vallecano</v>
      </c>
      <c r="M2204" t="str">
        <f>IF(COUNTIF($A$2:A2204,A2204)=1,
     VLOOKUP(A2204,Season_Winners!A:B,2,FALSE),
     "")</f>
        <v/>
      </c>
    </row>
    <row r="2205" spans="1:13" x14ac:dyDescent="0.3">
      <c r="A2205" t="s">
        <v>745</v>
      </c>
      <c r="B2205">
        <v>31</v>
      </c>
      <c r="C2205" t="s">
        <v>858</v>
      </c>
      <c r="D2205" t="str">
        <f t="shared" si="170"/>
        <v>06.04.2019</v>
      </c>
      <c r="E2205" s="1">
        <v>0.86458333333333337</v>
      </c>
      <c r="F2205" t="s">
        <v>20</v>
      </c>
      <c r="G2205" t="s">
        <v>1425</v>
      </c>
      <c r="H2205" t="s">
        <v>12</v>
      </c>
      <c r="I2205" t="str">
        <f t="shared" si="171"/>
        <v>2-0</v>
      </c>
      <c r="J2205" t="str">
        <f t="shared" si="172"/>
        <v>2</v>
      </c>
      <c r="K2205" t="str">
        <f t="shared" si="173"/>
        <v>0</v>
      </c>
      <c r="L2205" t="str">
        <f t="shared" si="174"/>
        <v>FC Barcelona</v>
      </c>
      <c r="M2205" t="str">
        <f>IF(COUNTIF($A$2:A2205,A2205)=1,
     VLOOKUP(A2205,Season_Winners!A:B,2,FALSE),
     "")</f>
        <v/>
      </c>
    </row>
    <row r="2206" spans="1:13" hidden="1" x14ac:dyDescent="0.3">
      <c r="A2206" t="s">
        <v>745</v>
      </c>
      <c r="B2206">
        <v>31</v>
      </c>
      <c r="C2206" t="s">
        <v>859</v>
      </c>
      <c r="D2206" t="str">
        <f t="shared" si="170"/>
        <v>07.04.2019</v>
      </c>
      <c r="E2206" s="1">
        <v>0.5</v>
      </c>
      <c r="F2206" t="s">
        <v>464</v>
      </c>
      <c r="G2206" t="s">
        <v>466</v>
      </c>
      <c r="H2206" s="2">
        <v>46023</v>
      </c>
      <c r="I2206" s="3" t="str">
        <f t="shared" si="171"/>
        <v/>
      </c>
      <c r="J2206" t="str">
        <f t="shared" si="172"/>
        <v/>
      </c>
      <c r="K2206" t="str">
        <f t="shared" si="173"/>
        <v/>
      </c>
      <c r="L2206" t="str">
        <f t="shared" si="174"/>
        <v/>
      </c>
      <c r="M2206" t="str">
        <f>IF(COUNTIF($A$2:A2206,A2206)=1,
     VLOOKUP(A2206,Season_Winners!A:B,2,FALSE),
     "")</f>
        <v/>
      </c>
    </row>
    <row r="2207" spans="1:13" x14ac:dyDescent="0.3">
      <c r="A2207" t="s">
        <v>745</v>
      </c>
      <c r="B2207">
        <v>31</v>
      </c>
      <c r="C2207" t="s">
        <v>859</v>
      </c>
      <c r="D2207" t="str">
        <f t="shared" si="170"/>
        <v>07.04.2019</v>
      </c>
      <c r="E2207" s="1">
        <v>0.58333333333333337</v>
      </c>
      <c r="F2207" t="s">
        <v>11</v>
      </c>
      <c r="G2207" t="s">
        <v>15</v>
      </c>
      <c r="H2207" t="s">
        <v>18</v>
      </c>
      <c r="I2207" t="str">
        <f t="shared" si="171"/>
        <v>1-0</v>
      </c>
      <c r="J2207" t="str">
        <f t="shared" si="172"/>
        <v>1</v>
      </c>
      <c r="K2207" t="str">
        <f t="shared" si="173"/>
        <v>0</v>
      </c>
      <c r="L2207" t="str">
        <f t="shared" si="174"/>
        <v>Getafe CF</v>
      </c>
      <c r="M2207" t="str">
        <f>IF(COUNTIF($A$2:A2207,A2207)=1,
     VLOOKUP(A2207,Season_Winners!A:B,2,FALSE),
     "")</f>
        <v/>
      </c>
    </row>
    <row r="2208" spans="1:13" x14ac:dyDescent="0.3">
      <c r="A2208" t="s">
        <v>745</v>
      </c>
      <c r="B2208">
        <v>31</v>
      </c>
      <c r="C2208" t="s">
        <v>859</v>
      </c>
      <c r="D2208" t="str">
        <f t="shared" si="170"/>
        <v>07.04.2019</v>
      </c>
      <c r="E2208" s="1">
        <v>0.67708333333333337</v>
      </c>
      <c r="F2208" t="s">
        <v>14</v>
      </c>
      <c r="G2208" t="s">
        <v>27</v>
      </c>
      <c r="H2208" t="s">
        <v>54</v>
      </c>
      <c r="I2208" t="str">
        <f t="shared" si="171"/>
        <v>0-2</v>
      </c>
      <c r="J2208" t="str">
        <f t="shared" si="172"/>
        <v>0</v>
      </c>
      <c r="K2208" t="str">
        <f t="shared" si="173"/>
        <v>2</v>
      </c>
      <c r="L2208" t="str">
        <f t="shared" si="174"/>
        <v>Sevilla FC</v>
      </c>
      <c r="M2208" t="str">
        <f>IF(COUNTIF($A$2:A2208,A2208)=1,
     VLOOKUP(A2208,Season_Winners!A:B,2,FALSE),
     "")</f>
        <v/>
      </c>
    </row>
    <row r="2209" spans="1:13" hidden="1" x14ac:dyDescent="0.3">
      <c r="A2209" t="s">
        <v>745</v>
      </c>
      <c r="B2209">
        <v>31</v>
      </c>
      <c r="C2209" t="s">
        <v>859</v>
      </c>
      <c r="D2209" t="str">
        <f t="shared" si="170"/>
        <v>07.04.2019</v>
      </c>
      <c r="E2209" s="1">
        <v>0.77083333333333337</v>
      </c>
      <c r="F2209" t="s">
        <v>35</v>
      </c>
      <c r="G2209" t="s">
        <v>10</v>
      </c>
      <c r="H2209" s="2">
        <v>46025</v>
      </c>
      <c r="I2209" s="3" t="str">
        <f t="shared" si="171"/>
        <v/>
      </c>
      <c r="J2209" t="str">
        <f t="shared" si="172"/>
        <v/>
      </c>
      <c r="K2209" t="str">
        <f t="shared" si="173"/>
        <v/>
      </c>
      <c r="L2209" t="str">
        <f t="shared" si="174"/>
        <v/>
      </c>
      <c r="M2209" t="str">
        <f>IF(COUNTIF($A$2:A2209,A2209)=1,
     VLOOKUP(A2209,Season_Winners!A:B,2,FALSE),
     "")</f>
        <v/>
      </c>
    </row>
    <row r="2210" spans="1:13" hidden="1" x14ac:dyDescent="0.3">
      <c r="A2210" t="s">
        <v>745</v>
      </c>
      <c r="B2210">
        <v>31</v>
      </c>
      <c r="C2210" t="s">
        <v>859</v>
      </c>
      <c r="D2210" t="str">
        <f t="shared" si="170"/>
        <v>07.04.2019</v>
      </c>
      <c r="E2210" s="1">
        <v>0.77083333333333337</v>
      </c>
      <c r="F2210" t="s">
        <v>21</v>
      </c>
      <c r="G2210" t="s">
        <v>750</v>
      </c>
      <c r="H2210" s="2">
        <v>46055</v>
      </c>
      <c r="I2210" s="3" t="str">
        <f t="shared" si="171"/>
        <v/>
      </c>
      <c r="J2210" t="str">
        <f t="shared" si="172"/>
        <v/>
      </c>
      <c r="K2210" t="str">
        <f t="shared" si="173"/>
        <v/>
      </c>
      <c r="L2210" t="str">
        <f t="shared" si="174"/>
        <v/>
      </c>
      <c r="M2210" t="str">
        <f>IF(COUNTIF($A$2:A2210,A2210)=1,
     VLOOKUP(A2210,Season_Winners!A:B,2,FALSE),
     "")</f>
        <v/>
      </c>
    </row>
    <row r="2211" spans="1:13" hidden="1" x14ac:dyDescent="0.3">
      <c r="A2211" t="s">
        <v>745</v>
      </c>
      <c r="B2211">
        <v>31</v>
      </c>
      <c r="C2211" t="s">
        <v>859</v>
      </c>
      <c r="D2211" t="str">
        <f t="shared" si="170"/>
        <v>07.04.2019</v>
      </c>
      <c r="E2211" s="1">
        <v>0.86458333333333337</v>
      </c>
      <c r="F2211" t="s">
        <v>26</v>
      </c>
      <c r="G2211" t="s">
        <v>34</v>
      </c>
      <c r="H2211" s="2">
        <v>46024</v>
      </c>
      <c r="I2211" s="3" t="str">
        <f t="shared" si="171"/>
        <v/>
      </c>
      <c r="J2211" t="str">
        <f t="shared" si="172"/>
        <v/>
      </c>
      <c r="K2211" t="str">
        <f t="shared" si="173"/>
        <v/>
      </c>
      <c r="L2211" t="str">
        <f t="shared" si="174"/>
        <v/>
      </c>
      <c r="M2211" t="str">
        <f>IF(COUNTIF($A$2:A2211,A2211)=1,
     VLOOKUP(A2211,Season_Winners!A:B,2,FALSE),
     "")</f>
        <v/>
      </c>
    </row>
    <row r="2212" spans="1:13" hidden="1" x14ac:dyDescent="0.3">
      <c r="A2212" t="s">
        <v>745</v>
      </c>
      <c r="B2212">
        <v>32</v>
      </c>
      <c r="C2212" t="s">
        <v>860</v>
      </c>
      <c r="D2212" t="str">
        <f t="shared" si="170"/>
        <v>13.04.2019</v>
      </c>
      <c r="E2212" s="1">
        <v>0.54166666666666663</v>
      </c>
      <c r="F2212" t="s">
        <v>36</v>
      </c>
      <c r="G2212" t="s">
        <v>464</v>
      </c>
      <c r="H2212" s="2">
        <v>46024</v>
      </c>
      <c r="I2212" s="3" t="str">
        <f t="shared" si="171"/>
        <v/>
      </c>
      <c r="J2212" t="str">
        <f t="shared" si="172"/>
        <v/>
      </c>
      <c r="K2212" t="str">
        <f t="shared" si="173"/>
        <v/>
      </c>
      <c r="L2212" t="str">
        <f t="shared" si="174"/>
        <v/>
      </c>
      <c r="M2212" t="str">
        <f>IF(COUNTIF($A$2:A2212,A2212)=1,
     VLOOKUP(A2212,Season_Winners!A:B,2,FALSE),
     "")</f>
        <v/>
      </c>
    </row>
    <row r="2213" spans="1:13" x14ac:dyDescent="0.3">
      <c r="A2213" t="s">
        <v>745</v>
      </c>
      <c r="B2213">
        <v>32</v>
      </c>
      <c r="C2213" t="s">
        <v>860</v>
      </c>
      <c r="D2213" t="str">
        <f t="shared" si="170"/>
        <v>13.04.2019</v>
      </c>
      <c r="E2213" s="1">
        <v>0.67708333333333337</v>
      </c>
      <c r="F2213" t="s">
        <v>750</v>
      </c>
      <c r="G2213" t="s">
        <v>20</v>
      </c>
      <c r="H2213" t="s">
        <v>41</v>
      </c>
      <c r="I2213" t="str">
        <f t="shared" si="171"/>
        <v>0-0</v>
      </c>
      <c r="J2213" t="str">
        <f t="shared" si="172"/>
        <v>0</v>
      </c>
      <c r="K2213" t="str">
        <f t="shared" si="173"/>
        <v>0</v>
      </c>
      <c r="L2213" t="str">
        <f t="shared" si="174"/>
        <v>Draw</v>
      </c>
      <c r="M2213" t="str">
        <f>IF(COUNTIF($A$2:A2213,A2213)=1,
     VLOOKUP(A2213,Season_Winners!A:B,2,FALSE),
     "")</f>
        <v/>
      </c>
    </row>
    <row r="2214" spans="1:13" x14ac:dyDescent="0.3">
      <c r="A2214" t="s">
        <v>745</v>
      </c>
      <c r="B2214">
        <v>32</v>
      </c>
      <c r="C2214" t="s">
        <v>860</v>
      </c>
      <c r="D2214" t="str">
        <f t="shared" si="170"/>
        <v>13.04.2019</v>
      </c>
      <c r="E2214" s="1">
        <v>0.77083333333333337</v>
      </c>
      <c r="F2214" t="s">
        <v>1425</v>
      </c>
      <c r="G2214" t="s">
        <v>35</v>
      </c>
      <c r="H2214" t="s">
        <v>12</v>
      </c>
      <c r="I2214" t="str">
        <f t="shared" si="171"/>
        <v>2-0</v>
      </c>
      <c r="J2214" t="str">
        <f t="shared" si="172"/>
        <v>2</v>
      </c>
      <c r="K2214" t="str">
        <f t="shared" si="173"/>
        <v>0</v>
      </c>
      <c r="L2214" t="str">
        <f t="shared" si="174"/>
        <v>Atlético de Madrid</v>
      </c>
      <c r="M2214" t="str">
        <f>IF(COUNTIF($A$2:A2214,A2214)=1,
     VLOOKUP(A2214,Season_Winners!A:B,2,FALSE),
     "")</f>
        <v/>
      </c>
    </row>
    <row r="2215" spans="1:13" hidden="1" x14ac:dyDescent="0.3">
      <c r="A2215" t="s">
        <v>745</v>
      </c>
      <c r="B2215">
        <v>32</v>
      </c>
      <c r="C2215" t="s">
        <v>860</v>
      </c>
      <c r="D2215" t="str">
        <f t="shared" si="170"/>
        <v>13.04.2019</v>
      </c>
      <c r="E2215" s="1">
        <v>0.86458333333333337</v>
      </c>
      <c r="F2215" t="s">
        <v>27</v>
      </c>
      <c r="G2215" t="s">
        <v>26</v>
      </c>
      <c r="H2215" s="2">
        <v>46056</v>
      </c>
      <c r="I2215" s="3" t="str">
        <f t="shared" si="171"/>
        <v/>
      </c>
      <c r="J2215" t="str">
        <f t="shared" si="172"/>
        <v/>
      </c>
      <c r="K2215" t="str">
        <f t="shared" si="173"/>
        <v/>
      </c>
      <c r="L2215" t="str">
        <f t="shared" si="174"/>
        <v/>
      </c>
      <c r="M2215" t="str">
        <f>IF(COUNTIF($A$2:A2215,A2215)=1,
     VLOOKUP(A2215,Season_Winners!A:B,2,FALSE),
     "")</f>
        <v/>
      </c>
    </row>
    <row r="2216" spans="1:13" hidden="1" x14ac:dyDescent="0.3">
      <c r="A2216" t="s">
        <v>745</v>
      </c>
      <c r="B2216">
        <v>32</v>
      </c>
      <c r="C2216" t="s">
        <v>861</v>
      </c>
      <c r="D2216" t="str">
        <f t="shared" si="170"/>
        <v>14.04.2019</v>
      </c>
      <c r="E2216" s="1">
        <v>0.5</v>
      </c>
      <c r="F2216" t="s">
        <v>14</v>
      </c>
      <c r="G2216" t="s">
        <v>11</v>
      </c>
      <c r="H2216" s="2">
        <v>46055</v>
      </c>
      <c r="I2216" s="3" t="str">
        <f t="shared" si="171"/>
        <v/>
      </c>
      <c r="J2216" t="str">
        <f t="shared" si="172"/>
        <v/>
      </c>
      <c r="K2216" t="str">
        <f t="shared" si="173"/>
        <v/>
      </c>
      <c r="L2216" t="str">
        <f t="shared" si="174"/>
        <v/>
      </c>
      <c r="M2216" t="str">
        <f>IF(COUNTIF($A$2:A2216,A2216)=1,
     VLOOKUP(A2216,Season_Winners!A:B,2,FALSE),
     "")</f>
        <v/>
      </c>
    </row>
    <row r="2217" spans="1:13" hidden="1" x14ac:dyDescent="0.3">
      <c r="A2217" t="s">
        <v>745</v>
      </c>
      <c r="B2217">
        <v>32</v>
      </c>
      <c r="C2217" t="s">
        <v>861</v>
      </c>
      <c r="D2217" t="str">
        <f t="shared" si="170"/>
        <v>14.04.2019</v>
      </c>
      <c r="E2217" s="1">
        <v>0.58333333333333337</v>
      </c>
      <c r="F2217" t="s">
        <v>15</v>
      </c>
      <c r="G2217" t="s">
        <v>30</v>
      </c>
      <c r="H2217" s="2">
        <v>46056</v>
      </c>
      <c r="I2217" s="3" t="str">
        <f t="shared" si="171"/>
        <v/>
      </c>
      <c r="J2217" t="str">
        <f t="shared" si="172"/>
        <v/>
      </c>
      <c r="K2217" t="str">
        <f t="shared" si="173"/>
        <v/>
      </c>
      <c r="L2217" t="str">
        <f t="shared" si="174"/>
        <v/>
      </c>
      <c r="M2217" t="str">
        <f>IF(COUNTIF($A$2:A2217,A2217)=1,
     VLOOKUP(A2217,Season_Winners!A:B,2,FALSE),
     "")</f>
        <v/>
      </c>
    </row>
    <row r="2218" spans="1:13" hidden="1" x14ac:dyDescent="0.3">
      <c r="A2218" t="s">
        <v>745</v>
      </c>
      <c r="B2218">
        <v>32</v>
      </c>
      <c r="C2218" t="s">
        <v>861</v>
      </c>
      <c r="D2218" t="str">
        <f t="shared" si="170"/>
        <v>14.04.2019</v>
      </c>
      <c r="E2218" s="1">
        <v>0.67708333333333337</v>
      </c>
      <c r="F2218" t="s">
        <v>10</v>
      </c>
      <c r="G2218" t="s">
        <v>187</v>
      </c>
      <c r="H2218" s="2">
        <v>46023</v>
      </c>
      <c r="I2218" s="3" t="str">
        <f t="shared" si="171"/>
        <v/>
      </c>
      <c r="J2218" t="str">
        <f t="shared" si="172"/>
        <v/>
      </c>
      <c r="K2218" t="str">
        <f t="shared" si="173"/>
        <v/>
      </c>
      <c r="L2218" t="str">
        <f t="shared" si="174"/>
        <v/>
      </c>
      <c r="M2218" t="str">
        <f>IF(COUNTIF($A$2:A2218,A2218)=1,
     VLOOKUP(A2218,Season_Winners!A:B,2,FALSE),
     "")</f>
        <v/>
      </c>
    </row>
    <row r="2219" spans="1:13" x14ac:dyDescent="0.3">
      <c r="A2219" t="s">
        <v>745</v>
      </c>
      <c r="B2219">
        <v>32</v>
      </c>
      <c r="C2219" t="s">
        <v>861</v>
      </c>
      <c r="D2219" t="str">
        <f t="shared" si="170"/>
        <v>14.04.2019</v>
      </c>
      <c r="E2219" s="1">
        <v>0.77083333333333337</v>
      </c>
      <c r="F2219" t="s">
        <v>606</v>
      </c>
      <c r="G2219" t="s">
        <v>34</v>
      </c>
      <c r="H2219" t="s">
        <v>42</v>
      </c>
      <c r="I2219" t="str">
        <f t="shared" si="171"/>
        <v>0-1</v>
      </c>
      <c r="J2219" t="str">
        <f t="shared" si="172"/>
        <v>0</v>
      </c>
      <c r="K2219" t="str">
        <f t="shared" si="173"/>
        <v>1</v>
      </c>
      <c r="L2219" t="str">
        <f t="shared" si="174"/>
        <v>Villarreal CF</v>
      </c>
      <c r="M2219" t="str">
        <f>IF(COUNTIF($A$2:A2219,A2219)=1,
     VLOOKUP(A2219,Season_Winners!A:B,2,FALSE),
     "")</f>
        <v/>
      </c>
    </row>
    <row r="2220" spans="1:13" hidden="1" x14ac:dyDescent="0.3">
      <c r="A2220" t="s">
        <v>745</v>
      </c>
      <c r="B2220">
        <v>32</v>
      </c>
      <c r="C2220" t="s">
        <v>861</v>
      </c>
      <c r="D2220" t="str">
        <f t="shared" si="170"/>
        <v>14.04.2019</v>
      </c>
      <c r="E2220" s="1">
        <v>0.86458333333333337</v>
      </c>
      <c r="F2220" t="s">
        <v>16</v>
      </c>
      <c r="G2220" t="s">
        <v>21</v>
      </c>
      <c r="H2220" s="2">
        <v>46025</v>
      </c>
      <c r="I2220" s="3" t="str">
        <f t="shared" si="171"/>
        <v/>
      </c>
      <c r="J2220" t="str">
        <f t="shared" si="172"/>
        <v/>
      </c>
      <c r="K2220" t="str">
        <f t="shared" si="173"/>
        <v/>
      </c>
      <c r="L2220" t="str">
        <f t="shared" si="174"/>
        <v/>
      </c>
      <c r="M2220" t="str">
        <f>IF(COUNTIF($A$2:A2220,A2220)=1,
     VLOOKUP(A2220,Season_Winners!A:B,2,FALSE),
     "")</f>
        <v/>
      </c>
    </row>
    <row r="2221" spans="1:13" hidden="1" x14ac:dyDescent="0.3">
      <c r="A2221" t="s">
        <v>745</v>
      </c>
      <c r="B2221">
        <v>32</v>
      </c>
      <c r="C2221" t="s">
        <v>862</v>
      </c>
      <c r="D2221" t="str">
        <f t="shared" si="170"/>
        <v>15.04.2019</v>
      </c>
      <c r="E2221" s="1">
        <v>0.875</v>
      </c>
      <c r="F2221" t="s">
        <v>466</v>
      </c>
      <c r="G2221" t="s">
        <v>25</v>
      </c>
      <c r="H2221" s="2">
        <v>46023</v>
      </c>
      <c r="I2221" s="3" t="str">
        <f t="shared" si="171"/>
        <v/>
      </c>
      <c r="J2221" t="str">
        <f t="shared" si="172"/>
        <v/>
      </c>
      <c r="K2221" t="str">
        <f t="shared" si="173"/>
        <v/>
      </c>
      <c r="L2221" t="str">
        <f t="shared" si="174"/>
        <v/>
      </c>
      <c r="M2221" t="str">
        <f>IF(COUNTIF($A$2:A2221,A2221)=1,
     VLOOKUP(A2221,Season_Winners!A:B,2,FALSE),
     "")</f>
        <v/>
      </c>
    </row>
    <row r="2222" spans="1:13" hidden="1" x14ac:dyDescent="0.3">
      <c r="A2222" t="s">
        <v>745</v>
      </c>
      <c r="B2222">
        <v>33</v>
      </c>
      <c r="C2222" t="s">
        <v>863</v>
      </c>
      <c r="D2222" t="str">
        <f t="shared" si="170"/>
        <v>19.04.2019</v>
      </c>
      <c r="E2222" s="1">
        <v>0.875</v>
      </c>
      <c r="F2222" t="s">
        <v>464</v>
      </c>
      <c r="G2222" t="s">
        <v>14</v>
      </c>
      <c r="H2222" s="2">
        <v>46055</v>
      </c>
      <c r="I2222" s="3" t="str">
        <f t="shared" si="171"/>
        <v/>
      </c>
      <c r="J2222" t="str">
        <f t="shared" si="172"/>
        <v/>
      </c>
      <c r="K2222" t="str">
        <f t="shared" si="173"/>
        <v/>
      </c>
      <c r="L2222" t="str">
        <f t="shared" si="174"/>
        <v/>
      </c>
      <c r="M2222" t="str">
        <f>IF(COUNTIF($A$2:A2222,A2222)=1,
     VLOOKUP(A2222,Season_Winners!A:B,2,FALSE),
     "")</f>
        <v/>
      </c>
    </row>
    <row r="2223" spans="1:13" hidden="1" x14ac:dyDescent="0.3">
      <c r="A2223" t="s">
        <v>745</v>
      </c>
      <c r="B2223">
        <v>33</v>
      </c>
      <c r="C2223" t="s">
        <v>864</v>
      </c>
      <c r="D2223" t="str">
        <f t="shared" si="170"/>
        <v>20.04.2019</v>
      </c>
      <c r="E2223" s="1">
        <v>0.54166666666666663</v>
      </c>
      <c r="F2223" t="s">
        <v>35</v>
      </c>
      <c r="G2223" t="s">
        <v>606</v>
      </c>
      <c r="H2223" s="2">
        <v>46024</v>
      </c>
      <c r="I2223" s="3" t="str">
        <f t="shared" si="171"/>
        <v/>
      </c>
      <c r="J2223" t="str">
        <f t="shared" si="172"/>
        <v/>
      </c>
      <c r="K2223" t="str">
        <f t="shared" si="173"/>
        <v/>
      </c>
      <c r="L2223" t="str">
        <f t="shared" si="174"/>
        <v/>
      </c>
      <c r="M2223" t="str">
        <f>IF(COUNTIF($A$2:A2223,A2223)=1,
     VLOOKUP(A2223,Season_Winners!A:B,2,FALSE),
     "")</f>
        <v/>
      </c>
    </row>
    <row r="2224" spans="1:13" x14ac:dyDescent="0.3">
      <c r="A2224" t="s">
        <v>745</v>
      </c>
      <c r="B2224">
        <v>33</v>
      </c>
      <c r="C2224" t="s">
        <v>864</v>
      </c>
      <c r="D2224" t="str">
        <f t="shared" si="170"/>
        <v>20.04.2019</v>
      </c>
      <c r="E2224" s="1">
        <v>0.67708333333333337</v>
      </c>
      <c r="F2224" t="s">
        <v>187</v>
      </c>
      <c r="G2224" t="s">
        <v>1425</v>
      </c>
      <c r="H2224" t="s">
        <v>42</v>
      </c>
      <c r="I2224" t="str">
        <f t="shared" si="171"/>
        <v>0-1</v>
      </c>
      <c r="J2224" t="str">
        <f t="shared" si="172"/>
        <v>0</v>
      </c>
      <c r="K2224" t="str">
        <f t="shared" si="173"/>
        <v>1</v>
      </c>
      <c r="L2224" t="str">
        <f t="shared" si="174"/>
        <v>Atlético de Madrid</v>
      </c>
      <c r="M2224" t="str">
        <f>IF(COUNTIF($A$2:A2224,A2224)=1,
     VLOOKUP(A2224,Season_Winners!A:B,2,FALSE),
     "")</f>
        <v/>
      </c>
    </row>
    <row r="2225" spans="1:13" x14ac:dyDescent="0.3">
      <c r="A2225" t="s">
        <v>745</v>
      </c>
      <c r="B2225">
        <v>33</v>
      </c>
      <c r="C2225" t="s">
        <v>864</v>
      </c>
      <c r="D2225" t="str">
        <f t="shared" si="170"/>
        <v>20.04.2019</v>
      </c>
      <c r="E2225" s="1">
        <v>0.77083333333333337</v>
      </c>
      <c r="F2225" t="s">
        <v>30</v>
      </c>
      <c r="G2225" t="s">
        <v>750</v>
      </c>
      <c r="H2225" t="s">
        <v>41</v>
      </c>
      <c r="I2225" t="str">
        <f t="shared" si="171"/>
        <v>0-0</v>
      </c>
      <c r="J2225" t="str">
        <f t="shared" si="172"/>
        <v>0</v>
      </c>
      <c r="K2225" t="str">
        <f t="shared" si="173"/>
        <v>0</v>
      </c>
      <c r="L2225" t="str">
        <f t="shared" si="174"/>
        <v>Draw</v>
      </c>
      <c r="M2225" t="str">
        <f>IF(COUNTIF($A$2:A2225,A2225)=1,
     VLOOKUP(A2225,Season_Winners!A:B,2,FALSE),
     "")</f>
        <v/>
      </c>
    </row>
    <row r="2226" spans="1:13" hidden="1" x14ac:dyDescent="0.3">
      <c r="A2226" t="s">
        <v>745</v>
      </c>
      <c r="B2226">
        <v>33</v>
      </c>
      <c r="C2226" t="s">
        <v>864</v>
      </c>
      <c r="D2226" t="str">
        <f t="shared" si="170"/>
        <v>20.04.2019</v>
      </c>
      <c r="E2226" s="1">
        <v>0.86458333333333337</v>
      </c>
      <c r="F2226" t="s">
        <v>20</v>
      </c>
      <c r="G2226" t="s">
        <v>10</v>
      </c>
      <c r="H2226" s="2">
        <v>46024</v>
      </c>
      <c r="I2226" s="3" t="str">
        <f t="shared" si="171"/>
        <v/>
      </c>
      <c r="J2226" t="str">
        <f t="shared" si="172"/>
        <v/>
      </c>
      <c r="K2226" t="str">
        <f t="shared" si="173"/>
        <v/>
      </c>
      <c r="L2226" t="str">
        <f t="shared" si="174"/>
        <v/>
      </c>
      <c r="M2226" t="str">
        <f>IF(COUNTIF($A$2:A2226,A2226)=1,
     VLOOKUP(A2226,Season_Winners!A:B,2,FALSE),
     "")</f>
        <v/>
      </c>
    </row>
    <row r="2227" spans="1:13" hidden="1" x14ac:dyDescent="0.3">
      <c r="A2227" t="s">
        <v>745</v>
      </c>
      <c r="B2227">
        <v>33</v>
      </c>
      <c r="C2227" t="s">
        <v>865</v>
      </c>
      <c r="D2227" t="str">
        <f t="shared" si="170"/>
        <v>21.04.2019</v>
      </c>
      <c r="E2227" s="1">
        <v>0.5</v>
      </c>
      <c r="F2227" t="s">
        <v>21</v>
      </c>
      <c r="G2227" t="s">
        <v>36</v>
      </c>
      <c r="H2227" s="2">
        <v>46055</v>
      </c>
      <c r="I2227" s="3" t="str">
        <f t="shared" si="171"/>
        <v/>
      </c>
      <c r="J2227" t="str">
        <f t="shared" si="172"/>
        <v/>
      </c>
      <c r="K2227" t="str">
        <f t="shared" si="173"/>
        <v/>
      </c>
      <c r="L2227" t="str">
        <f t="shared" si="174"/>
        <v/>
      </c>
      <c r="M2227" t="str">
        <f>IF(COUNTIF($A$2:A2227,A2227)=1,
     VLOOKUP(A2227,Season_Winners!A:B,2,FALSE),
     "")</f>
        <v/>
      </c>
    </row>
    <row r="2228" spans="1:13" x14ac:dyDescent="0.3">
      <c r="A2228" t="s">
        <v>745</v>
      </c>
      <c r="B2228">
        <v>33</v>
      </c>
      <c r="C2228" t="s">
        <v>865</v>
      </c>
      <c r="D2228" t="str">
        <f t="shared" si="170"/>
        <v>21.04.2019</v>
      </c>
      <c r="E2228" s="1">
        <v>0.58333333333333337</v>
      </c>
      <c r="F2228" t="s">
        <v>11</v>
      </c>
      <c r="G2228" t="s">
        <v>27</v>
      </c>
      <c r="H2228" t="s">
        <v>32</v>
      </c>
      <c r="I2228" t="str">
        <f t="shared" si="171"/>
        <v>3-0</v>
      </c>
      <c r="J2228" t="str">
        <f t="shared" si="172"/>
        <v>3</v>
      </c>
      <c r="K2228" t="str">
        <f t="shared" si="173"/>
        <v>0</v>
      </c>
      <c r="L2228" t="str">
        <f t="shared" si="174"/>
        <v>Getafe CF</v>
      </c>
      <c r="M2228" t="str">
        <f>IF(COUNTIF($A$2:A2228,A2228)=1,
     VLOOKUP(A2228,Season_Winners!A:B,2,FALSE),
     "")</f>
        <v/>
      </c>
    </row>
    <row r="2229" spans="1:13" x14ac:dyDescent="0.3">
      <c r="A2229" t="s">
        <v>745</v>
      </c>
      <c r="B2229">
        <v>33</v>
      </c>
      <c r="C2229" t="s">
        <v>865</v>
      </c>
      <c r="D2229" t="str">
        <f t="shared" si="170"/>
        <v>21.04.2019</v>
      </c>
      <c r="E2229" s="1">
        <v>0.67708333333333337</v>
      </c>
      <c r="F2229" t="s">
        <v>25</v>
      </c>
      <c r="G2229" t="s">
        <v>15</v>
      </c>
      <c r="H2229" t="s">
        <v>32</v>
      </c>
      <c r="I2229" t="str">
        <f t="shared" si="171"/>
        <v>3-0</v>
      </c>
      <c r="J2229" t="str">
        <f t="shared" si="172"/>
        <v>3</v>
      </c>
      <c r="K2229" t="str">
        <f t="shared" si="173"/>
        <v>0</v>
      </c>
      <c r="L2229" t="str">
        <f t="shared" si="174"/>
        <v>Real Madrid</v>
      </c>
      <c r="M2229" t="str">
        <f>IF(COUNTIF($A$2:A2229,A2229)=1,
     VLOOKUP(A2229,Season_Winners!A:B,2,FALSE),
     "")</f>
        <v/>
      </c>
    </row>
    <row r="2230" spans="1:13" hidden="1" x14ac:dyDescent="0.3">
      <c r="A2230" t="s">
        <v>745</v>
      </c>
      <c r="B2230">
        <v>33</v>
      </c>
      <c r="C2230" t="s">
        <v>865</v>
      </c>
      <c r="D2230" t="str">
        <f t="shared" si="170"/>
        <v>21.04.2019</v>
      </c>
      <c r="E2230" s="1">
        <v>0.77083333333333337</v>
      </c>
      <c r="F2230" t="s">
        <v>34</v>
      </c>
      <c r="G2230" t="s">
        <v>466</v>
      </c>
      <c r="H2230" s="2">
        <v>46024</v>
      </c>
      <c r="I2230" s="3" t="str">
        <f t="shared" si="171"/>
        <v/>
      </c>
      <c r="J2230" t="str">
        <f t="shared" si="172"/>
        <v/>
      </c>
      <c r="K2230" t="str">
        <f t="shared" si="173"/>
        <v/>
      </c>
      <c r="L2230" t="str">
        <f t="shared" si="174"/>
        <v/>
      </c>
      <c r="M2230" t="str">
        <f>IF(COUNTIF($A$2:A2230,A2230)=1,
     VLOOKUP(A2230,Season_Winners!A:B,2,FALSE),
     "")</f>
        <v/>
      </c>
    </row>
    <row r="2231" spans="1:13" hidden="1" x14ac:dyDescent="0.3">
      <c r="A2231" t="s">
        <v>745</v>
      </c>
      <c r="B2231">
        <v>33</v>
      </c>
      <c r="C2231" t="s">
        <v>865</v>
      </c>
      <c r="D2231" t="str">
        <f t="shared" si="170"/>
        <v>21.04.2019</v>
      </c>
      <c r="E2231" s="1">
        <v>0.86458333333333337</v>
      </c>
      <c r="F2231" t="s">
        <v>26</v>
      </c>
      <c r="G2231" t="s">
        <v>16</v>
      </c>
      <c r="H2231" s="2">
        <v>46054</v>
      </c>
      <c r="I2231" s="3" t="str">
        <f t="shared" si="171"/>
        <v/>
      </c>
      <c r="J2231" t="str">
        <f t="shared" si="172"/>
        <v/>
      </c>
      <c r="K2231" t="str">
        <f t="shared" si="173"/>
        <v/>
      </c>
      <c r="L2231" t="str">
        <f t="shared" si="174"/>
        <v/>
      </c>
      <c r="M2231" t="str">
        <f>IF(COUNTIF($A$2:A2231,A2231)=1,
     VLOOKUP(A2231,Season_Winners!A:B,2,FALSE),
     "")</f>
        <v/>
      </c>
    </row>
    <row r="2232" spans="1:13" x14ac:dyDescent="0.3">
      <c r="A2232" t="s">
        <v>745</v>
      </c>
      <c r="B2232">
        <v>34</v>
      </c>
      <c r="C2232" t="s">
        <v>866</v>
      </c>
      <c r="D2232" t="str">
        <f t="shared" si="170"/>
        <v>23.04.2019</v>
      </c>
      <c r="E2232" s="1">
        <v>0.8125</v>
      </c>
      <c r="F2232" t="s">
        <v>750</v>
      </c>
      <c r="G2232" t="s">
        <v>187</v>
      </c>
      <c r="H2232" t="s">
        <v>12</v>
      </c>
      <c r="I2232" t="str">
        <f t="shared" si="171"/>
        <v>2-0</v>
      </c>
      <c r="J2232" t="str">
        <f t="shared" si="172"/>
        <v>2</v>
      </c>
      <c r="K2232" t="str">
        <f t="shared" si="173"/>
        <v>0</v>
      </c>
      <c r="L2232" t="str">
        <f t="shared" si="174"/>
        <v>SD Huesca</v>
      </c>
      <c r="M2232" t="str">
        <f>IF(COUNTIF($A$2:A2232,A2232)=1,
     VLOOKUP(A2232,Season_Winners!A:B,2,FALSE),
     "")</f>
        <v/>
      </c>
    </row>
    <row r="2233" spans="1:13" x14ac:dyDescent="0.3">
      <c r="A2233" t="s">
        <v>745</v>
      </c>
      <c r="B2233">
        <v>34</v>
      </c>
      <c r="C2233" t="s">
        <v>866</v>
      </c>
      <c r="D2233" t="str">
        <f t="shared" si="170"/>
        <v>23.04.2019</v>
      </c>
      <c r="E2233" s="1">
        <v>0.85416666666666663</v>
      </c>
      <c r="F2233" t="s">
        <v>14</v>
      </c>
      <c r="G2233" t="s">
        <v>606</v>
      </c>
      <c r="H2233" t="s">
        <v>18</v>
      </c>
      <c r="I2233" t="str">
        <f t="shared" si="171"/>
        <v>1-0</v>
      </c>
      <c r="J2233" t="str">
        <f t="shared" si="172"/>
        <v>1</v>
      </c>
      <c r="K2233" t="str">
        <f t="shared" si="173"/>
        <v>0</v>
      </c>
      <c r="L2233" t="str">
        <f t="shared" si="174"/>
        <v>Real Valladolid CF</v>
      </c>
      <c r="M2233" t="str">
        <f>IF(COUNTIF($A$2:A2233,A2233)=1,
     VLOOKUP(A2233,Season_Winners!A:B,2,FALSE),
     "")</f>
        <v/>
      </c>
    </row>
    <row r="2234" spans="1:13" x14ac:dyDescent="0.3">
      <c r="A2234" t="s">
        <v>745</v>
      </c>
      <c r="B2234">
        <v>34</v>
      </c>
      <c r="C2234" t="s">
        <v>866</v>
      </c>
      <c r="D2234" t="str">
        <f t="shared" si="170"/>
        <v>23.04.2019</v>
      </c>
      <c r="E2234" s="1">
        <v>0.89583333333333337</v>
      </c>
      <c r="F2234" t="s">
        <v>464</v>
      </c>
      <c r="G2234" t="s">
        <v>20</v>
      </c>
      <c r="H2234" t="s">
        <v>54</v>
      </c>
      <c r="I2234" t="str">
        <f t="shared" si="171"/>
        <v>0-2</v>
      </c>
      <c r="J2234" t="str">
        <f t="shared" si="172"/>
        <v>0</v>
      </c>
      <c r="K2234" t="str">
        <f t="shared" si="173"/>
        <v>2</v>
      </c>
      <c r="L2234" t="str">
        <f t="shared" si="174"/>
        <v>FC Barcelona</v>
      </c>
      <c r="M2234" t="str">
        <f>IF(COUNTIF($A$2:A2234,A2234)=1,
     VLOOKUP(A2234,Season_Winners!A:B,2,FALSE),
     "")</f>
        <v/>
      </c>
    </row>
    <row r="2235" spans="1:13" hidden="1" x14ac:dyDescent="0.3">
      <c r="A2235" t="s">
        <v>745</v>
      </c>
      <c r="B2235">
        <v>34</v>
      </c>
      <c r="C2235" t="s">
        <v>867</v>
      </c>
      <c r="D2235" t="str">
        <f t="shared" si="170"/>
        <v>24.04.2019</v>
      </c>
      <c r="E2235" s="1">
        <v>0.8125</v>
      </c>
      <c r="F2235" t="s">
        <v>28</v>
      </c>
      <c r="G2235" t="s">
        <v>16</v>
      </c>
      <c r="H2235" s="2">
        <v>46056</v>
      </c>
      <c r="I2235" s="3" t="str">
        <f t="shared" si="171"/>
        <v/>
      </c>
      <c r="J2235" t="str">
        <f t="shared" si="172"/>
        <v/>
      </c>
      <c r="K2235" t="str">
        <f t="shared" si="173"/>
        <v/>
      </c>
      <c r="L2235" t="str">
        <f t="shared" si="174"/>
        <v/>
      </c>
      <c r="M2235" t="str">
        <f>IF(COUNTIF($A$2:A2235,A2235)=1,
     VLOOKUP(A2235,Season_Winners!A:B,2,FALSE),
     "")</f>
        <v/>
      </c>
    </row>
    <row r="2236" spans="1:13" hidden="1" x14ac:dyDescent="0.3">
      <c r="A2236" t="s">
        <v>745</v>
      </c>
      <c r="B2236">
        <v>34</v>
      </c>
      <c r="C2236" t="s">
        <v>867</v>
      </c>
      <c r="D2236" t="str">
        <f t="shared" si="170"/>
        <v>24.04.2019</v>
      </c>
      <c r="E2236" s="1">
        <v>0.85416666666666663</v>
      </c>
      <c r="F2236" t="s">
        <v>36</v>
      </c>
      <c r="G2236" t="s">
        <v>35</v>
      </c>
      <c r="H2236" s="2">
        <v>46023</v>
      </c>
      <c r="I2236" s="3" t="str">
        <f t="shared" si="171"/>
        <v/>
      </c>
      <c r="J2236" t="str">
        <f t="shared" si="172"/>
        <v/>
      </c>
      <c r="K2236" t="str">
        <f t="shared" si="173"/>
        <v/>
      </c>
      <c r="L2236" t="str">
        <f t="shared" si="174"/>
        <v/>
      </c>
      <c r="M2236" t="str">
        <f>IF(COUNTIF($A$2:A2236,A2236)=1,
     VLOOKUP(A2236,Season_Winners!A:B,2,FALSE),
     "")</f>
        <v/>
      </c>
    </row>
    <row r="2237" spans="1:13" x14ac:dyDescent="0.3">
      <c r="A2237" t="s">
        <v>745</v>
      </c>
      <c r="B2237">
        <v>34</v>
      </c>
      <c r="C2237" t="s">
        <v>867</v>
      </c>
      <c r="D2237" t="str">
        <f t="shared" si="170"/>
        <v>24.04.2019</v>
      </c>
      <c r="E2237" s="1">
        <v>0.85416666666666663</v>
      </c>
      <c r="F2237" t="s">
        <v>466</v>
      </c>
      <c r="G2237" t="s">
        <v>15</v>
      </c>
      <c r="H2237" t="s">
        <v>42</v>
      </c>
      <c r="I2237" t="str">
        <f t="shared" si="171"/>
        <v>0-1</v>
      </c>
      <c r="J2237" t="str">
        <f t="shared" si="172"/>
        <v>0</v>
      </c>
      <c r="K2237" t="str">
        <f t="shared" si="173"/>
        <v>1</v>
      </c>
      <c r="L2237" t="str">
        <f t="shared" si="174"/>
        <v>Athletic Club</v>
      </c>
      <c r="M2237" t="str">
        <f>IF(COUNTIF($A$2:A2237,A2237)=1,
     VLOOKUP(A2237,Season_Winners!A:B,2,FALSE),
     "")</f>
        <v/>
      </c>
    </row>
    <row r="2238" spans="1:13" x14ac:dyDescent="0.3">
      <c r="A2238" t="s">
        <v>745</v>
      </c>
      <c r="B2238">
        <v>34</v>
      </c>
      <c r="C2238" t="s">
        <v>867</v>
      </c>
      <c r="D2238" t="str">
        <f t="shared" si="170"/>
        <v>24.04.2019</v>
      </c>
      <c r="E2238" s="1">
        <v>0.89583333333333337</v>
      </c>
      <c r="F2238" t="s">
        <v>21</v>
      </c>
      <c r="G2238" t="s">
        <v>26</v>
      </c>
      <c r="H2238" t="s">
        <v>88</v>
      </c>
      <c r="I2238" t="str">
        <f t="shared" si="171"/>
        <v>4-0</v>
      </c>
      <c r="J2238" t="str">
        <f t="shared" si="172"/>
        <v>4</v>
      </c>
      <c r="K2238" t="str">
        <f t="shared" si="173"/>
        <v>0</v>
      </c>
      <c r="L2238" t="str">
        <f t="shared" si="174"/>
        <v>Levante UD</v>
      </c>
      <c r="M2238" t="str">
        <f>IF(COUNTIF($A$2:A2238,A2238)=1,
     VLOOKUP(A2238,Season_Winners!A:B,2,FALSE),
     "")</f>
        <v/>
      </c>
    </row>
    <row r="2239" spans="1:13" x14ac:dyDescent="0.3">
      <c r="A2239" t="s">
        <v>745</v>
      </c>
      <c r="B2239">
        <v>34</v>
      </c>
      <c r="C2239" t="s">
        <v>868</v>
      </c>
      <c r="D2239" t="str">
        <f t="shared" si="170"/>
        <v>25.04.2019</v>
      </c>
      <c r="E2239" s="1">
        <v>0.8125</v>
      </c>
      <c r="F2239" t="s">
        <v>27</v>
      </c>
      <c r="G2239" t="s">
        <v>30</v>
      </c>
      <c r="H2239" t="s">
        <v>40</v>
      </c>
      <c r="I2239" t="str">
        <f t="shared" si="171"/>
        <v>5-0</v>
      </c>
      <c r="J2239" t="str">
        <f t="shared" si="172"/>
        <v>5</v>
      </c>
      <c r="K2239" t="str">
        <f t="shared" si="173"/>
        <v>0</v>
      </c>
      <c r="L2239" t="str">
        <f t="shared" si="174"/>
        <v>Sevilla FC</v>
      </c>
      <c r="M2239" t="str">
        <f>IF(COUNTIF($A$2:A2239,A2239)=1,
     VLOOKUP(A2239,Season_Winners!A:B,2,FALSE),
     "")</f>
        <v/>
      </c>
    </row>
    <row r="2240" spans="1:13" x14ac:dyDescent="0.3">
      <c r="A2240" t="s">
        <v>745</v>
      </c>
      <c r="B2240">
        <v>34</v>
      </c>
      <c r="C2240" t="s">
        <v>868</v>
      </c>
      <c r="D2240" t="str">
        <f t="shared" si="170"/>
        <v>25.04.2019</v>
      </c>
      <c r="E2240" s="1">
        <v>0.85416666666666663</v>
      </c>
      <c r="F2240" t="s">
        <v>10</v>
      </c>
      <c r="G2240" t="s">
        <v>34</v>
      </c>
      <c r="H2240" t="s">
        <v>42</v>
      </c>
      <c r="I2240" t="str">
        <f t="shared" si="171"/>
        <v>0-1</v>
      </c>
      <c r="J2240" t="str">
        <f t="shared" si="172"/>
        <v>0</v>
      </c>
      <c r="K2240" t="str">
        <f t="shared" si="173"/>
        <v>1</v>
      </c>
      <c r="L2240" t="str">
        <f t="shared" si="174"/>
        <v>Villarreal CF</v>
      </c>
      <c r="M2240" t="str">
        <f>IF(COUNTIF($A$2:A2240,A2240)=1,
     VLOOKUP(A2240,Season_Winners!A:B,2,FALSE),
     "")</f>
        <v/>
      </c>
    </row>
    <row r="2241" spans="1:13" x14ac:dyDescent="0.3">
      <c r="A2241" t="s">
        <v>745</v>
      </c>
      <c r="B2241">
        <v>34</v>
      </c>
      <c r="C2241" t="s">
        <v>868</v>
      </c>
      <c r="D2241" t="str">
        <f t="shared" si="170"/>
        <v>25.04.2019</v>
      </c>
      <c r="E2241" s="1">
        <v>0.89583333333333337</v>
      </c>
      <c r="F2241" t="s">
        <v>11</v>
      </c>
      <c r="G2241" t="s">
        <v>25</v>
      </c>
      <c r="H2241" t="s">
        <v>41</v>
      </c>
      <c r="I2241" t="str">
        <f t="shared" si="171"/>
        <v>0-0</v>
      </c>
      <c r="J2241" t="str">
        <f t="shared" si="172"/>
        <v>0</v>
      </c>
      <c r="K2241" t="str">
        <f t="shared" si="173"/>
        <v>0</v>
      </c>
      <c r="L2241" t="str">
        <f t="shared" si="174"/>
        <v>Draw</v>
      </c>
      <c r="M2241" t="str">
        <f>IF(COUNTIF($A$2:A2241,A2241)=1,
     VLOOKUP(A2241,Season_Winners!A:B,2,FALSE),
     "")</f>
        <v/>
      </c>
    </row>
    <row r="2242" spans="1:13" hidden="1" x14ac:dyDescent="0.3">
      <c r="A2242" t="s">
        <v>745</v>
      </c>
      <c r="B2242">
        <v>35</v>
      </c>
      <c r="C2242" t="s">
        <v>869</v>
      </c>
      <c r="D2242" t="str">
        <f t="shared" ref="D2242:D2305" si="175">RIGHT(C2242,10)</f>
        <v>27.04.2019</v>
      </c>
      <c r="E2242" s="1">
        <v>0.54166666666666663</v>
      </c>
      <c r="F2242" t="s">
        <v>15</v>
      </c>
      <c r="G2242" t="s">
        <v>464</v>
      </c>
      <c r="H2242" s="2">
        <v>46023</v>
      </c>
      <c r="I2242" s="3" t="str">
        <f t="shared" ref="I2242:I2305" si="176">IF(ISNUMBER(SEARCH("-",H2242)),H2242,"")</f>
        <v/>
      </c>
      <c r="J2242" t="str">
        <f t="shared" ref="J2242:J2305" si="177">IF(I2242="","",LEFT(I2242,FIND("-",I2242)-1))</f>
        <v/>
      </c>
      <c r="K2242" t="str">
        <f t="shared" ref="K2242:K2305" si="178">IF(I2242="","",RIGHT(I2242,LEN(I2242)-FIND("-",I2242)))</f>
        <v/>
      </c>
      <c r="L2242" t="str">
        <f t="shared" ref="L2242:L2305" si="179">IF(I2242="","",IF(J2242&gt;K2242,F2242,IF(K2242&gt;J2242,G2242,"Draw")))</f>
        <v/>
      </c>
      <c r="M2242" t="str">
        <f>IF(COUNTIF($A$2:A2242,A2242)=1,
     VLOOKUP(A2242,Season_Winners!A:B,2,FALSE),
     "")</f>
        <v/>
      </c>
    </row>
    <row r="2243" spans="1:13" x14ac:dyDescent="0.3">
      <c r="A2243" t="s">
        <v>745</v>
      </c>
      <c r="B2243">
        <v>35</v>
      </c>
      <c r="C2243" t="s">
        <v>869</v>
      </c>
      <c r="D2243" t="str">
        <f t="shared" si="175"/>
        <v>27.04.2019</v>
      </c>
      <c r="E2243" s="1">
        <v>0.67708333333333337</v>
      </c>
      <c r="F2243" t="s">
        <v>1425</v>
      </c>
      <c r="G2243" t="s">
        <v>14</v>
      </c>
      <c r="H2243" t="s">
        <v>18</v>
      </c>
      <c r="I2243" t="str">
        <f t="shared" si="176"/>
        <v>1-0</v>
      </c>
      <c r="J2243" t="str">
        <f t="shared" si="177"/>
        <v>1</v>
      </c>
      <c r="K2243" t="str">
        <f t="shared" si="178"/>
        <v>0</v>
      </c>
      <c r="L2243" t="str">
        <f t="shared" si="179"/>
        <v>Atlético de Madrid</v>
      </c>
      <c r="M2243" t="str">
        <f>IF(COUNTIF($A$2:A2243,A2243)=1,
     VLOOKUP(A2243,Season_Winners!A:B,2,FALSE),
     "")</f>
        <v/>
      </c>
    </row>
    <row r="2244" spans="1:13" x14ac:dyDescent="0.3">
      <c r="A2244" t="s">
        <v>745</v>
      </c>
      <c r="B2244">
        <v>35</v>
      </c>
      <c r="C2244" t="s">
        <v>869</v>
      </c>
      <c r="D2244" t="str">
        <f t="shared" si="175"/>
        <v>27.04.2019</v>
      </c>
      <c r="E2244" s="1">
        <v>0.77083333333333337</v>
      </c>
      <c r="F2244" t="s">
        <v>466</v>
      </c>
      <c r="G2244" t="s">
        <v>35</v>
      </c>
      <c r="H2244" t="s">
        <v>41</v>
      </c>
      <c r="I2244" t="str">
        <f t="shared" si="176"/>
        <v>0-0</v>
      </c>
      <c r="J2244" t="str">
        <f t="shared" si="177"/>
        <v>0</v>
      </c>
      <c r="K2244" t="str">
        <f t="shared" si="178"/>
        <v>0</v>
      </c>
      <c r="L2244" t="str">
        <f t="shared" si="179"/>
        <v>Draw</v>
      </c>
      <c r="M2244" t="str">
        <f>IF(COUNTIF($A$2:A2244,A2244)=1,
     VLOOKUP(A2244,Season_Winners!A:B,2,FALSE),
     "")</f>
        <v/>
      </c>
    </row>
    <row r="2245" spans="1:13" x14ac:dyDescent="0.3">
      <c r="A2245" t="s">
        <v>745</v>
      </c>
      <c r="B2245">
        <v>35</v>
      </c>
      <c r="C2245" t="s">
        <v>869</v>
      </c>
      <c r="D2245" t="str">
        <f t="shared" si="175"/>
        <v>27.04.2019</v>
      </c>
      <c r="E2245" s="1">
        <v>0.86458333333333337</v>
      </c>
      <c r="F2245" t="s">
        <v>20</v>
      </c>
      <c r="G2245" t="s">
        <v>21</v>
      </c>
      <c r="H2245" t="s">
        <v>18</v>
      </c>
      <c r="I2245" t="str">
        <f t="shared" si="176"/>
        <v>1-0</v>
      </c>
      <c r="J2245" t="str">
        <f t="shared" si="177"/>
        <v>1</v>
      </c>
      <c r="K2245" t="str">
        <f t="shared" si="178"/>
        <v>0</v>
      </c>
      <c r="L2245" t="str">
        <f t="shared" si="179"/>
        <v>FC Barcelona</v>
      </c>
      <c r="M2245" t="str">
        <f>IF(COUNTIF($A$2:A2245,A2245)=1,
     VLOOKUP(A2245,Season_Winners!A:B,2,FALSE),
     "")</f>
        <v/>
      </c>
    </row>
    <row r="2246" spans="1:13" x14ac:dyDescent="0.3">
      <c r="A2246" t="s">
        <v>745</v>
      </c>
      <c r="B2246">
        <v>35</v>
      </c>
      <c r="C2246" t="s">
        <v>870</v>
      </c>
      <c r="D2246" t="str">
        <f t="shared" si="175"/>
        <v>28.04.2019</v>
      </c>
      <c r="E2246" s="1">
        <v>0.5</v>
      </c>
      <c r="F2246" t="s">
        <v>16</v>
      </c>
      <c r="G2246" t="s">
        <v>187</v>
      </c>
      <c r="H2246" t="s">
        <v>42</v>
      </c>
      <c r="I2246" t="str">
        <f t="shared" si="176"/>
        <v>0-1</v>
      </c>
      <c r="J2246" t="str">
        <f t="shared" si="177"/>
        <v>0</v>
      </c>
      <c r="K2246" t="str">
        <f t="shared" si="178"/>
        <v>1</v>
      </c>
      <c r="L2246" t="str">
        <f t="shared" si="179"/>
        <v>SD Eibar</v>
      </c>
      <c r="M2246" t="str">
        <f>IF(COUNTIF($A$2:A2246,A2246)=1,
     VLOOKUP(A2246,Season_Winners!A:B,2,FALSE),
     "")</f>
        <v/>
      </c>
    </row>
    <row r="2247" spans="1:13" x14ac:dyDescent="0.3">
      <c r="A2247" t="s">
        <v>745</v>
      </c>
      <c r="B2247">
        <v>35</v>
      </c>
      <c r="C2247" t="s">
        <v>870</v>
      </c>
      <c r="D2247" t="str">
        <f t="shared" si="175"/>
        <v>28.04.2019</v>
      </c>
      <c r="E2247" s="1">
        <v>0.58333333333333337</v>
      </c>
      <c r="F2247" t="s">
        <v>606</v>
      </c>
      <c r="G2247" t="s">
        <v>27</v>
      </c>
      <c r="H2247" t="s">
        <v>18</v>
      </c>
      <c r="I2247" t="str">
        <f t="shared" si="176"/>
        <v>1-0</v>
      </c>
      <c r="J2247" t="str">
        <f t="shared" si="177"/>
        <v>1</v>
      </c>
      <c r="K2247" t="str">
        <f t="shared" si="178"/>
        <v>0</v>
      </c>
      <c r="L2247" t="str">
        <f t="shared" si="179"/>
        <v>Girona FC</v>
      </c>
      <c r="M2247" t="str">
        <f>IF(COUNTIF($A$2:A2247,A2247)=1,
     VLOOKUP(A2247,Season_Winners!A:B,2,FALSE),
     "")</f>
        <v/>
      </c>
    </row>
    <row r="2248" spans="1:13" hidden="1" x14ac:dyDescent="0.3">
      <c r="A2248" t="s">
        <v>745</v>
      </c>
      <c r="B2248">
        <v>35</v>
      </c>
      <c r="C2248" t="s">
        <v>870</v>
      </c>
      <c r="D2248" t="str">
        <f t="shared" si="175"/>
        <v>28.04.2019</v>
      </c>
      <c r="E2248" s="1">
        <v>0.67708333333333337</v>
      </c>
      <c r="F2248" t="s">
        <v>10</v>
      </c>
      <c r="G2248" t="s">
        <v>11</v>
      </c>
      <c r="H2248" s="2">
        <v>46024</v>
      </c>
      <c r="I2248" s="3" t="str">
        <f t="shared" si="176"/>
        <v/>
      </c>
      <c r="J2248" t="str">
        <f t="shared" si="177"/>
        <v/>
      </c>
      <c r="K2248" t="str">
        <f t="shared" si="178"/>
        <v/>
      </c>
      <c r="L2248" t="str">
        <f t="shared" si="179"/>
        <v/>
      </c>
      <c r="M2248" t="str">
        <f>IF(COUNTIF($A$2:A2248,A2248)=1,
     VLOOKUP(A2248,Season_Winners!A:B,2,FALSE),
     "")</f>
        <v/>
      </c>
    </row>
    <row r="2249" spans="1:13" hidden="1" x14ac:dyDescent="0.3">
      <c r="A2249" t="s">
        <v>745</v>
      </c>
      <c r="B2249">
        <v>35</v>
      </c>
      <c r="C2249" t="s">
        <v>870</v>
      </c>
      <c r="D2249" t="str">
        <f t="shared" si="175"/>
        <v>28.04.2019</v>
      </c>
      <c r="E2249" s="1">
        <v>0.77083333333333337</v>
      </c>
      <c r="F2249" t="s">
        <v>34</v>
      </c>
      <c r="G2249" t="s">
        <v>750</v>
      </c>
      <c r="H2249" s="2">
        <v>46023</v>
      </c>
      <c r="I2249" s="3" t="str">
        <f t="shared" si="176"/>
        <v/>
      </c>
      <c r="J2249" t="str">
        <f t="shared" si="177"/>
        <v/>
      </c>
      <c r="K2249" t="str">
        <f t="shared" si="178"/>
        <v/>
      </c>
      <c r="L2249" t="str">
        <f t="shared" si="179"/>
        <v/>
      </c>
      <c r="M2249" t="str">
        <f>IF(COUNTIF($A$2:A2249,A2249)=1,
     VLOOKUP(A2249,Season_Winners!A:B,2,FALSE),
     "")</f>
        <v/>
      </c>
    </row>
    <row r="2250" spans="1:13" x14ac:dyDescent="0.3">
      <c r="A2250" t="s">
        <v>745</v>
      </c>
      <c r="B2250">
        <v>35</v>
      </c>
      <c r="C2250" t="s">
        <v>870</v>
      </c>
      <c r="D2250" t="str">
        <f t="shared" si="175"/>
        <v>28.04.2019</v>
      </c>
      <c r="E2250" s="1">
        <v>0.86458333333333337</v>
      </c>
      <c r="F2250" t="s">
        <v>30</v>
      </c>
      <c r="G2250" t="s">
        <v>25</v>
      </c>
      <c r="H2250" t="s">
        <v>18</v>
      </c>
      <c r="I2250" t="str">
        <f t="shared" si="176"/>
        <v>1-0</v>
      </c>
      <c r="J2250" t="str">
        <f t="shared" si="177"/>
        <v>1</v>
      </c>
      <c r="K2250" t="str">
        <f t="shared" si="178"/>
        <v>0</v>
      </c>
      <c r="L2250" t="str">
        <f t="shared" si="179"/>
        <v>Rayo Vallecano</v>
      </c>
      <c r="M2250" t="str">
        <f>IF(COUNTIF($A$2:A2250,A2250)=1,
     VLOOKUP(A2250,Season_Winners!A:B,2,FALSE),
     "")</f>
        <v/>
      </c>
    </row>
    <row r="2251" spans="1:13" hidden="1" x14ac:dyDescent="0.3">
      <c r="A2251" t="s">
        <v>745</v>
      </c>
      <c r="B2251">
        <v>35</v>
      </c>
      <c r="C2251" t="s">
        <v>871</v>
      </c>
      <c r="D2251" t="str">
        <f t="shared" si="175"/>
        <v>29.04.2019</v>
      </c>
      <c r="E2251" s="1">
        <v>0.875</v>
      </c>
      <c r="F2251" t="s">
        <v>26</v>
      </c>
      <c r="G2251" t="s">
        <v>36</v>
      </c>
      <c r="H2251" s="2">
        <v>46023</v>
      </c>
      <c r="I2251" s="3" t="str">
        <f t="shared" si="176"/>
        <v/>
      </c>
      <c r="J2251" t="str">
        <f t="shared" si="177"/>
        <v/>
      </c>
      <c r="K2251" t="str">
        <f t="shared" si="178"/>
        <v/>
      </c>
      <c r="L2251" t="str">
        <f t="shared" si="179"/>
        <v/>
      </c>
      <c r="M2251" t="str">
        <f>IF(COUNTIF($A$2:A2251,A2251)=1,
     VLOOKUP(A2251,Season_Winners!A:B,2,FALSE),
     "")</f>
        <v/>
      </c>
    </row>
    <row r="2252" spans="1:13" x14ac:dyDescent="0.3">
      <c r="A2252" t="s">
        <v>745</v>
      </c>
      <c r="B2252">
        <v>36</v>
      </c>
      <c r="C2252" t="s">
        <v>872</v>
      </c>
      <c r="D2252" t="str">
        <f t="shared" si="175"/>
        <v>03.05.2019</v>
      </c>
      <c r="E2252" s="1">
        <v>0.875</v>
      </c>
      <c r="F2252" t="s">
        <v>27</v>
      </c>
      <c r="G2252" t="s">
        <v>466</v>
      </c>
      <c r="H2252" t="s">
        <v>46</v>
      </c>
      <c r="I2252" t="str">
        <f t="shared" si="176"/>
        <v>0-3</v>
      </c>
      <c r="J2252" t="str">
        <f t="shared" si="177"/>
        <v>0</v>
      </c>
      <c r="K2252" t="str">
        <f t="shared" si="178"/>
        <v>3</v>
      </c>
      <c r="L2252" t="str">
        <f t="shared" si="179"/>
        <v>CD LeganÃ©s</v>
      </c>
      <c r="M2252" t="str">
        <f>IF(COUNTIF($A$2:A2252,A2252)=1,
     VLOOKUP(A2252,Season_Winners!A:B,2,FALSE),
     "")</f>
        <v/>
      </c>
    </row>
    <row r="2253" spans="1:13" hidden="1" x14ac:dyDescent="0.3">
      <c r="A2253" t="s">
        <v>745</v>
      </c>
      <c r="B2253">
        <v>36</v>
      </c>
      <c r="C2253" t="s">
        <v>873</v>
      </c>
      <c r="D2253" t="str">
        <f t="shared" si="175"/>
        <v>04.05.2019</v>
      </c>
      <c r="E2253" s="1">
        <v>0.54166666666666663</v>
      </c>
      <c r="F2253" t="s">
        <v>21</v>
      </c>
      <c r="G2253" t="s">
        <v>30</v>
      </c>
      <c r="H2253" s="2">
        <v>46026</v>
      </c>
      <c r="I2253" s="3" t="str">
        <f t="shared" si="176"/>
        <v/>
      </c>
      <c r="J2253" t="str">
        <f t="shared" si="177"/>
        <v/>
      </c>
      <c r="K2253" t="str">
        <f t="shared" si="178"/>
        <v/>
      </c>
      <c r="L2253" t="str">
        <f t="shared" si="179"/>
        <v/>
      </c>
      <c r="M2253" t="str">
        <f>IF(COUNTIF($A$2:A2253,A2253)=1,
     VLOOKUP(A2253,Season_Winners!A:B,2,FALSE),
     "")</f>
        <v/>
      </c>
    </row>
    <row r="2254" spans="1:13" x14ac:dyDescent="0.3">
      <c r="A2254" t="s">
        <v>745</v>
      </c>
      <c r="B2254">
        <v>36</v>
      </c>
      <c r="C2254" t="s">
        <v>873</v>
      </c>
      <c r="D2254" t="str">
        <f t="shared" si="175"/>
        <v>04.05.2019</v>
      </c>
      <c r="E2254" s="1">
        <v>0.67708333333333337</v>
      </c>
      <c r="F2254" t="s">
        <v>36</v>
      </c>
      <c r="G2254" t="s">
        <v>1425</v>
      </c>
      <c r="H2254" t="s">
        <v>32</v>
      </c>
      <c r="I2254" t="str">
        <f t="shared" si="176"/>
        <v>3-0</v>
      </c>
      <c r="J2254" t="str">
        <f t="shared" si="177"/>
        <v>3</v>
      </c>
      <c r="K2254" t="str">
        <f t="shared" si="178"/>
        <v>0</v>
      </c>
      <c r="L2254" t="str">
        <f t="shared" si="179"/>
        <v>RCD Espanyol de Barcelona</v>
      </c>
      <c r="M2254" t="str">
        <f>IF(COUNTIF($A$2:A2254,A2254)=1,
     VLOOKUP(A2254,Season_Winners!A:B,2,FALSE),
     "")</f>
        <v/>
      </c>
    </row>
    <row r="2255" spans="1:13" x14ac:dyDescent="0.3">
      <c r="A2255" t="s">
        <v>745</v>
      </c>
      <c r="B2255">
        <v>36</v>
      </c>
      <c r="C2255" t="s">
        <v>873</v>
      </c>
      <c r="D2255" t="str">
        <f t="shared" si="175"/>
        <v>04.05.2019</v>
      </c>
      <c r="E2255" s="1">
        <v>0.77083333333333337</v>
      </c>
      <c r="F2255" t="s">
        <v>464</v>
      </c>
      <c r="G2255" t="s">
        <v>10</v>
      </c>
      <c r="H2255" t="s">
        <v>42</v>
      </c>
      <c r="I2255" t="str">
        <f t="shared" si="176"/>
        <v>0-1</v>
      </c>
      <c r="J2255" t="str">
        <f t="shared" si="177"/>
        <v>0</v>
      </c>
      <c r="K2255" t="str">
        <f t="shared" si="178"/>
        <v>1</v>
      </c>
      <c r="L2255" t="str">
        <f t="shared" si="179"/>
        <v>Real Sociedad</v>
      </c>
      <c r="M2255" t="str">
        <f>IF(COUNTIF($A$2:A2255,A2255)=1,
     VLOOKUP(A2255,Season_Winners!A:B,2,FALSE),
     "")</f>
        <v/>
      </c>
    </row>
    <row r="2256" spans="1:13" x14ac:dyDescent="0.3">
      <c r="A2256" t="s">
        <v>745</v>
      </c>
      <c r="B2256">
        <v>36</v>
      </c>
      <c r="C2256" t="s">
        <v>873</v>
      </c>
      <c r="D2256" t="str">
        <f t="shared" si="175"/>
        <v>04.05.2019</v>
      </c>
      <c r="E2256" s="1">
        <v>0.86458333333333337</v>
      </c>
      <c r="F2256" t="s">
        <v>35</v>
      </c>
      <c r="G2256" t="s">
        <v>20</v>
      </c>
      <c r="H2256" t="s">
        <v>12</v>
      </c>
      <c r="I2256" t="str">
        <f t="shared" si="176"/>
        <v>2-0</v>
      </c>
      <c r="J2256" t="str">
        <f t="shared" si="177"/>
        <v>2</v>
      </c>
      <c r="K2256" t="str">
        <f t="shared" si="178"/>
        <v>0</v>
      </c>
      <c r="L2256" t="str">
        <f t="shared" si="179"/>
        <v>RC Celta</v>
      </c>
      <c r="M2256" t="str">
        <f>IF(COUNTIF($A$2:A2256,A2256)=1,
     VLOOKUP(A2256,Season_Winners!A:B,2,FALSE),
     "")</f>
        <v/>
      </c>
    </row>
    <row r="2257" spans="1:13" x14ac:dyDescent="0.3">
      <c r="A2257" t="s">
        <v>745</v>
      </c>
      <c r="B2257">
        <v>36</v>
      </c>
      <c r="C2257" t="s">
        <v>874</v>
      </c>
      <c r="D2257" t="str">
        <f t="shared" si="175"/>
        <v>05.05.2019</v>
      </c>
      <c r="E2257" s="1">
        <v>0.5</v>
      </c>
      <c r="F2257" t="s">
        <v>11</v>
      </c>
      <c r="G2257" t="s">
        <v>606</v>
      </c>
      <c r="H2257" t="s">
        <v>12</v>
      </c>
      <c r="I2257" t="str">
        <f t="shared" si="176"/>
        <v>2-0</v>
      </c>
      <c r="J2257" t="str">
        <f t="shared" si="177"/>
        <v>2</v>
      </c>
      <c r="K2257" t="str">
        <f t="shared" si="178"/>
        <v>0</v>
      </c>
      <c r="L2257" t="str">
        <f t="shared" si="179"/>
        <v>Getafe CF</v>
      </c>
      <c r="M2257" t="str">
        <f>IF(COUNTIF($A$2:A2257,A2257)=1,
     VLOOKUP(A2257,Season_Winners!A:B,2,FALSE),
     "")</f>
        <v/>
      </c>
    </row>
    <row r="2258" spans="1:13" x14ac:dyDescent="0.3">
      <c r="A2258" t="s">
        <v>745</v>
      </c>
      <c r="B2258">
        <v>36</v>
      </c>
      <c r="C2258" t="s">
        <v>874</v>
      </c>
      <c r="D2258" t="str">
        <f t="shared" si="175"/>
        <v>05.05.2019</v>
      </c>
      <c r="E2258" s="1">
        <v>0.58333333333333337</v>
      </c>
      <c r="F2258" t="s">
        <v>187</v>
      </c>
      <c r="G2258" t="s">
        <v>26</v>
      </c>
      <c r="H2258" t="s">
        <v>18</v>
      </c>
      <c r="I2258" t="str">
        <f t="shared" si="176"/>
        <v>1-0</v>
      </c>
      <c r="J2258" t="str">
        <f t="shared" si="177"/>
        <v>1</v>
      </c>
      <c r="K2258" t="str">
        <f t="shared" si="178"/>
        <v>0</v>
      </c>
      <c r="L2258" t="str">
        <f t="shared" si="179"/>
        <v>SD Eibar</v>
      </c>
      <c r="M2258" t="str">
        <f>IF(COUNTIF($A$2:A2258,A2258)=1,
     VLOOKUP(A2258,Season_Winners!A:B,2,FALSE),
     "")</f>
        <v/>
      </c>
    </row>
    <row r="2259" spans="1:13" hidden="1" x14ac:dyDescent="0.3">
      <c r="A2259" t="s">
        <v>745</v>
      </c>
      <c r="B2259">
        <v>36</v>
      </c>
      <c r="C2259" t="s">
        <v>874</v>
      </c>
      <c r="D2259" t="str">
        <f t="shared" si="175"/>
        <v>05.05.2019</v>
      </c>
      <c r="E2259" s="1">
        <v>0.67708333333333337</v>
      </c>
      <c r="F2259" t="s">
        <v>25</v>
      </c>
      <c r="G2259" t="s">
        <v>34</v>
      </c>
      <c r="H2259" s="2">
        <v>46056</v>
      </c>
      <c r="I2259" s="3" t="str">
        <f t="shared" si="176"/>
        <v/>
      </c>
      <c r="J2259" t="str">
        <f t="shared" si="177"/>
        <v/>
      </c>
      <c r="K2259" t="str">
        <f t="shared" si="178"/>
        <v/>
      </c>
      <c r="L2259" t="str">
        <f t="shared" si="179"/>
        <v/>
      </c>
      <c r="M2259" t="str">
        <f>IF(COUNTIF($A$2:A2259,A2259)=1,
     VLOOKUP(A2259,Season_Winners!A:B,2,FALSE),
     "")</f>
        <v/>
      </c>
    </row>
    <row r="2260" spans="1:13" x14ac:dyDescent="0.3">
      <c r="A2260" t="s">
        <v>745</v>
      </c>
      <c r="B2260">
        <v>36</v>
      </c>
      <c r="C2260" t="s">
        <v>874</v>
      </c>
      <c r="D2260" t="str">
        <f t="shared" si="175"/>
        <v>05.05.2019</v>
      </c>
      <c r="E2260" s="1">
        <v>0.77083333333333337</v>
      </c>
      <c r="F2260" t="s">
        <v>14</v>
      </c>
      <c r="G2260" t="s">
        <v>15</v>
      </c>
      <c r="H2260" t="s">
        <v>18</v>
      </c>
      <c r="I2260" t="str">
        <f t="shared" si="176"/>
        <v>1-0</v>
      </c>
      <c r="J2260" t="str">
        <f t="shared" si="177"/>
        <v>1</v>
      </c>
      <c r="K2260" t="str">
        <f t="shared" si="178"/>
        <v>0</v>
      </c>
      <c r="L2260" t="str">
        <f t="shared" si="179"/>
        <v>Real Valladolid CF</v>
      </c>
      <c r="M2260" t="str">
        <f>IF(COUNTIF($A$2:A2260,A2260)=1,
     VLOOKUP(A2260,Season_Winners!A:B,2,FALSE),
     "")</f>
        <v/>
      </c>
    </row>
    <row r="2261" spans="1:13" hidden="1" x14ac:dyDescent="0.3">
      <c r="A2261" t="s">
        <v>745</v>
      </c>
      <c r="B2261">
        <v>36</v>
      </c>
      <c r="C2261" t="s">
        <v>874</v>
      </c>
      <c r="D2261" t="str">
        <f t="shared" si="175"/>
        <v>05.05.2019</v>
      </c>
      <c r="E2261" s="1">
        <v>0.86458333333333337</v>
      </c>
      <c r="F2261" t="s">
        <v>750</v>
      </c>
      <c r="G2261" t="s">
        <v>16</v>
      </c>
      <c r="H2261" s="2">
        <v>46175</v>
      </c>
      <c r="I2261" s="3" t="str">
        <f t="shared" si="176"/>
        <v/>
      </c>
      <c r="J2261" t="str">
        <f t="shared" si="177"/>
        <v/>
      </c>
      <c r="K2261" t="str">
        <f t="shared" si="178"/>
        <v/>
      </c>
      <c r="L2261" t="str">
        <f t="shared" si="179"/>
        <v/>
      </c>
      <c r="M2261" t="str">
        <f>IF(COUNTIF($A$2:A2261,A2261)=1,
     VLOOKUP(A2261,Season_Winners!A:B,2,FALSE),
     "")</f>
        <v/>
      </c>
    </row>
    <row r="2262" spans="1:13" hidden="1" x14ac:dyDescent="0.3">
      <c r="A2262" t="s">
        <v>745</v>
      </c>
      <c r="B2262">
        <v>37</v>
      </c>
      <c r="C2262" t="s">
        <v>875</v>
      </c>
      <c r="D2262" t="str">
        <f t="shared" si="175"/>
        <v>12.05.2019</v>
      </c>
      <c r="E2262" s="1">
        <v>0.77083333333333337</v>
      </c>
      <c r="F2262" t="s">
        <v>28</v>
      </c>
      <c r="G2262" t="s">
        <v>27</v>
      </c>
      <c r="H2262" s="2">
        <v>46023</v>
      </c>
      <c r="I2262" s="3" t="str">
        <f t="shared" si="176"/>
        <v/>
      </c>
      <c r="J2262" t="str">
        <f t="shared" si="177"/>
        <v/>
      </c>
      <c r="K2262" t="str">
        <f t="shared" si="178"/>
        <v/>
      </c>
      <c r="L2262" t="str">
        <f t="shared" si="179"/>
        <v/>
      </c>
      <c r="M2262" t="str">
        <f>IF(COUNTIF($A$2:A2262,A2262)=1,
     VLOOKUP(A2262,Season_Winners!A:B,2,FALSE),
     "")</f>
        <v/>
      </c>
    </row>
    <row r="2263" spans="1:13" hidden="1" x14ac:dyDescent="0.3">
      <c r="A2263" t="s">
        <v>745</v>
      </c>
      <c r="B2263">
        <v>37</v>
      </c>
      <c r="C2263" t="s">
        <v>875</v>
      </c>
      <c r="D2263" t="str">
        <f t="shared" si="175"/>
        <v>12.05.2019</v>
      </c>
      <c r="E2263" s="1">
        <v>0.77083333333333337</v>
      </c>
      <c r="F2263" t="s">
        <v>15</v>
      </c>
      <c r="G2263" t="s">
        <v>35</v>
      </c>
      <c r="H2263" s="2">
        <v>46025</v>
      </c>
      <c r="I2263" s="3" t="str">
        <f t="shared" si="176"/>
        <v/>
      </c>
      <c r="J2263" t="str">
        <f t="shared" si="177"/>
        <v/>
      </c>
      <c r="K2263" t="str">
        <f t="shared" si="178"/>
        <v/>
      </c>
      <c r="L2263" t="str">
        <f t="shared" si="179"/>
        <v/>
      </c>
      <c r="M2263" t="str">
        <f>IF(COUNTIF($A$2:A2263,A2263)=1,
     VLOOKUP(A2263,Season_Winners!A:B,2,FALSE),
     "")</f>
        <v/>
      </c>
    </row>
    <row r="2264" spans="1:13" x14ac:dyDescent="0.3">
      <c r="A2264" t="s">
        <v>745</v>
      </c>
      <c r="B2264">
        <v>37</v>
      </c>
      <c r="C2264" t="s">
        <v>875</v>
      </c>
      <c r="D2264" t="str">
        <f t="shared" si="175"/>
        <v>12.05.2019</v>
      </c>
      <c r="E2264" s="1">
        <v>0.77083333333333337</v>
      </c>
      <c r="F2264" t="s">
        <v>20</v>
      </c>
      <c r="G2264" t="s">
        <v>11</v>
      </c>
      <c r="H2264" t="s">
        <v>12</v>
      </c>
      <c r="I2264" t="str">
        <f t="shared" si="176"/>
        <v>2-0</v>
      </c>
      <c r="J2264" t="str">
        <f t="shared" si="177"/>
        <v>2</v>
      </c>
      <c r="K2264" t="str">
        <f t="shared" si="178"/>
        <v>0</v>
      </c>
      <c r="L2264" t="str">
        <f t="shared" si="179"/>
        <v>FC Barcelona</v>
      </c>
      <c r="M2264" t="str">
        <f>IF(COUNTIF($A$2:A2264,A2264)=1,
     VLOOKUP(A2264,Season_Winners!A:B,2,FALSE),
     "")</f>
        <v/>
      </c>
    </row>
    <row r="2265" spans="1:13" hidden="1" x14ac:dyDescent="0.3">
      <c r="A2265" t="s">
        <v>745</v>
      </c>
      <c r="B2265">
        <v>37</v>
      </c>
      <c r="C2265" t="s">
        <v>875</v>
      </c>
      <c r="D2265" t="str">
        <f t="shared" si="175"/>
        <v>12.05.2019</v>
      </c>
      <c r="E2265" s="1">
        <v>0.77083333333333337</v>
      </c>
      <c r="F2265" t="s">
        <v>26</v>
      </c>
      <c r="G2265" t="s">
        <v>750</v>
      </c>
      <c r="H2265" s="2">
        <v>46024</v>
      </c>
      <c r="I2265" s="3" t="str">
        <f t="shared" si="176"/>
        <v/>
      </c>
      <c r="J2265" t="str">
        <f t="shared" si="177"/>
        <v/>
      </c>
      <c r="K2265" t="str">
        <f t="shared" si="178"/>
        <v/>
      </c>
      <c r="L2265" t="str">
        <f t="shared" si="179"/>
        <v/>
      </c>
      <c r="M2265" t="str">
        <f>IF(COUNTIF($A$2:A2265,A2265)=1,
     VLOOKUP(A2265,Season_Winners!A:B,2,FALSE),
     "")</f>
        <v/>
      </c>
    </row>
    <row r="2266" spans="1:13" hidden="1" x14ac:dyDescent="0.3">
      <c r="A2266" t="s">
        <v>745</v>
      </c>
      <c r="B2266">
        <v>37</v>
      </c>
      <c r="C2266" t="s">
        <v>875</v>
      </c>
      <c r="D2266" t="str">
        <f t="shared" si="175"/>
        <v>12.05.2019</v>
      </c>
      <c r="E2266" s="1">
        <v>0.77083333333333337</v>
      </c>
      <c r="F2266" t="s">
        <v>30</v>
      </c>
      <c r="G2266" t="s">
        <v>14</v>
      </c>
      <c r="H2266" s="2">
        <v>46054</v>
      </c>
      <c r="I2266" s="3" t="str">
        <f t="shared" si="176"/>
        <v/>
      </c>
      <c r="J2266" t="str">
        <f t="shared" si="177"/>
        <v/>
      </c>
      <c r="K2266" t="str">
        <f t="shared" si="178"/>
        <v/>
      </c>
      <c r="L2266" t="str">
        <f t="shared" si="179"/>
        <v/>
      </c>
      <c r="M2266" t="str">
        <f>IF(COUNTIF($A$2:A2266,A2266)=1,
     VLOOKUP(A2266,Season_Winners!A:B,2,FALSE),
     "")</f>
        <v/>
      </c>
    </row>
    <row r="2267" spans="1:13" hidden="1" x14ac:dyDescent="0.3">
      <c r="A2267" t="s">
        <v>745</v>
      </c>
      <c r="B2267">
        <v>37</v>
      </c>
      <c r="C2267" t="s">
        <v>875</v>
      </c>
      <c r="D2267" t="str">
        <f t="shared" si="175"/>
        <v>12.05.2019</v>
      </c>
      <c r="E2267" s="1">
        <v>0.77083333333333337</v>
      </c>
      <c r="F2267" t="s">
        <v>10</v>
      </c>
      <c r="G2267" t="s">
        <v>25</v>
      </c>
      <c r="H2267" s="2">
        <v>46025</v>
      </c>
      <c r="I2267" s="3" t="str">
        <f t="shared" si="176"/>
        <v/>
      </c>
      <c r="J2267" t="str">
        <f t="shared" si="177"/>
        <v/>
      </c>
      <c r="K2267" t="str">
        <f t="shared" si="178"/>
        <v/>
      </c>
      <c r="L2267" t="str">
        <f t="shared" si="179"/>
        <v/>
      </c>
      <c r="M2267" t="str">
        <f>IF(COUNTIF($A$2:A2267,A2267)=1,
     VLOOKUP(A2267,Season_Winners!A:B,2,FALSE),
     "")</f>
        <v/>
      </c>
    </row>
    <row r="2268" spans="1:13" hidden="1" x14ac:dyDescent="0.3">
      <c r="A2268" t="s">
        <v>745</v>
      </c>
      <c r="B2268">
        <v>37</v>
      </c>
      <c r="C2268" t="s">
        <v>875</v>
      </c>
      <c r="D2268" t="str">
        <f t="shared" si="175"/>
        <v>12.05.2019</v>
      </c>
      <c r="E2268" s="1">
        <v>0.77083333333333337</v>
      </c>
      <c r="F2268" t="s">
        <v>16</v>
      </c>
      <c r="G2268" t="s">
        <v>464</v>
      </c>
      <c r="H2268" s="2">
        <v>46025</v>
      </c>
      <c r="I2268" s="3" t="str">
        <f t="shared" si="176"/>
        <v/>
      </c>
      <c r="J2268" t="str">
        <f t="shared" si="177"/>
        <v/>
      </c>
      <c r="K2268" t="str">
        <f t="shared" si="178"/>
        <v/>
      </c>
      <c r="L2268" t="str">
        <f t="shared" si="179"/>
        <v/>
      </c>
      <c r="M2268" t="str">
        <f>IF(COUNTIF($A$2:A2268,A2268)=1,
     VLOOKUP(A2268,Season_Winners!A:B,2,FALSE),
     "")</f>
        <v/>
      </c>
    </row>
    <row r="2269" spans="1:13" x14ac:dyDescent="0.3">
      <c r="A2269" t="s">
        <v>745</v>
      </c>
      <c r="B2269">
        <v>37</v>
      </c>
      <c r="C2269" t="s">
        <v>875</v>
      </c>
      <c r="D2269" t="str">
        <f t="shared" si="175"/>
        <v>12.05.2019</v>
      </c>
      <c r="E2269" s="1">
        <v>0.77083333333333337</v>
      </c>
      <c r="F2269" t="s">
        <v>34</v>
      </c>
      <c r="G2269" t="s">
        <v>187</v>
      </c>
      <c r="H2269" t="s">
        <v>18</v>
      </c>
      <c r="I2269" t="str">
        <f t="shared" si="176"/>
        <v>1-0</v>
      </c>
      <c r="J2269" t="str">
        <f t="shared" si="177"/>
        <v>1</v>
      </c>
      <c r="K2269" t="str">
        <f t="shared" si="178"/>
        <v>0</v>
      </c>
      <c r="L2269" t="str">
        <f t="shared" si="179"/>
        <v>Villarreal CF</v>
      </c>
      <c r="M2269" t="str">
        <f>IF(COUNTIF($A$2:A2269,A2269)=1,
     VLOOKUP(A2269,Season_Winners!A:B,2,FALSE),
     "")</f>
        <v/>
      </c>
    </row>
    <row r="2270" spans="1:13" hidden="1" x14ac:dyDescent="0.3">
      <c r="A2270" t="s">
        <v>745</v>
      </c>
      <c r="B2270">
        <v>37</v>
      </c>
      <c r="C2270" t="s">
        <v>875</v>
      </c>
      <c r="D2270" t="str">
        <f t="shared" si="175"/>
        <v>12.05.2019</v>
      </c>
      <c r="E2270" s="1">
        <v>0.77083333333333337</v>
      </c>
      <c r="F2270" t="s">
        <v>606</v>
      </c>
      <c r="G2270" t="s">
        <v>21</v>
      </c>
      <c r="H2270" s="2">
        <v>46054</v>
      </c>
      <c r="I2270" s="3" t="str">
        <f t="shared" si="176"/>
        <v/>
      </c>
      <c r="J2270" t="str">
        <f t="shared" si="177"/>
        <v/>
      </c>
      <c r="K2270" t="str">
        <f t="shared" si="178"/>
        <v/>
      </c>
      <c r="L2270" t="str">
        <f t="shared" si="179"/>
        <v/>
      </c>
      <c r="M2270" t="str">
        <f>IF(COUNTIF($A$2:A2270,A2270)=1,
     VLOOKUP(A2270,Season_Winners!A:B,2,FALSE),
     "")</f>
        <v/>
      </c>
    </row>
    <row r="2271" spans="1:13" x14ac:dyDescent="0.3">
      <c r="A2271" t="s">
        <v>745</v>
      </c>
      <c r="B2271">
        <v>37</v>
      </c>
      <c r="C2271" t="s">
        <v>875</v>
      </c>
      <c r="D2271" t="str">
        <f t="shared" si="175"/>
        <v>12.05.2019</v>
      </c>
      <c r="E2271" s="1">
        <v>0.77083333333333337</v>
      </c>
      <c r="F2271" t="s">
        <v>466</v>
      </c>
      <c r="G2271" t="s">
        <v>36</v>
      </c>
      <c r="H2271" t="s">
        <v>54</v>
      </c>
      <c r="I2271" t="str">
        <f t="shared" si="176"/>
        <v>0-2</v>
      </c>
      <c r="J2271" t="str">
        <f t="shared" si="177"/>
        <v>0</v>
      </c>
      <c r="K2271" t="str">
        <f t="shared" si="178"/>
        <v>2</v>
      </c>
      <c r="L2271" t="str">
        <f t="shared" si="179"/>
        <v>RCD Espanyol de Barcelona</v>
      </c>
      <c r="M2271" t="str">
        <f>IF(COUNTIF($A$2:A2271,A2271)=1,
     VLOOKUP(A2271,Season_Winners!A:B,2,FALSE),
     "")</f>
        <v/>
      </c>
    </row>
    <row r="2272" spans="1:13" hidden="1" x14ac:dyDescent="0.3">
      <c r="A2272" t="s">
        <v>745</v>
      </c>
      <c r="B2272">
        <v>38</v>
      </c>
      <c r="C2272" t="s">
        <v>876</v>
      </c>
      <c r="D2272" t="str">
        <f t="shared" si="175"/>
        <v>18.05.2019</v>
      </c>
      <c r="E2272" s="1">
        <v>0.54166666666666663</v>
      </c>
      <c r="F2272" t="s">
        <v>21</v>
      </c>
      <c r="G2272" t="s">
        <v>28</v>
      </c>
      <c r="H2272" s="2">
        <v>46055</v>
      </c>
      <c r="I2272" s="3" t="str">
        <f t="shared" si="176"/>
        <v/>
      </c>
      <c r="J2272" t="str">
        <f t="shared" si="177"/>
        <v/>
      </c>
      <c r="K2272" t="str">
        <f t="shared" si="178"/>
        <v/>
      </c>
      <c r="L2272" t="str">
        <f t="shared" si="179"/>
        <v/>
      </c>
      <c r="M2272" t="str">
        <f>IF(COUNTIF($A$2:A2272,A2272)=1,
     VLOOKUP(A2272,Season_Winners!A:B,2,FALSE),
     "")</f>
        <v/>
      </c>
    </row>
    <row r="2273" spans="1:13" x14ac:dyDescent="0.3">
      <c r="A2273" t="s">
        <v>745</v>
      </c>
      <c r="B2273">
        <v>38</v>
      </c>
      <c r="C2273" t="s">
        <v>876</v>
      </c>
      <c r="D2273" t="str">
        <f t="shared" si="175"/>
        <v>18.05.2019</v>
      </c>
      <c r="E2273" s="1">
        <v>0.67708333333333337</v>
      </c>
      <c r="F2273" t="s">
        <v>36</v>
      </c>
      <c r="G2273" t="s">
        <v>10</v>
      </c>
      <c r="H2273" t="s">
        <v>12</v>
      </c>
      <c r="I2273" t="str">
        <f t="shared" si="176"/>
        <v>2-0</v>
      </c>
      <c r="J2273" t="str">
        <f t="shared" si="177"/>
        <v>2</v>
      </c>
      <c r="K2273" t="str">
        <f t="shared" si="178"/>
        <v>0</v>
      </c>
      <c r="L2273" t="str">
        <f t="shared" si="179"/>
        <v>RCD Espanyol de Barcelona</v>
      </c>
      <c r="M2273" t="str">
        <f>IF(COUNTIF($A$2:A2273,A2273)=1,
     VLOOKUP(A2273,Season_Winners!A:B,2,FALSE),
     "")</f>
        <v/>
      </c>
    </row>
    <row r="2274" spans="1:13" hidden="1" x14ac:dyDescent="0.3">
      <c r="A2274" t="s">
        <v>745</v>
      </c>
      <c r="B2274">
        <v>38</v>
      </c>
      <c r="C2274" t="s">
        <v>876</v>
      </c>
      <c r="D2274" t="str">
        <f t="shared" si="175"/>
        <v>18.05.2019</v>
      </c>
      <c r="E2274" s="1">
        <v>0.67708333333333337</v>
      </c>
      <c r="F2274" t="s">
        <v>11</v>
      </c>
      <c r="G2274" t="s">
        <v>34</v>
      </c>
      <c r="H2274" s="2">
        <v>46055</v>
      </c>
      <c r="I2274" s="3" t="str">
        <f t="shared" si="176"/>
        <v/>
      </c>
      <c r="J2274" t="str">
        <f t="shared" si="177"/>
        <v/>
      </c>
      <c r="K2274" t="str">
        <f t="shared" si="178"/>
        <v/>
      </c>
      <c r="L2274" t="str">
        <f t="shared" si="179"/>
        <v/>
      </c>
      <c r="M2274" t="str">
        <f>IF(COUNTIF($A$2:A2274,A2274)=1,
     VLOOKUP(A2274,Season_Winners!A:B,2,FALSE),
     "")</f>
        <v/>
      </c>
    </row>
    <row r="2275" spans="1:13" x14ac:dyDescent="0.3">
      <c r="A2275" t="s">
        <v>745</v>
      </c>
      <c r="B2275">
        <v>38</v>
      </c>
      <c r="C2275" t="s">
        <v>876</v>
      </c>
      <c r="D2275" t="str">
        <f t="shared" si="175"/>
        <v>18.05.2019</v>
      </c>
      <c r="E2275" s="1">
        <v>0.67708333333333337</v>
      </c>
      <c r="F2275" t="s">
        <v>27</v>
      </c>
      <c r="G2275" t="s">
        <v>15</v>
      </c>
      <c r="H2275" t="s">
        <v>12</v>
      </c>
      <c r="I2275" t="str">
        <f t="shared" si="176"/>
        <v>2-0</v>
      </c>
      <c r="J2275" t="str">
        <f t="shared" si="177"/>
        <v>2</v>
      </c>
      <c r="K2275" t="str">
        <f t="shared" si="178"/>
        <v>0</v>
      </c>
      <c r="L2275" t="str">
        <f t="shared" si="179"/>
        <v>Sevilla FC</v>
      </c>
      <c r="M2275" t="str">
        <f>IF(COUNTIF($A$2:A2275,A2275)=1,
     VLOOKUP(A2275,Season_Winners!A:B,2,FALSE),
     "")</f>
        <v/>
      </c>
    </row>
    <row r="2276" spans="1:13" x14ac:dyDescent="0.3">
      <c r="A2276" t="s">
        <v>745</v>
      </c>
      <c r="B2276">
        <v>38</v>
      </c>
      <c r="C2276" t="s">
        <v>876</v>
      </c>
      <c r="D2276" t="str">
        <f t="shared" si="175"/>
        <v>18.05.2019</v>
      </c>
      <c r="E2276" s="1">
        <v>0.67708333333333337</v>
      </c>
      <c r="F2276" t="s">
        <v>14</v>
      </c>
      <c r="G2276" t="s">
        <v>16</v>
      </c>
      <c r="H2276" t="s">
        <v>54</v>
      </c>
      <c r="I2276" t="str">
        <f t="shared" si="176"/>
        <v>0-2</v>
      </c>
      <c r="J2276" t="str">
        <f t="shared" si="177"/>
        <v>0</v>
      </c>
      <c r="K2276" t="str">
        <f t="shared" si="178"/>
        <v>2</v>
      </c>
      <c r="L2276" t="str">
        <f t="shared" si="179"/>
        <v>Valencia CF</v>
      </c>
      <c r="M2276" t="str">
        <f>IF(COUNTIF($A$2:A2276,A2276)=1,
     VLOOKUP(A2276,Season_Winners!A:B,2,FALSE),
     "")</f>
        <v/>
      </c>
    </row>
    <row r="2277" spans="1:13" hidden="1" x14ac:dyDescent="0.3">
      <c r="A2277" t="s">
        <v>745</v>
      </c>
      <c r="B2277">
        <v>38</v>
      </c>
      <c r="C2277" t="s">
        <v>876</v>
      </c>
      <c r="D2277" t="str">
        <f t="shared" si="175"/>
        <v>18.05.2019</v>
      </c>
      <c r="E2277" s="1">
        <v>0.86458333333333337</v>
      </c>
      <c r="F2277" t="s">
        <v>35</v>
      </c>
      <c r="G2277" t="s">
        <v>30</v>
      </c>
      <c r="H2277" s="2">
        <v>46055</v>
      </c>
      <c r="I2277" s="3" t="str">
        <f t="shared" si="176"/>
        <v/>
      </c>
      <c r="J2277" t="str">
        <f t="shared" si="177"/>
        <v/>
      </c>
      <c r="K2277" t="str">
        <f t="shared" si="178"/>
        <v/>
      </c>
      <c r="L2277" t="str">
        <f t="shared" si="179"/>
        <v/>
      </c>
      <c r="M2277" t="str">
        <f>IF(COUNTIF($A$2:A2277,A2277)=1,
     VLOOKUP(A2277,Season_Winners!A:B,2,FALSE),
     "")</f>
        <v/>
      </c>
    </row>
    <row r="2278" spans="1:13" hidden="1" x14ac:dyDescent="0.3">
      <c r="A2278" t="s">
        <v>745</v>
      </c>
      <c r="B2278">
        <v>38</v>
      </c>
      <c r="C2278" t="s">
        <v>876</v>
      </c>
      <c r="D2278" t="str">
        <f t="shared" si="175"/>
        <v>18.05.2019</v>
      </c>
      <c r="E2278" s="1">
        <v>0.86458333333333337</v>
      </c>
      <c r="F2278" t="s">
        <v>464</v>
      </c>
      <c r="G2278" t="s">
        <v>606</v>
      </c>
      <c r="H2278" s="2">
        <v>46024</v>
      </c>
      <c r="I2278" s="3" t="str">
        <f t="shared" si="176"/>
        <v/>
      </c>
      <c r="J2278" t="str">
        <f t="shared" si="177"/>
        <v/>
      </c>
      <c r="K2278" t="str">
        <f t="shared" si="178"/>
        <v/>
      </c>
      <c r="L2278" t="str">
        <f t="shared" si="179"/>
        <v/>
      </c>
      <c r="M2278" t="str">
        <f>IF(COUNTIF($A$2:A2278,A2278)=1,
     VLOOKUP(A2278,Season_Winners!A:B,2,FALSE),
     "")</f>
        <v/>
      </c>
    </row>
    <row r="2279" spans="1:13" hidden="1" x14ac:dyDescent="0.3">
      <c r="A2279" t="s">
        <v>745</v>
      </c>
      <c r="B2279">
        <v>38</v>
      </c>
      <c r="C2279" t="s">
        <v>876</v>
      </c>
      <c r="D2279" t="str">
        <f t="shared" si="175"/>
        <v>18.05.2019</v>
      </c>
      <c r="E2279" s="1">
        <v>0.86458333333333337</v>
      </c>
      <c r="F2279" t="s">
        <v>750</v>
      </c>
      <c r="G2279" t="s">
        <v>466</v>
      </c>
      <c r="H2279" s="2">
        <v>46024</v>
      </c>
      <c r="I2279" s="3" t="str">
        <f t="shared" si="176"/>
        <v/>
      </c>
      <c r="J2279" t="str">
        <f t="shared" si="177"/>
        <v/>
      </c>
      <c r="K2279" t="str">
        <f t="shared" si="178"/>
        <v/>
      </c>
      <c r="L2279" t="str">
        <f t="shared" si="179"/>
        <v/>
      </c>
      <c r="M2279" t="str">
        <f>IF(COUNTIF($A$2:A2279,A2279)=1,
     VLOOKUP(A2279,Season_Winners!A:B,2,FALSE),
     "")</f>
        <v/>
      </c>
    </row>
    <row r="2280" spans="1:13" x14ac:dyDescent="0.3">
      <c r="A2280" t="s">
        <v>745</v>
      </c>
      <c r="B2280">
        <v>38</v>
      </c>
      <c r="C2280" t="s">
        <v>877</v>
      </c>
      <c r="D2280" t="str">
        <f t="shared" si="175"/>
        <v>19.05.2019</v>
      </c>
      <c r="E2280" s="1">
        <v>0.5</v>
      </c>
      <c r="F2280" t="s">
        <v>25</v>
      </c>
      <c r="G2280" t="s">
        <v>26</v>
      </c>
      <c r="H2280" t="s">
        <v>54</v>
      </c>
      <c r="I2280" t="str">
        <f t="shared" si="176"/>
        <v>0-2</v>
      </c>
      <c r="J2280" t="str">
        <f t="shared" si="177"/>
        <v>0</v>
      </c>
      <c r="K2280" t="str">
        <f t="shared" si="178"/>
        <v>2</v>
      </c>
      <c r="L2280" t="str">
        <f t="shared" si="179"/>
        <v>Real Betis</v>
      </c>
      <c r="M2280" t="str">
        <f>IF(COUNTIF($A$2:A2280,A2280)=1,
     VLOOKUP(A2280,Season_Winners!A:B,2,FALSE),
     "")</f>
        <v/>
      </c>
    </row>
    <row r="2281" spans="1:13" hidden="1" x14ac:dyDescent="0.3">
      <c r="A2281" t="s">
        <v>745</v>
      </c>
      <c r="B2281">
        <v>38</v>
      </c>
      <c r="C2281" t="s">
        <v>877</v>
      </c>
      <c r="D2281" t="str">
        <f t="shared" si="175"/>
        <v>19.05.2019</v>
      </c>
      <c r="E2281" s="1">
        <v>0.67708333333333337</v>
      </c>
      <c r="F2281" t="s">
        <v>187</v>
      </c>
      <c r="G2281" t="s">
        <v>20</v>
      </c>
      <c r="H2281" s="2">
        <v>46055</v>
      </c>
      <c r="I2281" s="3" t="str">
        <f t="shared" si="176"/>
        <v/>
      </c>
      <c r="J2281" t="str">
        <f t="shared" si="177"/>
        <v/>
      </c>
      <c r="K2281" t="str">
        <f t="shared" si="178"/>
        <v/>
      </c>
      <c r="L2281" t="str">
        <f t="shared" si="179"/>
        <v/>
      </c>
      <c r="M2281" t="str">
        <f>IF(COUNTIF($A$2:A2281,A2281)=1,
     VLOOKUP(A2281,Season_Winners!A:B,2,FALSE),
     "")</f>
        <v/>
      </c>
    </row>
    <row r="2282" spans="1:13" x14ac:dyDescent="0.3">
      <c r="A2282" t="s">
        <v>878</v>
      </c>
      <c r="B2282">
        <v>1</v>
      </c>
      <c r="C2282" t="s">
        <v>879</v>
      </c>
      <c r="D2282" t="str">
        <f t="shared" si="175"/>
        <v>16.08.2019</v>
      </c>
      <c r="E2282" s="1">
        <v>0.875</v>
      </c>
      <c r="F2282" t="s">
        <v>15</v>
      </c>
      <c r="G2282" t="s">
        <v>20</v>
      </c>
      <c r="H2282" t="s">
        <v>18</v>
      </c>
      <c r="I2282" t="str">
        <f t="shared" si="176"/>
        <v>1-0</v>
      </c>
      <c r="J2282" t="str">
        <f t="shared" si="177"/>
        <v>1</v>
      </c>
      <c r="K2282" t="str">
        <f t="shared" si="178"/>
        <v>0</v>
      </c>
      <c r="L2282" t="str">
        <f t="shared" si="179"/>
        <v>Athletic Club</v>
      </c>
      <c r="M2282" t="str">
        <f>IF(COUNTIF($A$2:A2282,A2282)=1,
     VLOOKUP(A2282,Season_Winners!A:B,2,FALSE),
     "")</f>
        <v>Real Madrid</v>
      </c>
    </row>
    <row r="2283" spans="1:13" hidden="1" x14ac:dyDescent="0.3">
      <c r="A2283" t="s">
        <v>878</v>
      </c>
      <c r="B2283">
        <v>1</v>
      </c>
      <c r="C2283" t="s">
        <v>880</v>
      </c>
      <c r="D2283" t="str">
        <f t="shared" si="175"/>
        <v>17.08.2019</v>
      </c>
      <c r="E2283" s="1">
        <v>0.70833333333333337</v>
      </c>
      <c r="F2283" t="s">
        <v>35</v>
      </c>
      <c r="G2283" t="s">
        <v>25</v>
      </c>
      <c r="H2283" s="2">
        <v>46082</v>
      </c>
      <c r="I2283" s="3" t="str">
        <f t="shared" si="176"/>
        <v/>
      </c>
      <c r="J2283" t="str">
        <f t="shared" si="177"/>
        <v/>
      </c>
      <c r="K2283" t="str">
        <f t="shared" si="178"/>
        <v/>
      </c>
      <c r="L2283" t="str">
        <f t="shared" si="179"/>
        <v/>
      </c>
      <c r="M2283" t="str">
        <f>IF(COUNTIF($A$2:A2283,A2283)=1,
     VLOOKUP(A2283,Season_Winners!A:B,2,FALSE),
     "")</f>
        <v/>
      </c>
    </row>
    <row r="2284" spans="1:13" hidden="1" x14ac:dyDescent="0.3">
      <c r="A2284" t="s">
        <v>878</v>
      </c>
      <c r="B2284">
        <v>1</v>
      </c>
      <c r="C2284" t="s">
        <v>880</v>
      </c>
      <c r="D2284" t="str">
        <f t="shared" si="175"/>
        <v>17.08.2019</v>
      </c>
      <c r="E2284" s="1">
        <v>0.79166666666666663</v>
      </c>
      <c r="F2284" t="s">
        <v>16</v>
      </c>
      <c r="G2284" t="s">
        <v>10</v>
      </c>
      <c r="H2284" s="2">
        <v>46023</v>
      </c>
      <c r="I2284" s="3" t="str">
        <f t="shared" si="176"/>
        <v/>
      </c>
      <c r="J2284" t="str">
        <f t="shared" si="177"/>
        <v/>
      </c>
      <c r="K2284" t="str">
        <f t="shared" si="178"/>
        <v/>
      </c>
      <c r="L2284" t="str">
        <f t="shared" si="179"/>
        <v/>
      </c>
      <c r="M2284" t="str">
        <f>IF(COUNTIF($A$2:A2284,A2284)=1,
     VLOOKUP(A2284,Season_Winners!A:B,2,FALSE),
     "")</f>
        <v/>
      </c>
    </row>
    <row r="2285" spans="1:13" hidden="1" x14ac:dyDescent="0.3">
      <c r="A2285" t="s">
        <v>878</v>
      </c>
      <c r="B2285">
        <v>1</v>
      </c>
      <c r="C2285" t="s">
        <v>880</v>
      </c>
      <c r="D2285" t="str">
        <f t="shared" si="175"/>
        <v>17.08.2019</v>
      </c>
      <c r="E2285" s="1">
        <v>0.83333333333333337</v>
      </c>
      <c r="F2285" t="s">
        <v>881</v>
      </c>
      <c r="G2285" t="s">
        <v>187</v>
      </c>
      <c r="H2285" s="2">
        <v>46024</v>
      </c>
      <c r="I2285" s="3" t="str">
        <f t="shared" si="176"/>
        <v/>
      </c>
      <c r="J2285" t="str">
        <f t="shared" si="177"/>
        <v/>
      </c>
      <c r="K2285" t="str">
        <f t="shared" si="178"/>
        <v/>
      </c>
      <c r="L2285" t="str">
        <f t="shared" si="179"/>
        <v/>
      </c>
      <c r="M2285" t="str">
        <f>IF(COUNTIF($A$2:A2285,A2285)=1,
     VLOOKUP(A2285,Season_Winners!A:B,2,FALSE),
     "")</f>
        <v/>
      </c>
    </row>
    <row r="2286" spans="1:13" x14ac:dyDescent="0.3">
      <c r="A2286" t="s">
        <v>878</v>
      </c>
      <c r="B2286">
        <v>1</v>
      </c>
      <c r="C2286" t="s">
        <v>880</v>
      </c>
      <c r="D2286" t="str">
        <f t="shared" si="175"/>
        <v>17.08.2019</v>
      </c>
      <c r="E2286" s="1">
        <v>0.875</v>
      </c>
      <c r="F2286" t="s">
        <v>466</v>
      </c>
      <c r="G2286" t="s">
        <v>23</v>
      </c>
      <c r="H2286" t="s">
        <v>42</v>
      </c>
      <c r="I2286" t="str">
        <f t="shared" si="176"/>
        <v>0-1</v>
      </c>
      <c r="J2286" t="str">
        <f t="shared" si="177"/>
        <v>0</v>
      </c>
      <c r="K2286" t="str">
        <f t="shared" si="178"/>
        <v>1</v>
      </c>
      <c r="L2286" t="str">
        <f t="shared" si="179"/>
        <v>CA Osasuna</v>
      </c>
      <c r="M2286" t="str">
        <f>IF(COUNTIF($A$2:A2286,A2286)=1,
     VLOOKUP(A2286,Season_Winners!A:B,2,FALSE),
     "")</f>
        <v/>
      </c>
    </row>
    <row r="2287" spans="1:13" hidden="1" x14ac:dyDescent="0.3">
      <c r="A2287" t="s">
        <v>878</v>
      </c>
      <c r="B2287">
        <v>1</v>
      </c>
      <c r="C2287" t="s">
        <v>880</v>
      </c>
      <c r="D2287" t="str">
        <f t="shared" si="175"/>
        <v>17.08.2019</v>
      </c>
      <c r="E2287" s="1">
        <v>0.875</v>
      </c>
      <c r="F2287" t="s">
        <v>34</v>
      </c>
      <c r="G2287" t="s">
        <v>24</v>
      </c>
      <c r="H2287" s="2">
        <v>46116</v>
      </c>
      <c r="I2287" s="3" t="str">
        <f t="shared" si="176"/>
        <v/>
      </c>
      <c r="J2287" t="str">
        <f t="shared" si="177"/>
        <v/>
      </c>
      <c r="K2287" t="str">
        <f t="shared" si="178"/>
        <v/>
      </c>
      <c r="L2287" t="str">
        <f t="shared" si="179"/>
        <v/>
      </c>
      <c r="M2287" t="str">
        <f>IF(COUNTIF($A$2:A2287,A2287)=1,
     VLOOKUP(A2287,Season_Winners!A:B,2,FALSE),
     "")</f>
        <v/>
      </c>
    </row>
    <row r="2288" spans="1:13" x14ac:dyDescent="0.3">
      <c r="A2288" t="s">
        <v>878</v>
      </c>
      <c r="B2288">
        <v>1</v>
      </c>
      <c r="C2288" t="s">
        <v>882</v>
      </c>
      <c r="D2288" t="str">
        <f t="shared" si="175"/>
        <v>18.08.2019</v>
      </c>
      <c r="E2288" s="1">
        <v>0.70833333333333337</v>
      </c>
      <c r="F2288" t="s">
        <v>464</v>
      </c>
      <c r="G2288" t="s">
        <v>21</v>
      </c>
      <c r="H2288" t="s">
        <v>18</v>
      </c>
      <c r="I2288" t="str">
        <f t="shared" si="176"/>
        <v>1-0</v>
      </c>
      <c r="J2288" t="str">
        <f t="shared" si="177"/>
        <v>1</v>
      </c>
      <c r="K2288" t="str">
        <f t="shared" si="178"/>
        <v>0</v>
      </c>
      <c r="L2288" t="str">
        <f t="shared" si="179"/>
        <v>Deportivo AlavÃ©s</v>
      </c>
      <c r="M2288" t="str">
        <f>IF(COUNTIF($A$2:A2288,A2288)=1,
     VLOOKUP(A2288,Season_Winners!A:B,2,FALSE),
     "")</f>
        <v/>
      </c>
    </row>
    <row r="2289" spans="1:13" x14ac:dyDescent="0.3">
      <c r="A2289" t="s">
        <v>878</v>
      </c>
      <c r="B2289">
        <v>1</v>
      </c>
      <c r="C2289" t="s">
        <v>882</v>
      </c>
      <c r="D2289" t="str">
        <f t="shared" si="175"/>
        <v>18.08.2019</v>
      </c>
      <c r="E2289" s="1">
        <v>0.79166666666666663</v>
      </c>
      <c r="F2289" t="s">
        <v>36</v>
      </c>
      <c r="G2289" t="s">
        <v>27</v>
      </c>
      <c r="H2289" t="s">
        <v>54</v>
      </c>
      <c r="I2289" t="str">
        <f t="shared" si="176"/>
        <v>0-2</v>
      </c>
      <c r="J2289" t="str">
        <f t="shared" si="177"/>
        <v>0</v>
      </c>
      <c r="K2289" t="str">
        <f t="shared" si="178"/>
        <v>2</v>
      </c>
      <c r="L2289" t="str">
        <f t="shared" si="179"/>
        <v>Sevilla FC</v>
      </c>
      <c r="M2289" t="str">
        <f>IF(COUNTIF($A$2:A2289,A2289)=1,
     VLOOKUP(A2289,Season_Winners!A:B,2,FALSE),
     "")</f>
        <v/>
      </c>
    </row>
    <row r="2290" spans="1:13" hidden="1" x14ac:dyDescent="0.3">
      <c r="A2290" t="s">
        <v>878</v>
      </c>
      <c r="B2290">
        <v>1</v>
      </c>
      <c r="C2290" t="s">
        <v>882</v>
      </c>
      <c r="D2290" t="str">
        <f t="shared" si="175"/>
        <v>18.08.2019</v>
      </c>
      <c r="E2290" s="1">
        <v>0.875</v>
      </c>
      <c r="F2290" t="s">
        <v>26</v>
      </c>
      <c r="G2290" t="s">
        <v>14</v>
      </c>
      <c r="H2290" s="2">
        <v>46054</v>
      </c>
      <c r="I2290" s="3" t="str">
        <f t="shared" si="176"/>
        <v/>
      </c>
      <c r="J2290" t="str">
        <f t="shared" si="177"/>
        <v/>
      </c>
      <c r="K2290" t="str">
        <f t="shared" si="178"/>
        <v/>
      </c>
      <c r="L2290" t="str">
        <f t="shared" si="179"/>
        <v/>
      </c>
      <c r="M2290" t="str">
        <f>IF(COUNTIF($A$2:A2290,A2290)=1,
     VLOOKUP(A2290,Season_Winners!A:B,2,FALSE),
     "")</f>
        <v/>
      </c>
    </row>
    <row r="2291" spans="1:13" x14ac:dyDescent="0.3">
      <c r="A2291" t="s">
        <v>878</v>
      </c>
      <c r="B2291">
        <v>1</v>
      </c>
      <c r="C2291" t="s">
        <v>882</v>
      </c>
      <c r="D2291" t="str">
        <f t="shared" si="175"/>
        <v>18.08.2019</v>
      </c>
      <c r="E2291" s="1">
        <v>0.91666666666666663</v>
      </c>
      <c r="F2291" t="s">
        <v>1425</v>
      </c>
      <c r="G2291" t="s">
        <v>11</v>
      </c>
      <c r="H2291" t="s">
        <v>18</v>
      </c>
      <c r="I2291" t="str">
        <f t="shared" si="176"/>
        <v>1-0</v>
      </c>
      <c r="J2291" t="str">
        <f t="shared" si="177"/>
        <v>1</v>
      </c>
      <c r="K2291" t="str">
        <f t="shared" si="178"/>
        <v>0</v>
      </c>
      <c r="L2291" t="str">
        <f t="shared" si="179"/>
        <v>Atlético de Madrid</v>
      </c>
      <c r="M2291" t="str">
        <f>IF(COUNTIF($A$2:A2291,A2291)=1,
     VLOOKUP(A2291,Season_Winners!A:B,2,FALSE),
     "")</f>
        <v/>
      </c>
    </row>
    <row r="2292" spans="1:13" x14ac:dyDescent="0.3">
      <c r="A2292" t="s">
        <v>878</v>
      </c>
      <c r="B2292">
        <v>2</v>
      </c>
      <c r="C2292" t="s">
        <v>884</v>
      </c>
      <c r="D2292" t="str">
        <f t="shared" si="175"/>
        <v>23.08.2019</v>
      </c>
      <c r="E2292" s="1">
        <v>0.83333333333333337</v>
      </c>
      <c r="F2292" t="s">
        <v>24</v>
      </c>
      <c r="G2292" t="s">
        <v>27</v>
      </c>
      <c r="H2292" t="s">
        <v>42</v>
      </c>
      <c r="I2292" t="str">
        <f t="shared" si="176"/>
        <v>0-1</v>
      </c>
      <c r="J2292" t="str">
        <f t="shared" si="177"/>
        <v>0</v>
      </c>
      <c r="K2292" t="str">
        <f t="shared" si="178"/>
        <v>1</v>
      </c>
      <c r="L2292" t="str">
        <f t="shared" si="179"/>
        <v>Sevilla FC</v>
      </c>
      <c r="M2292" t="str">
        <f>IF(COUNTIF($A$2:A2292,A2292)=1,
     VLOOKUP(A2292,Season_Winners!A:B,2,FALSE),
     "")</f>
        <v/>
      </c>
    </row>
    <row r="2293" spans="1:13" hidden="1" x14ac:dyDescent="0.3">
      <c r="A2293" t="s">
        <v>878</v>
      </c>
      <c r="B2293">
        <v>2</v>
      </c>
      <c r="C2293" t="s">
        <v>884</v>
      </c>
      <c r="D2293" t="str">
        <f t="shared" si="175"/>
        <v>23.08.2019</v>
      </c>
      <c r="E2293" s="1">
        <v>0.91666666666666663</v>
      </c>
      <c r="F2293" t="s">
        <v>21</v>
      </c>
      <c r="G2293" t="s">
        <v>34</v>
      </c>
      <c r="H2293" s="2">
        <v>46024</v>
      </c>
      <c r="I2293" s="3" t="str">
        <f t="shared" si="176"/>
        <v/>
      </c>
      <c r="J2293" t="str">
        <f t="shared" si="177"/>
        <v/>
      </c>
      <c r="K2293" t="str">
        <f t="shared" si="178"/>
        <v/>
      </c>
      <c r="L2293" t="str">
        <f t="shared" si="179"/>
        <v/>
      </c>
      <c r="M2293" t="str">
        <f>IF(COUNTIF($A$2:A2293,A2293)=1,
     VLOOKUP(A2293,Season_Winners!A:B,2,FALSE),
     "")</f>
        <v/>
      </c>
    </row>
    <row r="2294" spans="1:13" x14ac:dyDescent="0.3">
      <c r="A2294" t="s">
        <v>878</v>
      </c>
      <c r="B2294">
        <v>2</v>
      </c>
      <c r="C2294" t="s">
        <v>885</v>
      </c>
      <c r="D2294" t="str">
        <f t="shared" si="175"/>
        <v>24.08.2019</v>
      </c>
      <c r="E2294" s="1">
        <v>0.70833333333333337</v>
      </c>
      <c r="F2294" t="s">
        <v>23</v>
      </c>
      <c r="G2294" t="s">
        <v>187</v>
      </c>
      <c r="H2294" t="s">
        <v>41</v>
      </c>
      <c r="I2294" t="str">
        <f t="shared" si="176"/>
        <v>0-0</v>
      </c>
      <c r="J2294" t="str">
        <f t="shared" si="177"/>
        <v>0</v>
      </c>
      <c r="K2294" t="str">
        <f t="shared" si="178"/>
        <v>0</v>
      </c>
      <c r="L2294" t="str">
        <f t="shared" si="179"/>
        <v>Draw</v>
      </c>
      <c r="M2294" t="str">
        <f>IF(COUNTIF($A$2:A2294,A2294)=1,
     VLOOKUP(A2294,Season_Winners!A:B,2,FALSE),
     "")</f>
        <v/>
      </c>
    </row>
    <row r="2295" spans="1:13" hidden="1" x14ac:dyDescent="0.3">
      <c r="A2295" t="s">
        <v>878</v>
      </c>
      <c r="B2295">
        <v>2</v>
      </c>
      <c r="C2295" t="s">
        <v>885</v>
      </c>
      <c r="D2295" t="str">
        <f t="shared" si="175"/>
        <v>24.08.2019</v>
      </c>
      <c r="E2295" s="1">
        <v>0.79166666666666663</v>
      </c>
      <c r="F2295" t="s">
        <v>25</v>
      </c>
      <c r="G2295" t="s">
        <v>14</v>
      </c>
      <c r="H2295" s="2">
        <v>46023</v>
      </c>
      <c r="I2295" s="3" t="str">
        <f t="shared" si="176"/>
        <v/>
      </c>
      <c r="J2295" t="str">
        <f t="shared" si="177"/>
        <v/>
      </c>
      <c r="K2295" t="str">
        <f t="shared" si="178"/>
        <v/>
      </c>
      <c r="L2295" t="str">
        <f t="shared" si="179"/>
        <v/>
      </c>
      <c r="M2295" t="str">
        <f>IF(COUNTIF($A$2:A2295,A2295)=1,
     VLOOKUP(A2295,Season_Winners!A:B,2,FALSE),
     "")</f>
        <v/>
      </c>
    </row>
    <row r="2296" spans="1:13" x14ac:dyDescent="0.3">
      <c r="A2296" t="s">
        <v>878</v>
      </c>
      <c r="B2296">
        <v>2</v>
      </c>
      <c r="C2296" t="s">
        <v>885</v>
      </c>
      <c r="D2296" t="str">
        <f t="shared" si="175"/>
        <v>24.08.2019</v>
      </c>
      <c r="E2296" s="1">
        <v>0.875</v>
      </c>
      <c r="F2296" t="s">
        <v>35</v>
      </c>
      <c r="G2296" t="s">
        <v>16</v>
      </c>
      <c r="H2296" t="s">
        <v>18</v>
      </c>
      <c r="I2296" t="str">
        <f t="shared" si="176"/>
        <v>1-0</v>
      </c>
      <c r="J2296" t="str">
        <f t="shared" si="177"/>
        <v>1</v>
      </c>
      <c r="K2296" t="str">
        <f t="shared" si="178"/>
        <v>0</v>
      </c>
      <c r="L2296" t="str">
        <f t="shared" si="179"/>
        <v>RC Celta</v>
      </c>
      <c r="M2296" t="str">
        <f>IF(COUNTIF($A$2:A2296,A2296)=1,
     VLOOKUP(A2296,Season_Winners!A:B,2,FALSE),
     "")</f>
        <v/>
      </c>
    </row>
    <row r="2297" spans="1:13" hidden="1" x14ac:dyDescent="0.3">
      <c r="A2297" t="s">
        <v>878</v>
      </c>
      <c r="B2297">
        <v>2</v>
      </c>
      <c r="C2297" t="s">
        <v>885</v>
      </c>
      <c r="D2297" t="str">
        <f t="shared" si="175"/>
        <v>24.08.2019</v>
      </c>
      <c r="E2297" s="1">
        <v>0.875</v>
      </c>
      <c r="F2297" t="s">
        <v>11</v>
      </c>
      <c r="G2297" t="s">
        <v>15</v>
      </c>
      <c r="H2297" s="2">
        <v>46023</v>
      </c>
      <c r="I2297" s="3" t="str">
        <f t="shared" si="176"/>
        <v/>
      </c>
      <c r="J2297" t="str">
        <f t="shared" si="177"/>
        <v/>
      </c>
      <c r="K2297" t="str">
        <f t="shared" si="178"/>
        <v/>
      </c>
      <c r="L2297" t="str">
        <f t="shared" si="179"/>
        <v/>
      </c>
      <c r="M2297" t="str">
        <f>IF(COUNTIF($A$2:A2297,A2297)=1,
     VLOOKUP(A2297,Season_Winners!A:B,2,FALSE),
     "")</f>
        <v/>
      </c>
    </row>
    <row r="2298" spans="1:13" x14ac:dyDescent="0.3">
      <c r="A2298" t="s">
        <v>878</v>
      </c>
      <c r="B2298">
        <v>2</v>
      </c>
      <c r="C2298" t="s">
        <v>886</v>
      </c>
      <c r="D2298" t="str">
        <f t="shared" si="175"/>
        <v>25.08.2019</v>
      </c>
      <c r="E2298" s="1">
        <v>0.70833333333333337</v>
      </c>
      <c r="F2298" t="s">
        <v>464</v>
      </c>
      <c r="G2298" t="s">
        <v>36</v>
      </c>
      <c r="H2298" t="s">
        <v>41</v>
      </c>
      <c r="I2298" t="str">
        <f t="shared" si="176"/>
        <v>0-0</v>
      </c>
      <c r="J2298" t="str">
        <f t="shared" si="177"/>
        <v>0</v>
      </c>
      <c r="K2298" t="str">
        <f t="shared" si="178"/>
        <v>0</v>
      </c>
      <c r="L2298" t="str">
        <f t="shared" si="179"/>
        <v>Draw</v>
      </c>
      <c r="M2298" t="str">
        <f>IF(COUNTIF($A$2:A2298,A2298)=1,
     VLOOKUP(A2298,Season_Winners!A:B,2,FALSE),
     "")</f>
        <v/>
      </c>
    </row>
    <row r="2299" spans="1:13" x14ac:dyDescent="0.3">
      <c r="A2299" t="s">
        <v>878</v>
      </c>
      <c r="B2299">
        <v>2</v>
      </c>
      <c r="C2299" t="s">
        <v>886</v>
      </c>
      <c r="D2299" t="str">
        <f t="shared" si="175"/>
        <v>25.08.2019</v>
      </c>
      <c r="E2299" s="1">
        <v>0.70833333333333337</v>
      </c>
      <c r="F2299" t="s">
        <v>881</v>
      </c>
      <c r="G2299" t="s">
        <v>10</v>
      </c>
      <c r="H2299" t="s">
        <v>42</v>
      </c>
      <c r="I2299" t="str">
        <f t="shared" si="176"/>
        <v>0-1</v>
      </c>
      <c r="J2299" t="str">
        <f t="shared" si="177"/>
        <v>0</v>
      </c>
      <c r="K2299" t="str">
        <f t="shared" si="178"/>
        <v>1</v>
      </c>
      <c r="L2299" t="str">
        <f t="shared" si="179"/>
        <v>Real Sociedad</v>
      </c>
      <c r="M2299" t="str">
        <f>IF(COUNTIF($A$2:A2299,A2299)=1,
     VLOOKUP(A2299,Season_Winners!A:B,2,FALSE),
     "")</f>
        <v/>
      </c>
    </row>
    <row r="2300" spans="1:13" x14ac:dyDescent="0.3">
      <c r="A2300" t="s">
        <v>878</v>
      </c>
      <c r="B2300">
        <v>2</v>
      </c>
      <c r="C2300" t="s">
        <v>886</v>
      </c>
      <c r="D2300" t="str">
        <f t="shared" si="175"/>
        <v>25.08.2019</v>
      </c>
      <c r="E2300" s="1">
        <v>0.79166666666666663</v>
      </c>
      <c r="F2300" t="s">
        <v>466</v>
      </c>
      <c r="G2300" t="s">
        <v>1425</v>
      </c>
      <c r="H2300" t="s">
        <v>42</v>
      </c>
      <c r="I2300" t="str">
        <f t="shared" si="176"/>
        <v>0-1</v>
      </c>
      <c r="J2300" t="str">
        <f t="shared" si="177"/>
        <v>0</v>
      </c>
      <c r="K2300" t="str">
        <f t="shared" si="178"/>
        <v>1</v>
      </c>
      <c r="L2300" t="str">
        <f t="shared" si="179"/>
        <v>Atlético de Madrid</v>
      </c>
      <c r="M2300" t="str">
        <f>IF(COUNTIF($A$2:A2300,A2300)=1,
     VLOOKUP(A2300,Season_Winners!A:B,2,FALSE),
     "")</f>
        <v/>
      </c>
    </row>
    <row r="2301" spans="1:13" hidden="1" x14ac:dyDescent="0.3">
      <c r="A2301" t="s">
        <v>878</v>
      </c>
      <c r="B2301">
        <v>2</v>
      </c>
      <c r="C2301" t="s">
        <v>886</v>
      </c>
      <c r="D2301" t="str">
        <f t="shared" si="175"/>
        <v>25.08.2019</v>
      </c>
      <c r="E2301" s="1">
        <v>0.875</v>
      </c>
      <c r="F2301" t="s">
        <v>20</v>
      </c>
      <c r="G2301" t="s">
        <v>26</v>
      </c>
      <c r="H2301" s="2">
        <v>46058</v>
      </c>
      <c r="I2301" s="3" t="str">
        <f t="shared" si="176"/>
        <v/>
      </c>
      <c r="J2301" t="str">
        <f t="shared" si="177"/>
        <v/>
      </c>
      <c r="K2301" t="str">
        <f t="shared" si="178"/>
        <v/>
      </c>
      <c r="L2301" t="str">
        <f t="shared" si="179"/>
        <v/>
      </c>
      <c r="M2301" t="str">
        <f>IF(COUNTIF($A$2:A2301,A2301)=1,
     VLOOKUP(A2301,Season_Winners!A:B,2,FALSE),
     "")</f>
        <v/>
      </c>
    </row>
    <row r="2302" spans="1:13" hidden="1" x14ac:dyDescent="0.3">
      <c r="A2302" t="s">
        <v>878</v>
      </c>
      <c r="B2302">
        <v>3</v>
      </c>
      <c r="C2302" t="s">
        <v>888</v>
      </c>
      <c r="D2302" t="str">
        <f t="shared" si="175"/>
        <v>30.08.2019</v>
      </c>
      <c r="E2302" s="1">
        <v>0.83333333333333337</v>
      </c>
      <c r="F2302" t="s">
        <v>27</v>
      </c>
      <c r="G2302" t="s">
        <v>35</v>
      </c>
      <c r="H2302" s="2">
        <v>46023</v>
      </c>
      <c r="I2302" s="3" t="str">
        <f t="shared" si="176"/>
        <v/>
      </c>
      <c r="J2302" t="str">
        <f t="shared" si="177"/>
        <v/>
      </c>
      <c r="K2302" t="str">
        <f t="shared" si="178"/>
        <v/>
      </c>
      <c r="L2302" t="str">
        <f t="shared" si="179"/>
        <v/>
      </c>
      <c r="M2302" t="str">
        <f>IF(COUNTIF($A$2:A2302,A2302)=1,
     VLOOKUP(A2302,Season_Winners!A:B,2,FALSE),
     "")</f>
        <v/>
      </c>
    </row>
    <row r="2303" spans="1:13" x14ac:dyDescent="0.3">
      <c r="A2303" t="s">
        <v>878</v>
      </c>
      <c r="B2303">
        <v>3</v>
      </c>
      <c r="C2303" t="s">
        <v>888</v>
      </c>
      <c r="D2303" t="str">
        <f t="shared" si="175"/>
        <v>30.08.2019</v>
      </c>
      <c r="E2303" s="1">
        <v>0.91666666666666663</v>
      </c>
      <c r="F2303" t="s">
        <v>15</v>
      </c>
      <c r="G2303" t="s">
        <v>10</v>
      </c>
      <c r="H2303" t="s">
        <v>12</v>
      </c>
      <c r="I2303" t="str">
        <f t="shared" si="176"/>
        <v>2-0</v>
      </c>
      <c r="J2303" t="str">
        <f t="shared" si="177"/>
        <v>2</v>
      </c>
      <c r="K2303" t="str">
        <f t="shared" si="178"/>
        <v>0</v>
      </c>
      <c r="L2303" t="str">
        <f t="shared" si="179"/>
        <v>Athletic Club</v>
      </c>
      <c r="M2303" t="str">
        <f>IF(COUNTIF($A$2:A2303,A2303)=1,
     VLOOKUP(A2303,Season_Winners!A:B,2,FALSE),
     "")</f>
        <v/>
      </c>
    </row>
    <row r="2304" spans="1:13" hidden="1" x14ac:dyDescent="0.3">
      <c r="A2304" t="s">
        <v>878</v>
      </c>
      <c r="B2304">
        <v>3</v>
      </c>
      <c r="C2304" t="s">
        <v>889</v>
      </c>
      <c r="D2304" t="str">
        <f t="shared" si="175"/>
        <v>31.08.2019</v>
      </c>
      <c r="E2304" s="1">
        <v>0.70833333333333337</v>
      </c>
      <c r="F2304" t="s">
        <v>23</v>
      </c>
      <c r="G2304" t="s">
        <v>20</v>
      </c>
      <c r="H2304" s="2">
        <v>46055</v>
      </c>
      <c r="I2304" s="3" t="str">
        <f t="shared" si="176"/>
        <v/>
      </c>
      <c r="J2304" t="str">
        <f t="shared" si="177"/>
        <v/>
      </c>
      <c r="K2304" t="str">
        <f t="shared" si="178"/>
        <v/>
      </c>
      <c r="L2304" t="str">
        <f t="shared" si="179"/>
        <v/>
      </c>
      <c r="M2304" t="str">
        <f>IF(COUNTIF($A$2:A2304,A2304)=1,
     VLOOKUP(A2304,Season_Winners!A:B,2,FALSE),
     "")</f>
        <v/>
      </c>
    </row>
    <row r="2305" spans="1:13" hidden="1" x14ac:dyDescent="0.3">
      <c r="A2305" t="s">
        <v>878</v>
      </c>
      <c r="B2305">
        <v>3</v>
      </c>
      <c r="C2305" t="s">
        <v>889</v>
      </c>
      <c r="D2305" t="str">
        <f t="shared" si="175"/>
        <v>31.08.2019</v>
      </c>
      <c r="E2305" s="1">
        <v>0.79166666666666663</v>
      </c>
      <c r="F2305" t="s">
        <v>11</v>
      </c>
      <c r="G2305" t="s">
        <v>464</v>
      </c>
      <c r="H2305" s="2">
        <v>46023</v>
      </c>
      <c r="I2305" s="3" t="str">
        <f t="shared" si="176"/>
        <v/>
      </c>
      <c r="J2305" t="str">
        <f t="shared" si="177"/>
        <v/>
      </c>
      <c r="K2305" t="str">
        <f t="shared" si="178"/>
        <v/>
      </c>
      <c r="L2305" t="str">
        <f t="shared" si="179"/>
        <v/>
      </c>
      <c r="M2305" t="str">
        <f>IF(COUNTIF($A$2:A2305,A2305)=1,
     VLOOKUP(A2305,Season_Winners!A:B,2,FALSE),
     "")</f>
        <v/>
      </c>
    </row>
    <row r="2306" spans="1:13" x14ac:dyDescent="0.3">
      <c r="A2306" t="s">
        <v>878</v>
      </c>
      <c r="B2306">
        <v>3</v>
      </c>
      <c r="C2306" t="s">
        <v>889</v>
      </c>
      <c r="D2306" t="str">
        <f t="shared" ref="D2306:D2369" si="180">RIGHT(C2306,10)</f>
        <v>31.08.2019</v>
      </c>
      <c r="E2306" s="1">
        <v>0.79166666666666663</v>
      </c>
      <c r="F2306" t="s">
        <v>21</v>
      </c>
      <c r="G2306" t="s">
        <v>14</v>
      </c>
      <c r="H2306" t="s">
        <v>12</v>
      </c>
      <c r="I2306" t="str">
        <f t="shared" ref="I2306:I2369" si="181">IF(ISNUMBER(SEARCH("-",H2306)),H2306,"")</f>
        <v>2-0</v>
      </c>
      <c r="J2306" t="str">
        <f t="shared" ref="J2306:J2369" si="182">IF(I2306="","",LEFT(I2306,FIND("-",I2306)-1))</f>
        <v>2</v>
      </c>
      <c r="K2306" t="str">
        <f t="shared" ref="K2306:K2369" si="183">IF(I2306="","",RIGHT(I2306,LEN(I2306)-FIND("-",I2306)))</f>
        <v>0</v>
      </c>
      <c r="L2306" t="str">
        <f t="shared" ref="L2306:L2369" si="184">IF(I2306="","",IF(J2306&gt;K2306,F2306,IF(K2306&gt;J2306,G2306,"Draw")))</f>
        <v>Levante UD</v>
      </c>
      <c r="M2306" t="str">
        <f>IF(COUNTIF($A$2:A2306,A2306)=1,
     VLOOKUP(A2306,Season_Winners!A:B,2,FALSE),
     "")</f>
        <v/>
      </c>
    </row>
    <row r="2307" spans="1:13" hidden="1" x14ac:dyDescent="0.3">
      <c r="A2307" t="s">
        <v>878</v>
      </c>
      <c r="B2307">
        <v>3</v>
      </c>
      <c r="C2307" t="s">
        <v>889</v>
      </c>
      <c r="D2307" t="str">
        <f t="shared" si="180"/>
        <v>31.08.2019</v>
      </c>
      <c r="E2307" s="1">
        <v>0.875</v>
      </c>
      <c r="F2307" t="s">
        <v>26</v>
      </c>
      <c r="G2307" t="s">
        <v>466</v>
      </c>
      <c r="H2307" s="2">
        <v>46024</v>
      </c>
      <c r="I2307" s="3" t="str">
        <f t="shared" si="181"/>
        <v/>
      </c>
      <c r="J2307" t="str">
        <f t="shared" si="182"/>
        <v/>
      </c>
      <c r="K2307" t="str">
        <f t="shared" si="183"/>
        <v/>
      </c>
      <c r="L2307" t="str">
        <f t="shared" si="184"/>
        <v/>
      </c>
      <c r="M2307" t="str">
        <f>IF(COUNTIF($A$2:A2307,A2307)=1,
     VLOOKUP(A2307,Season_Winners!A:B,2,FALSE),
     "")</f>
        <v/>
      </c>
    </row>
    <row r="2308" spans="1:13" x14ac:dyDescent="0.3">
      <c r="A2308" t="s">
        <v>878</v>
      </c>
      <c r="B2308">
        <v>3</v>
      </c>
      <c r="C2308" t="s">
        <v>890</v>
      </c>
      <c r="D2308" t="str">
        <f t="shared" si="180"/>
        <v>01.09.2019</v>
      </c>
      <c r="E2308" s="1">
        <v>0.70833333333333337</v>
      </c>
      <c r="F2308" t="s">
        <v>16</v>
      </c>
      <c r="G2308" t="s">
        <v>881</v>
      </c>
      <c r="H2308" t="s">
        <v>12</v>
      </c>
      <c r="I2308" t="str">
        <f t="shared" si="181"/>
        <v>2-0</v>
      </c>
      <c r="J2308" t="str">
        <f t="shared" si="182"/>
        <v>2</v>
      </c>
      <c r="K2308" t="str">
        <f t="shared" si="183"/>
        <v>0</v>
      </c>
      <c r="L2308" t="str">
        <f t="shared" si="184"/>
        <v>Valencia CF</v>
      </c>
      <c r="M2308" t="str">
        <f>IF(COUNTIF($A$2:A2308,A2308)=1,
     VLOOKUP(A2308,Season_Winners!A:B,2,FALSE),
     "")</f>
        <v/>
      </c>
    </row>
    <row r="2309" spans="1:13" hidden="1" x14ac:dyDescent="0.3">
      <c r="A2309" t="s">
        <v>878</v>
      </c>
      <c r="B2309">
        <v>3</v>
      </c>
      <c r="C2309" t="s">
        <v>890</v>
      </c>
      <c r="D2309" t="str">
        <f t="shared" si="180"/>
        <v>01.09.2019</v>
      </c>
      <c r="E2309" s="1">
        <v>0.79166666666666663</v>
      </c>
      <c r="F2309" t="s">
        <v>28</v>
      </c>
      <c r="G2309" t="s">
        <v>187</v>
      </c>
      <c r="H2309" s="2">
        <v>46056</v>
      </c>
      <c r="I2309" s="3" t="str">
        <f t="shared" si="181"/>
        <v/>
      </c>
      <c r="J2309" t="str">
        <f t="shared" si="182"/>
        <v/>
      </c>
      <c r="K2309" t="str">
        <f t="shared" si="183"/>
        <v/>
      </c>
      <c r="L2309" t="str">
        <f t="shared" si="184"/>
        <v/>
      </c>
      <c r="M2309" t="str">
        <f>IF(COUNTIF($A$2:A2309,A2309)=1,
     VLOOKUP(A2309,Season_Winners!A:B,2,FALSE),
     "")</f>
        <v/>
      </c>
    </row>
    <row r="2310" spans="1:13" x14ac:dyDescent="0.3">
      <c r="A2310" t="s">
        <v>878</v>
      </c>
      <c r="B2310">
        <v>3</v>
      </c>
      <c r="C2310" t="s">
        <v>890</v>
      </c>
      <c r="D2310" t="str">
        <f t="shared" si="180"/>
        <v>01.09.2019</v>
      </c>
      <c r="E2310" s="1">
        <v>0.79166666666666663</v>
      </c>
      <c r="F2310" t="s">
        <v>36</v>
      </c>
      <c r="G2310" t="s">
        <v>24</v>
      </c>
      <c r="H2310" t="s">
        <v>46</v>
      </c>
      <c r="I2310" t="str">
        <f t="shared" si="181"/>
        <v>0-3</v>
      </c>
      <c r="J2310" t="str">
        <f t="shared" si="182"/>
        <v>0</v>
      </c>
      <c r="K2310" t="str">
        <f t="shared" si="183"/>
        <v>3</v>
      </c>
      <c r="L2310" t="str">
        <f t="shared" si="184"/>
        <v>Granada CF</v>
      </c>
      <c r="M2310" t="str">
        <f>IF(COUNTIF($A$2:A2310,A2310)=1,
     VLOOKUP(A2310,Season_Winners!A:B,2,FALSE),
     "")</f>
        <v/>
      </c>
    </row>
    <row r="2311" spans="1:13" hidden="1" x14ac:dyDescent="0.3">
      <c r="A2311" t="s">
        <v>878</v>
      </c>
      <c r="B2311">
        <v>3</v>
      </c>
      <c r="C2311" t="s">
        <v>890</v>
      </c>
      <c r="D2311" t="str">
        <f t="shared" si="180"/>
        <v>01.09.2019</v>
      </c>
      <c r="E2311" s="1">
        <v>0.875</v>
      </c>
      <c r="F2311" t="s">
        <v>34</v>
      </c>
      <c r="G2311" t="s">
        <v>25</v>
      </c>
      <c r="H2311" s="2">
        <v>46055</v>
      </c>
      <c r="I2311" s="3" t="str">
        <f t="shared" si="181"/>
        <v/>
      </c>
      <c r="J2311" t="str">
        <f t="shared" si="182"/>
        <v/>
      </c>
      <c r="K2311" t="str">
        <f t="shared" si="183"/>
        <v/>
      </c>
      <c r="L2311" t="str">
        <f t="shared" si="184"/>
        <v/>
      </c>
      <c r="M2311" t="str">
        <f>IF(COUNTIF($A$2:A2311,A2311)=1,
     VLOOKUP(A2311,Season_Winners!A:B,2,FALSE),
     "")</f>
        <v/>
      </c>
    </row>
    <row r="2312" spans="1:13" x14ac:dyDescent="0.3">
      <c r="A2312" t="s">
        <v>878</v>
      </c>
      <c r="B2312">
        <v>4</v>
      </c>
      <c r="C2312" t="s">
        <v>891</v>
      </c>
      <c r="D2312" t="str">
        <f t="shared" si="180"/>
        <v>13.09.2019</v>
      </c>
      <c r="E2312" s="1">
        <v>0.875</v>
      </c>
      <c r="F2312" t="s">
        <v>881</v>
      </c>
      <c r="G2312" t="s">
        <v>15</v>
      </c>
      <c r="H2312" t="s">
        <v>41</v>
      </c>
      <c r="I2312" t="str">
        <f t="shared" si="181"/>
        <v>0-0</v>
      </c>
      <c r="J2312" t="str">
        <f t="shared" si="182"/>
        <v>0</v>
      </c>
      <c r="K2312" t="str">
        <f t="shared" si="183"/>
        <v>0</v>
      </c>
      <c r="L2312" t="str">
        <f t="shared" si="184"/>
        <v>Draw</v>
      </c>
      <c r="M2312" t="str">
        <f>IF(COUNTIF($A$2:A2312,A2312)=1,
     VLOOKUP(A2312,Season_Winners!A:B,2,FALSE),
     "")</f>
        <v/>
      </c>
    </row>
    <row r="2313" spans="1:13" hidden="1" x14ac:dyDescent="0.3">
      <c r="A2313" t="s">
        <v>878</v>
      </c>
      <c r="B2313">
        <v>4</v>
      </c>
      <c r="C2313" t="s">
        <v>892</v>
      </c>
      <c r="D2313" t="str">
        <f t="shared" si="180"/>
        <v>14.09.2019</v>
      </c>
      <c r="E2313" s="1">
        <v>0.54166666666666663</v>
      </c>
      <c r="F2313" t="s">
        <v>25</v>
      </c>
      <c r="G2313" t="s">
        <v>21</v>
      </c>
      <c r="H2313" s="2">
        <v>46056</v>
      </c>
      <c r="I2313" s="3" t="str">
        <f t="shared" si="181"/>
        <v/>
      </c>
      <c r="J2313" t="str">
        <f t="shared" si="182"/>
        <v/>
      </c>
      <c r="K2313" t="str">
        <f t="shared" si="183"/>
        <v/>
      </c>
      <c r="L2313" t="str">
        <f t="shared" si="184"/>
        <v/>
      </c>
      <c r="M2313" t="str">
        <f>IF(COUNTIF($A$2:A2313,A2313)=1,
     VLOOKUP(A2313,Season_Winners!A:B,2,FALSE),
     "")</f>
        <v/>
      </c>
    </row>
    <row r="2314" spans="1:13" x14ac:dyDescent="0.3">
      <c r="A2314" t="s">
        <v>878</v>
      </c>
      <c r="B2314">
        <v>4</v>
      </c>
      <c r="C2314" t="s">
        <v>892</v>
      </c>
      <c r="D2314" t="str">
        <f t="shared" si="180"/>
        <v>14.09.2019</v>
      </c>
      <c r="E2314" s="1">
        <v>0.66666666666666663</v>
      </c>
      <c r="F2314" t="s">
        <v>466</v>
      </c>
      <c r="G2314" t="s">
        <v>34</v>
      </c>
      <c r="H2314" t="s">
        <v>46</v>
      </c>
      <c r="I2314" t="str">
        <f t="shared" si="181"/>
        <v>0-3</v>
      </c>
      <c r="J2314" t="str">
        <f t="shared" si="182"/>
        <v>0</v>
      </c>
      <c r="K2314" t="str">
        <f t="shared" si="183"/>
        <v>3</v>
      </c>
      <c r="L2314" t="str">
        <f t="shared" si="184"/>
        <v>Villarreal CF</v>
      </c>
      <c r="M2314" t="str">
        <f>IF(COUNTIF($A$2:A2314,A2314)=1,
     VLOOKUP(A2314,Season_Winners!A:B,2,FALSE),
     "")</f>
        <v/>
      </c>
    </row>
    <row r="2315" spans="1:13" x14ac:dyDescent="0.3">
      <c r="A2315" t="s">
        <v>878</v>
      </c>
      <c r="B2315">
        <v>4</v>
      </c>
      <c r="C2315" t="s">
        <v>892</v>
      </c>
      <c r="D2315" t="str">
        <f t="shared" si="180"/>
        <v>14.09.2019</v>
      </c>
      <c r="E2315" s="1">
        <v>0.77083333333333337</v>
      </c>
      <c r="F2315" t="s">
        <v>10</v>
      </c>
      <c r="G2315" t="s">
        <v>1425</v>
      </c>
      <c r="H2315" t="s">
        <v>12</v>
      </c>
      <c r="I2315" t="str">
        <f t="shared" si="181"/>
        <v>2-0</v>
      </c>
      <c r="J2315" t="str">
        <f t="shared" si="182"/>
        <v>2</v>
      </c>
      <c r="K2315" t="str">
        <f t="shared" si="183"/>
        <v>0</v>
      </c>
      <c r="L2315" t="str">
        <f t="shared" si="184"/>
        <v>Real Sociedad</v>
      </c>
      <c r="M2315" t="str">
        <f>IF(COUNTIF($A$2:A2315,A2315)=1,
     VLOOKUP(A2315,Season_Winners!A:B,2,FALSE),
     "")</f>
        <v/>
      </c>
    </row>
    <row r="2316" spans="1:13" hidden="1" x14ac:dyDescent="0.3">
      <c r="A2316" t="s">
        <v>878</v>
      </c>
      <c r="B2316">
        <v>4</v>
      </c>
      <c r="C2316" t="s">
        <v>892</v>
      </c>
      <c r="D2316" t="str">
        <f t="shared" si="180"/>
        <v>14.09.2019</v>
      </c>
      <c r="E2316" s="1">
        <v>0.875</v>
      </c>
      <c r="F2316" t="s">
        <v>20</v>
      </c>
      <c r="G2316" t="s">
        <v>16</v>
      </c>
      <c r="H2316" s="2">
        <v>46058</v>
      </c>
      <c r="I2316" s="3" t="str">
        <f t="shared" si="181"/>
        <v/>
      </c>
      <c r="J2316" t="str">
        <f t="shared" si="182"/>
        <v/>
      </c>
      <c r="K2316" t="str">
        <f t="shared" si="183"/>
        <v/>
      </c>
      <c r="L2316" t="str">
        <f t="shared" si="184"/>
        <v/>
      </c>
      <c r="M2316" t="str">
        <f>IF(COUNTIF($A$2:A2316,A2316)=1,
     VLOOKUP(A2316,Season_Winners!A:B,2,FALSE),
     "")</f>
        <v/>
      </c>
    </row>
    <row r="2317" spans="1:13" hidden="1" x14ac:dyDescent="0.3">
      <c r="A2317" t="s">
        <v>878</v>
      </c>
      <c r="B2317">
        <v>4</v>
      </c>
      <c r="C2317" t="s">
        <v>893</v>
      </c>
      <c r="D2317" t="str">
        <f t="shared" si="180"/>
        <v>15.09.2019</v>
      </c>
      <c r="E2317" s="1">
        <v>0.5</v>
      </c>
      <c r="F2317" t="s">
        <v>187</v>
      </c>
      <c r="G2317" t="s">
        <v>36</v>
      </c>
      <c r="H2317" s="2">
        <v>46054</v>
      </c>
      <c r="I2317" s="3" t="str">
        <f t="shared" si="181"/>
        <v/>
      </c>
      <c r="J2317" t="str">
        <f t="shared" si="182"/>
        <v/>
      </c>
      <c r="K2317" t="str">
        <f t="shared" si="183"/>
        <v/>
      </c>
      <c r="L2317" t="str">
        <f t="shared" si="184"/>
        <v/>
      </c>
      <c r="M2317" t="str">
        <f>IF(COUNTIF($A$2:A2317,A2317)=1,
     VLOOKUP(A2317,Season_Winners!A:B,2,FALSE),
     "")</f>
        <v/>
      </c>
    </row>
    <row r="2318" spans="1:13" x14ac:dyDescent="0.3">
      <c r="A2318" t="s">
        <v>878</v>
      </c>
      <c r="B2318">
        <v>4</v>
      </c>
      <c r="C2318" t="s">
        <v>893</v>
      </c>
      <c r="D2318" t="str">
        <f t="shared" si="180"/>
        <v>15.09.2019</v>
      </c>
      <c r="E2318" s="1">
        <v>0.58333333333333337</v>
      </c>
      <c r="F2318" t="s">
        <v>464</v>
      </c>
      <c r="G2318" t="s">
        <v>27</v>
      </c>
      <c r="H2318" t="s">
        <v>42</v>
      </c>
      <c r="I2318" t="str">
        <f t="shared" si="181"/>
        <v>0-1</v>
      </c>
      <c r="J2318" t="str">
        <f t="shared" si="182"/>
        <v>0</v>
      </c>
      <c r="K2318" t="str">
        <f t="shared" si="183"/>
        <v>1</v>
      </c>
      <c r="L2318" t="str">
        <f t="shared" si="184"/>
        <v>Sevilla FC</v>
      </c>
      <c r="M2318" t="str">
        <f>IF(COUNTIF($A$2:A2318,A2318)=1,
     VLOOKUP(A2318,Season_Winners!A:B,2,FALSE),
     "")</f>
        <v/>
      </c>
    </row>
    <row r="2319" spans="1:13" x14ac:dyDescent="0.3">
      <c r="A2319" t="s">
        <v>878</v>
      </c>
      <c r="B2319">
        <v>4</v>
      </c>
      <c r="C2319" t="s">
        <v>893</v>
      </c>
      <c r="D2319" t="str">
        <f t="shared" si="180"/>
        <v>15.09.2019</v>
      </c>
      <c r="E2319" s="1">
        <v>0.66666666666666663</v>
      </c>
      <c r="F2319" t="s">
        <v>35</v>
      </c>
      <c r="G2319" t="s">
        <v>24</v>
      </c>
      <c r="H2319" t="s">
        <v>54</v>
      </c>
      <c r="I2319" t="str">
        <f t="shared" si="181"/>
        <v>0-2</v>
      </c>
      <c r="J2319" t="str">
        <f t="shared" si="182"/>
        <v>0</v>
      </c>
      <c r="K2319" t="str">
        <f t="shared" si="183"/>
        <v>2</v>
      </c>
      <c r="L2319" t="str">
        <f t="shared" si="184"/>
        <v>Granada CF</v>
      </c>
      <c r="M2319" t="str">
        <f>IF(COUNTIF($A$2:A2319,A2319)=1,
     VLOOKUP(A2319,Season_Winners!A:B,2,FALSE),
     "")</f>
        <v/>
      </c>
    </row>
    <row r="2320" spans="1:13" hidden="1" x14ac:dyDescent="0.3">
      <c r="A2320" t="s">
        <v>878</v>
      </c>
      <c r="B2320">
        <v>4</v>
      </c>
      <c r="C2320" t="s">
        <v>893</v>
      </c>
      <c r="D2320" t="str">
        <f t="shared" si="180"/>
        <v>15.09.2019</v>
      </c>
      <c r="E2320" s="1">
        <v>0.77083333333333337</v>
      </c>
      <c r="F2320" t="s">
        <v>14</v>
      </c>
      <c r="G2320" t="s">
        <v>23</v>
      </c>
      <c r="H2320" s="2">
        <v>46023</v>
      </c>
      <c r="I2320" s="3" t="str">
        <f t="shared" si="181"/>
        <v/>
      </c>
      <c r="J2320" t="str">
        <f t="shared" si="182"/>
        <v/>
      </c>
      <c r="K2320" t="str">
        <f t="shared" si="183"/>
        <v/>
      </c>
      <c r="L2320" t="str">
        <f t="shared" si="184"/>
        <v/>
      </c>
      <c r="M2320" t="str">
        <f>IF(COUNTIF($A$2:A2320,A2320)=1,
     VLOOKUP(A2320,Season_Winners!A:B,2,FALSE),
     "")</f>
        <v/>
      </c>
    </row>
    <row r="2321" spans="1:13" hidden="1" x14ac:dyDescent="0.3">
      <c r="A2321" t="s">
        <v>878</v>
      </c>
      <c r="B2321">
        <v>4</v>
      </c>
      <c r="C2321" t="s">
        <v>893</v>
      </c>
      <c r="D2321" t="str">
        <f t="shared" si="180"/>
        <v>15.09.2019</v>
      </c>
      <c r="E2321" s="1">
        <v>0.875</v>
      </c>
      <c r="F2321" t="s">
        <v>26</v>
      </c>
      <c r="G2321" t="s">
        <v>11</v>
      </c>
      <c r="H2321" s="2">
        <v>46023</v>
      </c>
      <c r="I2321" s="3" t="str">
        <f t="shared" si="181"/>
        <v/>
      </c>
      <c r="J2321" t="str">
        <f t="shared" si="182"/>
        <v/>
      </c>
      <c r="K2321" t="str">
        <f t="shared" si="183"/>
        <v/>
      </c>
      <c r="L2321" t="str">
        <f t="shared" si="184"/>
        <v/>
      </c>
      <c r="M2321" t="str">
        <f>IF(COUNTIF($A$2:A2321,A2321)=1,
     VLOOKUP(A2321,Season_Winners!A:B,2,FALSE),
     "")</f>
        <v/>
      </c>
    </row>
    <row r="2322" spans="1:13" x14ac:dyDescent="0.3">
      <c r="A2322" t="s">
        <v>878</v>
      </c>
      <c r="B2322">
        <v>5</v>
      </c>
      <c r="C2322" t="s">
        <v>894</v>
      </c>
      <c r="D2322" t="str">
        <f t="shared" si="180"/>
        <v>20.09.2019</v>
      </c>
      <c r="E2322" s="1">
        <v>0.875</v>
      </c>
      <c r="F2322" t="s">
        <v>23</v>
      </c>
      <c r="G2322" t="s">
        <v>26</v>
      </c>
      <c r="H2322" t="s">
        <v>41</v>
      </c>
      <c r="I2322" t="str">
        <f t="shared" si="181"/>
        <v>0-0</v>
      </c>
      <c r="J2322" t="str">
        <f t="shared" si="182"/>
        <v>0</v>
      </c>
      <c r="K2322" t="str">
        <f t="shared" si="183"/>
        <v>0</v>
      </c>
      <c r="L2322" t="str">
        <f t="shared" si="184"/>
        <v>Draw</v>
      </c>
      <c r="M2322" t="str">
        <f>IF(COUNTIF($A$2:A2322,A2322)=1,
     VLOOKUP(A2322,Season_Winners!A:B,2,FALSE),
     "")</f>
        <v/>
      </c>
    </row>
    <row r="2323" spans="1:13" x14ac:dyDescent="0.3">
      <c r="A2323" t="s">
        <v>878</v>
      </c>
      <c r="B2323">
        <v>5</v>
      </c>
      <c r="C2323" t="s">
        <v>895</v>
      </c>
      <c r="D2323" t="str">
        <f t="shared" si="180"/>
        <v>21.09.2019</v>
      </c>
      <c r="E2323" s="1">
        <v>0.54166666666666663</v>
      </c>
      <c r="F2323" t="s">
        <v>34</v>
      </c>
      <c r="G2323" t="s">
        <v>14</v>
      </c>
      <c r="H2323" t="s">
        <v>12</v>
      </c>
      <c r="I2323" t="str">
        <f t="shared" si="181"/>
        <v>2-0</v>
      </c>
      <c r="J2323" t="str">
        <f t="shared" si="182"/>
        <v>2</v>
      </c>
      <c r="K2323" t="str">
        <f t="shared" si="183"/>
        <v>0</v>
      </c>
      <c r="L2323" t="str">
        <f t="shared" si="184"/>
        <v>Villarreal CF</v>
      </c>
      <c r="M2323" t="str">
        <f>IF(COUNTIF($A$2:A2323,A2323)=1,
     VLOOKUP(A2323,Season_Winners!A:B,2,FALSE),
     "")</f>
        <v/>
      </c>
    </row>
    <row r="2324" spans="1:13" x14ac:dyDescent="0.3">
      <c r="A2324" t="s">
        <v>878</v>
      </c>
      <c r="B2324">
        <v>5</v>
      </c>
      <c r="C2324" t="s">
        <v>895</v>
      </c>
      <c r="D2324" t="str">
        <f t="shared" si="180"/>
        <v>21.09.2019</v>
      </c>
      <c r="E2324" s="1">
        <v>0.66666666666666663</v>
      </c>
      <c r="F2324" t="s">
        <v>21</v>
      </c>
      <c r="G2324" t="s">
        <v>187</v>
      </c>
      <c r="H2324" t="s">
        <v>41</v>
      </c>
      <c r="I2324" t="str">
        <f t="shared" si="181"/>
        <v>0-0</v>
      </c>
      <c r="J2324" t="str">
        <f t="shared" si="182"/>
        <v>0</v>
      </c>
      <c r="K2324" t="str">
        <f t="shared" si="183"/>
        <v>0</v>
      </c>
      <c r="L2324" t="str">
        <f t="shared" si="184"/>
        <v>Draw</v>
      </c>
      <c r="M2324" t="str">
        <f>IF(COUNTIF($A$2:A2324,A2324)=1,
     VLOOKUP(A2324,Season_Winners!A:B,2,FALSE),
     "")</f>
        <v/>
      </c>
    </row>
    <row r="2325" spans="1:13" x14ac:dyDescent="0.3">
      <c r="A2325" t="s">
        <v>878</v>
      </c>
      <c r="B2325">
        <v>5</v>
      </c>
      <c r="C2325" t="s">
        <v>895</v>
      </c>
      <c r="D2325" t="str">
        <f t="shared" si="180"/>
        <v>21.09.2019</v>
      </c>
      <c r="E2325" s="1">
        <v>0.77083333333333337</v>
      </c>
      <c r="F2325" t="s">
        <v>1425</v>
      </c>
      <c r="G2325" t="s">
        <v>35</v>
      </c>
      <c r="H2325" t="s">
        <v>41</v>
      </c>
      <c r="I2325" t="str">
        <f t="shared" si="181"/>
        <v>0-0</v>
      </c>
      <c r="J2325" t="str">
        <f t="shared" si="182"/>
        <v>0</v>
      </c>
      <c r="K2325" t="str">
        <f t="shared" si="183"/>
        <v>0</v>
      </c>
      <c r="L2325" t="str">
        <f t="shared" si="184"/>
        <v>Draw</v>
      </c>
      <c r="M2325" t="str">
        <f>IF(COUNTIF($A$2:A2325,A2325)=1,
     VLOOKUP(A2325,Season_Winners!A:B,2,FALSE),
     "")</f>
        <v/>
      </c>
    </row>
    <row r="2326" spans="1:13" x14ac:dyDescent="0.3">
      <c r="A2326" t="s">
        <v>878</v>
      </c>
      <c r="B2326">
        <v>5</v>
      </c>
      <c r="C2326" t="s">
        <v>895</v>
      </c>
      <c r="D2326" t="str">
        <f t="shared" si="180"/>
        <v>21.09.2019</v>
      </c>
      <c r="E2326" s="1">
        <v>0.875</v>
      </c>
      <c r="F2326" t="s">
        <v>24</v>
      </c>
      <c r="G2326" t="s">
        <v>20</v>
      </c>
      <c r="H2326" t="s">
        <v>12</v>
      </c>
      <c r="I2326" t="str">
        <f t="shared" si="181"/>
        <v>2-0</v>
      </c>
      <c r="J2326" t="str">
        <f t="shared" si="182"/>
        <v>2</v>
      </c>
      <c r="K2326" t="str">
        <f t="shared" si="183"/>
        <v>0</v>
      </c>
      <c r="L2326" t="str">
        <f t="shared" si="184"/>
        <v>Granada CF</v>
      </c>
      <c r="M2326" t="str">
        <f>IF(COUNTIF($A$2:A2326,A2326)=1,
     VLOOKUP(A2326,Season_Winners!A:B,2,FALSE),
     "")</f>
        <v/>
      </c>
    </row>
    <row r="2327" spans="1:13" hidden="1" x14ac:dyDescent="0.3">
      <c r="A2327" t="s">
        <v>878</v>
      </c>
      <c r="B2327">
        <v>5</v>
      </c>
      <c r="C2327" t="s">
        <v>896</v>
      </c>
      <c r="D2327" t="str">
        <f t="shared" si="180"/>
        <v>22.09.2019</v>
      </c>
      <c r="E2327" s="1">
        <v>0.5</v>
      </c>
      <c r="F2327" t="s">
        <v>11</v>
      </c>
      <c r="G2327" t="s">
        <v>881</v>
      </c>
      <c r="H2327" s="2">
        <v>46057</v>
      </c>
      <c r="I2327" s="3" t="str">
        <f t="shared" si="181"/>
        <v/>
      </c>
      <c r="J2327" t="str">
        <f t="shared" si="182"/>
        <v/>
      </c>
      <c r="K2327" t="str">
        <f t="shared" si="183"/>
        <v/>
      </c>
      <c r="L2327" t="str">
        <f t="shared" si="184"/>
        <v/>
      </c>
      <c r="M2327" t="str">
        <f>IF(COUNTIF($A$2:A2327,A2327)=1,
     VLOOKUP(A2327,Season_Winners!A:B,2,FALSE),
     "")</f>
        <v/>
      </c>
    </row>
    <row r="2328" spans="1:13" hidden="1" x14ac:dyDescent="0.3">
      <c r="A2328" t="s">
        <v>878</v>
      </c>
      <c r="B2328">
        <v>5</v>
      </c>
      <c r="C2328" t="s">
        <v>896</v>
      </c>
      <c r="D2328" t="str">
        <f t="shared" si="180"/>
        <v>22.09.2019</v>
      </c>
      <c r="E2328" s="1">
        <v>0.58333333333333337</v>
      </c>
      <c r="F2328" t="s">
        <v>36</v>
      </c>
      <c r="G2328" t="s">
        <v>10</v>
      </c>
      <c r="H2328" s="2">
        <v>46082</v>
      </c>
      <c r="I2328" s="3" t="str">
        <f t="shared" si="181"/>
        <v/>
      </c>
      <c r="J2328" t="str">
        <f t="shared" si="182"/>
        <v/>
      </c>
      <c r="K2328" t="str">
        <f t="shared" si="183"/>
        <v/>
      </c>
      <c r="L2328" t="str">
        <f t="shared" si="184"/>
        <v/>
      </c>
      <c r="M2328" t="str">
        <f>IF(COUNTIF($A$2:A2328,A2328)=1,
     VLOOKUP(A2328,Season_Winners!A:B,2,FALSE),
     "")</f>
        <v/>
      </c>
    </row>
    <row r="2329" spans="1:13" hidden="1" x14ac:dyDescent="0.3">
      <c r="A2329" t="s">
        <v>878</v>
      </c>
      <c r="B2329">
        <v>5</v>
      </c>
      <c r="C2329" t="s">
        <v>896</v>
      </c>
      <c r="D2329" t="str">
        <f t="shared" si="180"/>
        <v>22.09.2019</v>
      </c>
      <c r="E2329" s="1">
        <v>0.66666666666666663</v>
      </c>
      <c r="F2329" t="s">
        <v>16</v>
      </c>
      <c r="G2329" t="s">
        <v>466</v>
      </c>
      <c r="H2329" s="2">
        <v>46023</v>
      </c>
      <c r="I2329" s="3" t="str">
        <f t="shared" si="181"/>
        <v/>
      </c>
      <c r="J2329" t="str">
        <f t="shared" si="182"/>
        <v/>
      </c>
      <c r="K2329" t="str">
        <f t="shared" si="183"/>
        <v/>
      </c>
      <c r="L2329" t="str">
        <f t="shared" si="184"/>
        <v/>
      </c>
      <c r="M2329" t="str">
        <f>IF(COUNTIF($A$2:A2329,A2329)=1,
     VLOOKUP(A2329,Season_Winners!A:B,2,FALSE),
     "")</f>
        <v/>
      </c>
    </row>
    <row r="2330" spans="1:13" x14ac:dyDescent="0.3">
      <c r="A2330" t="s">
        <v>878</v>
      </c>
      <c r="B2330">
        <v>5</v>
      </c>
      <c r="C2330" t="s">
        <v>896</v>
      </c>
      <c r="D2330" t="str">
        <f t="shared" si="180"/>
        <v>22.09.2019</v>
      </c>
      <c r="E2330" s="1">
        <v>0.77083333333333337</v>
      </c>
      <c r="F2330" t="s">
        <v>15</v>
      </c>
      <c r="G2330" t="s">
        <v>464</v>
      </c>
      <c r="H2330" t="s">
        <v>12</v>
      </c>
      <c r="I2330" t="str">
        <f t="shared" si="181"/>
        <v>2-0</v>
      </c>
      <c r="J2330" t="str">
        <f t="shared" si="182"/>
        <v>2</v>
      </c>
      <c r="K2330" t="str">
        <f t="shared" si="183"/>
        <v>0</v>
      </c>
      <c r="L2330" t="str">
        <f t="shared" si="184"/>
        <v>Athletic Club</v>
      </c>
      <c r="M2330" t="str">
        <f>IF(COUNTIF($A$2:A2330,A2330)=1,
     VLOOKUP(A2330,Season_Winners!A:B,2,FALSE),
     "")</f>
        <v/>
      </c>
    </row>
    <row r="2331" spans="1:13" x14ac:dyDescent="0.3">
      <c r="A2331" t="s">
        <v>878</v>
      </c>
      <c r="B2331">
        <v>5</v>
      </c>
      <c r="C2331" t="s">
        <v>896</v>
      </c>
      <c r="D2331" t="str">
        <f t="shared" si="180"/>
        <v>22.09.2019</v>
      </c>
      <c r="E2331" s="1">
        <v>0.875</v>
      </c>
      <c r="F2331" t="s">
        <v>27</v>
      </c>
      <c r="G2331" t="s">
        <v>25</v>
      </c>
      <c r="H2331" t="s">
        <v>42</v>
      </c>
      <c r="I2331" t="str">
        <f t="shared" si="181"/>
        <v>0-1</v>
      </c>
      <c r="J2331" t="str">
        <f t="shared" si="182"/>
        <v>0</v>
      </c>
      <c r="K2331" t="str">
        <f t="shared" si="183"/>
        <v>1</v>
      </c>
      <c r="L2331" t="str">
        <f t="shared" si="184"/>
        <v>Real Madrid</v>
      </c>
      <c r="M2331" t="str">
        <f>IF(COUNTIF($A$2:A2331,A2331)=1,
     VLOOKUP(A2331,Season_Winners!A:B,2,FALSE),
     "")</f>
        <v/>
      </c>
    </row>
    <row r="2332" spans="1:13" hidden="1" x14ac:dyDescent="0.3">
      <c r="A2332" t="s">
        <v>878</v>
      </c>
      <c r="B2332">
        <v>6</v>
      </c>
      <c r="C2332" t="s">
        <v>897</v>
      </c>
      <c r="D2332" t="str">
        <f t="shared" si="180"/>
        <v>24.09.2019</v>
      </c>
      <c r="E2332" s="1">
        <v>0.79166666666666663</v>
      </c>
      <c r="F2332" t="s">
        <v>14</v>
      </c>
      <c r="G2332" t="s">
        <v>24</v>
      </c>
      <c r="H2332" s="2">
        <v>46023</v>
      </c>
      <c r="I2332" s="3" t="str">
        <f t="shared" si="181"/>
        <v/>
      </c>
      <c r="J2332" t="str">
        <f t="shared" si="182"/>
        <v/>
      </c>
      <c r="K2332" t="str">
        <f t="shared" si="183"/>
        <v/>
      </c>
      <c r="L2332" t="str">
        <f t="shared" si="184"/>
        <v/>
      </c>
      <c r="M2332" t="str">
        <f>IF(COUNTIF($A$2:A2332,A2332)=1,
     VLOOKUP(A2332,Season_Winners!A:B,2,FALSE),
     "")</f>
        <v/>
      </c>
    </row>
    <row r="2333" spans="1:13" hidden="1" x14ac:dyDescent="0.3">
      <c r="A2333" t="s">
        <v>878</v>
      </c>
      <c r="B2333">
        <v>6</v>
      </c>
      <c r="C2333" t="s">
        <v>897</v>
      </c>
      <c r="D2333" t="str">
        <f t="shared" si="180"/>
        <v>24.09.2019</v>
      </c>
      <c r="E2333" s="1">
        <v>0.83333333333333337</v>
      </c>
      <c r="F2333" t="s">
        <v>26</v>
      </c>
      <c r="G2333" t="s">
        <v>21</v>
      </c>
      <c r="H2333" s="2">
        <v>46025</v>
      </c>
      <c r="I2333" s="3" t="str">
        <f t="shared" si="181"/>
        <v/>
      </c>
      <c r="J2333" t="str">
        <f t="shared" si="182"/>
        <v/>
      </c>
      <c r="K2333" t="str">
        <f t="shared" si="183"/>
        <v/>
      </c>
      <c r="L2333" t="str">
        <f t="shared" si="184"/>
        <v/>
      </c>
      <c r="M2333" t="str">
        <f>IF(COUNTIF($A$2:A2333,A2333)=1,
     VLOOKUP(A2333,Season_Winners!A:B,2,FALSE),
     "")</f>
        <v/>
      </c>
    </row>
    <row r="2334" spans="1:13" hidden="1" x14ac:dyDescent="0.3">
      <c r="A2334" t="s">
        <v>878</v>
      </c>
      <c r="B2334">
        <v>6</v>
      </c>
      <c r="C2334" t="s">
        <v>897</v>
      </c>
      <c r="D2334" t="str">
        <f t="shared" si="180"/>
        <v>24.09.2019</v>
      </c>
      <c r="E2334" s="1">
        <v>0.875</v>
      </c>
      <c r="F2334" t="s">
        <v>20</v>
      </c>
      <c r="G2334" t="s">
        <v>34</v>
      </c>
      <c r="H2334" s="2">
        <v>46024</v>
      </c>
      <c r="I2334" s="3" t="str">
        <f t="shared" si="181"/>
        <v/>
      </c>
      <c r="J2334" t="str">
        <f t="shared" si="182"/>
        <v/>
      </c>
      <c r="K2334" t="str">
        <f t="shared" si="183"/>
        <v/>
      </c>
      <c r="L2334" t="str">
        <f t="shared" si="184"/>
        <v/>
      </c>
      <c r="M2334" t="str">
        <f>IF(COUNTIF($A$2:A2334,A2334)=1,
     VLOOKUP(A2334,Season_Winners!A:B,2,FALSE),
     "")</f>
        <v/>
      </c>
    </row>
    <row r="2335" spans="1:13" hidden="1" x14ac:dyDescent="0.3">
      <c r="A2335" t="s">
        <v>878</v>
      </c>
      <c r="B2335">
        <v>6</v>
      </c>
      <c r="C2335" t="s">
        <v>898</v>
      </c>
      <c r="D2335" t="str">
        <f t="shared" si="180"/>
        <v>25.09.2019</v>
      </c>
      <c r="E2335" s="1">
        <v>0.79166666666666663</v>
      </c>
      <c r="F2335" t="s">
        <v>466</v>
      </c>
      <c r="G2335" t="s">
        <v>15</v>
      </c>
      <c r="H2335" s="2">
        <v>46023</v>
      </c>
      <c r="I2335" s="3" t="str">
        <f t="shared" si="181"/>
        <v/>
      </c>
      <c r="J2335" t="str">
        <f t="shared" si="182"/>
        <v/>
      </c>
      <c r="K2335" t="str">
        <f t="shared" si="183"/>
        <v/>
      </c>
      <c r="L2335" t="str">
        <f t="shared" si="184"/>
        <v/>
      </c>
      <c r="M2335" t="str">
        <f>IF(COUNTIF($A$2:A2335,A2335)=1,
     VLOOKUP(A2335,Season_Winners!A:B,2,FALSE),
     "")</f>
        <v/>
      </c>
    </row>
    <row r="2336" spans="1:13" x14ac:dyDescent="0.3">
      <c r="A2336" t="s">
        <v>878</v>
      </c>
      <c r="B2336">
        <v>6</v>
      </c>
      <c r="C2336" t="s">
        <v>898</v>
      </c>
      <c r="D2336" t="str">
        <f t="shared" si="180"/>
        <v>25.09.2019</v>
      </c>
      <c r="E2336" s="1">
        <v>0.79166666666666663</v>
      </c>
      <c r="F2336" t="s">
        <v>881</v>
      </c>
      <c r="G2336" t="s">
        <v>1425</v>
      </c>
      <c r="H2336" t="s">
        <v>54</v>
      </c>
      <c r="I2336" t="str">
        <f t="shared" si="181"/>
        <v>0-2</v>
      </c>
      <c r="J2336" t="str">
        <f t="shared" si="182"/>
        <v>0</v>
      </c>
      <c r="K2336" t="str">
        <f t="shared" si="183"/>
        <v>2</v>
      </c>
      <c r="L2336" t="str">
        <f t="shared" si="184"/>
        <v>Atlético de Madrid</v>
      </c>
      <c r="M2336" t="str">
        <f>IF(COUNTIF($A$2:A2336,A2336)=1,
     VLOOKUP(A2336,Season_Winners!A:B,2,FALSE),
     "")</f>
        <v/>
      </c>
    </row>
    <row r="2337" spans="1:13" hidden="1" x14ac:dyDescent="0.3">
      <c r="A2337" t="s">
        <v>878</v>
      </c>
      <c r="B2337">
        <v>6</v>
      </c>
      <c r="C2337" t="s">
        <v>898</v>
      </c>
      <c r="D2337" t="str">
        <f t="shared" si="180"/>
        <v>25.09.2019</v>
      </c>
      <c r="E2337" s="1">
        <v>0.83333333333333337</v>
      </c>
      <c r="F2337" t="s">
        <v>16</v>
      </c>
      <c r="G2337" t="s">
        <v>11</v>
      </c>
      <c r="H2337" s="2">
        <v>46084</v>
      </c>
      <c r="I2337" s="3" t="str">
        <f t="shared" si="181"/>
        <v/>
      </c>
      <c r="J2337" t="str">
        <f t="shared" si="182"/>
        <v/>
      </c>
      <c r="K2337" t="str">
        <f t="shared" si="183"/>
        <v/>
      </c>
      <c r="L2337" t="str">
        <f t="shared" si="184"/>
        <v/>
      </c>
      <c r="M2337" t="str">
        <f>IF(COUNTIF($A$2:A2337,A2337)=1,
     VLOOKUP(A2337,Season_Winners!A:B,2,FALSE),
     "")</f>
        <v/>
      </c>
    </row>
    <row r="2338" spans="1:13" x14ac:dyDescent="0.3">
      <c r="A2338" t="s">
        <v>878</v>
      </c>
      <c r="B2338">
        <v>6</v>
      </c>
      <c r="C2338" t="s">
        <v>898</v>
      </c>
      <c r="D2338" t="str">
        <f t="shared" si="180"/>
        <v>25.09.2019</v>
      </c>
      <c r="E2338" s="1">
        <v>0.875</v>
      </c>
      <c r="F2338" t="s">
        <v>25</v>
      </c>
      <c r="G2338" t="s">
        <v>23</v>
      </c>
      <c r="H2338" t="s">
        <v>12</v>
      </c>
      <c r="I2338" t="str">
        <f t="shared" si="181"/>
        <v>2-0</v>
      </c>
      <c r="J2338" t="str">
        <f t="shared" si="182"/>
        <v>2</v>
      </c>
      <c r="K2338" t="str">
        <f t="shared" si="183"/>
        <v>0</v>
      </c>
      <c r="L2338" t="str">
        <f t="shared" si="184"/>
        <v>Real Madrid</v>
      </c>
      <c r="M2338" t="str">
        <f>IF(COUNTIF($A$2:A2338,A2338)=1,
     VLOOKUP(A2338,Season_Winners!A:B,2,FALSE),
     "")</f>
        <v/>
      </c>
    </row>
    <row r="2339" spans="1:13" hidden="1" x14ac:dyDescent="0.3">
      <c r="A2339" t="s">
        <v>878</v>
      </c>
      <c r="B2339">
        <v>6</v>
      </c>
      <c r="C2339" t="s">
        <v>899</v>
      </c>
      <c r="D2339" t="str">
        <f t="shared" si="180"/>
        <v>26.09.2019</v>
      </c>
      <c r="E2339" s="1">
        <v>0.79166666666666663</v>
      </c>
      <c r="F2339" t="s">
        <v>187</v>
      </c>
      <c r="G2339" t="s">
        <v>27</v>
      </c>
      <c r="H2339" s="2">
        <v>46056</v>
      </c>
      <c r="I2339" s="3" t="str">
        <f t="shared" si="181"/>
        <v/>
      </c>
      <c r="J2339" t="str">
        <f t="shared" si="182"/>
        <v/>
      </c>
      <c r="K2339" t="str">
        <f t="shared" si="183"/>
        <v/>
      </c>
      <c r="L2339" t="str">
        <f t="shared" si="184"/>
        <v/>
      </c>
      <c r="M2339" t="str">
        <f>IF(COUNTIF($A$2:A2339,A2339)=1,
     VLOOKUP(A2339,Season_Winners!A:B,2,FALSE),
     "")</f>
        <v/>
      </c>
    </row>
    <row r="2340" spans="1:13" hidden="1" x14ac:dyDescent="0.3">
      <c r="A2340" t="s">
        <v>878</v>
      </c>
      <c r="B2340">
        <v>6</v>
      </c>
      <c r="C2340" t="s">
        <v>899</v>
      </c>
      <c r="D2340" t="str">
        <f t="shared" si="180"/>
        <v>26.09.2019</v>
      </c>
      <c r="E2340" s="1">
        <v>0.83333333333333337</v>
      </c>
      <c r="F2340" t="s">
        <v>35</v>
      </c>
      <c r="G2340" t="s">
        <v>36</v>
      </c>
      <c r="H2340" s="2">
        <v>46023</v>
      </c>
      <c r="I2340" s="3" t="str">
        <f t="shared" si="181"/>
        <v/>
      </c>
      <c r="J2340" t="str">
        <f t="shared" si="182"/>
        <v/>
      </c>
      <c r="K2340" t="str">
        <f t="shared" si="183"/>
        <v/>
      </c>
      <c r="L2340" t="str">
        <f t="shared" si="184"/>
        <v/>
      </c>
      <c r="M2340" t="str">
        <f>IF(COUNTIF($A$2:A2340,A2340)=1,
     VLOOKUP(A2340,Season_Winners!A:B,2,FALSE),
     "")</f>
        <v/>
      </c>
    </row>
    <row r="2341" spans="1:13" x14ac:dyDescent="0.3">
      <c r="A2341" t="s">
        <v>878</v>
      </c>
      <c r="B2341">
        <v>6</v>
      </c>
      <c r="C2341" t="s">
        <v>899</v>
      </c>
      <c r="D2341" t="str">
        <f t="shared" si="180"/>
        <v>26.09.2019</v>
      </c>
      <c r="E2341" s="1">
        <v>0.875</v>
      </c>
      <c r="F2341" t="s">
        <v>10</v>
      </c>
      <c r="G2341" t="s">
        <v>464</v>
      </c>
      <c r="H2341" t="s">
        <v>32</v>
      </c>
      <c r="I2341" t="str">
        <f t="shared" si="181"/>
        <v>3-0</v>
      </c>
      <c r="J2341" t="str">
        <f t="shared" si="182"/>
        <v>3</v>
      </c>
      <c r="K2341" t="str">
        <f t="shared" si="183"/>
        <v>0</v>
      </c>
      <c r="L2341" t="str">
        <f t="shared" si="184"/>
        <v>Real Sociedad</v>
      </c>
      <c r="M2341" t="str">
        <f>IF(COUNTIF($A$2:A2341,A2341)=1,
     VLOOKUP(A2341,Season_Winners!A:B,2,FALSE),
     "")</f>
        <v/>
      </c>
    </row>
    <row r="2342" spans="1:13" hidden="1" x14ac:dyDescent="0.3">
      <c r="A2342" t="s">
        <v>878</v>
      </c>
      <c r="B2342">
        <v>7</v>
      </c>
      <c r="C2342" t="s">
        <v>900</v>
      </c>
      <c r="D2342" t="str">
        <f t="shared" si="180"/>
        <v>27.09.2019</v>
      </c>
      <c r="E2342" s="1">
        <v>0.875</v>
      </c>
      <c r="F2342" t="s">
        <v>34</v>
      </c>
      <c r="G2342" t="s">
        <v>26</v>
      </c>
      <c r="H2342" s="2">
        <v>46027</v>
      </c>
      <c r="I2342" s="3" t="str">
        <f t="shared" si="181"/>
        <v/>
      </c>
      <c r="J2342" t="str">
        <f t="shared" si="182"/>
        <v/>
      </c>
      <c r="K2342" t="str">
        <f t="shared" si="183"/>
        <v/>
      </c>
      <c r="L2342" t="str">
        <f t="shared" si="184"/>
        <v/>
      </c>
      <c r="M2342" t="str">
        <f>IF(COUNTIF($A$2:A2342,A2342)=1,
     VLOOKUP(A2342,Season_Winners!A:B,2,FALSE),
     "")</f>
        <v/>
      </c>
    </row>
    <row r="2343" spans="1:13" x14ac:dyDescent="0.3">
      <c r="A2343" t="s">
        <v>878</v>
      </c>
      <c r="B2343">
        <v>7</v>
      </c>
      <c r="C2343" t="s">
        <v>901</v>
      </c>
      <c r="D2343" t="str">
        <f t="shared" si="180"/>
        <v>28.09.2019</v>
      </c>
      <c r="E2343" s="1">
        <v>0.54166666666666663</v>
      </c>
      <c r="F2343" t="s">
        <v>15</v>
      </c>
      <c r="G2343" t="s">
        <v>16</v>
      </c>
      <c r="H2343" t="s">
        <v>42</v>
      </c>
      <c r="I2343" t="str">
        <f t="shared" si="181"/>
        <v>0-1</v>
      </c>
      <c r="J2343" t="str">
        <f t="shared" si="182"/>
        <v>0</v>
      </c>
      <c r="K2343" t="str">
        <f t="shared" si="183"/>
        <v>1</v>
      </c>
      <c r="L2343" t="str">
        <f t="shared" si="184"/>
        <v>Valencia CF</v>
      </c>
      <c r="M2343" t="str">
        <f>IF(COUNTIF($A$2:A2343,A2343)=1,
     VLOOKUP(A2343,Season_Winners!A:B,2,FALSE),
     "")</f>
        <v/>
      </c>
    </row>
    <row r="2344" spans="1:13" x14ac:dyDescent="0.3">
      <c r="A2344" t="s">
        <v>878</v>
      </c>
      <c r="B2344">
        <v>7</v>
      </c>
      <c r="C2344" t="s">
        <v>901</v>
      </c>
      <c r="D2344" t="str">
        <f t="shared" si="180"/>
        <v>28.09.2019</v>
      </c>
      <c r="E2344" s="1">
        <v>0.66666666666666663</v>
      </c>
      <c r="F2344" t="s">
        <v>11</v>
      </c>
      <c r="G2344" t="s">
        <v>20</v>
      </c>
      <c r="H2344" t="s">
        <v>54</v>
      </c>
      <c r="I2344" t="str">
        <f t="shared" si="181"/>
        <v>0-2</v>
      </c>
      <c r="J2344" t="str">
        <f t="shared" si="182"/>
        <v>0</v>
      </c>
      <c r="K2344" t="str">
        <f t="shared" si="183"/>
        <v>2</v>
      </c>
      <c r="L2344" t="str">
        <f t="shared" si="184"/>
        <v>FC Barcelona</v>
      </c>
      <c r="M2344" t="str">
        <f>IF(COUNTIF($A$2:A2344,A2344)=1,
     VLOOKUP(A2344,Season_Winners!A:B,2,FALSE),
     "")</f>
        <v/>
      </c>
    </row>
    <row r="2345" spans="1:13" x14ac:dyDescent="0.3">
      <c r="A2345" t="s">
        <v>878</v>
      </c>
      <c r="B2345">
        <v>7</v>
      </c>
      <c r="C2345" t="s">
        <v>901</v>
      </c>
      <c r="D2345" t="str">
        <f t="shared" si="180"/>
        <v>28.09.2019</v>
      </c>
      <c r="E2345" s="1">
        <v>0.77083333333333337</v>
      </c>
      <c r="F2345" t="s">
        <v>24</v>
      </c>
      <c r="G2345" t="s">
        <v>466</v>
      </c>
      <c r="H2345" t="s">
        <v>18</v>
      </c>
      <c r="I2345" t="str">
        <f t="shared" si="181"/>
        <v>1-0</v>
      </c>
      <c r="J2345" t="str">
        <f t="shared" si="182"/>
        <v>1</v>
      </c>
      <c r="K2345" t="str">
        <f t="shared" si="183"/>
        <v>0</v>
      </c>
      <c r="L2345" t="str">
        <f t="shared" si="184"/>
        <v>Granada CF</v>
      </c>
      <c r="M2345" t="str">
        <f>IF(COUNTIF($A$2:A2345,A2345)=1,
     VLOOKUP(A2345,Season_Winners!A:B,2,FALSE),
     "")</f>
        <v/>
      </c>
    </row>
    <row r="2346" spans="1:13" x14ac:dyDescent="0.3">
      <c r="A2346" t="s">
        <v>878</v>
      </c>
      <c r="B2346">
        <v>7</v>
      </c>
      <c r="C2346" t="s">
        <v>901</v>
      </c>
      <c r="D2346" t="str">
        <f t="shared" si="180"/>
        <v>28.09.2019</v>
      </c>
      <c r="E2346" s="1">
        <v>0.875</v>
      </c>
      <c r="F2346" t="s">
        <v>1425</v>
      </c>
      <c r="G2346" t="s">
        <v>25</v>
      </c>
      <c r="H2346" t="s">
        <v>41</v>
      </c>
      <c r="I2346" t="str">
        <f t="shared" si="181"/>
        <v>0-0</v>
      </c>
      <c r="J2346" t="str">
        <f t="shared" si="182"/>
        <v>0</v>
      </c>
      <c r="K2346" t="str">
        <f t="shared" si="183"/>
        <v>0</v>
      </c>
      <c r="L2346" t="str">
        <f t="shared" si="184"/>
        <v>Draw</v>
      </c>
      <c r="M2346" t="str">
        <f>IF(COUNTIF($A$2:A2346,A2346)=1,
     VLOOKUP(A2346,Season_Winners!A:B,2,FALSE),
     "")</f>
        <v/>
      </c>
    </row>
    <row r="2347" spans="1:13" x14ac:dyDescent="0.3">
      <c r="A2347" t="s">
        <v>878</v>
      </c>
      <c r="B2347">
        <v>7</v>
      </c>
      <c r="C2347" t="s">
        <v>902</v>
      </c>
      <c r="D2347" t="str">
        <f t="shared" si="180"/>
        <v>29.09.2019</v>
      </c>
      <c r="E2347" s="1">
        <v>0.5</v>
      </c>
      <c r="F2347" t="s">
        <v>36</v>
      </c>
      <c r="G2347" t="s">
        <v>14</v>
      </c>
      <c r="H2347" t="s">
        <v>54</v>
      </c>
      <c r="I2347" t="str">
        <f t="shared" si="181"/>
        <v>0-2</v>
      </c>
      <c r="J2347" t="str">
        <f t="shared" si="182"/>
        <v>0</v>
      </c>
      <c r="K2347" t="str">
        <f t="shared" si="183"/>
        <v>2</v>
      </c>
      <c r="L2347" t="str">
        <f t="shared" si="184"/>
        <v>Real Valladolid CF</v>
      </c>
      <c r="M2347" t="str">
        <f>IF(COUNTIF($A$2:A2347,A2347)=1,
     VLOOKUP(A2347,Season_Winners!A:B,2,FALSE),
     "")</f>
        <v/>
      </c>
    </row>
    <row r="2348" spans="1:13" x14ac:dyDescent="0.3">
      <c r="A2348" t="s">
        <v>878</v>
      </c>
      <c r="B2348">
        <v>7</v>
      </c>
      <c r="C2348" t="s">
        <v>902</v>
      </c>
      <c r="D2348" t="str">
        <f t="shared" si="180"/>
        <v>29.09.2019</v>
      </c>
      <c r="E2348" s="1">
        <v>0.58333333333333337</v>
      </c>
      <c r="F2348" t="s">
        <v>187</v>
      </c>
      <c r="G2348" t="s">
        <v>35</v>
      </c>
      <c r="H2348" t="s">
        <v>12</v>
      </c>
      <c r="I2348" t="str">
        <f t="shared" si="181"/>
        <v>2-0</v>
      </c>
      <c r="J2348" t="str">
        <f t="shared" si="182"/>
        <v>2</v>
      </c>
      <c r="K2348" t="str">
        <f t="shared" si="183"/>
        <v>0</v>
      </c>
      <c r="L2348" t="str">
        <f t="shared" si="184"/>
        <v>SD Eibar</v>
      </c>
      <c r="M2348" t="str">
        <f>IF(COUNTIF($A$2:A2348,A2348)=1,
     VLOOKUP(A2348,Season_Winners!A:B,2,FALSE),
     "")</f>
        <v/>
      </c>
    </row>
    <row r="2349" spans="1:13" x14ac:dyDescent="0.3">
      <c r="A2349" t="s">
        <v>878</v>
      </c>
      <c r="B2349">
        <v>7</v>
      </c>
      <c r="C2349" t="s">
        <v>902</v>
      </c>
      <c r="D2349" t="str">
        <f t="shared" si="180"/>
        <v>29.09.2019</v>
      </c>
      <c r="E2349" s="1">
        <v>0.66666666666666663</v>
      </c>
      <c r="F2349" t="s">
        <v>464</v>
      </c>
      <c r="G2349" t="s">
        <v>881</v>
      </c>
      <c r="H2349" t="s">
        <v>12</v>
      </c>
      <c r="I2349" t="str">
        <f t="shared" si="181"/>
        <v>2-0</v>
      </c>
      <c r="J2349" t="str">
        <f t="shared" si="182"/>
        <v>2</v>
      </c>
      <c r="K2349" t="str">
        <f t="shared" si="183"/>
        <v>0</v>
      </c>
      <c r="L2349" t="str">
        <f t="shared" si="184"/>
        <v>Deportivo AlavÃ©s</v>
      </c>
      <c r="M2349" t="str">
        <f>IF(COUNTIF($A$2:A2349,A2349)=1,
     VLOOKUP(A2349,Season_Winners!A:B,2,FALSE),
     "")</f>
        <v/>
      </c>
    </row>
    <row r="2350" spans="1:13" hidden="1" x14ac:dyDescent="0.3">
      <c r="A2350" t="s">
        <v>878</v>
      </c>
      <c r="B2350">
        <v>7</v>
      </c>
      <c r="C2350" t="s">
        <v>902</v>
      </c>
      <c r="D2350" t="str">
        <f t="shared" si="180"/>
        <v>29.09.2019</v>
      </c>
      <c r="E2350" s="1">
        <v>0.77083333333333337</v>
      </c>
      <c r="F2350" t="s">
        <v>21</v>
      </c>
      <c r="G2350" t="s">
        <v>23</v>
      </c>
      <c r="H2350" s="2">
        <v>46023</v>
      </c>
      <c r="I2350" s="3" t="str">
        <f t="shared" si="181"/>
        <v/>
      </c>
      <c r="J2350" t="str">
        <f t="shared" si="182"/>
        <v/>
      </c>
      <c r="K2350" t="str">
        <f t="shared" si="183"/>
        <v/>
      </c>
      <c r="L2350" t="str">
        <f t="shared" si="184"/>
        <v/>
      </c>
      <c r="M2350" t="str">
        <f>IF(COUNTIF($A$2:A2350,A2350)=1,
     VLOOKUP(A2350,Season_Winners!A:B,2,FALSE),
     "")</f>
        <v/>
      </c>
    </row>
    <row r="2351" spans="1:13" hidden="1" x14ac:dyDescent="0.3">
      <c r="A2351" t="s">
        <v>878</v>
      </c>
      <c r="B2351">
        <v>7</v>
      </c>
      <c r="C2351" t="s">
        <v>902</v>
      </c>
      <c r="D2351" t="str">
        <f t="shared" si="180"/>
        <v>29.09.2019</v>
      </c>
      <c r="E2351" s="1">
        <v>0.875</v>
      </c>
      <c r="F2351" t="s">
        <v>27</v>
      </c>
      <c r="G2351" t="s">
        <v>10</v>
      </c>
      <c r="H2351" s="2">
        <v>46056</v>
      </c>
      <c r="I2351" s="3" t="str">
        <f t="shared" si="181"/>
        <v/>
      </c>
      <c r="J2351" t="str">
        <f t="shared" si="182"/>
        <v/>
      </c>
      <c r="K2351" t="str">
        <f t="shared" si="183"/>
        <v/>
      </c>
      <c r="L2351" t="str">
        <f t="shared" si="184"/>
        <v/>
      </c>
      <c r="M2351" t="str">
        <f>IF(COUNTIF($A$2:A2351,A2351)=1,
     VLOOKUP(A2351,Season_Winners!A:B,2,FALSE),
     "")</f>
        <v/>
      </c>
    </row>
    <row r="2352" spans="1:13" hidden="1" x14ac:dyDescent="0.3">
      <c r="A2352" t="s">
        <v>878</v>
      </c>
      <c r="B2352">
        <v>8</v>
      </c>
      <c r="C2352" t="s">
        <v>903</v>
      </c>
      <c r="D2352" t="str">
        <f t="shared" si="180"/>
        <v>04.10.2019</v>
      </c>
      <c r="E2352" s="1">
        <v>0.875</v>
      </c>
      <c r="F2352" t="s">
        <v>26</v>
      </c>
      <c r="G2352" t="s">
        <v>187</v>
      </c>
      <c r="H2352" s="2">
        <v>46023</v>
      </c>
      <c r="I2352" s="3" t="str">
        <f t="shared" si="181"/>
        <v/>
      </c>
      <c r="J2352" t="str">
        <f t="shared" si="182"/>
        <v/>
      </c>
      <c r="K2352" t="str">
        <f t="shared" si="183"/>
        <v/>
      </c>
      <c r="L2352" t="str">
        <f t="shared" si="184"/>
        <v/>
      </c>
      <c r="M2352" t="str">
        <f>IF(COUNTIF($A$2:A2352,A2352)=1,
     VLOOKUP(A2352,Season_Winners!A:B,2,FALSE),
     "")</f>
        <v/>
      </c>
    </row>
    <row r="2353" spans="1:13" hidden="1" x14ac:dyDescent="0.3">
      <c r="A2353" t="s">
        <v>878</v>
      </c>
      <c r="B2353">
        <v>8</v>
      </c>
      <c r="C2353" t="s">
        <v>904</v>
      </c>
      <c r="D2353" t="str">
        <f t="shared" si="180"/>
        <v>05.10.2019</v>
      </c>
      <c r="E2353" s="1">
        <v>0.54166666666666663</v>
      </c>
      <c r="F2353" t="s">
        <v>466</v>
      </c>
      <c r="G2353" t="s">
        <v>21</v>
      </c>
      <c r="H2353" s="2">
        <v>46054</v>
      </c>
      <c r="I2353" s="3" t="str">
        <f t="shared" si="181"/>
        <v/>
      </c>
      <c r="J2353" t="str">
        <f t="shared" si="182"/>
        <v/>
      </c>
      <c r="K2353" t="str">
        <f t="shared" si="183"/>
        <v/>
      </c>
      <c r="L2353" t="str">
        <f t="shared" si="184"/>
        <v/>
      </c>
      <c r="M2353" t="str">
        <f>IF(COUNTIF($A$2:A2353,A2353)=1,
     VLOOKUP(A2353,Season_Winners!A:B,2,FALSE),
     "")</f>
        <v/>
      </c>
    </row>
    <row r="2354" spans="1:13" hidden="1" x14ac:dyDescent="0.3">
      <c r="A2354" t="s">
        <v>878</v>
      </c>
      <c r="B2354">
        <v>8</v>
      </c>
      <c r="C2354" t="s">
        <v>904</v>
      </c>
      <c r="D2354" t="str">
        <f t="shared" si="180"/>
        <v>05.10.2019</v>
      </c>
      <c r="E2354" s="1">
        <v>0.66666666666666663</v>
      </c>
      <c r="F2354" t="s">
        <v>25</v>
      </c>
      <c r="G2354" t="s">
        <v>24</v>
      </c>
      <c r="H2354" s="2">
        <v>46057</v>
      </c>
      <c r="I2354" s="3" t="str">
        <f t="shared" si="181"/>
        <v/>
      </c>
      <c r="J2354" t="str">
        <f t="shared" si="182"/>
        <v/>
      </c>
      <c r="K2354" t="str">
        <f t="shared" si="183"/>
        <v/>
      </c>
      <c r="L2354" t="str">
        <f t="shared" si="184"/>
        <v/>
      </c>
      <c r="M2354" t="str">
        <f>IF(COUNTIF($A$2:A2354,A2354)=1,
     VLOOKUP(A2354,Season_Winners!A:B,2,FALSE),
     "")</f>
        <v/>
      </c>
    </row>
    <row r="2355" spans="1:13" hidden="1" x14ac:dyDescent="0.3">
      <c r="A2355" t="s">
        <v>878</v>
      </c>
      <c r="B2355">
        <v>8</v>
      </c>
      <c r="C2355" t="s">
        <v>904</v>
      </c>
      <c r="D2355" t="str">
        <f t="shared" si="180"/>
        <v>05.10.2019</v>
      </c>
      <c r="E2355" s="1">
        <v>0.77083333333333337</v>
      </c>
      <c r="F2355" t="s">
        <v>16</v>
      </c>
      <c r="G2355" t="s">
        <v>464</v>
      </c>
      <c r="H2355" s="2">
        <v>46024</v>
      </c>
      <c r="I2355" s="3" t="str">
        <f t="shared" si="181"/>
        <v/>
      </c>
      <c r="J2355" t="str">
        <f t="shared" si="182"/>
        <v/>
      </c>
      <c r="K2355" t="str">
        <f t="shared" si="183"/>
        <v/>
      </c>
      <c r="L2355" t="str">
        <f t="shared" si="184"/>
        <v/>
      </c>
      <c r="M2355" t="str">
        <f>IF(COUNTIF($A$2:A2355,A2355)=1,
     VLOOKUP(A2355,Season_Winners!A:B,2,FALSE),
     "")</f>
        <v/>
      </c>
    </row>
    <row r="2356" spans="1:13" hidden="1" x14ac:dyDescent="0.3">
      <c r="A2356" t="s">
        <v>878</v>
      </c>
      <c r="B2356">
        <v>8</v>
      </c>
      <c r="C2356" t="s">
        <v>904</v>
      </c>
      <c r="D2356" t="str">
        <f t="shared" si="180"/>
        <v>05.10.2019</v>
      </c>
      <c r="E2356" s="1">
        <v>0.875</v>
      </c>
      <c r="F2356" t="s">
        <v>23</v>
      </c>
      <c r="G2356" t="s">
        <v>34</v>
      </c>
      <c r="H2356" s="2">
        <v>46024</v>
      </c>
      <c r="I2356" s="3" t="str">
        <f t="shared" si="181"/>
        <v/>
      </c>
      <c r="J2356" t="str">
        <f t="shared" si="182"/>
        <v/>
      </c>
      <c r="K2356" t="str">
        <f t="shared" si="183"/>
        <v/>
      </c>
      <c r="L2356" t="str">
        <f t="shared" si="184"/>
        <v/>
      </c>
      <c r="M2356" t="str">
        <f>IF(COUNTIF($A$2:A2356,A2356)=1,
     VLOOKUP(A2356,Season_Winners!A:B,2,FALSE),
     "")</f>
        <v/>
      </c>
    </row>
    <row r="2357" spans="1:13" x14ac:dyDescent="0.3">
      <c r="A2357" t="s">
        <v>878</v>
      </c>
      <c r="B2357">
        <v>8</v>
      </c>
      <c r="C2357" t="s">
        <v>905</v>
      </c>
      <c r="D2357" t="str">
        <f t="shared" si="180"/>
        <v>06.10.2019</v>
      </c>
      <c r="E2357" s="1">
        <v>0.5</v>
      </c>
      <c r="F2357" t="s">
        <v>881</v>
      </c>
      <c r="G2357" t="s">
        <v>36</v>
      </c>
      <c r="H2357" t="s">
        <v>12</v>
      </c>
      <c r="I2357" t="str">
        <f t="shared" si="181"/>
        <v>2-0</v>
      </c>
      <c r="J2357" t="str">
        <f t="shared" si="182"/>
        <v>2</v>
      </c>
      <c r="K2357" t="str">
        <f t="shared" si="183"/>
        <v>0</v>
      </c>
      <c r="L2357" t="str">
        <f t="shared" si="184"/>
        <v>RCD Mallorca</v>
      </c>
      <c r="M2357" t="str">
        <f>IF(COUNTIF($A$2:A2357,A2357)=1,
     VLOOKUP(A2357,Season_Winners!A:B,2,FALSE),
     "")</f>
        <v/>
      </c>
    </row>
    <row r="2358" spans="1:13" x14ac:dyDescent="0.3">
      <c r="A2358" t="s">
        <v>878</v>
      </c>
      <c r="B2358">
        <v>8</v>
      </c>
      <c r="C2358" t="s">
        <v>905</v>
      </c>
      <c r="D2358" t="str">
        <f t="shared" si="180"/>
        <v>06.10.2019</v>
      </c>
      <c r="E2358" s="1">
        <v>0.58333333333333337</v>
      </c>
      <c r="F2358" t="s">
        <v>35</v>
      </c>
      <c r="G2358" t="s">
        <v>15</v>
      </c>
      <c r="H2358" t="s">
        <v>18</v>
      </c>
      <c r="I2358" t="str">
        <f t="shared" si="181"/>
        <v>1-0</v>
      </c>
      <c r="J2358" t="str">
        <f t="shared" si="182"/>
        <v>1</v>
      </c>
      <c r="K2358" t="str">
        <f t="shared" si="183"/>
        <v>0</v>
      </c>
      <c r="L2358" t="str">
        <f t="shared" si="184"/>
        <v>RC Celta</v>
      </c>
      <c r="M2358" t="str">
        <f>IF(COUNTIF($A$2:A2358,A2358)=1,
     VLOOKUP(A2358,Season_Winners!A:B,2,FALSE),
     "")</f>
        <v/>
      </c>
    </row>
    <row r="2359" spans="1:13" x14ac:dyDescent="0.3">
      <c r="A2359" t="s">
        <v>878</v>
      </c>
      <c r="B2359">
        <v>8</v>
      </c>
      <c r="C2359" t="s">
        <v>905</v>
      </c>
      <c r="D2359" t="str">
        <f t="shared" si="180"/>
        <v>06.10.2019</v>
      </c>
      <c r="E2359" s="1">
        <v>0.66666666666666663</v>
      </c>
      <c r="F2359" t="s">
        <v>14</v>
      </c>
      <c r="G2359" t="s">
        <v>1425</v>
      </c>
      <c r="H2359" t="s">
        <v>41</v>
      </c>
      <c r="I2359" t="str">
        <f t="shared" si="181"/>
        <v>0-0</v>
      </c>
      <c r="J2359" t="str">
        <f t="shared" si="182"/>
        <v>0</v>
      </c>
      <c r="K2359" t="str">
        <f t="shared" si="183"/>
        <v>0</v>
      </c>
      <c r="L2359" t="str">
        <f t="shared" si="184"/>
        <v>Draw</v>
      </c>
      <c r="M2359" t="str">
        <f>IF(COUNTIF($A$2:A2359,A2359)=1,
     VLOOKUP(A2359,Season_Winners!A:B,2,FALSE),
     "")</f>
        <v/>
      </c>
    </row>
    <row r="2360" spans="1:13" hidden="1" x14ac:dyDescent="0.3">
      <c r="A2360" t="s">
        <v>878</v>
      </c>
      <c r="B2360">
        <v>8</v>
      </c>
      <c r="C2360" t="s">
        <v>905</v>
      </c>
      <c r="D2360" t="str">
        <f t="shared" si="180"/>
        <v>06.10.2019</v>
      </c>
      <c r="E2360" s="1">
        <v>0.77083333333333337</v>
      </c>
      <c r="F2360" t="s">
        <v>10</v>
      </c>
      <c r="G2360" t="s">
        <v>11</v>
      </c>
      <c r="H2360" s="2">
        <v>46054</v>
      </c>
      <c r="I2360" s="3" t="str">
        <f t="shared" si="181"/>
        <v/>
      </c>
      <c r="J2360" t="str">
        <f t="shared" si="182"/>
        <v/>
      </c>
      <c r="K2360" t="str">
        <f t="shared" si="183"/>
        <v/>
      </c>
      <c r="L2360" t="str">
        <f t="shared" si="184"/>
        <v/>
      </c>
      <c r="M2360" t="str">
        <f>IF(COUNTIF($A$2:A2360,A2360)=1,
     VLOOKUP(A2360,Season_Winners!A:B,2,FALSE),
     "")</f>
        <v/>
      </c>
    </row>
    <row r="2361" spans="1:13" x14ac:dyDescent="0.3">
      <c r="A2361" t="s">
        <v>878</v>
      </c>
      <c r="B2361">
        <v>8</v>
      </c>
      <c r="C2361" t="s">
        <v>905</v>
      </c>
      <c r="D2361" t="str">
        <f t="shared" si="180"/>
        <v>06.10.2019</v>
      </c>
      <c r="E2361" s="1">
        <v>0.875</v>
      </c>
      <c r="F2361" t="s">
        <v>20</v>
      </c>
      <c r="G2361" t="s">
        <v>27</v>
      </c>
      <c r="H2361" t="s">
        <v>88</v>
      </c>
      <c r="I2361" t="str">
        <f t="shared" si="181"/>
        <v>4-0</v>
      </c>
      <c r="J2361" t="str">
        <f t="shared" si="182"/>
        <v>4</v>
      </c>
      <c r="K2361" t="str">
        <f t="shared" si="183"/>
        <v>0</v>
      </c>
      <c r="L2361" t="str">
        <f t="shared" si="184"/>
        <v>FC Barcelona</v>
      </c>
      <c r="M2361" t="str">
        <f>IF(COUNTIF($A$2:A2361,A2361)=1,
     VLOOKUP(A2361,Season_Winners!A:B,2,FALSE),
     "")</f>
        <v/>
      </c>
    </row>
    <row r="2362" spans="1:13" x14ac:dyDescent="0.3">
      <c r="A2362" t="s">
        <v>878</v>
      </c>
      <c r="B2362">
        <v>9</v>
      </c>
      <c r="C2362" t="s">
        <v>906</v>
      </c>
      <c r="D2362" t="str">
        <f t="shared" si="180"/>
        <v>18.10.2019</v>
      </c>
      <c r="E2362" s="1">
        <v>0.875</v>
      </c>
      <c r="F2362" t="s">
        <v>24</v>
      </c>
      <c r="G2362" t="s">
        <v>23</v>
      </c>
      <c r="H2362" t="s">
        <v>18</v>
      </c>
      <c r="I2362" t="str">
        <f t="shared" si="181"/>
        <v>1-0</v>
      </c>
      <c r="J2362" t="str">
        <f t="shared" si="182"/>
        <v>1</v>
      </c>
      <c r="K2362" t="str">
        <f t="shared" si="183"/>
        <v>0</v>
      </c>
      <c r="L2362" t="str">
        <f t="shared" si="184"/>
        <v>Granada CF</v>
      </c>
      <c r="M2362" t="str">
        <f>IF(COUNTIF($A$2:A2362,A2362)=1,
     VLOOKUP(A2362,Season_Winners!A:B,2,FALSE),
     "")</f>
        <v/>
      </c>
    </row>
    <row r="2363" spans="1:13" x14ac:dyDescent="0.3">
      <c r="A2363" t="s">
        <v>878</v>
      </c>
      <c r="B2363">
        <v>9</v>
      </c>
      <c r="C2363" t="s">
        <v>907</v>
      </c>
      <c r="D2363" t="str">
        <f t="shared" si="180"/>
        <v>19.10.2019</v>
      </c>
      <c r="E2363" s="1">
        <v>0.54166666666666663</v>
      </c>
      <c r="F2363" t="s">
        <v>187</v>
      </c>
      <c r="G2363" t="s">
        <v>20</v>
      </c>
      <c r="H2363" t="s">
        <v>46</v>
      </c>
      <c r="I2363" t="str">
        <f t="shared" si="181"/>
        <v>0-3</v>
      </c>
      <c r="J2363" t="str">
        <f t="shared" si="182"/>
        <v>0</v>
      </c>
      <c r="K2363" t="str">
        <f t="shared" si="183"/>
        <v>3</v>
      </c>
      <c r="L2363" t="str">
        <f t="shared" si="184"/>
        <v>FC Barcelona</v>
      </c>
      <c r="M2363" t="str">
        <f>IF(COUNTIF($A$2:A2363,A2363)=1,
     VLOOKUP(A2363,Season_Winners!A:B,2,FALSE),
     "")</f>
        <v/>
      </c>
    </row>
    <row r="2364" spans="1:13" hidden="1" x14ac:dyDescent="0.3">
      <c r="A2364" t="s">
        <v>878</v>
      </c>
      <c r="B2364">
        <v>9</v>
      </c>
      <c r="C2364" t="s">
        <v>907</v>
      </c>
      <c r="D2364" t="str">
        <f t="shared" si="180"/>
        <v>19.10.2019</v>
      </c>
      <c r="E2364" s="1">
        <v>0.66666666666666663</v>
      </c>
      <c r="F2364" t="s">
        <v>28</v>
      </c>
      <c r="G2364" t="s">
        <v>16</v>
      </c>
      <c r="H2364" s="2">
        <v>46023</v>
      </c>
      <c r="I2364" s="3" t="str">
        <f t="shared" si="181"/>
        <v/>
      </c>
      <c r="J2364" t="str">
        <f t="shared" si="182"/>
        <v/>
      </c>
      <c r="K2364" t="str">
        <f t="shared" si="183"/>
        <v/>
      </c>
      <c r="L2364" t="str">
        <f t="shared" si="184"/>
        <v/>
      </c>
      <c r="M2364" t="str">
        <f>IF(COUNTIF($A$2:A2364,A2364)=1,
     VLOOKUP(A2364,Season_Winners!A:B,2,FALSE),
     "")</f>
        <v/>
      </c>
    </row>
    <row r="2365" spans="1:13" x14ac:dyDescent="0.3">
      <c r="A2365" t="s">
        <v>878</v>
      </c>
      <c r="B2365">
        <v>9</v>
      </c>
      <c r="C2365" t="s">
        <v>907</v>
      </c>
      <c r="D2365" t="str">
        <f t="shared" si="180"/>
        <v>19.10.2019</v>
      </c>
      <c r="E2365" s="1">
        <v>0.77083333333333337</v>
      </c>
      <c r="F2365" t="s">
        <v>11</v>
      </c>
      <c r="G2365" t="s">
        <v>466</v>
      </c>
      <c r="H2365" t="s">
        <v>12</v>
      </c>
      <c r="I2365" t="str">
        <f t="shared" si="181"/>
        <v>2-0</v>
      </c>
      <c r="J2365" t="str">
        <f t="shared" si="182"/>
        <v>2</v>
      </c>
      <c r="K2365" t="str">
        <f t="shared" si="183"/>
        <v>0</v>
      </c>
      <c r="L2365" t="str">
        <f t="shared" si="184"/>
        <v>Getafe CF</v>
      </c>
      <c r="M2365" t="str">
        <f>IF(COUNTIF($A$2:A2365,A2365)=1,
     VLOOKUP(A2365,Season_Winners!A:B,2,FALSE),
     "")</f>
        <v/>
      </c>
    </row>
    <row r="2366" spans="1:13" x14ac:dyDescent="0.3">
      <c r="A2366" t="s">
        <v>878</v>
      </c>
      <c r="B2366">
        <v>9</v>
      </c>
      <c r="C2366" t="s">
        <v>907</v>
      </c>
      <c r="D2366" t="str">
        <f t="shared" si="180"/>
        <v>19.10.2019</v>
      </c>
      <c r="E2366" s="1">
        <v>0.875</v>
      </c>
      <c r="F2366" t="s">
        <v>881</v>
      </c>
      <c r="G2366" t="s">
        <v>25</v>
      </c>
      <c r="H2366" t="s">
        <v>18</v>
      </c>
      <c r="I2366" t="str">
        <f t="shared" si="181"/>
        <v>1-0</v>
      </c>
      <c r="J2366" t="str">
        <f t="shared" si="182"/>
        <v>1</v>
      </c>
      <c r="K2366" t="str">
        <f t="shared" si="183"/>
        <v>0</v>
      </c>
      <c r="L2366" t="str">
        <f t="shared" si="184"/>
        <v>RCD Mallorca</v>
      </c>
      <c r="M2366" t="str">
        <f>IF(COUNTIF($A$2:A2366,A2366)=1,
     VLOOKUP(A2366,Season_Winners!A:B,2,FALSE),
     "")</f>
        <v/>
      </c>
    </row>
    <row r="2367" spans="1:13" x14ac:dyDescent="0.3">
      <c r="A2367" t="s">
        <v>878</v>
      </c>
      <c r="B2367">
        <v>9</v>
      </c>
      <c r="C2367" t="s">
        <v>908</v>
      </c>
      <c r="D2367" t="str">
        <f t="shared" si="180"/>
        <v>20.10.2019</v>
      </c>
      <c r="E2367" s="1">
        <v>0.5</v>
      </c>
      <c r="F2367" t="s">
        <v>464</v>
      </c>
      <c r="G2367" t="s">
        <v>35</v>
      </c>
      <c r="H2367" t="s">
        <v>12</v>
      </c>
      <c r="I2367" t="str">
        <f t="shared" si="181"/>
        <v>2-0</v>
      </c>
      <c r="J2367" t="str">
        <f t="shared" si="182"/>
        <v>2</v>
      </c>
      <c r="K2367" t="str">
        <f t="shared" si="183"/>
        <v>0</v>
      </c>
      <c r="L2367" t="str">
        <f t="shared" si="184"/>
        <v>Deportivo AlavÃ©s</v>
      </c>
      <c r="M2367" t="str">
        <f>IF(COUNTIF($A$2:A2367,A2367)=1,
     VLOOKUP(A2367,Season_Winners!A:B,2,FALSE),
     "")</f>
        <v/>
      </c>
    </row>
    <row r="2368" spans="1:13" hidden="1" x14ac:dyDescent="0.3">
      <c r="A2368" t="s">
        <v>878</v>
      </c>
      <c r="B2368">
        <v>9</v>
      </c>
      <c r="C2368" t="s">
        <v>908</v>
      </c>
      <c r="D2368" t="str">
        <f t="shared" si="180"/>
        <v>20.10.2019</v>
      </c>
      <c r="E2368" s="1">
        <v>0.58333333333333337</v>
      </c>
      <c r="F2368" t="s">
        <v>10</v>
      </c>
      <c r="G2368" t="s">
        <v>26</v>
      </c>
      <c r="H2368" s="2">
        <v>46025</v>
      </c>
      <c r="I2368" s="3" t="str">
        <f t="shared" si="181"/>
        <v/>
      </c>
      <c r="J2368" t="str">
        <f t="shared" si="182"/>
        <v/>
      </c>
      <c r="K2368" t="str">
        <f t="shared" si="183"/>
        <v/>
      </c>
      <c r="L2368" t="str">
        <f t="shared" si="184"/>
        <v/>
      </c>
      <c r="M2368" t="str">
        <f>IF(COUNTIF($A$2:A2368,A2368)=1,
     VLOOKUP(A2368,Season_Winners!A:B,2,FALSE),
     "")</f>
        <v/>
      </c>
    </row>
    <row r="2369" spans="1:13" x14ac:dyDescent="0.3">
      <c r="A2369" t="s">
        <v>878</v>
      </c>
      <c r="B2369">
        <v>9</v>
      </c>
      <c r="C2369" t="s">
        <v>908</v>
      </c>
      <c r="D2369" t="str">
        <f t="shared" si="180"/>
        <v>20.10.2019</v>
      </c>
      <c r="E2369" s="1">
        <v>0.66666666666666663</v>
      </c>
      <c r="F2369" t="s">
        <v>36</v>
      </c>
      <c r="G2369" t="s">
        <v>34</v>
      </c>
      <c r="H2369" t="s">
        <v>42</v>
      </c>
      <c r="I2369" t="str">
        <f t="shared" si="181"/>
        <v>0-1</v>
      </c>
      <c r="J2369" t="str">
        <f t="shared" si="182"/>
        <v>0</v>
      </c>
      <c r="K2369" t="str">
        <f t="shared" si="183"/>
        <v>1</v>
      </c>
      <c r="L2369" t="str">
        <f t="shared" si="184"/>
        <v>Villarreal CF</v>
      </c>
      <c r="M2369" t="str">
        <f>IF(COUNTIF($A$2:A2369,A2369)=1,
     VLOOKUP(A2369,Season_Winners!A:B,2,FALSE),
     "")</f>
        <v/>
      </c>
    </row>
    <row r="2370" spans="1:13" hidden="1" x14ac:dyDescent="0.3">
      <c r="A2370" t="s">
        <v>878</v>
      </c>
      <c r="B2370">
        <v>9</v>
      </c>
      <c r="C2370" t="s">
        <v>908</v>
      </c>
      <c r="D2370" t="str">
        <f t="shared" ref="D2370:D2433" si="185">RIGHT(C2370,10)</f>
        <v>20.10.2019</v>
      </c>
      <c r="E2370" s="1">
        <v>0.77083333333333337</v>
      </c>
      <c r="F2370" t="s">
        <v>15</v>
      </c>
      <c r="G2370" t="s">
        <v>14</v>
      </c>
      <c r="H2370" s="2">
        <v>46023</v>
      </c>
      <c r="I2370" s="3" t="str">
        <f t="shared" ref="I2370:I2433" si="186">IF(ISNUMBER(SEARCH("-",H2370)),H2370,"")</f>
        <v/>
      </c>
      <c r="J2370" t="str">
        <f t="shared" ref="J2370:J2433" si="187">IF(I2370="","",LEFT(I2370,FIND("-",I2370)-1))</f>
        <v/>
      </c>
      <c r="K2370" t="str">
        <f t="shared" ref="K2370:K2433" si="188">IF(I2370="","",RIGHT(I2370,LEN(I2370)-FIND("-",I2370)))</f>
        <v/>
      </c>
      <c r="L2370" t="str">
        <f t="shared" ref="L2370:L2433" si="189">IF(I2370="","",IF(J2370&gt;K2370,F2370,IF(K2370&gt;J2370,G2370,"Draw")))</f>
        <v/>
      </c>
      <c r="M2370" t="str">
        <f>IF(COUNTIF($A$2:A2370,A2370)=1,
     VLOOKUP(A2370,Season_Winners!A:B,2,FALSE),
     "")</f>
        <v/>
      </c>
    </row>
    <row r="2371" spans="1:13" x14ac:dyDescent="0.3">
      <c r="A2371" t="s">
        <v>878</v>
      </c>
      <c r="B2371">
        <v>9</v>
      </c>
      <c r="C2371" t="s">
        <v>908</v>
      </c>
      <c r="D2371" t="str">
        <f t="shared" si="185"/>
        <v>20.10.2019</v>
      </c>
      <c r="E2371" s="1">
        <v>0.875</v>
      </c>
      <c r="F2371" t="s">
        <v>27</v>
      </c>
      <c r="G2371" t="s">
        <v>21</v>
      </c>
      <c r="H2371" t="s">
        <v>18</v>
      </c>
      <c r="I2371" t="str">
        <f t="shared" si="186"/>
        <v>1-0</v>
      </c>
      <c r="J2371" t="str">
        <f t="shared" si="187"/>
        <v>1</v>
      </c>
      <c r="K2371" t="str">
        <f t="shared" si="188"/>
        <v>0</v>
      </c>
      <c r="L2371" t="str">
        <f t="shared" si="189"/>
        <v>Sevilla FC</v>
      </c>
      <c r="M2371" t="str">
        <f>IF(COUNTIF($A$2:A2371,A2371)=1,
     VLOOKUP(A2371,Season_Winners!A:B,2,FALSE),
     "")</f>
        <v/>
      </c>
    </row>
    <row r="2372" spans="1:13" hidden="1" x14ac:dyDescent="0.3">
      <c r="A2372" t="s">
        <v>878</v>
      </c>
      <c r="B2372">
        <v>10</v>
      </c>
      <c r="C2372" t="s">
        <v>909</v>
      </c>
      <c r="D2372" t="str">
        <f t="shared" si="185"/>
        <v>25.10.2019</v>
      </c>
      <c r="E2372" s="1">
        <v>0.875</v>
      </c>
      <c r="F2372" t="s">
        <v>34</v>
      </c>
      <c r="G2372" t="s">
        <v>464</v>
      </c>
      <c r="H2372" s="2">
        <v>46026</v>
      </c>
      <c r="I2372" s="3" t="str">
        <f t="shared" si="186"/>
        <v/>
      </c>
      <c r="J2372" t="str">
        <f t="shared" si="187"/>
        <v/>
      </c>
      <c r="K2372" t="str">
        <f t="shared" si="188"/>
        <v/>
      </c>
      <c r="L2372" t="str">
        <f t="shared" si="189"/>
        <v/>
      </c>
      <c r="M2372" t="str">
        <f>IF(COUNTIF($A$2:A2372,A2372)=1,
     VLOOKUP(A2372,Season_Winners!A:B,2,FALSE),
     "")</f>
        <v/>
      </c>
    </row>
    <row r="2373" spans="1:13" x14ac:dyDescent="0.3">
      <c r="A2373" t="s">
        <v>878</v>
      </c>
      <c r="B2373">
        <v>10</v>
      </c>
      <c r="C2373" t="s">
        <v>910</v>
      </c>
      <c r="D2373" t="str">
        <f t="shared" si="185"/>
        <v>26.10.2019</v>
      </c>
      <c r="E2373" s="1">
        <v>0.66666666666666663</v>
      </c>
      <c r="F2373" t="s">
        <v>466</v>
      </c>
      <c r="G2373" t="s">
        <v>881</v>
      </c>
      <c r="H2373" t="s">
        <v>18</v>
      </c>
      <c r="I2373" t="str">
        <f t="shared" si="186"/>
        <v>1-0</v>
      </c>
      <c r="J2373" t="str">
        <f t="shared" si="187"/>
        <v>1</v>
      </c>
      <c r="K2373" t="str">
        <f t="shared" si="188"/>
        <v>0</v>
      </c>
      <c r="L2373" t="str">
        <f t="shared" si="189"/>
        <v>CD LeganÃ©s</v>
      </c>
      <c r="M2373" t="str">
        <f>IF(COUNTIF($A$2:A2373,A2373)=1,
     VLOOKUP(A2373,Season_Winners!A:B,2,FALSE),
     "")</f>
        <v/>
      </c>
    </row>
    <row r="2374" spans="1:13" x14ac:dyDescent="0.3">
      <c r="A2374" t="s">
        <v>878</v>
      </c>
      <c r="B2374">
        <v>10</v>
      </c>
      <c r="C2374" t="s">
        <v>910</v>
      </c>
      <c r="D2374" t="str">
        <f t="shared" si="185"/>
        <v>26.10.2019</v>
      </c>
      <c r="E2374" s="1">
        <v>0.77083333333333337</v>
      </c>
      <c r="F2374" t="s">
        <v>14</v>
      </c>
      <c r="G2374" t="s">
        <v>187</v>
      </c>
      <c r="H2374" t="s">
        <v>12</v>
      </c>
      <c r="I2374" t="str">
        <f t="shared" si="186"/>
        <v>2-0</v>
      </c>
      <c r="J2374" t="str">
        <f t="shared" si="187"/>
        <v>2</v>
      </c>
      <c r="K2374" t="str">
        <f t="shared" si="188"/>
        <v>0</v>
      </c>
      <c r="L2374" t="str">
        <f t="shared" si="189"/>
        <v>Real Valladolid CF</v>
      </c>
      <c r="M2374" t="str">
        <f>IF(COUNTIF($A$2:A2374,A2374)=1,
     VLOOKUP(A2374,Season_Winners!A:B,2,FALSE),
     "")</f>
        <v/>
      </c>
    </row>
    <row r="2375" spans="1:13" x14ac:dyDescent="0.3">
      <c r="A2375" t="s">
        <v>878</v>
      </c>
      <c r="B2375">
        <v>10</v>
      </c>
      <c r="C2375" t="s">
        <v>910</v>
      </c>
      <c r="D2375" t="str">
        <f t="shared" si="185"/>
        <v>26.10.2019</v>
      </c>
      <c r="E2375" s="1">
        <v>0.875</v>
      </c>
      <c r="F2375" t="s">
        <v>1425</v>
      </c>
      <c r="G2375" t="s">
        <v>15</v>
      </c>
      <c r="H2375" t="s">
        <v>12</v>
      </c>
      <c r="I2375" t="str">
        <f t="shared" si="186"/>
        <v>2-0</v>
      </c>
      <c r="J2375" t="str">
        <f t="shared" si="187"/>
        <v>2</v>
      </c>
      <c r="K2375" t="str">
        <f t="shared" si="188"/>
        <v>0</v>
      </c>
      <c r="L2375" t="str">
        <f t="shared" si="189"/>
        <v>Atlético de Madrid</v>
      </c>
      <c r="M2375" t="str">
        <f>IF(COUNTIF($A$2:A2375,A2375)=1,
     VLOOKUP(A2375,Season_Winners!A:B,2,FALSE),
     "")</f>
        <v/>
      </c>
    </row>
    <row r="2376" spans="1:13" x14ac:dyDescent="0.3">
      <c r="A2376" t="s">
        <v>878</v>
      </c>
      <c r="B2376">
        <v>10</v>
      </c>
      <c r="C2376" t="s">
        <v>911</v>
      </c>
      <c r="D2376" t="str">
        <f t="shared" si="185"/>
        <v>27.10.2019</v>
      </c>
      <c r="E2376" s="1">
        <v>0.5</v>
      </c>
      <c r="F2376" t="s">
        <v>35</v>
      </c>
      <c r="G2376" t="s">
        <v>10</v>
      </c>
      <c r="H2376" t="s">
        <v>42</v>
      </c>
      <c r="I2376" t="str">
        <f t="shared" si="186"/>
        <v>0-1</v>
      </c>
      <c r="J2376" t="str">
        <f t="shared" si="187"/>
        <v>0</v>
      </c>
      <c r="K2376" t="str">
        <f t="shared" si="188"/>
        <v>1</v>
      </c>
      <c r="L2376" t="str">
        <f t="shared" si="189"/>
        <v>Real Sociedad</v>
      </c>
      <c r="M2376" t="str">
        <f>IF(COUNTIF($A$2:A2376,A2376)=1,
     VLOOKUP(A2376,Season_Winners!A:B,2,FALSE),
     "")</f>
        <v/>
      </c>
    </row>
    <row r="2377" spans="1:13" x14ac:dyDescent="0.3">
      <c r="A2377" t="s">
        <v>878</v>
      </c>
      <c r="B2377">
        <v>10</v>
      </c>
      <c r="C2377" t="s">
        <v>911</v>
      </c>
      <c r="D2377" t="str">
        <f t="shared" si="185"/>
        <v>27.10.2019</v>
      </c>
      <c r="E2377" s="1">
        <v>0.58333333333333337</v>
      </c>
      <c r="F2377" t="s">
        <v>24</v>
      </c>
      <c r="G2377" t="s">
        <v>26</v>
      </c>
      <c r="H2377" t="s">
        <v>18</v>
      </c>
      <c r="I2377" t="str">
        <f t="shared" si="186"/>
        <v>1-0</v>
      </c>
      <c r="J2377" t="str">
        <f t="shared" si="187"/>
        <v>1</v>
      </c>
      <c r="K2377" t="str">
        <f t="shared" si="188"/>
        <v>0</v>
      </c>
      <c r="L2377" t="str">
        <f t="shared" si="189"/>
        <v>Granada CF</v>
      </c>
      <c r="M2377" t="str">
        <f>IF(COUNTIF($A$2:A2377,A2377)=1,
     VLOOKUP(A2377,Season_Winners!A:B,2,FALSE),
     "")</f>
        <v/>
      </c>
    </row>
    <row r="2378" spans="1:13" x14ac:dyDescent="0.3">
      <c r="A2378" t="s">
        <v>878</v>
      </c>
      <c r="B2378">
        <v>10</v>
      </c>
      <c r="C2378" t="s">
        <v>911</v>
      </c>
      <c r="D2378" t="str">
        <f t="shared" si="185"/>
        <v>27.10.2019</v>
      </c>
      <c r="E2378" s="1">
        <v>0.66666666666666663</v>
      </c>
      <c r="F2378" t="s">
        <v>21</v>
      </c>
      <c r="G2378" t="s">
        <v>36</v>
      </c>
      <c r="H2378" t="s">
        <v>42</v>
      </c>
      <c r="I2378" t="str">
        <f t="shared" si="186"/>
        <v>0-1</v>
      </c>
      <c r="J2378" t="str">
        <f t="shared" si="187"/>
        <v>0</v>
      </c>
      <c r="K2378" t="str">
        <f t="shared" si="188"/>
        <v>1</v>
      </c>
      <c r="L2378" t="str">
        <f t="shared" si="189"/>
        <v>RCD Espanyol de Barcelona</v>
      </c>
      <c r="M2378" t="str">
        <f>IF(COUNTIF($A$2:A2378,A2378)=1,
     VLOOKUP(A2378,Season_Winners!A:B,2,FALSE),
     "")</f>
        <v/>
      </c>
    </row>
    <row r="2379" spans="1:13" x14ac:dyDescent="0.3">
      <c r="A2379" t="s">
        <v>878</v>
      </c>
      <c r="B2379">
        <v>10</v>
      </c>
      <c r="C2379" t="s">
        <v>911</v>
      </c>
      <c r="D2379" t="str">
        <f t="shared" si="185"/>
        <v>27.10.2019</v>
      </c>
      <c r="E2379" s="1">
        <v>0.77083333333333337</v>
      </c>
      <c r="F2379" t="s">
        <v>27</v>
      </c>
      <c r="G2379" t="s">
        <v>11</v>
      </c>
      <c r="H2379" t="s">
        <v>12</v>
      </c>
      <c r="I2379" t="str">
        <f t="shared" si="186"/>
        <v>2-0</v>
      </c>
      <c r="J2379" t="str">
        <f t="shared" si="187"/>
        <v>2</v>
      </c>
      <c r="K2379" t="str">
        <f t="shared" si="188"/>
        <v>0</v>
      </c>
      <c r="L2379" t="str">
        <f t="shared" si="189"/>
        <v>Sevilla FC</v>
      </c>
      <c r="M2379" t="str">
        <f>IF(COUNTIF($A$2:A2379,A2379)=1,
     VLOOKUP(A2379,Season_Winners!A:B,2,FALSE),
     "")</f>
        <v/>
      </c>
    </row>
    <row r="2380" spans="1:13" hidden="1" x14ac:dyDescent="0.3">
      <c r="A2380" t="s">
        <v>878</v>
      </c>
      <c r="B2380">
        <v>10</v>
      </c>
      <c r="C2380" t="s">
        <v>911</v>
      </c>
      <c r="D2380" t="str">
        <f t="shared" si="185"/>
        <v>27.10.2019</v>
      </c>
      <c r="E2380" s="1">
        <v>0.875</v>
      </c>
      <c r="F2380" t="s">
        <v>23</v>
      </c>
      <c r="G2380" t="s">
        <v>16</v>
      </c>
      <c r="H2380" s="2">
        <v>46025</v>
      </c>
      <c r="I2380" s="3" t="str">
        <f t="shared" si="186"/>
        <v/>
      </c>
      <c r="J2380" t="str">
        <f t="shared" si="187"/>
        <v/>
      </c>
      <c r="K2380" t="str">
        <f t="shared" si="188"/>
        <v/>
      </c>
      <c r="L2380" t="str">
        <f t="shared" si="189"/>
        <v/>
      </c>
      <c r="M2380" t="str">
        <f>IF(COUNTIF($A$2:A2380,A2380)=1,
     VLOOKUP(A2380,Season_Winners!A:B,2,FALSE),
     "")</f>
        <v/>
      </c>
    </row>
    <row r="2381" spans="1:13" x14ac:dyDescent="0.3">
      <c r="A2381" t="s">
        <v>878</v>
      </c>
      <c r="B2381">
        <v>10</v>
      </c>
      <c r="C2381" t="s">
        <v>912</v>
      </c>
      <c r="D2381" t="str">
        <f t="shared" si="185"/>
        <v>18.12.2019</v>
      </c>
      <c r="E2381" s="1">
        <v>0.83333333333333337</v>
      </c>
      <c r="F2381" t="s">
        <v>20</v>
      </c>
      <c r="G2381" t="s">
        <v>25</v>
      </c>
      <c r="H2381" t="s">
        <v>41</v>
      </c>
      <c r="I2381" t="str">
        <f t="shared" si="186"/>
        <v>0-0</v>
      </c>
      <c r="J2381" t="str">
        <f t="shared" si="187"/>
        <v>0</v>
      </c>
      <c r="K2381" t="str">
        <f t="shared" si="188"/>
        <v>0</v>
      </c>
      <c r="L2381" t="str">
        <f t="shared" si="189"/>
        <v>Draw</v>
      </c>
      <c r="M2381" t="str">
        <f>IF(COUNTIF($A$2:A2381,A2381)=1,
     VLOOKUP(A2381,Season_Winners!A:B,2,FALSE),
     "")</f>
        <v/>
      </c>
    </row>
    <row r="2382" spans="1:13" hidden="1" x14ac:dyDescent="0.3">
      <c r="A2382" t="s">
        <v>878</v>
      </c>
      <c r="B2382">
        <v>11</v>
      </c>
      <c r="C2382" t="s">
        <v>913</v>
      </c>
      <c r="D2382" t="str">
        <f t="shared" si="185"/>
        <v>29.10.2019</v>
      </c>
      <c r="E2382" s="1">
        <v>0.79166666666666663</v>
      </c>
      <c r="F2382" t="s">
        <v>464</v>
      </c>
      <c r="G2382" t="s">
        <v>28</v>
      </c>
      <c r="H2382" s="2">
        <v>46023</v>
      </c>
      <c r="I2382" s="3" t="str">
        <f t="shared" si="186"/>
        <v/>
      </c>
      <c r="J2382" t="str">
        <f t="shared" si="187"/>
        <v/>
      </c>
      <c r="K2382" t="str">
        <f t="shared" si="188"/>
        <v/>
      </c>
      <c r="L2382" t="str">
        <f t="shared" si="189"/>
        <v/>
      </c>
      <c r="M2382" t="str">
        <f>IF(COUNTIF($A$2:A2382,A2382)=1,
     VLOOKUP(A2382,Season_Winners!A:B,2,FALSE),
     "")</f>
        <v/>
      </c>
    </row>
    <row r="2383" spans="1:13" hidden="1" x14ac:dyDescent="0.3">
      <c r="A2383" t="s">
        <v>878</v>
      </c>
      <c r="B2383">
        <v>11</v>
      </c>
      <c r="C2383" t="s">
        <v>913</v>
      </c>
      <c r="D2383" t="str">
        <f t="shared" si="185"/>
        <v>29.10.2019</v>
      </c>
      <c r="E2383" s="1">
        <v>0.88541666666666663</v>
      </c>
      <c r="F2383" t="s">
        <v>20</v>
      </c>
      <c r="G2383" t="s">
        <v>14</v>
      </c>
      <c r="H2383" s="2">
        <v>46027</v>
      </c>
      <c r="I2383" s="3" t="str">
        <f t="shared" si="186"/>
        <v/>
      </c>
      <c r="J2383" t="str">
        <f t="shared" si="187"/>
        <v/>
      </c>
      <c r="K2383" t="str">
        <f t="shared" si="188"/>
        <v/>
      </c>
      <c r="L2383" t="str">
        <f t="shared" si="189"/>
        <v/>
      </c>
      <c r="M2383" t="str">
        <f>IF(COUNTIF($A$2:A2383,A2383)=1,
     VLOOKUP(A2383,Season_Winners!A:B,2,FALSE),
     "")</f>
        <v/>
      </c>
    </row>
    <row r="2384" spans="1:13" hidden="1" x14ac:dyDescent="0.3">
      <c r="A2384" t="s">
        <v>878</v>
      </c>
      <c r="B2384">
        <v>11</v>
      </c>
      <c r="C2384" t="s">
        <v>914</v>
      </c>
      <c r="D2384" t="str">
        <f t="shared" si="185"/>
        <v>30.10.2019</v>
      </c>
      <c r="E2384" s="1">
        <v>0.79166666666666663</v>
      </c>
      <c r="F2384" t="s">
        <v>10</v>
      </c>
      <c r="G2384" t="s">
        <v>21</v>
      </c>
      <c r="H2384" s="2">
        <v>46054</v>
      </c>
      <c r="I2384" s="3" t="str">
        <f t="shared" si="186"/>
        <v/>
      </c>
      <c r="J2384" t="str">
        <f t="shared" si="187"/>
        <v/>
      </c>
      <c r="K2384" t="str">
        <f t="shared" si="188"/>
        <v/>
      </c>
      <c r="L2384" t="str">
        <f t="shared" si="189"/>
        <v/>
      </c>
      <c r="M2384" t="str">
        <f>IF(COUNTIF($A$2:A2384,A2384)=1,
     VLOOKUP(A2384,Season_Winners!A:B,2,FALSE),
     "")</f>
        <v/>
      </c>
    </row>
    <row r="2385" spans="1:13" hidden="1" x14ac:dyDescent="0.3">
      <c r="A2385" t="s">
        <v>878</v>
      </c>
      <c r="B2385">
        <v>11</v>
      </c>
      <c r="C2385" t="s">
        <v>914</v>
      </c>
      <c r="D2385" t="str">
        <f t="shared" si="185"/>
        <v>30.10.2019</v>
      </c>
      <c r="E2385" s="1">
        <v>0.79166666666666663</v>
      </c>
      <c r="F2385" t="s">
        <v>16</v>
      </c>
      <c r="G2385" t="s">
        <v>27</v>
      </c>
      <c r="H2385" s="2">
        <v>46023</v>
      </c>
      <c r="I2385" s="3" t="str">
        <f t="shared" si="186"/>
        <v/>
      </c>
      <c r="J2385" t="str">
        <f t="shared" si="187"/>
        <v/>
      </c>
      <c r="K2385" t="str">
        <f t="shared" si="188"/>
        <v/>
      </c>
      <c r="L2385" t="str">
        <f t="shared" si="189"/>
        <v/>
      </c>
      <c r="M2385" t="str">
        <f>IF(COUNTIF($A$2:A2385,A2385)=1,
     VLOOKUP(A2385,Season_Winners!A:B,2,FALSE),
     "")</f>
        <v/>
      </c>
    </row>
    <row r="2386" spans="1:13" x14ac:dyDescent="0.3">
      <c r="A2386" t="s">
        <v>878</v>
      </c>
      <c r="B2386">
        <v>11</v>
      </c>
      <c r="C2386" t="s">
        <v>914</v>
      </c>
      <c r="D2386" t="str">
        <f t="shared" si="185"/>
        <v>30.10.2019</v>
      </c>
      <c r="E2386" s="1">
        <v>0.83333333333333337</v>
      </c>
      <c r="F2386" t="s">
        <v>15</v>
      </c>
      <c r="G2386" t="s">
        <v>36</v>
      </c>
      <c r="H2386" t="s">
        <v>32</v>
      </c>
      <c r="I2386" t="str">
        <f t="shared" si="186"/>
        <v>3-0</v>
      </c>
      <c r="J2386" t="str">
        <f t="shared" si="187"/>
        <v>3</v>
      </c>
      <c r="K2386" t="str">
        <f t="shared" si="188"/>
        <v>0</v>
      </c>
      <c r="L2386" t="str">
        <f t="shared" si="189"/>
        <v>Athletic Club</v>
      </c>
      <c r="M2386" t="str">
        <f>IF(COUNTIF($A$2:A2386,A2386)=1,
     VLOOKUP(A2386,Season_Winners!A:B,2,FALSE),
     "")</f>
        <v/>
      </c>
    </row>
    <row r="2387" spans="1:13" hidden="1" x14ac:dyDescent="0.3">
      <c r="A2387" t="s">
        <v>878</v>
      </c>
      <c r="B2387">
        <v>11</v>
      </c>
      <c r="C2387" t="s">
        <v>914</v>
      </c>
      <c r="D2387" t="str">
        <f t="shared" si="185"/>
        <v>30.10.2019</v>
      </c>
      <c r="E2387" s="1">
        <v>0.875</v>
      </c>
      <c r="F2387" t="s">
        <v>26</v>
      </c>
      <c r="G2387" t="s">
        <v>35</v>
      </c>
      <c r="H2387" s="2">
        <v>46024</v>
      </c>
      <c r="I2387" s="3" t="str">
        <f t="shared" si="186"/>
        <v/>
      </c>
      <c r="J2387" t="str">
        <f t="shared" si="187"/>
        <v/>
      </c>
      <c r="K2387" t="str">
        <f t="shared" si="188"/>
        <v/>
      </c>
      <c r="L2387" t="str">
        <f t="shared" si="189"/>
        <v/>
      </c>
      <c r="M2387" t="str">
        <f>IF(COUNTIF($A$2:A2387,A2387)=1,
     VLOOKUP(A2387,Season_Winners!A:B,2,FALSE),
     "")</f>
        <v/>
      </c>
    </row>
    <row r="2388" spans="1:13" x14ac:dyDescent="0.3">
      <c r="A2388" t="s">
        <v>878</v>
      </c>
      <c r="B2388">
        <v>11</v>
      </c>
      <c r="C2388" t="s">
        <v>914</v>
      </c>
      <c r="D2388" t="str">
        <f t="shared" si="185"/>
        <v>30.10.2019</v>
      </c>
      <c r="E2388" s="1">
        <v>0.88541666666666663</v>
      </c>
      <c r="F2388" t="s">
        <v>25</v>
      </c>
      <c r="G2388" t="s">
        <v>466</v>
      </c>
      <c r="H2388" t="s">
        <v>40</v>
      </c>
      <c r="I2388" t="str">
        <f t="shared" si="186"/>
        <v>5-0</v>
      </c>
      <c r="J2388" t="str">
        <f t="shared" si="187"/>
        <v>5</v>
      </c>
      <c r="K2388" t="str">
        <f t="shared" si="188"/>
        <v>0</v>
      </c>
      <c r="L2388" t="str">
        <f t="shared" si="189"/>
        <v>Real Madrid</v>
      </c>
      <c r="M2388" t="str">
        <f>IF(COUNTIF($A$2:A2388,A2388)=1,
     VLOOKUP(A2388,Season_Winners!A:B,2,FALSE),
     "")</f>
        <v/>
      </c>
    </row>
    <row r="2389" spans="1:13" hidden="1" x14ac:dyDescent="0.3">
      <c r="A2389" t="s">
        <v>878</v>
      </c>
      <c r="B2389">
        <v>11</v>
      </c>
      <c r="C2389" t="s">
        <v>915</v>
      </c>
      <c r="D2389" t="str">
        <f t="shared" si="185"/>
        <v>31.10.2019</v>
      </c>
      <c r="E2389" s="1">
        <v>0.79166666666666663</v>
      </c>
      <c r="F2389" t="s">
        <v>187</v>
      </c>
      <c r="G2389" t="s">
        <v>34</v>
      </c>
      <c r="H2389" s="2">
        <v>46024</v>
      </c>
      <c r="I2389" s="3" t="str">
        <f t="shared" si="186"/>
        <v/>
      </c>
      <c r="J2389" t="str">
        <f t="shared" si="187"/>
        <v/>
      </c>
      <c r="K2389" t="str">
        <f t="shared" si="188"/>
        <v/>
      </c>
      <c r="L2389" t="str">
        <f t="shared" si="189"/>
        <v/>
      </c>
      <c r="M2389" t="str">
        <f>IF(COUNTIF($A$2:A2389,A2389)=1,
     VLOOKUP(A2389,Season_Winners!A:B,2,FALSE),
     "")</f>
        <v/>
      </c>
    </row>
    <row r="2390" spans="1:13" hidden="1" x14ac:dyDescent="0.3">
      <c r="A2390" t="s">
        <v>878</v>
      </c>
      <c r="B2390">
        <v>11</v>
      </c>
      <c r="C2390" t="s">
        <v>915</v>
      </c>
      <c r="D2390" t="str">
        <f t="shared" si="185"/>
        <v>31.10.2019</v>
      </c>
      <c r="E2390" s="1">
        <v>0.79166666666666663</v>
      </c>
      <c r="F2390" t="s">
        <v>881</v>
      </c>
      <c r="G2390" t="s">
        <v>23</v>
      </c>
      <c r="H2390" s="2">
        <v>46055</v>
      </c>
      <c r="I2390" s="3" t="str">
        <f t="shared" si="186"/>
        <v/>
      </c>
      <c r="J2390" t="str">
        <f t="shared" si="187"/>
        <v/>
      </c>
      <c r="K2390" t="str">
        <f t="shared" si="188"/>
        <v/>
      </c>
      <c r="L2390" t="str">
        <f t="shared" si="189"/>
        <v/>
      </c>
      <c r="M2390" t="str">
        <f>IF(COUNTIF($A$2:A2390,A2390)=1,
     VLOOKUP(A2390,Season_Winners!A:B,2,FALSE),
     "")</f>
        <v/>
      </c>
    </row>
    <row r="2391" spans="1:13" hidden="1" x14ac:dyDescent="0.3">
      <c r="A2391" t="s">
        <v>878</v>
      </c>
      <c r="B2391">
        <v>11</v>
      </c>
      <c r="C2391" t="s">
        <v>915</v>
      </c>
      <c r="D2391" t="str">
        <f t="shared" si="185"/>
        <v>31.10.2019</v>
      </c>
      <c r="E2391" s="1">
        <v>0.88541666666666663</v>
      </c>
      <c r="F2391" t="s">
        <v>11</v>
      </c>
      <c r="G2391" t="s">
        <v>24</v>
      </c>
      <c r="H2391" s="2">
        <v>46025</v>
      </c>
      <c r="I2391" s="3" t="str">
        <f t="shared" si="186"/>
        <v/>
      </c>
      <c r="J2391" t="str">
        <f t="shared" si="187"/>
        <v/>
      </c>
      <c r="K2391" t="str">
        <f t="shared" si="188"/>
        <v/>
      </c>
      <c r="L2391" t="str">
        <f t="shared" si="189"/>
        <v/>
      </c>
      <c r="M2391" t="str">
        <f>IF(COUNTIF($A$2:A2391,A2391)=1,
     VLOOKUP(A2391,Season_Winners!A:B,2,FALSE),
     "")</f>
        <v/>
      </c>
    </row>
    <row r="2392" spans="1:13" hidden="1" x14ac:dyDescent="0.3">
      <c r="A2392" t="s">
        <v>878</v>
      </c>
      <c r="B2392">
        <v>12</v>
      </c>
      <c r="C2392" t="s">
        <v>916</v>
      </c>
      <c r="D2392" t="str">
        <f t="shared" si="185"/>
        <v>02.11.2019</v>
      </c>
      <c r="E2392" s="1">
        <v>0.54166666666666663</v>
      </c>
      <c r="F2392" t="s">
        <v>36</v>
      </c>
      <c r="G2392" t="s">
        <v>16</v>
      </c>
      <c r="H2392" s="2">
        <v>46054</v>
      </c>
      <c r="I2392" s="3" t="str">
        <f t="shared" si="186"/>
        <v/>
      </c>
      <c r="J2392" t="str">
        <f t="shared" si="187"/>
        <v/>
      </c>
      <c r="K2392" t="str">
        <f t="shared" si="188"/>
        <v/>
      </c>
      <c r="L2392" t="str">
        <f t="shared" si="189"/>
        <v/>
      </c>
      <c r="M2392" t="str">
        <f>IF(COUNTIF($A$2:A2392,A2392)=1,
     VLOOKUP(A2392,Season_Winners!A:B,2,FALSE),
     "")</f>
        <v/>
      </c>
    </row>
    <row r="2393" spans="1:13" hidden="1" x14ac:dyDescent="0.3">
      <c r="A2393" t="s">
        <v>878</v>
      </c>
      <c r="B2393">
        <v>12</v>
      </c>
      <c r="C2393" t="s">
        <v>916</v>
      </c>
      <c r="D2393" t="str">
        <f t="shared" si="185"/>
        <v>02.11.2019</v>
      </c>
      <c r="E2393" s="1">
        <v>0.66666666666666663</v>
      </c>
      <c r="F2393" t="s">
        <v>21</v>
      </c>
      <c r="G2393" t="s">
        <v>20</v>
      </c>
      <c r="H2393" s="2">
        <v>46025</v>
      </c>
      <c r="I2393" s="3" t="str">
        <f t="shared" si="186"/>
        <v/>
      </c>
      <c r="J2393" t="str">
        <f t="shared" si="187"/>
        <v/>
      </c>
      <c r="K2393" t="str">
        <f t="shared" si="188"/>
        <v/>
      </c>
      <c r="L2393" t="str">
        <f t="shared" si="189"/>
        <v/>
      </c>
      <c r="M2393" t="str">
        <f>IF(COUNTIF($A$2:A2393,A2393)=1,
     VLOOKUP(A2393,Season_Winners!A:B,2,FALSE),
     "")</f>
        <v/>
      </c>
    </row>
    <row r="2394" spans="1:13" hidden="1" x14ac:dyDescent="0.3">
      <c r="A2394" t="s">
        <v>878</v>
      </c>
      <c r="B2394">
        <v>12</v>
      </c>
      <c r="C2394" t="s">
        <v>916</v>
      </c>
      <c r="D2394" t="str">
        <f t="shared" si="185"/>
        <v>02.11.2019</v>
      </c>
      <c r="E2394" s="1">
        <v>0.77083333333333337</v>
      </c>
      <c r="F2394" t="s">
        <v>27</v>
      </c>
      <c r="G2394" t="s">
        <v>28</v>
      </c>
      <c r="H2394" s="2">
        <v>46023</v>
      </c>
      <c r="I2394" s="3" t="str">
        <f t="shared" si="186"/>
        <v/>
      </c>
      <c r="J2394" t="str">
        <f t="shared" si="187"/>
        <v/>
      </c>
      <c r="K2394" t="str">
        <f t="shared" si="188"/>
        <v/>
      </c>
      <c r="L2394" t="str">
        <f t="shared" si="189"/>
        <v/>
      </c>
      <c r="M2394" t="str">
        <f>IF(COUNTIF($A$2:A2394,A2394)=1,
     VLOOKUP(A2394,Season_Winners!A:B,2,FALSE),
     "")</f>
        <v/>
      </c>
    </row>
    <row r="2395" spans="1:13" x14ac:dyDescent="0.3">
      <c r="A2395" t="s">
        <v>878</v>
      </c>
      <c r="B2395">
        <v>12</v>
      </c>
      <c r="C2395" t="s">
        <v>916</v>
      </c>
      <c r="D2395" t="str">
        <f t="shared" si="185"/>
        <v>02.11.2019</v>
      </c>
      <c r="E2395" s="1">
        <v>0.875</v>
      </c>
      <c r="F2395" t="s">
        <v>25</v>
      </c>
      <c r="G2395" t="s">
        <v>26</v>
      </c>
      <c r="H2395" t="s">
        <v>41</v>
      </c>
      <c r="I2395" t="str">
        <f t="shared" si="186"/>
        <v>0-0</v>
      </c>
      <c r="J2395" t="str">
        <f t="shared" si="187"/>
        <v>0</v>
      </c>
      <c r="K2395" t="str">
        <f t="shared" si="188"/>
        <v>0</v>
      </c>
      <c r="L2395" t="str">
        <f t="shared" si="189"/>
        <v>Draw</v>
      </c>
      <c r="M2395" t="str">
        <f>IF(COUNTIF($A$2:A2395,A2395)=1,
     VLOOKUP(A2395,Season_Winners!A:B,2,FALSE),
     "")</f>
        <v/>
      </c>
    </row>
    <row r="2396" spans="1:13" x14ac:dyDescent="0.3">
      <c r="A2396" t="s">
        <v>878</v>
      </c>
      <c r="B2396">
        <v>12</v>
      </c>
      <c r="C2396" t="s">
        <v>917</v>
      </c>
      <c r="D2396" t="str">
        <f t="shared" si="185"/>
        <v>03.11.2019</v>
      </c>
      <c r="E2396" s="1">
        <v>0.5</v>
      </c>
      <c r="F2396" t="s">
        <v>14</v>
      </c>
      <c r="G2396" t="s">
        <v>881</v>
      </c>
      <c r="H2396" t="s">
        <v>32</v>
      </c>
      <c r="I2396" t="str">
        <f t="shared" si="186"/>
        <v>3-0</v>
      </c>
      <c r="J2396" t="str">
        <f t="shared" si="187"/>
        <v>3</v>
      </c>
      <c r="K2396" t="str">
        <f t="shared" si="188"/>
        <v>0</v>
      </c>
      <c r="L2396" t="str">
        <f t="shared" si="189"/>
        <v>Real Valladolid CF</v>
      </c>
      <c r="M2396" t="str">
        <f>IF(COUNTIF($A$2:A2396,A2396)=1,
     VLOOKUP(A2396,Season_Winners!A:B,2,FALSE),
     "")</f>
        <v/>
      </c>
    </row>
    <row r="2397" spans="1:13" x14ac:dyDescent="0.3">
      <c r="A2397" t="s">
        <v>878</v>
      </c>
      <c r="B2397">
        <v>12</v>
      </c>
      <c r="C2397" t="s">
        <v>917</v>
      </c>
      <c r="D2397" t="str">
        <f t="shared" si="185"/>
        <v>03.11.2019</v>
      </c>
      <c r="E2397" s="1">
        <v>0.58333333333333337</v>
      </c>
      <c r="F2397" t="s">
        <v>34</v>
      </c>
      <c r="G2397" t="s">
        <v>15</v>
      </c>
      <c r="H2397" t="s">
        <v>41</v>
      </c>
      <c r="I2397" t="str">
        <f t="shared" si="186"/>
        <v>0-0</v>
      </c>
      <c r="J2397" t="str">
        <f t="shared" si="187"/>
        <v>0</v>
      </c>
      <c r="K2397" t="str">
        <f t="shared" si="188"/>
        <v>0</v>
      </c>
      <c r="L2397" t="str">
        <f t="shared" si="189"/>
        <v>Draw</v>
      </c>
      <c r="M2397" t="str">
        <f>IF(COUNTIF($A$2:A2397,A2397)=1,
     VLOOKUP(A2397,Season_Winners!A:B,2,FALSE),
     "")</f>
        <v/>
      </c>
    </row>
    <row r="2398" spans="1:13" hidden="1" x14ac:dyDescent="0.3">
      <c r="A2398" t="s">
        <v>878</v>
      </c>
      <c r="B2398">
        <v>12</v>
      </c>
      <c r="C2398" t="s">
        <v>917</v>
      </c>
      <c r="D2398" t="str">
        <f t="shared" si="185"/>
        <v>03.11.2019</v>
      </c>
      <c r="E2398" s="1">
        <v>0.66666666666666663</v>
      </c>
      <c r="F2398" t="s">
        <v>23</v>
      </c>
      <c r="G2398" t="s">
        <v>464</v>
      </c>
      <c r="H2398" s="2">
        <v>46057</v>
      </c>
      <c r="I2398" s="3" t="str">
        <f t="shared" si="186"/>
        <v/>
      </c>
      <c r="J2398" t="str">
        <f t="shared" si="187"/>
        <v/>
      </c>
      <c r="K2398" t="str">
        <f t="shared" si="188"/>
        <v/>
      </c>
      <c r="L2398" t="str">
        <f t="shared" si="189"/>
        <v/>
      </c>
      <c r="M2398" t="str">
        <f>IF(COUNTIF($A$2:A2398,A2398)=1,
     VLOOKUP(A2398,Season_Winners!A:B,2,FALSE),
     "")</f>
        <v/>
      </c>
    </row>
    <row r="2399" spans="1:13" x14ac:dyDescent="0.3">
      <c r="A2399" t="s">
        <v>878</v>
      </c>
      <c r="B2399">
        <v>12</v>
      </c>
      <c r="C2399" t="s">
        <v>917</v>
      </c>
      <c r="D2399" t="str">
        <f t="shared" si="185"/>
        <v>03.11.2019</v>
      </c>
      <c r="E2399" s="1">
        <v>0.77083333333333337</v>
      </c>
      <c r="F2399" t="s">
        <v>35</v>
      </c>
      <c r="G2399" t="s">
        <v>11</v>
      </c>
      <c r="H2399" t="s">
        <v>42</v>
      </c>
      <c r="I2399" t="str">
        <f t="shared" si="186"/>
        <v>0-1</v>
      </c>
      <c r="J2399" t="str">
        <f t="shared" si="187"/>
        <v>0</v>
      </c>
      <c r="K2399" t="str">
        <f t="shared" si="188"/>
        <v>1</v>
      </c>
      <c r="L2399" t="str">
        <f t="shared" si="189"/>
        <v>Getafe CF</v>
      </c>
      <c r="M2399" t="str">
        <f>IF(COUNTIF($A$2:A2399,A2399)=1,
     VLOOKUP(A2399,Season_Winners!A:B,2,FALSE),
     "")</f>
        <v/>
      </c>
    </row>
    <row r="2400" spans="1:13" hidden="1" x14ac:dyDescent="0.3">
      <c r="A2400" t="s">
        <v>878</v>
      </c>
      <c r="B2400">
        <v>12</v>
      </c>
      <c r="C2400" t="s">
        <v>917</v>
      </c>
      <c r="D2400" t="str">
        <f t="shared" si="185"/>
        <v>03.11.2019</v>
      </c>
      <c r="E2400" s="1">
        <v>0.77083333333333337</v>
      </c>
      <c r="F2400" t="s">
        <v>466</v>
      </c>
      <c r="G2400" t="s">
        <v>187</v>
      </c>
      <c r="H2400" s="2">
        <v>46054</v>
      </c>
      <c r="I2400" s="3" t="str">
        <f t="shared" si="186"/>
        <v/>
      </c>
      <c r="J2400" t="str">
        <f t="shared" si="187"/>
        <v/>
      </c>
      <c r="K2400" t="str">
        <f t="shared" si="188"/>
        <v/>
      </c>
      <c r="L2400" t="str">
        <f t="shared" si="189"/>
        <v/>
      </c>
      <c r="M2400" t="str">
        <f>IF(COUNTIF($A$2:A2400,A2400)=1,
     VLOOKUP(A2400,Season_Winners!A:B,2,FALSE),
     "")</f>
        <v/>
      </c>
    </row>
    <row r="2401" spans="1:13" hidden="1" x14ac:dyDescent="0.3">
      <c r="A2401" t="s">
        <v>878</v>
      </c>
      <c r="B2401">
        <v>12</v>
      </c>
      <c r="C2401" t="s">
        <v>917</v>
      </c>
      <c r="D2401" t="str">
        <f t="shared" si="185"/>
        <v>03.11.2019</v>
      </c>
      <c r="E2401" s="1">
        <v>0.875</v>
      </c>
      <c r="F2401" t="s">
        <v>24</v>
      </c>
      <c r="G2401" t="s">
        <v>10</v>
      </c>
      <c r="H2401" s="2">
        <v>46054</v>
      </c>
      <c r="I2401" s="3" t="str">
        <f t="shared" si="186"/>
        <v/>
      </c>
      <c r="J2401" t="str">
        <f t="shared" si="187"/>
        <v/>
      </c>
      <c r="K2401" t="str">
        <f t="shared" si="188"/>
        <v/>
      </c>
      <c r="L2401" t="str">
        <f t="shared" si="189"/>
        <v/>
      </c>
      <c r="M2401" t="str">
        <f>IF(COUNTIF($A$2:A2401,A2401)=1,
     VLOOKUP(A2401,Season_Winners!A:B,2,FALSE),
     "")</f>
        <v/>
      </c>
    </row>
    <row r="2402" spans="1:13" hidden="1" x14ac:dyDescent="0.3">
      <c r="A2402" t="s">
        <v>878</v>
      </c>
      <c r="B2402">
        <v>13</v>
      </c>
      <c r="C2402" t="s">
        <v>918</v>
      </c>
      <c r="D2402" t="str">
        <f t="shared" si="185"/>
        <v>08.11.2019</v>
      </c>
      <c r="E2402" s="1">
        <v>0.875</v>
      </c>
      <c r="F2402" t="s">
        <v>10</v>
      </c>
      <c r="G2402" t="s">
        <v>466</v>
      </c>
      <c r="H2402" s="2">
        <v>46023</v>
      </c>
      <c r="I2402" s="3" t="str">
        <f t="shared" si="186"/>
        <v/>
      </c>
      <c r="J2402" t="str">
        <f t="shared" si="187"/>
        <v/>
      </c>
      <c r="K2402" t="str">
        <f t="shared" si="188"/>
        <v/>
      </c>
      <c r="L2402" t="str">
        <f t="shared" si="189"/>
        <v/>
      </c>
      <c r="M2402" t="str">
        <f>IF(COUNTIF($A$2:A2402,A2402)=1,
     VLOOKUP(A2402,Season_Winners!A:B,2,FALSE),
     "")</f>
        <v/>
      </c>
    </row>
    <row r="2403" spans="1:13" x14ac:dyDescent="0.3">
      <c r="A2403" t="s">
        <v>878</v>
      </c>
      <c r="B2403">
        <v>13</v>
      </c>
      <c r="C2403" t="s">
        <v>919</v>
      </c>
      <c r="D2403" t="str">
        <f t="shared" si="185"/>
        <v>09.11.2019</v>
      </c>
      <c r="E2403" s="1">
        <v>0.54166666666666663</v>
      </c>
      <c r="F2403" t="s">
        <v>464</v>
      </c>
      <c r="G2403" t="s">
        <v>14</v>
      </c>
      <c r="H2403" t="s">
        <v>32</v>
      </c>
      <c r="I2403" t="str">
        <f t="shared" si="186"/>
        <v>3-0</v>
      </c>
      <c r="J2403" t="str">
        <f t="shared" si="187"/>
        <v>3</v>
      </c>
      <c r="K2403" t="str">
        <f t="shared" si="188"/>
        <v>0</v>
      </c>
      <c r="L2403" t="str">
        <f t="shared" si="189"/>
        <v>Deportivo AlavÃ©s</v>
      </c>
      <c r="M2403" t="str">
        <f>IF(COUNTIF($A$2:A2403,A2403)=1,
     VLOOKUP(A2403,Season_Winners!A:B,2,FALSE),
     "")</f>
        <v/>
      </c>
    </row>
    <row r="2404" spans="1:13" x14ac:dyDescent="0.3">
      <c r="A2404" t="s">
        <v>878</v>
      </c>
      <c r="B2404">
        <v>13</v>
      </c>
      <c r="C2404" t="s">
        <v>919</v>
      </c>
      <c r="D2404" t="str">
        <f t="shared" si="185"/>
        <v>09.11.2019</v>
      </c>
      <c r="E2404" s="1">
        <v>0.66666666666666663</v>
      </c>
      <c r="F2404" t="s">
        <v>16</v>
      </c>
      <c r="G2404" t="s">
        <v>24</v>
      </c>
      <c r="H2404" t="s">
        <v>12</v>
      </c>
      <c r="I2404" t="str">
        <f t="shared" si="186"/>
        <v>2-0</v>
      </c>
      <c r="J2404" t="str">
        <f t="shared" si="187"/>
        <v>2</v>
      </c>
      <c r="K2404" t="str">
        <f t="shared" si="188"/>
        <v>0</v>
      </c>
      <c r="L2404" t="str">
        <f t="shared" si="189"/>
        <v>Valencia CF</v>
      </c>
      <c r="M2404" t="str">
        <f>IF(COUNTIF($A$2:A2404,A2404)=1,
     VLOOKUP(A2404,Season_Winners!A:B,2,FALSE),
     "")</f>
        <v/>
      </c>
    </row>
    <row r="2405" spans="1:13" x14ac:dyDescent="0.3">
      <c r="A2405" t="s">
        <v>878</v>
      </c>
      <c r="B2405">
        <v>13</v>
      </c>
      <c r="C2405" t="s">
        <v>919</v>
      </c>
      <c r="D2405" t="str">
        <f t="shared" si="185"/>
        <v>09.11.2019</v>
      </c>
      <c r="E2405" s="1">
        <v>0.77083333333333337</v>
      </c>
      <c r="F2405" t="s">
        <v>187</v>
      </c>
      <c r="G2405" t="s">
        <v>25</v>
      </c>
      <c r="H2405" t="s">
        <v>53</v>
      </c>
      <c r="I2405" t="str">
        <f t="shared" si="186"/>
        <v>0-4</v>
      </c>
      <c r="J2405" t="str">
        <f t="shared" si="187"/>
        <v>0</v>
      </c>
      <c r="K2405" t="str">
        <f t="shared" si="188"/>
        <v>4</v>
      </c>
      <c r="L2405" t="str">
        <f t="shared" si="189"/>
        <v>Real Madrid</v>
      </c>
      <c r="M2405" t="str">
        <f>IF(COUNTIF($A$2:A2405,A2405)=1,
     VLOOKUP(A2405,Season_Winners!A:B,2,FALSE),
     "")</f>
        <v/>
      </c>
    </row>
    <row r="2406" spans="1:13" hidden="1" x14ac:dyDescent="0.3">
      <c r="A2406" t="s">
        <v>878</v>
      </c>
      <c r="B2406">
        <v>13</v>
      </c>
      <c r="C2406" t="s">
        <v>919</v>
      </c>
      <c r="D2406" t="str">
        <f t="shared" si="185"/>
        <v>09.11.2019</v>
      </c>
      <c r="E2406" s="1">
        <v>0.875</v>
      </c>
      <c r="F2406" t="s">
        <v>20</v>
      </c>
      <c r="G2406" t="s">
        <v>35</v>
      </c>
      <c r="H2406" s="2">
        <v>46026</v>
      </c>
      <c r="I2406" s="3" t="str">
        <f t="shared" si="186"/>
        <v/>
      </c>
      <c r="J2406" t="str">
        <f t="shared" si="187"/>
        <v/>
      </c>
      <c r="K2406" t="str">
        <f t="shared" si="188"/>
        <v/>
      </c>
      <c r="L2406" t="str">
        <f t="shared" si="189"/>
        <v/>
      </c>
      <c r="M2406" t="str">
        <f>IF(COUNTIF($A$2:A2406,A2406)=1,
     VLOOKUP(A2406,Season_Winners!A:B,2,FALSE),
     "")</f>
        <v/>
      </c>
    </row>
    <row r="2407" spans="1:13" hidden="1" x14ac:dyDescent="0.3">
      <c r="A2407" t="s">
        <v>878</v>
      </c>
      <c r="B2407">
        <v>13</v>
      </c>
      <c r="C2407" t="s">
        <v>920</v>
      </c>
      <c r="D2407" t="str">
        <f t="shared" si="185"/>
        <v>10.11.2019</v>
      </c>
      <c r="E2407" s="1">
        <v>0.5</v>
      </c>
      <c r="F2407" t="s">
        <v>881</v>
      </c>
      <c r="G2407" t="s">
        <v>34</v>
      </c>
      <c r="H2407" s="2">
        <v>46025</v>
      </c>
      <c r="I2407" s="3" t="str">
        <f t="shared" si="186"/>
        <v/>
      </c>
      <c r="J2407" t="str">
        <f t="shared" si="187"/>
        <v/>
      </c>
      <c r="K2407" t="str">
        <f t="shared" si="188"/>
        <v/>
      </c>
      <c r="L2407" t="str">
        <f t="shared" si="189"/>
        <v/>
      </c>
      <c r="M2407" t="str">
        <f>IF(COUNTIF($A$2:A2407,A2407)=1,
     VLOOKUP(A2407,Season_Winners!A:B,2,FALSE),
     "")</f>
        <v/>
      </c>
    </row>
    <row r="2408" spans="1:13" hidden="1" x14ac:dyDescent="0.3">
      <c r="A2408" t="s">
        <v>878</v>
      </c>
      <c r="B2408">
        <v>13</v>
      </c>
      <c r="C2408" t="s">
        <v>920</v>
      </c>
      <c r="D2408" t="str">
        <f t="shared" si="185"/>
        <v>10.11.2019</v>
      </c>
      <c r="E2408" s="1">
        <v>0.58333333333333337</v>
      </c>
      <c r="F2408" t="s">
        <v>15</v>
      </c>
      <c r="G2408" t="s">
        <v>21</v>
      </c>
      <c r="H2408" s="2">
        <v>46024</v>
      </c>
      <c r="I2408" s="3" t="str">
        <f t="shared" si="186"/>
        <v/>
      </c>
      <c r="J2408" t="str">
        <f t="shared" si="187"/>
        <v/>
      </c>
      <c r="K2408" t="str">
        <f t="shared" si="188"/>
        <v/>
      </c>
      <c r="L2408" t="str">
        <f t="shared" si="189"/>
        <v/>
      </c>
      <c r="M2408" t="str">
        <f>IF(COUNTIF($A$2:A2408,A2408)=1,
     VLOOKUP(A2408,Season_Winners!A:B,2,FALSE),
     "")</f>
        <v/>
      </c>
    </row>
    <row r="2409" spans="1:13" hidden="1" x14ac:dyDescent="0.3">
      <c r="A2409" t="s">
        <v>878</v>
      </c>
      <c r="B2409">
        <v>13</v>
      </c>
      <c r="C2409" t="s">
        <v>920</v>
      </c>
      <c r="D2409" t="str">
        <f t="shared" si="185"/>
        <v>10.11.2019</v>
      </c>
      <c r="E2409" s="1">
        <v>0.66666666666666663</v>
      </c>
      <c r="F2409" t="s">
        <v>28</v>
      </c>
      <c r="G2409" t="s">
        <v>36</v>
      </c>
      <c r="H2409" s="2">
        <v>46025</v>
      </c>
      <c r="I2409" s="3" t="str">
        <f t="shared" si="186"/>
        <v/>
      </c>
      <c r="J2409" t="str">
        <f t="shared" si="187"/>
        <v/>
      </c>
      <c r="K2409" t="str">
        <f t="shared" si="188"/>
        <v/>
      </c>
      <c r="L2409" t="str">
        <f t="shared" si="189"/>
        <v/>
      </c>
      <c r="M2409" t="str">
        <f>IF(COUNTIF($A$2:A2409,A2409)=1,
     VLOOKUP(A2409,Season_Winners!A:B,2,FALSE),
     "")</f>
        <v/>
      </c>
    </row>
    <row r="2410" spans="1:13" x14ac:dyDescent="0.3">
      <c r="A2410" t="s">
        <v>878</v>
      </c>
      <c r="B2410">
        <v>13</v>
      </c>
      <c r="C2410" t="s">
        <v>920</v>
      </c>
      <c r="D2410" t="str">
        <f t="shared" si="185"/>
        <v>10.11.2019</v>
      </c>
      <c r="E2410" s="1">
        <v>0.77083333333333337</v>
      </c>
      <c r="F2410" t="s">
        <v>11</v>
      </c>
      <c r="G2410" t="s">
        <v>23</v>
      </c>
      <c r="H2410" t="s">
        <v>41</v>
      </c>
      <c r="I2410" t="str">
        <f t="shared" si="186"/>
        <v>0-0</v>
      </c>
      <c r="J2410" t="str">
        <f t="shared" si="187"/>
        <v>0</v>
      </c>
      <c r="K2410" t="str">
        <f t="shared" si="188"/>
        <v>0</v>
      </c>
      <c r="L2410" t="str">
        <f t="shared" si="189"/>
        <v>Draw</v>
      </c>
      <c r="M2410" t="str">
        <f>IF(COUNTIF($A$2:A2410,A2410)=1,
     VLOOKUP(A2410,Season_Winners!A:B,2,FALSE),
     "")</f>
        <v/>
      </c>
    </row>
    <row r="2411" spans="1:13" hidden="1" x14ac:dyDescent="0.3">
      <c r="A2411" t="s">
        <v>878</v>
      </c>
      <c r="B2411">
        <v>13</v>
      </c>
      <c r="C2411" t="s">
        <v>920</v>
      </c>
      <c r="D2411" t="str">
        <f t="shared" si="185"/>
        <v>10.11.2019</v>
      </c>
      <c r="E2411" s="1">
        <v>0.875</v>
      </c>
      <c r="F2411" t="s">
        <v>26</v>
      </c>
      <c r="G2411" t="s">
        <v>27</v>
      </c>
      <c r="H2411" s="2">
        <v>46054</v>
      </c>
      <c r="I2411" s="3" t="str">
        <f t="shared" si="186"/>
        <v/>
      </c>
      <c r="J2411" t="str">
        <f t="shared" si="187"/>
        <v/>
      </c>
      <c r="K2411" t="str">
        <f t="shared" si="188"/>
        <v/>
      </c>
      <c r="L2411" t="str">
        <f t="shared" si="189"/>
        <v/>
      </c>
      <c r="M2411" t="str">
        <f>IF(COUNTIF($A$2:A2411,A2411)=1,
     VLOOKUP(A2411,Season_Winners!A:B,2,FALSE),
     "")</f>
        <v/>
      </c>
    </row>
    <row r="2412" spans="1:13" hidden="1" x14ac:dyDescent="0.3">
      <c r="A2412" t="s">
        <v>878</v>
      </c>
      <c r="B2412">
        <v>14</v>
      </c>
      <c r="C2412" t="s">
        <v>921</v>
      </c>
      <c r="D2412" t="str">
        <f t="shared" si="185"/>
        <v>22.11.2019</v>
      </c>
      <c r="E2412" s="1">
        <v>0.875</v>
      </c>
      <c r="F2412" t="s">
        <v>21</v>
      </c>
      <c r="G2412" t="s">
        <v>881</v>
      </c>
      <c r="H2412" s="2">
        <v>46024</v>
      </c>
      <c r="I2412" s="3" t="str">
        <f t="shared" si="186"/>
        <v/>
      </c>
      <c r="J2412" t="str">
        <f t="shared" si="187"/>
        <v/>
      </c>
      <c r="K2412" t="str">
        <f t="shared" si="188"/>
        <v/>
      </c>
      <c r="L2412" t="str">
        <f t="shared" si="189"/>
        <v/>
      </c>
      <c r="M2412" t="str">
        <f>IF(COUNTIF($A$2:A2412,A2412)=1,
     VLOOKUP(A2412,Season_Winners!A:B,2,FALSE),
     "")</f>
        <v/>
      </c>
    </row>
    <row r="2413" spans="1:13" hidden="1" x14ac:dyDescent="0.3">
      <c r="A2413" t="s">
        <v>878</v>
      </c>
      <c r="B2413">
        <v>14</v>
      </c>
      <c r="C2413" t="s">
        <v>922</v>
      </c>
      <c r="D2413" t="str">
        <f t="shared" si="185"/>
        <v>23.11.2019</v>
      </c>
      <c r="E2413" s="1">
        <v>0.54166666666666663</v>
      </c>
      <c r="F2413" t="s">
        <v>466</v>
      </c>
      <c r="G2413" t="s">
        <v>20</v>
      </c>
      <c r="H2413" s="2">
        <v>46054</v>
      </c>
      <c r="I2413" s="3" t="str">
        <f t="shared" si="186"/>
        <v/>
      </c>
      <c r="J2413" t="str">
        <f t="shared" si="187"/>
        <v/>
      </c>
      <c r="K2413" t="str">
        <f t="shared" si="188"/>
        <v/>
      </c>
      <c r="L2413" t="str">
        <f t="shared" si="189"/>
        <v/>
      </c>
      <c r="M2413" t="str">
        <f>IF(COUNTIF($A$2:A2413,A2413)=1,
     VLOOKUP(A2413,Season_Winners!A:B,2,FALSE),
     "")</f>
        <v/>
      </c>
    </row>
    <row r="2414" spans="1:13" hidden="1" x14ac:dyDescent="0.3">
      <c r="A2414" t="s">
        <v>878</v>
      </c>
      <c r="B2414">
        <v>14</v>
      </c>
      <c r="C2414" t="s">
        <v>922</v>
      </c>
      <c r="D2414" t="str">
        <f t="shared" si="185"/>
        <v>23.11.2019</v>
      </c>
      <c r="E2414" s="1">
        <v>0.66666666666666663</v>
      </c>
      <c r="F2414" t="s">
        <v>26</v>
      </c>
      <c r="G2414" t="s">
        <v>16</v>
      </c>
      <c r="H2414" s="2">
        <v>46024</v>
      </c>
      <c r="I2414" s="3" t="str">
        <f t="shared" si="186"/>
        <v/>
      </c>
      <c r="J2414" t="str">
        <f t="shared" si="187"/>
        <v/>
      </c>
      <c r="K2414" t="str">
        <f t="shared" si="188"/>
        <v/>
      </c>
      <c r="L2414" t="str">
        <f t="shared" si="189"/>
        <v/>
      </c>
      <c r="M2414" t="str">
        <f>IF(COUNTIF($A$2:A2414,A2414)=1,
     VLOOKUP(A2414,Season_Winners!A:B,2,FALSE),
     "")</f>
        <v/>
      </c>
    </row>
    <row r="2415" spans="1:13" hidden="1" x14ac:dyDescent="0.3">
      <c r="A2415" t="s">
        <v>878</v>
      </c>
      <c r="B2415">
        <v>14</v>
      </c>
      <c r="C2415" t="s">
        <v>922</v>
      </c>
      <c r="D2415" t="str">
        <f t="shared" si="185"/>
        <v>23.11.2019</v>
      </c>
      <c r="E2415" s="1">
        <v>0.77083333333333337</v>
      </c>
      <c r="F2415" t="s">
        <v>24</v>
      </c>
      <c r="G2415" t="s">
        <v>28</v>
      </c>
      <c r="H2415" s="2">
        <v>46023</v>
      </c>
      <c r="I2415" s="3" t="str">
        <f t="shared" si="186"/>
        <v/>
      </c>
      <c r="J2415" t="str">
        <f t="shared" si="187"/>
        <v/>
      </c>
      <c r="K2415" t="str">
        <f t="shared" si="188"/>
        <v/>
      </c>
      <c r="L2415" t="str">
        <f t="shared" si="189"/>
        <v/>
      </c>
      <c r="M2415" t="str">
        <f>IF(COUNTIF($A$2:A2415,A2415)=1,
     VLOOKUP(A2415,Season_Winners!A:B,2,FALSE),
     "")</f>
        <v/>
      </c>
    </row>
    <row r="2416" spans="1:13" hidden="1" x14ac:dyDescent="0.3">
      <c r="A2416" t="s">
        <v>878</v>
      </c>
      <c r="B2416">
        <v>14</v>
      </c>
      <c r="C2416" t="s">
        <v>922</v>
      </c>
      <c r="D2416" t="str">
        <f t="shared" si="185"/>
        <v>23.11.2019</v>
      </c>
      <c r="E2416" s="1">
        <v>0.875</v>
      </c>
      <c r="F2416" t="s">
        <v>25</v>
      </c>
      <c r="G2416" t="s">
        <v>10</v>
      </c>
      <c r="H2416" s="2">
        <v>46025</v>
      </c>
      <c r="I2416" s="3" t="str">
        <f t="shared" si="186"/>
        <v/>
      </c>
      <c r="J2416" t="str">
        <f t="shared" si="187"/>
        <v/>
      </c>
      <c r="K2416" t="str">
        <f t="shared" si="188"/>
        <v/>
      </c>
      <c r="L2416" t="str">
        <f t="shared" si="189"/>
        <v/>
      </c>
      <c r="M2416" t="str">
        <f>IF(COUNTIF($A$2:A2416,A2416)=1,
     VLOOKUP(A2416,Season_Winners!A:B,2,FALSE),
     "")</f>
        <v/>
      </c>
    </row>
    <row r="2417" spans="1:13" hidden="1" x14ac:dyDescent="0.3">
      <c r="A2417" t="s">
        <v>878</v>
      </c>
      <c r="B2417">
        <v>14</v>
      </c>
      <c r="C2417" t="s">
        <v>923</v>
      </c>
      <c r="D2417" t="str">
        <f t="shared" si="185"/>
        <v>24.11.2019</v>
      </c>
      <c r="E2417" s="1">
        <v>0.5</v>
      </c>
      <c r="F2417" t="s">
        <v>36</v>
      </c>
      <c r="G2417" t="s">
        <v>11</v>
      </c>
      <c r="H2417" s="2">
        <v>46023</v>
      </c>
      <c r="I2417" s="3" t="str">
        <f t="shared" si="186"/>
        <v/>
      </c>
      <c r="J2417" t="str">
        <f t="shared" si="187"/>
        <v/>
      </c>
      <c r="K2417" t="str">
        <f t="shared" si="188"/>
        <v/>
      </c>
      <c r="L2417" t="str">
        <f t="shared" si="189"/>
        <v/>
      </c>
      <c r="M2417" t="str">
        <f>IF(COUNTIF($A$2:A2417,A2417)=1,
     VLOOKUP(A2417,Season_Winners!A:B,2,FALSE),
     "")</f>
        <v/>
      </c>
    </row>
    <row r="2418" spans="1:13" hidden="1" x14ac:dyDescent="0.3">
      <c r="A2418" t="s">
        <v>878</v>
      </c>
      <c r="B2418">
        <v>14</v>
      </c>
      <c r="C2418" t="s">
        <v>923</v>
      </c>
      <c r="D2418" t="str">
        <f t="shared" si="185"/>
        <v>24.11.2019</v>
      </c>
      <c r="E2418" s="1">
        <v>0.58333333333333337</v>
      </c>
      <c r="F2418" t="s">
        <v>23</v>
      </c>
      <c r="G2418" t="s">
        <v>15</v>
      </c>
      <c r="H2418" s="2">
        <v>46054</v>
      </c>
      <c r="I2418" s="3" t="str">
        <f t="shared" si="186"/>
        <v/>
      </c>
      <c r="J2418" t="str">
        <f t="shared" si="187"/>
        <v/>
      </c>
      <c r="K2418" t="str">
        <f t="shared" si="188"/>
        <v/>
      </c>
      <c r="L2418" t="str">
        <f t="shared" si="189"/>
        <v/>
      </c>
      <c r="M2418" t="str">
        <f>IF(COUNTIF($A$2:A2418,A2418)=1,
     VLOOKUP(A2418,Season_Winners!A:B,2,FALSE),
     "")</f>
        <v/>
      </c>
    </row>
    <row r="2419" spans="1:13" x14ac:dyDescent="0.3">
      <c r="A2419" t="s">
        <v>878</v>
      </c>
      <c r="B2419">
        <v>14</v>
      </c>
      <c r="C2419" t="s">
        <v>923</v>
      </c>
      <c r="D2419" t="str">
        <f t="shared" si="185"/>
        <v>24.11.2019</v>
      </c>
      <c r="E2419" s="1">
        <v>0.66666666666666663</v>
      </c>
      <c r="F2419" t="s">
        <v>187</v>
      </c>
      <c r="G2419" t="s">
        <v>464</v>
      </c>
      <c r="H2419" t="s">
        <v>54</v>
      </c>
      <c r="I2419" t="str">
        <f t="shared" si="186"/>
        <v>0-2</v>
      </c>
      <c r="J2419" t="str">
        <f t="shared" si="187"/>
        <v>0</v>
      </c>
      <c r="K2419" t="str">
        <f t="shared" si="188"/>
        <v>2</v>
      </c>
      <c r="L2419" t="str">
        <f t="shared" si="189"/>
        <v>Deportivo AlavÃ©s</v>
      </c>
      <c r="M2419" t="str">
        <f>IF(COUNTIF($A$2:A2419,A2419)=1,
     VLOOKUP(A2419,Season_Winners!A:B,2,FALSE),
     "")</f>
        <v/>
      </c>
    </row>
    <row r="2420" spans="1:13" hidden="1" x14ac:dyDescent="0.3">
      <c r="A2420" t="s">
        <v>878</v>
      </c>
      <c r="B2420">
        <v>14</v>
      </c>
      <c r="C2420" t="s">
        <v>923</v>
      </c>
      <c r="D2420" t="str">
        <f t="shared" si="185"/>
        <v>24.11.2019</v>
      </c>
      <c r="E2420" s="1">
        <v>0.77083333333333337</v>
      </c>
      <c r="F2420" t="s">
        <v>34</v>
      </c>
      <c r="G2420" t="s">
        <v>35</v>
      </c>
      <c r="H2420" s="2">
        <v>46082</v>
      </c>
      <c r="I2420" s="3" t="str">
        <f t="shared" si="186"/>
        <v/>
      </c>
      <c r="J2420" t="str">
        <f t="shared" si="187"/>
        <v/>
      </c>
      <c r="K2420" t="str">
        <f t="shared" si="188"/>
        <v/>
      </c>
      <c r="L2420" t="str">
        <f t="shared" si="189"/>
        <v/>
      </c>
      <c r="M2420" t="str">
        <f>IF(COUNTIF($A$2:A2420,A2420)=1,
     VLOOKUP(A2420,Season_Winners!A:B,2,FALSE),
     "")</f>
        <v/>
      </c>
    </row>
    <row r="2421" spans="1:13" x14ac:dyDescent="0.3">
      <c r="A2421" t="s">
        <v>878</v>
      </c>
      <c r="B2421">
        <v>14</v>
      </c>
      <c r="C2421" t="s">
        <v>923</v>
      </c>
      <c r="D2421" t="str">
        <f t="shared" si="185"/>
        <v>24.11.2019</v>
      </c>
      <c r="E2421" s="1">
        <v>0.875</v>
      </c>
      <c r="F2421" t="s">
        <v>14</v>
      </c>
      <c r="G2421" t="s">
        <v>27</v>
      </c>
      <c r="H2421" t="s">
        <v>42</v>
      </c>
      <c r="I2421" t="str">
        <f t="shared" si="186"/>
        <v>0-1</v>
      </c>
      <c r="J2421" t="str">
        <f t="shared" si="187"/>
        <v>0</v>
      </c>
      <c r="K2421" t="str">
        <f t="shared" si="188"/>
        <v>1</v>
      </c>
      <c r="L2421" t="str">
        <f t="shared" si="189"/>
        <v>Sevilla FC</v>
      </c>
      <c r="M2421" t="str">
        <f>IF(COUNTIF($A$2:A2421,A2421)=1,
     VLOOKUP(A2421,Season_Winners!A:B,2,FALSE),
     "")</f>
        <v/>
      </c>
    </row>
    <row r="2422" spans="1:13" x14ac:dyDescent="0.3">
      <c r="A2422" t="s">
        <v>878</v>
      </c>
      <c r="B2422">
        <v>15</v>
      </c>
      <c r="C2422" t="s">
        <v>924</v>
      </c>
      <c r="D2422" t="str">
        <f t="shared" si="185"/>
        <v>29.11.2019</v>
      </c>
      <c r="E2422" s="1">
        <v>0.875</v>
      </c>
      <c r="F2422" t="s">
        <v>35</v>
      </c>
      <c r="G2422" t="s">
        <v>14</v>
      </c>
      <c r="H2422" t="s">
        <v>41</v>
      </c>
      <c r="I2422" t="str">
        <f t="shared" si="186"/>
        <v>0-0</v>
      </c>
      <c r="J2422" t="str">
        <f t="shared" si="187"/>
        <v>0</v>
      </c>
      <c r="K2422" t="str">
        <f t="shared" si="188"/>
        <v>0</v>
      </c>
      <c r="L2422" t="str">
        <f t="shared" si="189"/>
        <v>Draw</v>
      </c>
      <c r="M2422" t="str">
        <f>IF(COUNTIF($A$2:A2422,A2422)=1,
     VLOOKUP(A2422,Season_Winners!A:B,2,FALSE),
     "")</f>
        <v/>
      </c>
    </row>
    <row r="2423" spans="1:13" hidden="1" x14ac:dyDescent="0.3">
      <c r="A2423" t="s">
        <v>878</v>
      </c>
      <c r="B2423">
        <v>15</v>
      </c>
      <c r="C2423" t="s">
        <v>925</v>
      </c>
      <c r="D2423" t="str">
        <f t="shared" si="185"/>
        <v>30.11.2019</v>
      </c>
      <c r="E2423" s="1">
        <v>0.54166666666666663</v>
      </c>
      <c r="F2423" t="s">
        <v>464</v>
      </c>
      <c r="G2423" t="s">
        <v>25</v>
      </c>
      <c r="H2423" s="2">
        <v>46054</v>
      </c>
      <c r="I2423" s="3" t="str">
        <f t="shared" si="186"/>
        <v/>
      </c>
      <c r="J2423" t="str">
        <f t="shared" si="187"/>
        <v/>
      </c>
      <c r="K2423" t="str">
        <f t="shared" si="188"/>
        <v/>
      </c>
      <c r="L2423" t="str">
        <f t="shared" si="189"/>
        <v/>
      </c>
      <c r="M2423" t="str">
        <f>IF(COUNTIF($A$2:A2423,A2423)=1,
     VLOOKUP(A2423,Season_Winners!A:B,2,FALSE),
     "")</f>
        <v/>
      </c>
    </row>
    <row r="2424" spans="1:13" hidden="1" x14ac:dyDescent="0.3">
      <c r="A2424" t="s">
        <v>878</v>
      </c>
      <c r="B2424">
        <v>15</v>
      </c>
      <c r="C2424" t="s">
        <v>925</v>
      </c>
      <c r="D2424" t="str">
        <f t="shared" si="185"/>
        <v>30.11.2019</v>
      </c>
      <c r="E2424" s="1">
        <v>0.66666666666666663</v>
      </c>
      <c r="F2424" t="s">
        <v>10</v>
      </c>
      <c r="G2424" t="s">
        <v>187</v>
      </c>
      <c r="H2424" s="2">
        <v>46026</v>
      </c>
      <c r="I2424" s="3" t="str">
        <f t="shared" si="186"/>
        <v/>
      </c>
      <c r="J2424" t="str">
        <f t="shared" si="187"/>
        <v/>
      </c>
      <c r="K2424" t="str">
        <f t="shared" si="188"/>
        <v/>
      </c>
      <c r="L2424" t="str">
        <f t="shared" si="189"/>
        <v/>
      </c>
      <c r="M2424" t="str">
        <f>IF(COUNTIF($A$2:A2424,A2424)=1,
     VLOOKUP(A2424,Season_Winners!A:B,2,FALSE),
     "")</f>
        <v/>
      </c>
    </row>
    <row r="2425" spans="1:13" hidden="1" x14ac:dyDescent="0.3">
      <c r="A2425" t="s">
        <v>878</v>
      </c>
      <c r="B2425">
        <v>15</v>
      </c>
      <c r="C2425" t="s">
        <v>925</v>
      </c>
      <c r="D2425" t="str">
        <f t="shared" si="185"/>
        <v>30.11.2019</v>
      </c>
      <c r="E2425" s="1">
        <v>0.77083333333333337</v>
      </c>
      <c r="F2425" t="s">
        <v>881</v>
      </c>
      <c r="G2425" t="s">
        <v>26</v>
      </c>
      <c r="H2425" s="2">
        <v>46054</v>
      </c>
      <c r="I2425" s="3" t="str">
        <f t="shared" si="186"/>
        <v/>
      </c>
      <c r="J2425" t="str">
        <f t="shared" si="187"/>
        <v/>
      </c>
      <c r="K2425" t="str">
        <f t="shared" si="188"/>
        <v/>
      </c>
      <c r="L2425" t="str">
        <f t="shared" si="189"/>
        <v/>
      </c>
      <c r="M2425" t="str">
        <f>IF(COUNTIF($A$2:A2425,A2425)=1,
     VLOOKUP(A2425,Season_Winners!A:B,2,FALSE),
     "")</f>
        <v/>
      </c>
    </row>
    <row r="2426" spans="1:13" hidden="1" x14ac:dyDescent="0.3">
      <c r="A2426" t="s">
        <v>878</v>
      </c>
      <c r="B2426">
        <v>15</v>
      </c>
      <c r="C2426" t="s">
        <v>925</v>
      </c>
      <c r="D2426" t="str">
        <f t="shared" si="185"/>
        <v>30.11.2019</v>
      </c>
      <c r="E2426" s="1">
        <v>0.875</v>
      </c>
      <c r="F2426" t="s">
        <v>16</v>
      </c>
      <c r="G2426" t="s">
        <v>34</v>
      </c>
      <c r="H2426" s="2">
        <v>46024</v>
      </c>
      <c r="I2426" s="3" t="str">
        <f t="shared" si="186"/>
        <v/>
      </c>
      <c r="J2426" t="str">
        <f t="shared" si="187"/>
        <v/>
      </c>
      <c r="K2426" t="str">
        <f t="shared" si="188"/>
        <v/>
      </c>
      <c r="L2426" t="str">
        <f t="shared" si="189"/>
        <v/>
      </c>
      <c r="M2426" t="str">
        <f>IF(COUNTIF($A$2:A2426,A2426)=1,
     VLOOKUP(A2426,Season_Winners!A:B,2,FALSE),
     "")</f>
        <v/>
      </c>
    </row>
    <row r="2427" spans="1:13" x14ac:dyDescent="0.3">
      <c r="A2427" t="s">
        <v>878</v>
      </c>
      <c r="B2427">
        <v>15</v>
      </c>
      <c r="C2427" t="s">
        <v>926</v>
      </c>
      <c r="D2427" t="str">
        <f t="shared" si="185"/>
        <v>01.12.2019</v>
      </c>
      <c r="E2427" s="1">
        <v>0.5</v>
      </c>
      <c r="F2427" t="s">
        <v>27</v>
      </c>
      <c r="G2427" t="s">
        <v>466</v>
      </c>
      <c r="H2427" t="s">
        <v>18</v>
      </c>
      <c r="I2427" t="str">
        <f t="shared" si="186"/>
        <v>1-0</v>
      </c>
      <c r="J2427" t="str">
        <f t="shared" si="187"/>
        <v>1</v>
      </c>
      <c r="K2427" t="str">
        <f t="shared" si="188"/>
        <v>0</v>
      </c>
      <c r="L2427" t="str">
        <f t="shared" si="189"/>
        <v>Sevilla FC</v>
      </c>
      <c r="M2427" t="str">
        <f>IF(COUNTIF($A$2:A2427,A2427)=1,
     VLOOKUP(A2427,Season_Winners!A:B,2,FALSE),
     "")</f>
        <v/>
      </c>
    </row>
    <row r="2428" spans="1:13" x14ac:dyDescent="0.3">
      <c r="A2428" t="s">
        <v>878</v>
      </c>
      <c r="B2428">
        <v>15</v>
      </c>
      <c r="C2428" t="s">
        <v>926</v>
      </c>
      <c r="D2428" t="str">
        <f t="shared" si="185"/>
        <v>01.12.2019</v>
      </c>
      <c r="E2428" s="1">
        <v>0.58333333333333337</v>
      </c>
      <c r="F2428" t="s">
        <v>15</v>
      </c>
      <c r="G2428" t="s">
        <v>24</v>
      </c>
      <c r="H2428" t="s">
        <v>12</v>
      </c>
      <c r="I2428" t="str">
        <f t="shared" si="186"/>
        <v>2-0</v>
      </c>
      <c r="J2428" t="str">
        <f t="shared" si="187"/>
        <v>2</v>
      </c>
      <c r="K2428" t="str">
        <f t="shared" si="188"/>
        <v>0</v>
      </c>
      <c r="L2428" t="str">
        <f t="shared" si="189"/>
        <v>Athletic Club</v>
      </c>
      <c r="M2428" t="str">
        <f>IF(COUNTIF($A$2:A2428,A2428)=1,
     VLOOKUP(A2428,Season_Winners!A:B,2,FALSE),
     "")</f>
        <v/>
      </c>
    </row>
    <row r="2429" spans="1:13" hidden="1" x14ac:dyDescent="0.3">
      <c r="A2429" t="s">
        <v>878</v>
      </c>
      <c r="B2429">
        <v>15</v>
      </c>
      <c r="C2429" t="s">
        <v>926</v>
      </c>
      <c r="D2429" t="str">
        <f t="shared" si="185"/>
        <v>01.12.2019</v>
      </c>
      <c r="E2429" s="1">
        <v>0.66666666666666663</v>
      </c>
      <c r="F2429" t="s">
        <v>36</v>
      </c>
      <c r="G2429" t="s">
        <v>23</v>
      </c>
      <c r="H2429" s="2">
        <v>46114</v>
      </c>
      <c r="I2429" s="3" t="str">
        <f t="shared" si="186"/>
        <v/>
      </c>
      <c r="J2429" t="str">
        <f t="shared" si="187"/>
        <v/>
      </c>
      <c r="K2429" t="str">
        <f t="shared" si="188"/>
        <v/>
      </c>
      <c r="L2429" t="str">
        <f t="shared" si="189"/>
        <v/>
      </c>
      <c r="M2429" t="str">
        <f>IF(COUNTIF($A$2:A2429,A2429)=1,
     VLOOKUP(A2429,Season_Winners!A:B,2,FALSE),
     "")</f>
        <v/>
      </c>
    </row>
    <row r="2430" spans="1:13" x14ac:dyDescent="0.3">
      <c r="A2430" t="s">
        <v>878</v>
      </c>
      <c r="B2430">
        <v>15</v>
      </c>
      <c r="C2430" t="s">
        <v>926</v>
      </c>
      <c r="D2430" t="str">
        <f t="shared" si="185"/>
        <v>01.12.2019</v>
      </c>
      <c r="E2430" s="1">
        <v>0.77083333333333337</v>
      </c>
      <c r="F2430" t="s">
        <v>11</v>
      </c>
      <c r="G2430" t="s">
        <v>21</v>
      </c>
      <c r="H2430" t="s">
        <v>88</v>
      </c>
      <c r="I2430" t="str">
        <f t="shared" si="186"/>
        <v>4-0</v>
      </c>
      <c r="J2430" t="str">
        <f t="shared" si="187"/>
        <v>4</v>
      </c>
      <c r="K2430" t="str">
        <f t="shared" si="188"/>
        <v>0</v>
      </c>
      <c r="L2430" t="str">
        <f t="shared" si="189"/>
        <v>Getafe CF</v>
      </c>
      <c r="M2430" t="str">
        <f>IF(COUNTIF($A$2:A2430,A2430)=1,
     VLOOKUP(A2430,Season_Winners!A:B,2,FALSE),
     "")</f>
        <v/>
      </c>
    </row>
    <row r="2431" spans="1:13" x14ac:dyDescent="0.3">
      <c r="A2431" t="s">
        <v>878</v>
      </c>
      <c r="B2431">
        <v>15</v>
      </c>
      <c r="C2431" t="s">
        <v>926</v>
      </c>
      <c r="D2431" t="str">
        <f t="shared" si="185"/>
        <v>01.12.2019</v>
      </c>
      <c r="E2431" s="1">
        <v>0.875</v>
      </c>
      <c r="F2431" t="s">
        <v>1425</v>
      </c>
      <c r="G2431" t="s">
        <v>20</v>
      </c>
      <c r="H2431" t="s">
        <v>42</v>
      </c>
      <c r="I2431" t="str">
        <f t="shared" si="186"/>
        <v>0-1</v>
      </c>
      <c r="J2431" t="str">
        <f t="shared" si="187"/>
        <v>0</v>
      </c>
      <c r="K2431" t="str">
        <f t="shared" si="188"/>
        <v>1</v>
      </c>
      <c r="L2431" t="str">
        <f t="shared" si="189"/>
        <v>FC Barcelona</v>
      </c>
      <c r="M2431" t="str">
        <f>IF(COUNTIF($A$2:A2431,A2431)=1,
     VLOOKUP(A2431,Season_Winners!A:B,2,FALSE),
     "")</f>
        <v/>
      </c>
    </row>
    <row r="2432" spans="1:13" x14ac:dyDescent="0.3">
      <c r="A2432" t="s">
        <v>878</v>
      </c>
      <c r="B2432">
        <v>16</v>
      </c>
      <c r="C2432" t="s">
        <v>927</v>
      </c>
      <c r="D2432" t="str">
        <f t="shared" si="185"/>
        <v>06.12.2019</v>
      </c>
      <c r="E2432" s="1">
        <v>0.875</v>
      </c>
      <c r="F2432" t="s">
        <v>34</v>
      </c>
      <c r="G2432" t="s">
        <v>1425</v>
      </c>
      <c r="H2432" t="s">
        <v>41</v>
      </c>
      <c r="I2432" t="str">
        <f t="shared" si="186"/>
        <v>0-0</v>
      </c>
      <c r="J2432" t="str">
        <f t="shared" si="187"/>
        <v>0</v>
      </c>
      <c r="K2432" t="str">
        <f t="shared" si="188"/>
        <v>0</v>
      </c>
      <c r="L2432" t="str">
        <f t="shared" si="189"/>
        <v>Draw</v>
      </c>
      <c r="M2432" t="str">
        <f>IF(COUNTIF($A$2:A2432,A2432)=1,
     VLOOKUP(A2432,Season_Winners!A:B,2,FALSE),
     "")</f>
        <v/>
      </c>
    </row>
    <row r="2433" spans="1:13" x14ac:dyDescent="0.3">
      <c r="A2433" t="s">
        <v>878</v>
      </c>
      <c r="B2433">
        <v>16</v>
      </c>
      <c r="C2433" t="s">
        <v>928</v>
      </c>
      <c r="D2433" t="str">
        <f t="shared" si="185"/>
        <v>07.12.2019</v>
      </c>
      <c r="E2433" s="1">
        <v>0.54166666666666663</v>
      </c>
      <c r="F2433" t="s">
        <v>25</v>
      </c>
      <c r="G2433" t="s">
        <v>36</v>
      </c>
      <c r="H2433" t="s">
        <v>12</v>
      </c>
      <c r="I2433" t="str">
        <f t="shared" si="186"/>
        <v>2-0</v>
      </c>
      <c r="J2433" t="str">
        <f t="shared" si="187"/>
        <v>2</v>
      </c>
      <c r="K2433" t="str">
        <f t="shared" si="188"/>
        <v>0</v>
      </c>
      <c r="L2433" t="str">
        <f t="shared" si="189"/>
        <v>Real Madrid</v>
      </c>
      <c r="M2433" t="str">
        <f>IF(COUNTIF($A$2:A2433,A2433)=1,
     VLOOKUP(A2433,Season_Winners!A:B,2,FALSE),
     "")</f>
        <v/>
      </c>
    </row>
    <row r="2434" spans="1:13" x14ac:dyDescent="0.3">
      <c r="A2434" t="s">
        <v>878</v>
      </c>
      <c r="B2434">
        <v>16</v>
      </c>
      <c r="C2434" t="s">
        <v>928</v>
      </c>
      <c r="D2434" t="str">
        <f t="shared" ref="D2434:D2497" si="190">RIGHT(C2434,10)</f>
        <v>07.12.2019</v>
      </c>
      <c r="E2434" s="1">
        <v>0.66666666666666663</v>
      </c>
      <c r="F2434" t="s">
        <v>24</v>
      </c>
      <c r="G2434" t="s">
        <v>464</v>
      </c>
      <c r="H2434" t="s">
        <v>32</v>
      </c>
      <c r="I2434" t="str">
        <f t="shared" ref="I2434:I2497" si="191">IF(ISNUMBER(SEARCH("-",H2434)),H2434,"")</f>
        <v>3-0</v>
      </c>
      <c r="J2434" t="str">
        <f t="shared" ref="J2434:J2497" si="192">IF(I2434="","",LEFT(I2434,FIND("-",I2434)-1))</f>
        <v>3</v>
      </c>
      <c r="K2434" t="str">
        <f t="shared" ref="K2434:K2497" si="193">IF(I2434="","",RIGHT(I2434,LEN(I2434)-FIND("-",I2434)))</f>
        <v>0</v>
      </c>
      <c r="L2434" t="str">
        <f t="shared" ref="L2434:L2497" si="194">IF(I2434="","",IF(J2434&gt;K2434,F2434,IF(K2434&gt;J2434,G2434,"Draw")))</f>
        <v>Granada CF</v>
      </c>
      <c r="M2434" t="str">
        <f>IF(COUNTIF($A$2:A2434,A2434)=1,
     VLOOKUP(A2434,Season_Winners!A:B,2,FALSE),
     "")</f>
        <v/>
      </c>
    </row>
    <row r="2435" spans="1:13" hidden="1" x14ac:dyDescent="0.3">
      <c r="A2435" t="s">
        <v>878</v>
      </c>
      <c r="B2435">
        <v>16</v>
      </c>
      <c r="C2435" t="s">
        <v>928</v>
      </c>
      <c r="D2435" t="str">
        <f t="shared" si="190"/>
        <v>07.12.2019</v>
      </c>
      <c r="E2435" s="1">
        <v>0.77083333333333337</v>
      </c>
      <c r="F2435" t="s">
        <v>21</v>
      </c>
      <c r="G2435" t="s">
        <v>16</v>
      </c>
      <c r="H2435" s="2">
        <v>46114</v>
      </c>
      <c r="I2435" s="3" t="str">
        <f t="shared" si="191"/>
        <v/>
      </c>
      <c r="J2435" t="str">
        <f t="shared" si="192"/>
        <v/>
      </c>
      <c r="K2435" t="str">
        <f t="shared" si="193"/>
        <v/>
      </c>
      <c r="L2435" t="str">
        <f t="shared" si="194"/>
        <v/>
      </c>
      <c r="M2435" t="str">
        <f>IF(COUNTIF($A$2:A2435,A2435)=1,
     VLOOKUP(A2435,Season_Winners!A:B,2,FALSE),
     "")</f>
        <v/>
      </c>
    </row>
    <row r="2436" spans="1:13" hidden="1" x14ac:dyDescent="0.3">
      <c r="A2436" t="s">
        <v>878</v>
      </c>
      <c r="B2436">
        <v>16</v>
      </c>
      <c r="C2436" t="s">
        <v>928</v>
      </c>
      <c r="D2436" t="str">
        <f t="shared" si="190"/>
        <v>07.12.2019</v>
      </c>
      <c r="E2436" s="1">
        <v>0.875</v>
      </c>
      <c r="F2436" t="s">
        <v>20</v>
      </c>
      <c r="G2436" t="s">
        <v>881</v>
      </c>
      <c r="H2436" s="2">
        <v>46058</v>
      </c>
      <c r="I2436" s="3" t="str">
        <f t="shared" si="191"/>
        <v/>
      </c>
      <c r="J2436" t="str">
        <f t="shared" si="192"/>
        <v/>
      </c>
      <c r="K2436" t="str">
        <f t="shared" si="193"/>
        <v/>
      </c>
      <c r="L2436" t="str">
        <f t="shared" si="194"/>
        <v/>
      </c>
      <c r="M2436" t="str">
        <f>IF(COUNTIF($A$2:A2436,A2436)=1,
     VLOOKUP(A2436,Season_Winners!A:B,2,FALSE),
     "")</f>
        <v/>
      </c>
    </row>
    <row r="2437" spans="1:13" x14ac:dyDescent="0.3">
      <c r="A2437" t="s">
        <v>878</v>
      </c>
      <c r="B2437">
        <v>16</v>
      </c>
      <c r="C2437" t="s">
        <v>929</v>
      </c>
      <c r="D2437" t="str">
        <f t="shared" si="190"/>
        <v>08.12.2019</v>
      </c>
      <c r="E2437" s="1">
        <v>0.5</v>
      </c>
      <c r="F2437" t="s">
        <v>187</v>
      </c>
      <c r="G2437" t="s">
        <v>11</v>
      </c>
      <c r="H2437" t="s">
        <v>42</v>
      </c>
      <c r="I2437" t="str">
        <f t="shared" si="191"/>
        <v>0-1</v>
      </c>
      <c r="J2437" t="str">
        <f t="shared" si="192"/>
        <v>0</v>
      </c>
      <c r="K2437" t="str">
        <f t="shared" si="193"/>
        <v>1</v>
      </c>
      <c r="L2437" t="str">
        <f t="shared" si="194"/>
        <v>Getafe CF</v>
      </c>
      <c r="M2437" t="str">
        <f>IF(COUNTIF($A$2:A2437,A2437)=1,
     VLOOKUP(A2437,Season_Winners!A:B,2,FALSE),
     "")</f>
        <v/>
      </c>
    </row>
    <row r="2438" spans="1:13" hidden="1" x14ac:dyDescent="0.3">
      <c r="A2438" t="s">
        <v>878</v>
      </c>
      <c r="B2438">
        <v>16</v>
      </c>
      <c r="C2438" t="s">
        <v>929</v>
      </c>
      <c r="D2438" t="str">
        <f t="shared" si="190"/>
        <v>08.12.2019</v>
      </c>
      <c r="E2438" s="1">
        <v>0.58333333333333337</v>
      </c>
      <c r="F2438" t="s">
        <v>26</v>
      </c>
      <c r="G2438" t="s">
        <v>15</v>
      </c>
      <c r="H2438" s="2">
        <v>46056</v>
      </c>
      <c r="I2438" s="3" t="str">
        <f t="shared" si="191"/>
        <v/>
      </c>
      <c r="J2438" t="str">
        <f t="shared" si="192"/>
        <v/>
      </c>
      <c r="K2438" t="str">
        <f t="shared" si="193"/>
        <v/>
      </c>
      <c r="L2438" t="str">
        <f t="shared" si="194"/>
        <v/>
      </c>
      <c r="M2438" t="str">
        <f>IF(COUNTIF($A$2:A2438,A2438)=1,
     VLOOKUP(A2438,Season_Winners!A:B,2,FALSE),
     "")</f>
        <v/>
      </c>
    </row>
    <row r="2439" spans="1:13" x14ac:dyDescent="0.3">
      <c r="A2439" t="s">
        <v>878</v>
      </c>
      <c r="B2439">
        <v>16</v>
      </c>
      <c r="C2439" t="s">
        <v>929</v>
      </c>
      <c r="D2439" t="str">
        <f t="shared" si="190"/>
        <v>08.12.2019</v>
      </c>
      <c r="E2439" s="1">
        <v>0.66666666666666663</v>
      </c>
      <c r="F2439" t="s">
        <v>14</v>
      </c>
      <c r="G2439" t="s">
        <v>10</v>
      </c>
      <c r="H2439" t="s">
        <v>41</v>
      </c>
      <c r="I2439" t="str">
        <f t="shared" si="191"/>
        <v>0-0</v>
      </c>
      <c r="J2439" t="str">
        <f t="shared" si="192"/>
        <v>0</v>
      </c>
      <c r="K2439" t="str">
        <f t="shared" si="193"/>
        <v>0</v>
      </c>
      <c r="L2439" t="str">
        <f t="shared" si="194"/>
        <v>Draw</v>
      </c>
      <c r="M2439" t="str">
        <f>IF(COUNTIF($A$2:A2439,A2439)=1,
     VLOOKUP(A2439,Season_Winners!A:B,2,FALSE),
     "")</f>
        <v/>
      </c>
    </row>
    <row r="2440" spans="1:13" hidden="1" x14ac:dyDescent="0.3">
      <c r="A2440" t="s">
        <v>878</v>
      </c>
      <c r="B2440">
        <v>16</v>
      </c>
      <c r="C2440" t="s">
        <v>929</v>
      </c>
      <c r="D2440" t="str">
        <f t="shared" si="190"/>
        <v>08.12.2019</v>
      </c>
      <c r="E2440" s="1">
        <v>0.77083333333333337</v>
      </c>
      <c r="F2440" t="s">
        <v>466</v>
      </c>
      <c r="G2440" t="s">
        <v>35</v>
      </c>
      <c r="H2440" s="2">
        <v>46056</v>
      </c>
      <c r="I2440" s="3" t="str">
        <f t="shared" si="191"/>
        <v/>
      </c>
      <c r="J2440" t="str">
        <f t="shared" si="192"/>
        <v/>
      </c>
      <c r="K2440" t="str">
        <f t="shared" si="193"/>
        <v/>
      </c>
      <c r="L2440" t="str">
        <f t="shared" si="194"/>
        <v/>
      </c>
      <c r="M2440" t="str">
        <f>IF(COUNTIF($A$2:A2440,A2440)=1,
     VLOOKUP(A2440,Season_Winners!A:B,2,FALSE),
     "")</f>
        <v/>
      </c>
    </row>
    <row r="2441" spans="1:13" hidden="1" x14ac:dyDescent="0.3">
      <c r="A2441" t="s">
        <v>878</v>
      </c>
      <c r="B2441">
        <v>16</v>
      </c>
      <c r="C2441" t="s">
        <v>929</v>
      </c>
      <c r="D2441" t="str">
        <f t="shared" si="190"/>
        <v>08.12.2019</v>
      </c>
      <c r="E2441" s="1">
        <v>0.875</v>
      </c>
      <c r="F2441" t="s">
        <v>23</v>
      </c>
      <c r="G2441" t="s">
        <v>27</v>
      </c>
      <c r="H2441" s="2">
        <v>46023</v>
      </c>
      <c r="I2441" s="3" t="str">
        <f t="shared" si="191"/>
        <v/>
      </c>
      <c r="J2441" t="str">
        <f t="shared" si="192"/>
        <v/>
      </c>
      <c r="K2441" t="str">
        <f t="shared" si="193"/>
        <v/>
      </c>
      <c r="L2441" t="str">
        <f t="shared" si="194"/>
        <v/>
      </c>
      <c r="M2441" t="str">
        <f>IF(COUNTIF($A$2:A2441,A2441)=1,
     VLOOKUP(A2441,Season_Winners!A:B,2,FALSE),
     "")</f>
        <v/>
      </c>
    </row>
    <row r="2442" spans="1:13" hidden="1" x14ac:dyDescent="0.3">
      <c r="A2442" t="s">
        <v>878</v>
      </c>
      <c r="B2442">
        <v>17</v>
      </c>
      <c r="C2442" t="s">
        <v>930</v>
      </c>
      <c r="D2442" t="str">
        <f t="shared" si="190"/>
        <v>13.12.2019</v>
      </c>
      <c r="E2442" s="1">
        <v>0.875</v>
      </c>
      <c r="F2442" t="s">
        <v>464</v>
      </c>
      <c r="G2442" t="s">
        <v>466</v>
      </c>
      <c r="H2442" s="2">
        <v>46023</v>
      </c>
      <c r="I2442" s="3" t="str">
        <f t="shared" si="191"/>
        <v/>
      </c>
      <c r="J2442" t="str">
        <f t="shared" si="192"/>
        <v/>
      </c>
      <c r="K2442" t="str">
        <f t="shared" si="193"/>
        <v/>
      </c>
      <c r="L2442" t="str">
        <f t="shared" si="194"/>
        <v/>
      </c>
      <c r="M2442" t="str">
        <f>IF(COUNTIF($A$2:A2442,A2442)=1,
     VLOOKUP(A2442,Season_Winners!A:B,2,FALSE),
     "")</f>
        <v/>
      </c>
    </row>
    <row r="2443" spans="1:13" hidden="1" x14ac:dyDescent="0.3">
      <c r="A2443" t="s">
        <v>878</v>
      </c>
      <c r="B2443">
        <v>17</v>
      </c>
      <c r="C2443" t="s">
        <v>931</v>
      </c>
      <c r="D2443" t="str">
        <f t="shared" si="190"/>
        <v>14.12.2019</v>
      </c>
      <c r="E2443" s="1">
        <v>0.54166666666666663</v>
      </c>
      <c r="F2443" t="s">
        <v>24</v>
      </c>
      <c r="G2443" t="s">
        <v>21</v>
      </c>
      <c r="H2443" s="2">
        <v>46054</v>
      </c>
      <c r="I2443" s="3" t="str">
        <f t="shared" si="191"/>
        <v/>
      </c>
      <c r="J2443" t="str">
        <f t="shared" si="192"/>
        <v/>
      </c>
      <c r="K2443" t="str">
        <f t="shared" si="193"/>
        <v/>
      </c>
      <c r="L2443" t="str">
        <f t="shared" si="194"/>
        <v/>
      </c>
      <c r="M2443" t="str">
        <f>IF(COUNTIF($A$2:A2443,A2443)=1,
     VLOOKUP(A2443,Season_Winners!A:B,2,FALSE),
     "")</f>
        <v/>
      </c>
    </row>
    <row r="2444" spans="1:13" hidden="1" x14ac:dyDescent="0.3">
      <c r="A2444" t="s">
        <v>878</v>
      </c>
      <c r="B2444">
        <v>17</v>
      </c>
      <c r="C2444" t="s">
        <v>931</v>
      </c>
      <c r="D2444" t="str">
        <f t="shared" si="190"/>
        <v>14.12.2019</v>
      </c>
      <c r="E2444" s="1">
        <v>0.66666666666666663</v>
      </c>
      <c r="F2444" t="s">
        <v>10</v>
      </c>
      <c r="G2444" t="s">
        <v>20</v>
      </c>
      <c r="H2444" s="2">
        <v>46055</v>
      </c>
      <c r="I2444" s="3" t="str">
        <f t="shared" si="191"/>
        <v/>
      </c>
      <c r="J2444" t="str">
        <f t="shared" si="192"/>
        <v/>
      </c>
      <c r="K2444" t="str">
        <f t="shared" si="193"/>
        <v/>
      </c>
      <c r="L2444" t="str">
        <f t="shared" si="194"/>
        <v/>
      </c>
      <c r="M2444" t="str">
        <f>IF(COUNTIF($A$2:A2444,A2444)=1,
     VLOOKUP(A2444,Season_Winners!A:B,2,FALSE),
     "")</f>
        <v/>
      </c>
    </row>
    <row r="2445" spans="1:13" x14ac:dyDescent="0.3">
      <c r="A2445" t="s">
        <v>878</v>
      </c>
      <c r="B2445">
        <v>17</v>
      </c>
      <c r="C2445" t="s">
        <v>931</v>
      </c>
      <c r="D2445" t="str">
        <f t="shared" si="190"/>
        <v>14.12.2019</v>
      </c>
      <c r="E2445" s="1">
        <v>0.77083333333333337</v>
      </c>
      <c r="F2445" t="s">
        <v>15</v>
      </c>
      <c r="G2445" t="s">
        <v>187</v>
      </c>
      <c r="H2445" t="s">
        <v>41</v>
      </c>
      <c r="I2445" t="str">
        <f t="shared" si="191"/>
        <v>0-0</v>
      </c>
      <c r="J2445" t="str">
        <f t="shared" si="192"/>
        <v>0</v>
      </c>
      <c r="K2445" t="str">
        <f t="shared" si="193"/>
        <v>0</v>
      </c>
      <c r="L2445" t="str">
        <f t="shared" si="194"/>
        <v>Draw</v>
      </c>
      <c r="M2445" t="str">
        <f>IF(COUNTIF($A$2:A2445,A2445)=1,
     VLOOKUP(A2445,Season_Winners!A:B,2,FALSE),
     "")</f>
        <v/>
      </c>
    </row>
    <row r="2446" spans="1:13" x14ac:dyDescent="0.3">
      <c r="A2446" t="s">
        <v>878</v>
      </c>
      <c r="B2446">
        <v>17</v>
      </c>
      <c r="C2446" t="s">
        <v>931</v>
      </c>
      <c r="D2446" t="str">
        <f t="shared" si="190"/>
        <v>14.12.2019</v>
      </c>
      <c r="E2446" s="1">
        <v>0.875</v>
      </c>
      <c r="F2446" t="s">
        <v>1425</v>
      </c>
      <c r="G2446" t="s">
        <v>23</v>
      </c>
      <c r="H2446" t="s">
        <v>12</v>
      </c>
      <c r="I2446" t="str">
        <f t="shared" si="191"/>
        <v>2-0</v>
      </c>
      <c r="J2446" t="str">
        <f t="shared" si="192"/>
        <v>2</v>
      </c>
      <c r="K2446" t="str">
        <f t="shared" si="193"/>
        <v>0</v>
      </c>
      <c r="L2446" t="str">
        <f t="shared" si="194"/>
        <v>Atlético de Madrid</v>
      </c>
      <c r="M2446" t="str">
        <f>IF(COUNTIF($A$2:A2446,A2446)=1,
     VLOOKUP(A2446,Season_Winners!A:B,2,FALSE),
     "")</f>
        <v/>
      </c>
    </row>
    <row r="2447" spans="1:13" x14ac:dyDescent="0.3">
      <c r="A2447" t="s">
        <v>878</v>
      </c>
      <c r="B2447">
        <v>17</v>
      </c>
      <c r="C2447" t="s">
        <v>932</v>
      </c>
      <c r="D2447" t="str">
        <f t="shared" si="190"/>
        <v>15.12.2019</v>
      </c>
      <c r="E2447" s="1">
        <v>0.5</v>
      </c>
      <c r="F2447" t="s">
        <v>11</v>
      </c>
      <c r="G2447" t="s">
        <v>14</v>
      </c>
      <c r="H2447" t="s">
        <v>12</v>
      </c>
      <c r="I2447" t="str">
        <f t="shared" si="191"/>
        <v>2-0</v>
      </c>
      <c r="J2447" t="str">
        <f t="shared" si="192"/>
        <v>2</v>
      </c>
      <c r="K2447" t="str">
        <f t="shared" si="193"/>
        <v>0</v>
      </c>
      <c r="L2447" t="str">
        <f t="shared" si="194"/>
        <v>Getafe CF</v>
      </c>
      <c r="M2447" t="str">
        <f>IF(COUNTIF($A$2:A2447,A2447)=1,
     VLOOKUP(A2447,Season_Winners!A:B,2,FALSE),
     "")</f>
        <v/>
      </c>
    </row>
    <row r="2448" spans="1:13" hidden="1" x14ac:dyDescent="0.3">
      <c r="A2448" t="s">
        <v>878</v>
      </c>
      <c r="B2448">
        <v>17</v>
      </c>
      <c r="C2448" t="s">
        <v>932</v>
      </c>
      <c r="D2448" t="str">
        <f t="shared" si="190"/>
        <v>15.12.2019</v>
      </c>
      <c r="E2448" s="1">
        <v>0.58333333333333337</v>
      </c>
      <c r="F2448" t="s">
        <v>35</v>
      </c>
      <c r="G2448" t="s">
        <v>881</v>
      </c>
      <c r="H2448" s="2">
        <v>46055</v>
      </c>
      <c r="I2448" s="3" t="str">
        <f t="shared" si="191"/>
        <v/>
      </c>
      <c r="J2448" t="str">
        <f t="shared" si="192"/>
        <v/>
      </c>
      <c r="K2448" t="str">
        <f t="shared" si="193"/>
        <v/>
      </c>
      <c r="L2448" t="str">
        <f t="shared" si="194"/>
        <v/>
      </c>
      <c r="M2448" t="str">
        <f>IF(COUNTIF($A$2:A2448,A2448)=1,
     VLOOKUP(A2448,Season_Winners!A:B,2,FALSE),
     "")</f>
        <v/>
      </c>
    </row>
    <row r="2449" spans="1:13" hidden="1" x14ac:dyDescent="0.3">
      <c r="A2449" t="s">
        <v>878</v>
      </c>
      <c r="B2449">
        <v>17</v>
      </c>
      <c r="C2449" t="s">
        <v>932</v>
      </c>
      <c r="D2449" t="str">
        <f t="shared" si="190"/>
        <v>15.12.2019</v>
      </c>
      <c r="E2449" s="1">
        <v>0.66666666666666663</v>
      </c>
      <c r="F2449" t="s">
        <v>36</v>
      </c>
      <c r="G2449" t="s">
        <v>26</v>
      </c>
      <c r="H2449" s="2">
        <v>46055</v>
      </c>
      <c r="I2449" s="3" t="str">
        <f t="shared" si="191"/>
        <v/>
      </c>
      <c r="J2449" t="str">
        <f t="shared" si="192"/>
        <v/>
      </c>
      <c r="K2449" t="str">
        <f t="shared" si="193"/>
        <v/>
      </c>
      <c r="L2449" t="str">
        <f t="shared" si="194"/>
        <v/>
      </c>
      <c r="M2449" t="str">
        <f>IF(COUNTIF($A$2:A2449,A2449)=1,
     VLOOKUP(A2449,Season_Winners!A:B,2,FALSE),
     "")</f>
        <v/>
      </c>
    </row>
    <row r="2450" spans="1:13" hidden="1" x14ac:dyDescent="0.3">
      <c r="A2450" t="s">
        <v>878</v>
      </c>
      <c r="B2450">
        <v>17</v>
      </c>
      <c r="C2450" t="s">
        <v>932</v>
      </c>
      <c r="D2450" t="str">
        <f t="shared" si="190"/>
        <v>15.12.2019</v>
      </c>
      <c r="E2450" s="1">
        <v>0.77083333333333337</v>
      </c>
      <c r="F2450" t="s">
        <v>27</v>
      </c>
      <c r="G2450" t="s">
        <v>34</v>
      </c>
      <c r="H2450" s="2">
        <v>46054</v>
      </c>
      <c r="I2450" s="3" t="str">
        <f t="shared" si="191"/>
        <v/>
      </c>
      <c r="J2450" t="str">
        <f t="shared" si="192"/>
        <v/>
      </c>
      <c r="K2450" t="str">
        <f t="shared" si="193"/>
        <v/>
      </c>
      <c r="L2450" t="str">
        <f t="shared" si="194"/>
        <v/>
      </c>
      <c r="M2450" t="str">
        <f>IF(COUNTIF($A$2:A2450,A2450)=1,
     VLOOKUP(A2450,Season_Winners!A:B,2,FALSE),
     "")</f>
        <v/>
      </c>
    </row>
    <row r="2451" spans="1:13" hidden="1" x14ac:dyDescent="0.3">
      <c r="A2451" t="s">
        <v>878</v>
      </c>
      <c r="B2451">
        <v>17</v>
      </c>
      <c r="C2451" t="s">
        <v>932</v>
      </c>
      <c r="D2451" t="str">
        <f t="shared" si="190"/>
        <v>15.12.2019</v>
      </c>
      <c r="E2451" s="1">
        <v>0.875</v>
      </c>
      <c r="F2451" t="s">
        <v>16</v>
      </c>
      <c r="G2451" t="s">
        <v>25</v>
      </c>
      <c r="H2451" s="2">
        <v>46023</v>
      </c>
      <c r="I2451" s="3" t="str">
        <f t="shared" si="191"/>
        <v/>
      </c>
      <c r="J2451" t="str">
        <f t="shared" si="192"/>
        <v/>
      </c>
      <c r="K2451" t="str">
        <f t="shared" si="193"/>
        <v/>
      </c>
      <c r="L2451" t="str">
        <f t="shared" si="194"/>
        <v/>
      </c>
      <c r="M2451" t="str">
        <f>IF(COUNTIF($A$2:A2451,A2451)=1,
     VLOOKUP(A2451,Season_Winners!A:B,2,FALSE),
     "")</f>
        <v/>
      </c>
    </row>
    <row r="2452" spans="1:13" x14ac:dyDescent="0.3">
      <c r="A2452" t="s">
        <v>878</v>
      </c>
      <c r="B2452">
        <v>18</v>
      </c>
      <c r="C2452" t="s">
        <v>933</v>
      </c>
      <c r="D2452" t="str">
        <f t="shared" si="190"/>
        <v>20.12.2019</v>
      </c>
      <c r="E2452" s="1">
        <v>0.875</v>
      </c>
      <c r="F2452" t="s">
        <v>187</v>
      </c>
      <c r="G2452" t="s">
        <v>24</v>
      </c>
      <c r="H2452" t="s">
        <v>32</v>
      </c>
      <c r="I2452" t="str">
        <f t="shared" si="191"/>
        <v>3-0</v>
      </c>
      <c r="J2452" t="str">
        <f t="shared" si="192"/>
        <v>3</v>
      </c>
      <c r="K2452" t="str">
        <f t="shared" si="193"/>
        <v>0</v>
      </c>
      <c r="L2452" t="str">
        <f t="shared" si="194"/>
        <v>SD Eibar</v>
      </c>
      <c r="M2452" t="str">
        <f>IF(COUNTIF($A$2:A2452,A2452)=1,
     VLOOKUP(A2452,Season_Winners!A:B,2,FALSE),
     "")</f>
        <v/>
      </c>
    </row>
    <row r="2453" spans="1:13" x14ac:dyDescent="0.3">
      <c r="A2453" t="s">
        <v>878</v>
      </c>
      <c r="B2453">
        <v>18</v>
      </c>
      <c r="C2453" t="s">
        <v>934</v>
      </c>
      <c r="D2453" t="str">
        <f t="shared" si="190"/>
        <v>21.12.2019</v>
      </c>
      <c r="E2453" s="1">
        <v>0.54166666666666663</v>
      </c>
      <c r="F2453" t="s">
        <v>881</v>
      </c>
      <c r="G2453" t="s">
        <v>27</v>
      </c>
      <c r="H2453" t="s">
        <v>54</v>
      </c>
      <c r="I2453" t="str">
        <f t="shared" si="191"/>
        <v>0-2</v>
      </c>
      <c r="J2453" t="str">
        <f t="shared" si="192"/>
        <v>0</v>
      </c>
      <c r="K2453" t="str">
        <f t="shared" si="193"/>
        <v>2</v>
      </c>
      <c r="L2453" t="str">
        <f t="shared" si="194"/>
        <v>Sevilla FC</v>
      </c>
      <c r="M2453" t="str">
        <f>IF(COUNTIF($A$2:A2453,A2453)=1,
     VLOOKUP(A2453,Season_Winners!A:B,2,FALSE),
     "")</f>
        <v/>
      </c>
    </row>
    <row r="2454" spans="1:13" hidden="1" x14ac:dyDescent="0.3">
      <c r="A2454" t="s">
        <v>878</v>
      </c>
      <c r="B2454">
        <v>18</v>
      </c>
      <c r="C2454" t="s">
        <v>934</v>
      </c>
      <c r="D2454" t="str">
        <f t="shared" si="190"/>
        <v>21.12.2019</v>
      </c>
      <c r="E2454" s="1">
        <v>0.66666666666666663</v>
      </c>
      <c r="F2454" t="s">
        <v>20</v>
      </c>
      <c r="G2454" t="s">
        <v>464</v>
      </c>
      <c r="H2454" s="2">
        <v>46026</v>
      </c>
      <c r="I2454" s="3" t="str">
        <f t="shared" si="191"/>
        <v/>
      </c>
      <c r="J2454" t="str">
        <f t="shared" si="192"/>
        <v/>
      </c>
      <c r="K2454" t="str">
        <f t="shared" si="193"/>
        <v/>
      </c>
      <c r="L2454" t="str">
        <f t="shared" si="194"/>
        <v/>
      </c>
      <c r="M2454" t="str">
        <f>IF(COUNTIF($A$2:A2454,A2454)=1,
     VLOOKUP(A2454,Season_Winners!A:B,2,FALSE),
     "")</f>
        <v/>
      </c>
    </row>
    <row r="2455" spans="1:13" x14ac:dyDescent="0.3">
      <c r="A2455" t="s">
        <v>878</v>
      </c>
      <c r="B2455">
        <v>18</v>
      </c>
      <c r="C2455" t="s">
        <v>934</v>
      </c>
      <c r="D2455" t="str">
        <f t="shared" si="190"/>
        <v>21.12.2019</v>
      </c>
      <c r="E2455" s="1">
        <v>0.77083333333333337</v>
      </c>
      <c r="F2455" t="s">
        <v>34</v>
      </c>
      <c r="G2455" t="s">
        <v>11</v>
      </c>
      <c r="H2455" t="s">
        <v>18</v>
      </c>
      <c r="I2455" t="str">
        <f t="shared" si="191"/>
        <v>1-0</v>
      </c>
      <c r="J2455" t="str">
        <f t="shared" si="192"/>
        <v>1</v>
      </c>
      <c r="K2455" t="str">
        <f t="shared" si="193"/>
        <v>0</v>
      </c>
      <c r="L2455" t="str">
        <f t="shared" si="194"/>
        <v>Villarreal CF</v>
      </c>
      <c r="M2455" t="str">
        <f>IF(COUNTIF($A$2:A2455,A2455)=1,
     VLOOKUP(A2455,Season_Winners!A:B,2,FALSE),
     "")</f>
        <v/>
      </c>
    </row>
    <row r="2456" spans="1:13" hidden="1" x14ac:dyDescent="0.3">
      <c r="A2456" t="s">
        <v>878</v>
      </c>
      <c r="B2456">
        <v>18</v>
      </c>
      <c r="C2456" t="s">
        <v>934</v>
      </c>
      <c r="D2456" t="str">
        <f t="shared" si="190"/>
        <v>21.12.2019</v>
      </c>
      <c r="E2456" s="1">
        <v>0.875</v>
      </c>
      <c r="F2456" t="s">
        <v>14</v>
      </c>
      <c r="G2456" t="s">
        <v>16</v>
      </c>
      <c r="H2456" s="2">
        <v>46023</v>
      </c>
      <c r="I2456" s="3" t="str">
        <f t="shared" si="191"/>
        <v/>
      </c>
      <c r="J2456" t="str">
        <f t="shared" si="192"/>
        <v/>
      </c>
      <c r="K2456" t="str">
        <f t="shared" si="193"/>
        <v/>
      </c>
      <c r="L2456" t="str">
        <f t="shared" si="194"/>
        <v/>
      </c>
      <c r="M2456" t="str">
        <f>IF(COUNTIF($A$2:A2456,A2456)=1,
     VLOOKUP(A2456,Season_Winners!A:B,2,FALSE),
     "")</f>
        <v/>
      </c>
    </row>
    <row r="2457" spans="1:13" x14ac:dyDescent="0.3">
      <c r="A2457" t="s">
        <v>878</v>
      </c>
      <c r="B2457">
        <v>18</v>
      </c>
      <c r="C2457" t="s">
        <v>935</v>
      </c>
      <c r="D2457" t="str">
        <f t="shared" si="190"/>
        <v>22.12.2019</v>
      </c>
      <c r="E2457" s="1">
        <v>0.5</v>
      </c>
      <c r="F2457" t="s">
        <v>466</v>
      </c>
      <c r="G2457" t="s">
        <v>36</v>
      </c>
      <c r="H2457" t="s">
        <v>12</v>
      </c>
      <c r="I2457" t="str">
        <f t="shared" si="191"/>
        <v>2-0</v>
      </c>
      <c r="J2457" t="str">
        <f t="shared" si="192"/>
        <v>2</v>
      </c>
      <c r="K2457" t="str">
        <f t="shared" si="193"/>
        <v>0</v>
      </c>
      <c r="L2457" t="str">
        <f t="shared" si="194"/>
        <v>CD LeganÃ©s</v>
      </c>
      <c r="M2457" t="str">
        <f>IF(COUNTIF($A$2:A2457,A2457)=1,
     VLOOKUP(A2457,Season_Winners!A:B,2,FALSE),
     "")</f>
        <v/>
      </c>
    </row>
    <row r="2458" spans="1:13" hidden="1" x14ac:dyDescent="0.3">
      <c r="A2458" t="s">
        <v>878</v>
      </c>
      <c r="B2458">
        <v>18</v>
      </c>
      <c r="C2458" t="s">
        <v>935</v>
      </c>
      <c r="D2458" t="str">
        <f t="shared" si="190"/>
        <v>22.12.2019</v>
      </c>
      <c r="E2458" s="1">
        <v>0.58333333333333337</v>
      </c>
      <c r="F2458" t="s">
        <v>23</v>
      </c>
      <c r="G2458" t="s">
        <v>10</v>
      </c>
      <c r="H2458" s="2">
        <v>46115</v>
      </c>
      <c r="I2458" s="3" t="str">
        <f t="shared" si="191"/>
        <v/>
      </c>
      <c r="J2458" t="str">
        <f t="shared" si="192"/>
        <v/>
      </c>
      <c r="K2458" t="str">
        <f t="shared" si="193"/>
        <v/>
      </c>
      <c r="L2458" t="str">
        <f t="shared" si="194"/>
        <v/>
      </c>
      <c r="M2458" t="str">
        <f>IF(COUNTIF($A$2:A2458,A2458)=1,
     VLOOKUP(A2458,Season_Winners!A:B,2,FALSE),
     "")</f>
        <v/>
      </c>
    </row>
    <row r="2459" spans="1:13" hidden="1" x14ac:dyDescent="0.3">
      <c r="A2459" t="s">
        <v>878</v>
      </c>
      <c r="B2459">
        <v>18</v>
      </c>
      <c r="C2459" t="s">
        <v>935</v>
      </c>
      <c r="D2459" t="str">
        <f t="shared" si="190"/>
        <v>22.12.2019</v>
      </c>
      <c r="E2459" s="1">
        <v>0.66666666666666663</v>
      </c>
      <c r="F2459" t="s">
        <v>26</v>
      </c>
      <c r="G2459" t="s">
        <v>28</v>
      </c>
      <c r="H2459" s="2">
        <v>46054</v>
      </c>
      <c r="I2459" s="3" t="str">
        <f t="shared" si="191"/>
        <v/>
      </c>
      <c r="J2459" t="str">
        <f t="shared" si="192"/>
        <v/>
      </c>
      <c r="K2459" t="str">
        <f t="shared" si="193"/>
        <v/>
      </c>
      <c r="L2459" t="str">
        <f t="shared" si="194"/>
        <v/>
      </c>
      <c r="M2459" t="str">
        <f>IF(COUNTIF($A$2:A2459,A2459)=1,
     VLOOKUP(A2459,Season_Winners!A:B,2,FALSE),
     "")</f>
        <v/>
      </c>
    </row>
    <row r="2460" spans="1:13" hidden="1" x14ac:dyDescent="0.3">
      <c r="A2460" t="s">
        <v>878</v>
      </c>
      <c r="B2460">
        <v>18</v>
      </c>
      <c r="C2460" t="s">
        <v>935</v>
      </c>
      <c r="D2460" t="str">
        <f t="shared" si="190"/>
        <v>22.12.2019</v>
      </c>
      <c r="E2460" s="1">
        <v>0.77083333333333337</v>
      </c>
      <c r="F2460" t="s">
        <v>21</v>
      </c>
      <c r="G2460" t="s">
        <v>35</v>
      </c>
      <c r="H2460" s="2">
        <v>46025</v>
      </c>
      <c r="I2460" s="3" t="str">
        <f t="shared" si="191"/>
        <v/>
      </c>
      <c r="J2460" t="str">
        <f t="shared" si="192"/>
        <v/>
      </c>
      <c r="K2460" t="str">
        <f t="shared" si="193"/>
        <v/>
      </c>
      <c r="L2460" t="str">
        <f t="shared" si="194"/>
        <v/>
      </c>
      <c r="M2460" t="str">
        <f>IF(COUNTIF($A$2:A2460,A2460)=1,
     VLOOKUP(A2460,Season_Winners!A:B,2,FALSE),
     "")</f>
        <v/>
      </c>
    </row>
    <row r="2461" spans="1:13" x14ac:dyDescent="0.3">
      <c r="A2461" t="s">
        <v>878</v>
      </c>
      <c r="B2461">
        <v>18</v>
      </c>
      <c r="C2461" t="s">
        <v>935</v>
      </c>
      <c r="D2461" t="str">
        <f t="shared" si="190"/>
        <v>22.12.2019</v>
      </c>
      <c r="E2461" s="1">
        <v>0.875</v>
      </c>
      <c r="F2461" t="s">
        <v>25</v>
      </c>
      <c r="G2461" t="s">
        <v>15</v>
      </c>
      <c r="H2461" t="s">
        <v>41</v>
      </c>
      <c r="I2461" t="str">
        <f t="shared" si="191"/>
        <v>0-0</v>
      </c>
      <c r="J2461" t="str">
        <f t="shared" si="192"/>
        <v>0</v>
      </c>
      <c r="K2461" t="str">
        <f t="shared" si="193"/>
        <v>0</v>
      </c>
      <c r="L2461" t="str">
        <f t="shared" si="194"/>
        <v>Draw</v>
      </c>
      <c r="M2461" t="str">
        <f>IF(COUNTIF($A$2:A2461,A2461)=1,
     VLOOKUP(A2461,Season_Winners!A:B,2,FALSE),
     "")</f>
        <v/>
      </c>
    </row>
    <row r="2462" spans="1:13" hidden="1" x14ac:dyDescent="0.3">
      <c r="A2462" t="s">
        <v>878</v>
      </c>
      <c r="B2462">
        <v>19</v>
      </c>
      <c r="C2462" t="s">
        <v>936</v>
      </c>
      <c r="D2462" t="str">
        <f t="shared" si="190"/>
        <v>03.01.2020</v>
      </c>
      <c r="E2462" s="1">
        <v>0.79166666666666663</v>
      </c>
      <c r="F2462" t="s">
        <v>14</v>
      </c>
      <c r="G2462" t="s">
        <v>466</v>
      </c>
      <c r="H2462" s="2">
        <v>46055</v>
      </c>
      <c r="I2462" s="3" t="str">
        <f t="shared" si="191"/>
        <v/>
      </c>
      <c r="J2462" t="str">
        <f t="shared" si="192"/>
        <v/>
      </c>
      <c r="K2462" t="str">
        <f t="shared" si="193"/>
        <v/>
      </c>
      <c r="L2462" t="str">
        <f t="shared" si="194"/>
        <v/>
      </c>
      <c r="M2462" t="str">
        <f>IF(COUNTIF($A$2:A2462,A2462)=1,
     VLOOKUP(A2462,Season_Winners!A:B,2,FALSE),
     "")</f>
        <v/>
      </c>
    </row>
    <row r="2463" spans="1:13" hidden="1" x14ac:dyDescent="0.3">
      <c r="A2463" t="s">
        <v>878</v>
      </c>
      <c r="B2463">
        <v>19</v>
      </c>
      <c r="C2463" t="s">
        <v>936</v>
      </c>
      <c r="D2463" t="str">
        <f t="shared" si="190"/>
        <v>03.01.2020</v>
      </c>
      <c r="E2463" s="1">
        <v>0.875</v>
      </c>
      <c r="F2463" t="s">
        <v>27</v>
      </c>
      <c r="G2463" t="s">
        <v>15</v>
      </c>
      <c r="H2463" s="2">
        <v>46023</v>
      </c>
      <c r="I2463" s="3" t="str">
        <f t="shared" si="191"/>
        <v/>
      </c>
      <c r="J2463" t="str">
        <f t="shared" si="192"/>
        <v/>
      </c>
      <c r="K2463" t="str">
        <f t="shared" si="193"/>
        <v/>
      </c>
      <c r="L2463" t="str">
        <f t="shared" si="194"/>
        <v/>
      </c>
      <c r="M2463" t="str">
        <f>IF(COUNTIF($A$2:A2463,A2463)=1,
     VLOOKUP(A2463,Season_Winners!A:B,2,FALSE),
     "")</f>
        <v/>
      </c>
    </row>
    <row r="2464" spans="1:13" x14ac:dyDescent="0.3">
      <c r="A2464" t="s">
        <v>878</v>
      </c>
      <c r="B2464">
        <v>19</v>
      </c>
      <c r="C2464" t="s">
        <v>937</v>
      </c>
      <c r="D2464" t="str">
        <f t="shared" si="190"/>
        <v>04.01.2020</v>
      </c>
      <c r="E2464" s="1">
        <v>0.54166666666666663</v>
      </c>
      <c r="F2464" t="s">
        <v>16</v>
      </c>
      <c r="G2464" t="s">
        <v>187</v>
      </c>
      <c r="H2464" t="s">
        <v>18</v>
      </c>
      <c r="I2464" t="str">
        <f t="shared" si="191"/>
        <v>1-0</v>
      </c>
      <c r="J2464" t="str">
        <f t="shared" si="192"/>
        <v>1</v>
      </c>
      <c r="K2464" t="str">
        <f t="shared" si="193"/>
        <v>0</v>
      </c>
      <c r="L2464" t="str">
        <f t="shared" si="194"/>
        <v>Valencia CF</v>
      </c>
      <c r="M2464" t="str">
        <f>IF(COUNTIF($A$2:A2464,A2464)=1,
     VLOOKUP(A2464,Season_Winners!A:B,2,FALSE),
     "")</f>
        <v/>
      </c>
    </row>
    <row r="2465" spans="1:13" x14ac:dyDescent="0.3">
      <c r="A2465" t="s">
        <v>878</v>
      </c>
      <c r="B2465">
        <v>19</v>
      </c>
      <c r="C2465" t="s">
        <v>937</v>
      </c>
      <c r="D2465" t="str">
        <f t="shared" si="190"/>
        <v>04.01.2020</v>
      </c>
      <c r="E2465" s="1">
        <v>0.66666666666666663</v>
      </c>
      <c r="F2465" t="s">
        <v>11</v>
      </c>
      <c r="G2465" t="s">
        <v>25</v>
      </c>
      <c r="H2465" t="s">
        <v>46</v>
      </c>
      <c r="I2465" t="str">
        <f t="shared" si="191"/>
        <v>0-3</v>
      </c>
      <c r="J2465" t="str">
        <f t="shared" si="192"/>
        <v>0</v>
      </c>
      <c r="K2465" t="str">
        <f t="shared" si="193"/>
        <v>3</v>
      </c>
      <c r="L2465" t="str">
        <f t="shared" si="194"/>
        <v>Real Madrid</v>
      </c>
      <c r="M2465" t="str">
        <f>IF(COUNTIF($A$2:A2465,A2465)=1,
     VLOOKUP(A2465,Season_Winners!A:B,2,FALSE),
     "")</f>
        <v/>
      </c>
    </row>
    <row r="2466" spans="1:13" hidden="1" x14ac:dyDescent="0.3">
      <c r="A2466" t="s">
        <v>878</v>
      </c>
      <c r="B2466">
        <v>19</v>
      </c>
      <c r="C2466" t="s">
        <v>937</v>
      </c>
      <c r="D2466" t="str">
        <f t="shared" si="190"/>
        <v>04.01.2020</v>
      </c>
      <c r="E2466" s="1">
        <v>0.77083333333333337</v>
      </c>
      <c r="F2466" t="s">
        <v>28</v>
      </c>
      <c r="G2466" t="s">
        <v>21</v>
      </c>
      <c r="H2466" s="2">
        <v>46024</v>
      </c>
      <c r="I2466" s="3" t="str">
        <f t="shared" si="191"/>
        <v/>
      </c>
      <c r="J2466" t="str">
        <f t="shared" si="192"/>
        <v/>
      </c>
      <c r="K2466" t="str">
        <f t="shared" si="193"/>
        <v/>
      </c>
      <c r="L2466" t="str">
        <f t="shared" si="194"/>
        <v/>
      </c>
      <c r="M2466" t="str">
        <f>IF(COUNTIF($A$2:A2466,A2466)=1,
     VLOOKUP(A2466,Season_Winners!A:B,2,FALSE),
     "")</f>
        <v/>
      </c>
    </row>
    <row r="2467" spans="1:13" hidden="1" x14ac:dyDescent="0.3">
      <c r="A2467" t="s">
        <v>878</v>
      </c>
      <c r="B2467">
        <v>19</v>
      </c>
      <c r="C2467" t="s">
        <v>937</v>
      </c>
      <c r="D2467" t="str">
        <f t="shared" si="190"/>
        <v>04.01.2020</v>
      </c>
      <c r="E2467" s="1">
        <v>0.875</v>
      </c>
      <c r="F2467" t="s">
        <v>36</v>
      </c>
      <c r="G2467" t="s">
        <v>20</v>
      </c>
      <c r="H2467" s="2">
        <v>46055</v>
      </c>
      <c r="I2467" s="3" t="str">
        <f t="shared" si="191"/>
        <v/>
      </c>
      <c r="J2467" t="str">
        <f t="shared" si="192"/>
        <v/>
      </c>
      <c r="K2467" t="str">
        <f t="shared" si="193"/>
        <v/>
      </c>
      <c r="L2467" t="str">
        <f t="shared" si="194"/>
        <v/>
      </c>
      <c r="M2467" t="str">
        <f>IF(COUNTIF($A$2:A2467,A2467)=1,
     VLOOKUP(A2467,Season_Winners!A:B,2,FALSE),
     "")</f>
        <v/>
      </c>
    </row>
    <row r="2468" spans="1:13" x14ac:dyDescent="0.3">
      <c r="A2468" t="s">
        <v>878</v>
      </c>
      <c r="B2468">
        <v>19</v>
      </c>
      <c r="C2468" t="s">
        <v>938</v>
      </c>
      <c r="D2468" t="str">
        <f t="shared" si="190"/>
        <v>05.01.2020</v>
      </c>
      <c r="E2468" s="1">
        <v>0.5</v>
      </c>
      <c r="F2468" t="s">
        <v>24</v>
      </c>
      <c r="G2468" t="s">
        <v>881</v>
      </c>
      <c r="H2468" t="s">
        <v>18</v>
      </c>
      <c r="I2468" t="str">
        <f t="shared" si="191"/>
        <v>1-0</v>
      </c>
      <c r="J2468" t="str">
        <f t="shared" si="192"/>
        <v>1</v>
      </c>
      <c r="K2468" t="str">
        <f t="shared" si="193"/>
        <v>0</v>
      </c>
      <c r="L2468" t="str">
        <f t="shared" si="194"/>
        <v>Granada CF</v>
      </c>
      <c r="M2468" t="str">
        <f>IF(COUNTIF($A$2:A2468,A2468)=1,
     VLOOKUP(A2468,Season_Winners!A:B,2,FALSE),
     "")</f>
        <v/>
      </c>
    </row>
    <row r="2469" spans="1:13" hidden="1" x14ac:dyDescent="0.3">
      <c r="A2469" t="s">
        <v>878</v>
      </c>
      <c r="B2469">
        <v>19</v>
      </c>
      <c r="C2469" t="s">
        <v>938</v>
      </c>
      <c r="D2469" t="str">
        <f t="shared" si="190"/>
        <v>05.01.2020</v>
      </c>
      <c r="E2469" s="1">
        <v>0.58333333333333337</v>
      </c>
      <c r="F2469" t="s">
        <v>10</v>
      </c>
      <c r="G2469" t="s">
        <v>34</v>
      </c>
      <c r="H2469" s="2">
        <v>46054</v>
      </c>
      <c r="I2469" s="3" t="str">
        <f t="shared" si="191"/>
        <v/>
      </c>
      <c r="J2469" t="str">
        <f t="shared" si="192"/>
        <v/>
      </c>
      <c r="K2469" t="str">
        <f t="shared" si="193"/>
        <v/>
      </c>
      <c r="L2469" t="str">
        <f t="shared" si="194"/>
        <v/>
      </c>
      <c r="M2469" t="str">
        <f>IF(COUNTIF($A$2:A2469,A2469)=1,
     VLOOKUP(A2469,Season_Winners!A:B,2,FALSE),
     "")</f>
        <v/>
      </c>
    </row>
    <row r="2470" spans="1:13" hidden="1" x14ac:dyDescent="0.3">
      <c r="A2470" t="s">
        <v>878</v>
      </c>
      <c r="B2470">
        <v>19</v>
      </c>
      <c r="C2470" t="s">
        <v>938</v>
      </c>
      <c r="D2470" t="str">
        <f t="shared" si="190"/>
        <v>05.01.2020</v>
      </c>
      <c r="E2470" s="1">
        <v>0.66666666666666663</v>
      </c>
      <c r="F2470" t="s">
        <v>464</v>
      </c>
      <c r="G2470" t="s">
        <v>26</v>
      </c>
      <c r="H2470" s="2">
        <v>46023</v>
      </c>
      <c r="I2470" s="3" t="str">
        <f t="shared" si="191"/>
        <v/>
      </c>
      <c r="J2470" t="str">
        <f t="shared" si="192"/>
        <v/>
      </c>
      <c r="K2470" t="str">
        <f t="shared" si="193"/>
        <v/>
      </c>
      <c r="L2470" t="str">
        <f t="shared" si="194"/>
        <v/>
      </c>
      <c r="M2470" t="str">
        <f>IF(COUNTIF($A$2:A2470,A2470)=1,
     VLOOKUP(A2470,Season_Winners!A:B,2,FALSE),
     "")</f>
        <v/>
      </c>
    </row>
    <row r="2471" spans="1:13" hidden="1" x14ac:dyDescent="0.3">
      <c r="A2471" t="s">
        <v>878</v>
      </c>
      <c r="B2471">
        <v>19</v>
      </c>
      <c r="C2471" t="s">
        <v>938</v>
      </c>
      <c r="D2471" t="str">
        <f t="shared" si="190"/>
        <v>05.01.2020</v>
      </c>
      <c r="E2471" s="1">
        <v>0.875</v>
      </c>
      <c r="F2471" t="s">
        <v>35</v>
      </c>
      <c r="G2471" t="s">
        <v>23</v>
      </c>
      <c r="H2471" s="2">
        <v>46023</v>
      </c>
      <c r="I2471" s="3" t="str">
        <f t="shared" si="191"/>
        <v/>
      </c>
      <c r="J2471" t="str">
        <f t="shared" si="192"/>
        <v/>
      </c>
      <c r="K2471" t="str">
        <f t="shared" si="193"/>
        <v/>
      </c>
      <c r="L2471" t="str">
        <f t="shared" si="194"/>
        <v/>
      </c>
      <c r="M2471" t="str">
        <f>IF(COUNTIF($A$2:A2471,A2471)=1,
     VLOOKUP(A2471,Season_Winners!A:B,2,FALSE),
     "")</f>
        <v/>
      </c>
    </row>
    <row r="2472" spans="1:13" x14ac:dyDescent="0.3">
      <c r="A2472" t="s">
        <v>878</v>
      </c>
      <c r="B2472">
        <v>20</v>
      </c>
      <c r="C2472" t="s">
        <v>939</v>
      </c>
      <c r="D2472" t="str">
        <f t="shared" si="190"/>
        <v>17.01.2020</v>
      </c>
      <c r="E2472" s="1">
        <v>0.875</v>
      </c>
      <c r="F2472" t="s">
        <v>466</v>
      </c>
      <c r="G2472" t="s">
        <v>11</v>
      </c>
      <c r="H2472" t="s">
        <v>46</v>
      </c>
      <c r="I2472" t="str">
        <f t="shared" si="191"/>
        <v>0-3</v>
      </c>
      <c r="J2472" t="str">
        <f t="shared" si="192"/>
        <v>0</v>
      </c>
      <c r="K2472" t="str">
        <f t="shared" si="193"/>
        <v>3</v>
      </c>
      <c r="L2472" t="str">
        <f t="shared" si="194"/>
        <v>Getafe CF</v>
      </c>
      <c r="M2472" t="str">
        <f>IF(COUNTIF($A$2:A2472,A2472)=1,
     VLOOKUP(A2472,Season_Winners!A:B,2,FALSE),
     "")</f>
        <v/>
      </c>
    </row>
    <row r="2473" spans="1:13" x14ac:dyDescent="0.3">
      <c r="A2473" t="s">
        <v>878</v>
      </c>
      <c r="B2473">
        <v>20</v>
      </c>
      <c r="C2473" t="s">
        <v>940</v>
      </c>
      <c r="D2473" t="str">
        <f t="shared" si="190"/>
        <v>18.01.2020</v>
      </c>
      <c r="E2473" s="1">
        <v>0.54166666666666663</v>
      </c>
      <c r="F2473" t="s">
        <v>21</v>
      </c>
      <c r="G2473" t="s">
        <v>464</v>
      </c>
      <c r="H2473" t="s">
        <v>42</v>
      </c>
      <c r="I2473" t="str">
        <f t="shared" si="191"/>
        <v>0-1</v>
      </c>
      <c r="J2473" t="str">
        <f t="shared" si="192"/>
        <v>0</v>
      </c>
      <c r="K2473" t="str">
        <f t="shared" si="193"/>
        <v>1</v>
      </c>
      <c r="L2473" t="str">
        <f t="shared" si="194"/>
        <v>Deportivo AlavÃ©s</v>
      </c>
      <c r="M2473" t="str">
        <f>IF(COUNTIF($A$2:A2473,A2473)=1,
     VLOOKUP(A2473,Season_Winners!A:B,2,FALSE),
     "")</f>
        <v/>
      </c>
    </row>
    <row r="2474" spans="1:13" hidden="1" x14ac:dyDescent="0.3">
      <c r="A2474" t="s">
        <v>878</v>
      </c>
      <c r="B2474">
        <v>20</v>
      </c>
      <c r="C2474" t="s">
        <v>940</v>
      </c>
      <c r="D2474" t="str">
        <f t="shared" si="190"/>
        <v>18.01.2020</v>
      </c>
      <c r="E2474" s="1">
        <v>0.66666666666666663</v>
      </c>
      <c r="F2474" t="s">
        <v>25</v>
      </c>
      <c r="G2474" t="s">
        <v>27</v>
      </c>
      <c r="H2474" s="2">
        <v>46024</v>
      </c>
      <c r="I2474" s="3" t="str">
        <f t="shared" si="191"/>
        <v/>
      </c>
      <c r="J2474" t="str">
        <f t="shared" si="192"/>
        <v/>
      </c>
      <c r="K2474" t="str">
        <f t="shared" si="193"/>
        <v/>
      </c>
      <c r="L2474" t="str">
        <f t="shared" si="194"/>
        <v/>
      </c>
      <c r="M2474" t="str">
        <f>IF(COUNTIF($A$2:A2474,A2474)=1,
     VLOOKUP(A2474,Season_Winners!A:B,2,FALSE),
     "")</f>
        <v/>
      </c>
    </row>
    <row r="2475" spans="1:13" x14ac:dyDescent="0.3">
      <c r="A2475" t="s">
        <v>878</v>
      </c>
      <c r="B2475">
        <v>20</v>
      </c>
      <c r="C2475" t="s">
        <v>940</v>
      </c>
      <c r="D2475" t="str">
        <f t="shared" si="190"/>
        <v>18.01.2020</v>
      </c>
      <c r="E2475" s="1">
        <v>0.77083333333333337</v>
      </c>
      <c r="F2475" t="s">
        <v>23</v>
      </c>
      <c r="G2475" t="s">
        <v>14</v>
      </c>
      <c r="H2475" t="s">
        <v>41</v>
      </c>
      <c r="I2475" t="str">
        <f t="shared" si="191"/>
        <v>0-0</v>
      </c>
      <c r="J2475" t="str">
        <f t="shared" si="192"/>
        <v>0</v>
      </c>
      <c r="K2475" t="str">
        <f t="shared" si="193"/>
        <v>0</v>
      </c>
      <c r="L2475" t="str">
        <f t="shared" si="194"/>
        <v>Draw</v>
      </c>
      <c r="M2475" t="str">
        <f>IF(COUNTIF($A$2:A2475,A2475)=1,
     VLOOKUP(A2475,Season_Winners!A:B,2,FALSE),
     "")</f>
        <v/>
      </c>
    </row>
    <row r="2476" spans="1:13" x14ac:dyDescent="0.3">
      <c r="A2476" t="s">
        <v>878</v>
      </c>
      <c r="B2476">
        <v>20</v>
      </c>
      <c r="C2476" t="s">
        <v>940</v>
      </c>
      <c r="D2476" t="str">
        <f t="shared" si="190"/>
        <v>18.01.2020</v>
      </c>
      <c r="E2476" s="1">
        <v>0.875</v>
      </c>
      <c r="F2476" t="s">
        <v>187</v>
      </c>
      <c r="G2476" t="s">
        <v>1425</v>
      </c>
      <c r="H2476" t="s">
        <v>12</v>
      </c>
      <c r="I2476" t="str">
        <f t="shared" si="191"/>
        <v>2-0</v>
      </c>
      <c r="J2476" t="str">
        <f t="shared" si="192"/>
        <v>2</v>
      </c>
      <c r="K2476" t="str">
        <f t="shared" si="193"/>
        <v>0</v>
      </c>
      <c r="L2476" t="str">
        <f t="shared" si="194"/>
        <v>SD Eibar</v>
      </c>
      <c r="M2476" t="str">
        <f>IF(COUNTIF($A$2:A2476,A2476)=1,
     VLOOKUP(A2476,Season_Winners!A:B,2,FALSE),
     "")</f>
        <v/>
      </c>
    </row>
    <row r="2477" spans="1:13" hidden="1" x14ac:dyDescent="0.3">
      <c r="A2477" t="s">
        <v>878</v>
      </c>
      <c r="B2477">
        <v>20</v>
      </c>
      <c r="C2477" t="s">
        <v>941</v>
      </c>
      <c r="D2477" t="str">
        <f t="shared" si="190"/>
        <v>19.01.2020</v>
      </c>
      <c r="E2477" s="1">
        <v>0.5</v>
      </c>
      <c r="F2477" t="s">
        <v>881</v>
      </c>
      <c r="G2477" t="s">
        <v>16</v>
      </c>
      <c r="H2477" s="2">
        <v>46026</v>
      </c>
      <c r="I2477" s="3" t="str">
        <f t="shared" si="191"/>
        <v/>
      </c>
      <c r="J2477" t="str">
        <f t="shared" si="192"/>
        <v/>
      </c>
      <c r="K2477" t="str">
        <f t="shared" si="193"/>
        <v/>
      </c>
      <c r="L2477" t="str">
        <f t="shared" si="194"/>
        <v/>
      </c>
      <c r="M2477" t="str">
        <f>IF(COUNTIF($A$2:A2477,A2477)=1,
     VLOOKUP(A2477,Season_Winners!A:B,2,FALSE),
     "")</f>
        <v/>
      </c>
    </row>
    <row r="2478" spans="1:13" x14ac:dyDescent="0.3">
      <c r="A2478" t="s">
        <v>878</v>
      </c>
      <c r="B2478">
        <v>20</v>
      </c>
      <c r="C2478" t="s">
        <v>941</v>
      </c>
      <c r="D2478" t="str">
        <f t="shared" si="190"/>
        <v>19.01.2020</v>
      </c>
      <c r="E2478" s="1">
        <v>0.58333333333333337</v>
      </c>
      <c r="F2478" t="s">
        <v>26</v>
      </c>
      <c r="G2478" t="s">
        <v>10</v>
      </c>
      <c r="H2478" t="s">
        <v>32</v>
      </c>
      <c r="I2478" t="str">
        <f t="shared" si="191"/>
        <v>3-0</v>
      </c>
      <c r="J2478" t="str">
        <f t="shared" si="192"/>
        <v>3</v>
      </c>
      <c r="K2478" t="str">
        <f t="shared" si="193"/>
        <v>0</v>
      </c>
      <c r="L2478" t="str">
        <f t="shared" si="194"/>
        <v>Real Betis</v>
      </c>
      <c r="M2478" t="str">
        <f>IF(COUNTIF($A$2:A2478,A2478)=1,
     VLOOKUP(A2478,Season_Winners!A:B,2,FALSE),
     "")</f>
        <v/>
      </c>
    </row>
    <row r="2479" spans="1:13" hidden="1" x14ac:dyDescent="0.3">
      <c r="A2479" t="s">
        <v>878</v>
      </c>
      <c r="B2479">
        <v>20</v>
      </c>
      <c r="C2479" t="s">
        <v>941</v>
      </c>
      <c r="D2479" t="str">
        <f t="shared" si="190"/>
        <v>19.01.2020</v>
      </c>
      <c r="E2479" s="1">
        <v>0.66666666666666663</v>
      </c>
      <c r="F2479" t="s">
        <v>34</v>
      </c>
      <c r="G2479" t="s">
        <v>36</v>
      </c>
      <c r="H2479" s="2">
        <v>46054</v>
      </c>
      <c r="I2479" s="3" t="str">
        <f t="shared" si="191"/>
        <v/>
      </c>
      <c r="J2479" t="str">
        <f t="shared" si="192"/>
        <v/>
      </c>
      <c r="K2479" t="str">
        <f t="shared" si="193"/>
        <v/>
      </c>
      <c r="L2479" t="str">
        <f t="shared" si="194"/>
        <v/>
      </c>
      <c r="M2479" t="str">
        <f>IF(COUNTIF($A$2:A2479,A2479)=1,
     VLOOKUP(A2479,Season_Winners!A:B,2,FALSE),
     "")</f>
        <v/>
      </c>
    </row>
    <row r="2480" spans="1:13" hidden="1" x14ac:dyDescent="0.3">
      <c r="A2480" t="s">
        <v>878</v>
      </c>
      <c r="B2480">
        <v>20</v>
      </c>
      <c r="C2480" t="s">
        <v>941</v>
      </c>
      <c r="D2480" t="str">
        <f t="shared" si="190"/>
        <v>19.01.2020</v>
      </c>
      <c r="E2480" s="1">
        <v>0.77083333333333337</v>
      </c>
      <c r="F2480" t="s">
        <v>15</v>
      </c>
      <c r="G2480" t="s">
        <v>35</v>
      </c>
      <c r="H2480" s="2">
        <v>46023</v>
      </c>
      <c r="I2480" s="3" t="str">
        <f t="shared" si="191"/>
        <v/>
      </c>
      <c r="J2480" t="str">
        <f t="shared" si="192"/>
        <v/>
      </c>
      <c r="K2480" t="str">
        <f t="shared" si="193"/>
        <v/>
      </c>
      <c r="L2480" t="str">
        <f t="shared" si="194"/>
        <v/>
      </c>
      <c r="M2480" t="str">
        <f>IF(COUNTIF($A$2:A2480,A2480)=1,
     VLOOKUP(A2480,Season_Winners!A:B,2,FALSE),
     "")</f>
        <v/>
      </c>
    </row>
    <row r="2481" spans="1:13" x14ac:dyDescent="0.3">
      <c r="A2481" t="s">
        <v>878</v>
      </c>
      <c r="B2481">
        <v>20</v>
      </c>
      <c r="C2481" t="s">
        <v>941</v>
      </c>
      <c r="D2481" t="str">
        <f t="shared" si="190"/>
        <v>19.01.2020</v>
      </c>
      <c r="E2481" s="1">
        <v>0.875</v>
      </c>
      <c r="F2481" t="s">
        <v>20</v>
      </c>
      <c r="G2481" t="s">
        <v>24</v>
      </c>
      <c r="H2481" t="s">
        <v>18</v>
      </c>
      <c r="I2481" t="str">
        <f t="shared" si="191"/>
        <v>1-0</v>
      </c>
      <c r="J2481" t="str">
        <f t="shared" si="192"/>
        <v>1</v>
      </c>
      <c r="K2481" t="str">
        <f t="shared" si="193"/>
        <v>0</v>
      </c>
      <c r="L2481" t="str">
        <f t="shared" si="194"/>
        <v>FC Barcelona</v>
      </c>
      <c r="M2481" t="str">
        <f>IF(COUNTIF($A$2:A2481,A2481)=1,
     VLOOKUP(A2481,Season_Winners!A:B,2,FALSE),
     "")</f>
        <v/>
      </c>
    </row>
    <row r="2482" spans="1:13" x14ac:dyDescent="0.3">
      <c r="A2482" t="s">
        <v>878</v>
      </c>
      <c r="B2482">
        <v>21</v>
      </c>
      <c r="C2482" t="s">
        <v>942</v>
      </c>
      <c r="D2482" t="str">
        <f t="shared" si="190"/>
        <v>24.01.2020</v>
      </c>
      <c r="E2482" s="1">
        <v>0.875</v>
      </c>
      <c r="F2482" t="s">
        <v>23</v>
      </c>
      <c r="G2482" t="s">
        <v>21</v>
      </c>
      <c r="H2482" t="s">
        <v>12</v>
      </c>
      <c r="I2482" t="str">
        <f t="shared" si="191"/>
        <v>2-0</v>
      </c>
      <c r="J2482" t="str">
        <f t="shared" si="192"/>
        <v>2</v>
      </c>
      <c r="K2482" t="str">
        <f t="shared" si="193"/>
        <v>0</v>
      </c>
      <c r="L2482" t="str">
        <f t="shared" si="194"/>
        <v>CA Osasuna</v>
      </c>
      <c r="M2482" t="str">
        <f>IF(COUNTIF($A$2:A2482,A2482)=1,
     VLOOKUP(A2482,Season_Winners!A:B,2,FALSE),
     "")</f>
        <v/>
      </c>
    </row>
    <row r="2483" spans="1:13" hidden="1" x14ac:dyDescent="0.3">
      <c r="A2483" t="s">
        <v>878</v>
      </c>
      <c r="B2483">
        <v>21</v>
      </c>
      <c r="C2483" t="s">
        <v>943</v>
      </c>
      <c r="D2483" t="str">
        <f t="shared" si="190"/>
        <v>25.01.2020</v>
      </c>
      <c r="E2483" s="1">
        <v>0.54166666666666663</v>
      </c>
      <c r="F2483" t="s">
        <v>36</v>
      </c>
      <c r="G2483" t="s">
        <v>15</v>
      </c>
      <c r="H2483" s="2">
        <v>46023</v>
      </c>
      <c r="I2483" s="3" t="str">
        <f t="shared" si="191"/>
        <v/>
      </c>
      <c r="J2483" t="str">
        <f t="shared" si="192"/>
        <v/>
      </c>
      <c r="K2483" t="str">
        <f t="shared" si="193"/>
        <v/>
      </c>
      <c r="L2483" t="str">
        <f t="shared" si="194"/>
        <v/>
      </c>
      <c r="M2483" t="str">
        <f>IF(COUNTIF($A$2:A2483,A2483)=1,
     VLOOKUP(A2483,Season_Winners!A:B,2,FALSE),
     "")</f>
        <v/>
      </c>
    </row>
    <row r="2484" spans="1:13" x14ac:dyDescent="0.3">
      <c r="A2484" t="s">
        <v>878</v>
      </c>
      <c r="B2484">
        <v>21</v>
      </c>
      <c r="C2484" t="s">
        <v>943</v>
      </c>
      <c r="D2484" t="str">
        <f t="shared" si="190"/>
        <v>25.01.2020</v>
      </c>
      <c r="E2484" s="1">
        <v>0.66666666666666663</v>
      </c>
      <c r="F2484" t="s">
        <v>16</v>
      </c>
      <c r="G2484" t="s">
        <v>20</v>
      </c>
      <c r="H2484" t="s">
        <v>12</v>
      </c>
      <c r="I2484" t="str">
        <f t="shared" si="191"/>
        <v>2-0</v>
      </c>
      <c r="J2484" t="str">
        <f t="shared" si="192"/>
        <v>2</v>
      </c>
      <c r="K2484" t="str">
        <f t="shared" si="193"/>
        <v>0</v>
      </c>
      <c r="L2484" t="str">
        <f t="shared" si="194"/>
        <v>Valencia CF</v>
      </c>
      <c r="M2484" t="str">
        <f>IF(COUNTIF($A$2:A2484,A2484)=1,
     VLOOKUP(A2484,Season_Winners!A:B,2,FALSE),
     "")</f>
        <v/>
      </c>
    </row>
    <row r="2485" spans="1:13" hidden="1" x14ac:dyDescent="0.3">
      <c r="A2485" t="s">
        <v>878</v>
      </c>
      <c r="B2485">
        <v>21</v>
      </c>
      <c r="C2485" t="s">
        <v>943</v>
      </c>
      <c r="D2485" t="str">
        <f t="shared" si="190"/>
        <v>25.01.2020</v>
      </c>
      <c r="E2485" s="1">
        <v>0.77083333333333337</v>
      </c>
      <c r="F2485" t="s">
        <v>464</v>
      </c>
      <c r="G2485" t="s">
        <v>34</v>
      </c>
      <c r="H2485" s="2">
        <v>46054</v>
      </c>
      <c r="I2485" s="3" t="str">
        <f t="shared" si="191"/>
        <v/>
      </c>
      <c r="J2485" t="str">
        <f t="shared" si="192"/>
        <v/>
      </c>
      <c r="K2485" t="str">
        <f t="shared" si="193"/>
        <v/>
      </c>
      <c r="L2485" t="str">
        <f t="shared" si="194"/>
        <v/>
      </c>
      <c r="M2485" t="str">
        <f>IF(COUNTIF($A$2:A2485,A2485)=1,
     VLOOKUP(A2485,Season_Winners!A:B,2,FALSE),
     "")</f>
        <v/>
      </c>
    </row>
    <row r="2486" spans="1:13" x14ac:dyDescent="0.3">
      <c r="A2486" t="s">
        <v>878</v>
      </c>
      <c r="B2486">
        <v>21</v>
      </c>
      <c r="C2486" t="s">
        <v>943</v>
      </c>
      <c r="D2486" t="str">
        <f t="shared" si="190"/>
        <v>25.01.2020</v>
      </c>
      <c r="E2486" s="1">
        <v>0.875</v>
      </c>
      <c r="F2486" t="s">
        <v>27</v>
      </c>
      <c r="G2486" t="s">
        <v>24</v>
      </c>
      <c r="H2486" t="s">
        <v>12</v>
      </c>
      <c r="I2486" t="str">
        <f t="shared" si="191"/>
        <v>2-0</v>
      </c>
      <c r="J2486" t="str">
        <f t="shared" si="192"/>
        <v>2</v>
      </c>
      <c r="K2486" t="str">
        <f t="shared" si="193"/>
        <v>0</v>
      </c>
      <c r="L2486" t="str">
        <f t="shared" si="194"/>
        <v>Sevilla FC</v>
      </c>
      <c r="M2486" t="str">
        <f>IF(COUNTIF($A$2:A2486,A2486)=1,
     VLOOKUP(A2486,Season_Winners!A:B,2,FALSE),
     "")</f>
        <v/>
      </c>
    </row>
    <row r="2487" spans="1:13" x14ac:dyDescent="0.3">
      <c r="A2487" t="s">
        <v>878</v>
      </c>
      <c r="B2487">
        <v>21</v>
      </c>
      <c r="C2487" t="s">
        <v>944</v>
      </c>
      <c r="D2487" t="str">
        <f t="shared" si="190"/>
        <v>26.01.2020</v>
      </c>
      <c r="E2487" s="1">
        <v>0.5</v>
      </c>
      <c r="F2487" t="s">
        <v>1425</v>
      </c>
      <c r="G2487" t="s">
        <v>466</v>
      </c>
      <c r="H2487" t="s">
        <v>41</v>
      </c>
      <c r="I2487" t="str">
        <f t="shared" si="191"/>
        <v>0-0</v>
      </c>
      <c r="J2487" t="str">
        <f t="shared" si="192"/>
        <v>0</v>
      </c>
      <c r="K2487" t="str">
        <f t="shared" si="193"/>
        <v>0</v>
      </c>
      <c r="L2487" t="str">
        <f t="shared" si="194"/>
        <v>Draw</v>
      </c>
      <c r="M2487" t="str">
        <f>IF(COUNTIF($A$2:A2487,A2487)=1,
     VLOOKUP(A2487,Season_Winners!A:B,2,FALSE),
     "")</f>
        <v/>
      </c>
    </row>
    <row r="2488" spans="1:13" x14ac:dyDescent="0.3">
      <c r="A2488" t="s">
        <v>878</v>
      </c>
      <c r="B2488">
        <v>21</v>
      </c>
      <c r="C2488" t="s">
        <v>944</v>
      </c>
      <c r="D2488" t="str">
        <f t="shared" si="190"/>
        <v>26.01.2020</v>
      </c>
      <c r="E2488" s="1">
        <v>0.58333333333333337</v>
      </c>
      <c r="F2488" t="s">
        <v>35</v>
      </c>
      <c r="G2488" t="s">
        <v>187</v>
      </c>
      <c r="H2488" t="s">
        <v>41</v>
      </c>
      <c r="I2488" t="str">
        <f t="shared" si="191"/>
        <v>0-0</v>
      </c>
      <c r="J2488" t="str">
        <f t="shared" si="192"/>
        <v>0</v>
      </c>
      <c r="K2488" t="str">
        <f t="shared" si="193"/>
        <v>0</v>
      </c>
      <c r="L2488" t="str">
        <f t="shared" si="194"/>
        <v>Draw</v>
      </c>
      <c r="M2488" t="str">
        <f>IF(COUNTIF($A$2:A2488,A2488)=1,
     VLOOKUP(A2488,Season_Winners!A:B,2,FALSE),
     "")</f>
        <v/>
      </c>
    </row>
    <row r="2489" spans="1:13" x14ac:dyDescent="0.3">
      <c r="A2489" t="s">
        <v>878</v>
      </c>
      <c r="B2489">
        <v>21</v>
      </c>
      <c r="C2489" t="s">
        <v>944</v>
      </c>
      <c r="D2489" t="str">
        <f t="shared" si="190"/>
        <v>26.01.2020</v>
      </c>
      <c r="E2489" s="1">
        <v>0.66666666666666663</v>
      </c>
      <c r="F2489" t="s">
        <v>11</v>
      </c>
      <c r="G2489" t="s">
        <v>26</v>
      </c>
      <c r="H2489" t="s">
        <v>18</v>
      </c>
      <c r="I2489" t="str">
        <f t="shared" si="191"/>
        <v>1-0</v>
      </c>
      <c r="J2489" t="str">
        <f t="shared" si="192"/>
        <v>1</v>
      </c>
      <c r="K2489" t="str">
        <f t="shared" si="193"/>
        <v>0</v>
      </c>
      <c r="L2489" t="str">
        <f t="shared" si="194"/>
        <v>Getafe CF</v>
      </c>
      <c r="M2489" t="str">
        <f>IF(COUNTIF($A$2:A2489,A2489)=1,
     VLOOKUP(A2489,Season_Winners!A:B,2,FALSE),
     "")</f>
        <v/>
      </c>
    </row>
    <row r="2490" spans="1:13" x14ac:dyDescent="0.3">
      <c r="A2490" t="s">
        <v>878</v>
      </c>
      <c r="B2490">
        <v>21</v>
      </c>
      <c r="C2490" t="s">
        <v>944</v>
      </c>
      <c r="D2490" t="str">
        <f t="shared" si="190"/>
        <v>26.01.2020</v>
      </c>
      <c r="E2490" s="1">
        <v>0.77083333333333337</v>
      </c>
      <c r="F2490" t="s">
        <v>10</v>
      </c>
      <c r="G2490" t="s">
        <v>881</v>
      </c>
      <c r="H2490" t="s">
        <v>32</v>
      </c>
      <c r="I2490" t="str">
        <f t="shared" si="191"/>
        <v>3-0</v>
      </c>
      <c r="J2490" t="str">
        <f t="shared" si="192"/>
        <v>3</v>
      </c>
      <c r="K2490" t="str">
        <f t="shared" si="193"/>
        <v>0</v>
      </c>
      <c r="L2490" t="str">
        <f t="shared" si="194"/>
        <v>Real Sociedad</v>
      </c>
      <c r="M2490" t="str">
        <f>IF(COUNTIF($A$2:A2490,A2490)=1,
     VLOOKUP(A2490,Season_Winners!A:B,2,FALSE),
     "")</f>
        <v/>
      </c>
    </row>
    <row r="2491" spans="1:13" x14ac:dyDescent="0.3">
      <c r="A2491" t="s">
        <v>878</v>
      </c>
      <c r="B2491">
        <v>21</v>
      </c>
      <c r="C2491" t="s">
        <v>944</v>
      </c>
      <c r="D2491" t="str">
        <f t="shared" si="190"/>
        <v>26.01.2020</v>
      </c>
      <c r="E2491" s="1">
        <v>0.875</v>
      </c>
      <c r="F2491" t="s">
        <v>14</v>
      </c>
      <c r="G2491" t="s">
        <v>25</v>
      </c>
      <c r="H2491" t="s">
        <v>42</v>
      </c>
      <c r="I2491" t="str">
        <f t="shared" si="191"/>
        <v>0-1</v>
      </c>
      <c r="J2491" t="str">
        <f t="shared" si="192"/>
        <v>0</v>
      </c>
      <c r="K2491" t="str">
        <f t="shared" si="193"/>
        <v>1</v>
      </c>
      <c r="L2491" t="str">
        <f t="shared" si="194"/>
        <v>Real Madrid</v>
      </c>
      <c r="M2491" t="str">
        <f>IF(COUNTIF($A$2:A2491,A2491)=1,
     VLOOKUP(A2491,Season_Winners!A:B,2,FALSE),
     "")</f>
        <v/>
      </c>
    </row>
    <row r="2492" spans="1:13" hidden="1" x14ac:dyDescent="0.3">
      <c r="A2492" t="s">
        <v>878</v>
      </c>
      <c r="B2492">
        <v>22</v>
      </c>
      <c r="C2492" t="s">
        <v>945</v>
      </c>
      <c r="D2492" t="str">
        <f t="shared" si="190"/>
        <v>01.02.2020</v>
      </c>
      <c r="E2492" s="1">
        <v>0.54166666666666663</v>
      </c>
      <c r="F2492" t="s">
        <v>24</v>
      </c>
      <c r="G2492" t="s">
        <v>36</v>
      </c>
      <c r="H2492" s="2">
        <v>46024</v>
      </c>
      <c r="I2492" s="3" t="str">
        <f t="shared" si="191"/>
        <v/>
      </c>
      <c r="J2492" t="str">
        <f t="shared" si="192"/>
        <v/>
      </c>
      <c r="K2492" t="str">
        <f t="shared" si="193"/>
        <v/>
      </c>
      <c r="L2492" t="str">
        <f t="shared" si="194"/>
        <v/>
      </c>
      <c r="M2492" t="str">
        <f>IF(COUNTIF($A$2:A2492,A2492)=1,
     VLOOKUP(A2492,Season_Winners!A:B,2,FALSE),
     "")</f>
        <v/>
      </c>
    </row>
    <row r="2493" spans="1:13" x14ac:dyDescent="0.3">
      <c r="A2493" t="s">
        <v>878</v>
      </c>
      <c r="B2493">
        <v>22</v>
      </c>
      <c r="C2493" t="s">
        <v>945</v>
      </c>
      <c r="D2493" t="str">
        <f t="shared" si="190"/>
        <v>01.02.2020</v>
      </c>
      <c r="E2493" s="1">
        <v>0.66666666666666663</v>
      </c>
      <c r="F2493" t="s">
        <v>25</v>
      </c>
      <c r="G2493" t="s">
        <v>1425</v>
      </c>
      <c r="H2493" t="s">
        <v>18</v>
      </c>
      <c r="I2493" t="str">
        <f t="shared" si="191"/>
        <v>1-0</v>
      </c>
      <c r="J2493" t="str">
        <f t="shared" si="192"/>
        <v>1</v>
      </c>
      <c r="K2493" t="str">
        <f t="shared" si="193"/>
        <v>0</v>
      </c>
      <c r="L2493" t="str">
        <f t="shared" si="194"/>
        <v>Real Madrid</v>
      </c>
      <c r="M2493" t="str">
        <f>IF(COUNTIF($A$2:A2493,A2493)=1,
     VLOOKUP(A2493,Season_Winners!A:B,2,FALSE),
     "")</f>
        <v/>
      </c>
    </row>
    <row r="2494" spans="1:13" x14ac:dyDescent="0.3">
      <c r="A2494" t="s">
        <v>878</v>
      </c>
      <c r="B2494">
        <v>22</v>
      </c>
      <c r="C2494" t="s">
        <v>945</v>
      </c>
      <c r="D2494" t="str">
        <f t="shared" si="190"/>
        <v>01.02.2020</v>
      </c>
      <c r="E2494" s="1">
        <v>0.77083333333333337</v>
      </c>
      <c r="F2494" t="s">
        <v>881</v>
      </c>
      <c r="G2494" t="s">
        <v>14</v>
      </c>
      <c r="H2494" t="s">
        <v>42</v>
      </c>
      <c r="I2494" t="str">
        <f t="shared" si="191"/>
        <v>0-1</v>
      </c>
      <c r="J2494" t="str">
        <f t="shared" si="192"/>
        <v>0</v>
      </c>
      <c r="K2494" t="str">
        <f t="shared" si="193"/>
        <v>1</v>
      </c>
      <c r="L2494" t="str">
        <f t="shared" si="194"/>
        <v>Real Valladolid CF</v>
      </c>
      <c r="M2494" t="str">
        <f>IF(COUNTIF($A$2:A2494,A2494)=1,
     VLOOKUP(A2494,Season_Winners!A:B,2,FALSE),
     "")</f>
        <v/>
      </c>
    </row>
    <row r="2495" spans="1:13" x14ac:dyDescent="0.3">
      <c r="A2495" t="s">
        <v>878</v>
      </c>
      <c r="B2495">
        <v>22</v>
      </c>
      <c r="C2495" t="s">
        <v>945</v>
      </c>
      <c r="D2495" t="str">
        <f t="shared" si="190"/>
        <v>01.02.2020</v>
      </c>
      <c r="E2495" s="1">
        <v>0.875</v>
      </c>
      <c r="F2495" t="s">
        <v>16</v>
      </c>
      <c r="G2495" t="s">
        <v>35</v>
      </c>
      <c r="H2495" t="s">
        <v>18</v>
      </c>
      <c r="I2495" t="str">
        <f t="shared" si="191"/>
        <v>1-0</v>
      </c>
      <c r="J2495" t="str">
        <f t="shared" si="192"/>
        <v>1</v>
      </c>
      <c r="K2495" t="str">
        <f t="shared" si="193"/>
        <v>0</v>
      </c>
      <c r="L2495" t="str">
        <f t="shared" si="194"/>
        <v>Valencia CF</v>
      </c>
      <c r="M2495" t="str">
        <f>IF(COUNTIF($A$2:A2495,A2495)=1,
     VLOOKUP(A2495,Season_Winners!A:B,2,FALSE),
     "")</f>
        <v/>
      </c>
    </row>
    <row r="2496" spans="1:13" hidden="1" x14ac:dyDescent="0.3">
      <c r="A2496" t="s">
        <v>878</v>
      </c>
      <c r="B2496">
        <v>22</v>
      </c>
      <c r="C2496" t="s">
        <v>946</v>
      </c>
      <c r="D2496" t="str">
        <f t="shared" si="190"/>
        <v>02.02.2020</v>
      </c>
      <c r="E2496" s="1">
        <v>0.5</v>
      </c>
      <c r="F2496" t="s">
        <v>466</v>
      </c>
      <c r="G2496" t="s">
        <v>10</v>
      </c>
      <c r="H2496" s="2">
        <v>46024</v>
      </c>
      <c r="I2496" s="3" t="str">
        <f t="shared" si="191"/>
        <v/>
      </c>
      <c r="J2496" t="str">
        <f t="shared" si="192"/>
        <v/>
      </c>
      <c r="K2496" t="str">
        <f t="shared" si="193"/>
        <v/>
      </c>
      <c r="L2496" t="str">
        <f t="shared" si="194"/>
        <v/>
      </c>
      <c r="M2496" t="str">
        <f>IF(COUNTIF($A$2:A2496,A2496)=1,
     VLOOKUP(A2496,Season_Winners!A:B,2,FALSE),
     "")</f>
        <v/>
      </c>
    </row>
    <row r="2497" spans="1:13" hidden="1" x14ac:dyDescent="0.3">
      <c r="A2497" t="s">
        <v>878</v>
      </c>
      <c r="B2497">
        <v>22</v>
      </c>
      <c r="C2497" t="s">
        <v>946</v>
      </c>
      <c r="D2497" t="str">
        <f t="shared" si="190"/>
        <v>02.02.2020</v>
      </c>
      <c r="E2497" s="1">
        <v>0.58333333333333337</v>
      </c>
      <c r="F2497" t="s">
        <v>187</v>
      </c>
      <c r="G2497" t="s">
        <v>26</v>
      </c>
      <c r="H2497" s="2">
        <v>46023</v>
      </c>
      <c r="I2497" s="3" t="str">
        <f t="shared" si="191"/>
        <v/>
      </c>
      <c r="J2497" t="str">
        <f t="shared" si="192"/>
        <v/>
      </c>
      <c r="K2497" t="str">
        <f t="shared" si="193"/>
        <v/>
      </c>
      <c r="L2497" t="str">
        <f t="shared" si="194"/>
        <v/>
      </c>
      <c r="M2497" t="str">
        <f>IF(COUNTIF($A$2:A2497,A2497)=1,
     VLOOKUP(A2497,Season_Winners!A:B,2,FALSE),
     "")</f>
        <v/>
      </c>
    </row>
    <row r="2498" spans="1:13" x14ac:dyDescent="0.3">
      <c r="A2498" t="s">
        <v>878</v>
      </c>
      <c r="B2498">
        <v>22</v>
      </c>
      <c r="C2498" t="s">
        <v>946</v>
      </c>
      <c r="D2498" t="str">
        <f t="shared" ref="D2498:D2561" si="195">RIGHT(C2498,10)</f>
        <v>02.02.2020</v>
      </c>
      <c r="E2498" s="1">
        <v>0.66666666666666663</v>
      </c>
      <c r="F2498" t="s">
        <v>15</v>
      </c>
      <c r="G2498" t="s">
        <v>11</v>
      </c>
      <c r="H2498" t="s">
        <v>54</v>
      </c>
      <c r="I2498" t="str">
        <f t="shared" ref="I2498:I2561" si="196">IF(ISNUMBER(SEARCH("-",H2498)),H2498,"")</f>
        <v>0-2</v>
      </c>
      <c r="J2498" t="str">
        <f t="shared" ref="J2498:J2561" si="197">IF(I2498="","",LEFT(I2498,FIND("-",I2498)-1))</f>
        <v>0</v>
      </c>
      <c r="K2498" t="str">
        <f t="shared" ref="K2498:K2561" si="198">IF(I2498="","",RIGHT(I2498,LEN(I2498)-FIND("-",I2498)))</f>
        <v>2</v>
      </c>
      <c r="L2498" t="str">
        <f t="shared" ref="L2498:L2561" si="199">IF(I2498="","",IF(J2498&gt;K2498,F2498,IF(K2498&gt;J2498,G2498,"Draw")))</f>
        <v>Getafe CF</v>
      </c>
      <c r="M2498" t="str">
        <f>IF(COUNTIF($A$2:A2498,A2498)=1,
     VLOOKUP(A2498,Season_Winners!A:B,2,FALSE),
     "")</f>
        <v/>
      </c>
    </row>
    <row r="2499" spans="1:13" hidden="1" x14ac:dyDescent="0.3">
      <c r="A2499" t="s">
        <v>878</v>
      </c>
      <c r="B2499">
        <v>22</v>
      </c>
      <c r="C2499" t="s">
        <v>946</v>
      </c>
      <c r="D2499" t="str">
        <f t="shared" si="195"/>
        <v>02.02.2020</v>
      </c>
      <c r="E2499" s="1">
        <v>0.77083333333333337</v>
      </c>
      <c r="F2499" t="s">
        <v>27</v>
      </c>
      <c r="G2499" t="s">
        <v>464</v>
      </c>
      <c r="H2499" s="2">
        <v>46023</v>
      </c>
      <c r="I2499" s="3" t="str">
        <f t="shared" si="196"/>
        <v/>
      </c>
      <c r="J2499" t="str">
        <f t="shared" si="197"/>
        <v/>
      </c>
      <c r="K2499" t="str">
        <f t="shared" si="198"/>
        <v/>
      </c>
      <c r="L2499" t="str">
        <f t="shared" si="199"/>
        <v/>
      </c>
      <c r="M2499" t="str">
        <f>IF(COUNTIF($A$2:A2499,A2499)=1,
     VLOOKUP(A2499,Season_Winners!A:B,2,FALSE),
     "")</f>
        <v/>
      </c>
    </row>
    <row r="2500" spans="1:13" hidden="1" x14ac:dyDescent="0.3">
      <c r="A2500" t="s">
        <v>878</v>
      </c>
      <c r="B2500">
        <v>22</v>
      </c>
      <c r="C2500" t="s">
        <v>946</v>
      </c>
      <c r="D2500" t="str">
        <f t="shared" si="195"/>
        <v>02.02.2020</v>
      </c>
      <c r="E2500" s="1">
        <v>0.77083333333333337</v>
      </c>
      <c r="F2500" t="s">
        <v>34</v>
      </c>
      <c r="G2500" t="s">
        <v>23</v>
      </c>
      <c r="H2500" s="2">
        <v>46025</v>
      </c>
      <c r="I2500" s="3" t="str">
        <f t="shared" si="196"/>
        <v/>
      </c>
      <c r="J2500" t="str">
        <f t="shared" si="197"/>
        <v/>
      </c>
      <c r="K2500" t="str">
        <f t="shared" si="198"/>
        <v/>
      </c>
      <c r="L2500" t="str">
        <f t="shared" si="199"/>
        <v/>
      </c>
      <c r="M2500" t="str">
        <f>IF(COUNTIF($A$2:A2500,A2500)=1,
     VLOOKUP(A2500,Season_Winners!A:B,2,FALSE),
     "")</f>
        <v/>
      </c>
    </row>
    <row r="2501" spans="1:13" hidden="1" x14ac:dyDescent="0.3">
      <c r="A2501" t="s">
        <v>878</v>
      </c>
      <c r="B2501">
        <v>22</v>
      </c>
      <c r="C2501" t="s">
        <v>946</v>
      </c>
      <c r="D2501" t="str">
        <f t="shared" si="195"/>
        <v>02.02.2020</v>
      </c>
      <c r="E2501" s="1">
        <v>0.875</v>
      </c>
      <c r="F2501" t="s">
        <v>20</v>
      </c>
      <c r="G2501" t="s">
        <v>21</v>
      </c>
      <c r="H2501" s="2">
        <v>46024</v>
      </c>
      <c r="I2501" s="3" t="str">
        <f t="shared" si="196"/>
        <v/>
      </c>
      <c r="J2501" t="str">
        <f t="shared" si="197"/>
        <v/>
      </c>
      <c r="K2501" t="str">
        <f t="shared" si="198"/>
        <v/>
      </c>
      <c r="L2501" t="str">
        <f t="shared" si="199"/>
        <v/>
      </c>
      <c r="M2501" t="str">
        <f>IF(COUNTIF($A$2:A2501,A2501)=1,
     VLOOKUP(A2501,Season_Winners!A:B,2,FALSE),
     "")</f>
        <v/>
      </c>
    </row>
    <row r="2502" spans="1:13" hidden="1" x14ac:dyDescent="0.3">
      <c r="A2502" t="s">
        <v>878</v>
      </c>
      <c r="B2502">
        <v>23</v>
      </c>
      <c r="C2502" t="s">
        <v>947</v>
      </c>
      <c r="D2502" t="str">
        <f t="shared" si="195"/>
        <v>07.02.2020</v>
      </c>
      <c r="E2502" s="1">
        <v>0.875</v>
      </c>
      <c r="F2502" t="s">
        <v>464</v>
      </c>
      <c r="G2502" t="s">
        <v>187</v>
      </c>
      <c r="H2502" s="2">
        <v>46024</v>
      </c>
      <c r="I2502" s="3" t="str">
        <f t="shared" si="196"/>
        <v/>
      </c>
      <c r="J2502" t="str">
        <f t="shared" si="197"/>
        <v/>
      </c>
      <c r="K2502" t="str">
        <f t="shared" si="198"/>
        <v/>
      </c>
      <c r="L2502" t="str">
        <f t="shared" si="199"/>
        <v/>
      </c>
      <c r="M2502" t="str">
        <f>IF(COUNTIF($A$2:A2502,A2502)=1,
     VLOOKUP(A2502,Season_Winners!A:B,2,FALSE),
     "")</f>
        <v/>
      </c>
    </row>
    <row r="2503" spans="1:13" x14ac:dyDescent="0.3">
      <c r="A2503" t="s">
        <v>878</v>
      </c>
      <c r="B2503">
        <v>23</v>
      </c>
      <c r="C2503" t="s">
        <v>948</v>
      </c>
      <c r="D2503" t="str">
        <f t="shared" si="195"/>
        <v>08.02.2020</v>
      </c>
      <c r="E2503" s="1">
        <v>0.54166666666666663</v>
      </c>
      <c r="F2503" t="s">
        <v>21</v>
      </c>
      <c r="G2503" t="s">
        <v>466</v>
      </c>
      <c r="H2503" t="s">
        <v>12</v>
      </c>
      <c r="I2503" t="str">
        <f t="shared" si="196"/>
        <v>2-0</v>
      </c>
      <c r="J2503" t="str">
        <f t="shared" si="197"/>
        <v>2</v>
      </c>
      <c r="K2503" t="str">
        <f t="shared" si="198"/>
        <v>0</v>
      </c>
      <c r="L2503" t="str">
        <f t="shared" si="199"/>
        <v>Levante UD</v>
      </c>
      <c r="M2503" t="str">
        <f>IF(COUNTIF($A$2:A2503,A2503)=1,
     VLOOKUP(A2503,Season_Winners!A:B,2,FALSE),
     "")</f>
        <v/>
      </c>
    </row>
    <row r="2504" spans="1:13" x14ac:dyDescent="0.3">
      <c r="A2504" t="s">
        <v>878</v>
      </c>
      <c r="B2504">
        <v>23</v>
      </c>
      <c r="C2504" t="s">
        <v>948</v>
      </c>
      <c r="D2504" t="str">
        <f t="shared" si="195"/>
        <v>08.02.2020</v>
      </c>
      <c r="E2504" s="1">
        <v>0.66666666666666663</v>
      </c>
      <c r="F2504" t="s">
        <v>11</v>
      </c>
      <c r="G2504" t="s">
        <v>16</v>
      </c>
      <c r="H2504" t="s">
        <v>32</v>
      </c>
      <c r="I2504" t="str">
        <f t="shared" si="196"/>
        <v>3-0</v>
      </c>
      <c r="J2504" t="str">
        <f t="shared" si="197"/>
        <v>3</v>
      </c>
      <c r="K2504" t="str">
        <f t="shared" si="198"/>
        <v>0</v>
      </c>
      <c r="L2504" t="str">
        <f t="shared" si="199"/>
        <v>Getafe CF</v>
      </c>
      <c r="M2504" t="str">
        <f>IF(COUNTIF($A$2:A2504,A2504)=1,
     VLOOKUP(A2504,Season_Winners!A:B,2,FALSE),
     "")</f>
        <v/>
      </c>
    </row>
    <row r="2505" spans="1:13" hidden="1" x14ac:dyDescent="0.3">
      <c r="A2505" t="s">
        <v>878</v>
      </c>
      <c r="B2505">
        <v>23</v>
      </c>
      <c r="C2505" t="s">
        <v>948</v>
      </c>
      <c r="D2505" t="str">
        <f t="shared" si="195"/>
        <v>08.02.2020</v>
      </c>
      <c r="E2505" s="1">
        <v>0.77083333333333337</v>
      </c>
      <c r="F2505" t="s">
        <v>14</v>
      </c>
      <c r="G2505" t="s">
        <v>34</v>
      </c>
      <c r="H2505" s="2">
        <v>46023</v>
      </c>
      <c r="I2505" s="3" t="str">
        <f t="shared" si="196"/>
        <v/>
      </c>
      <c r="J2505" t="str">
        <f t="shared" si="197"/>
        <v/>
      </c>
      <c r="K2505" t="str">
        <f t="shared" si="198"/>
        <v/>
      </c>
      <c r="L2505" t="str">
        <f t="shared" si="199"/>
        <v/>
      </c>
      <c r="M2505" t="str">
        <f>IF(COUNTIF($A$2:A2505,A2505)=1,
     VLOOKUP(A2505,Season_Winners!A:B,2,FALSE),
     "")</f>
        <v/>
      </c>
    </row>
    <row r="2506" spans="1:13" x14ac:dyDescent="0.3">
      <c r="A2506" t="s">
        <v>878</v>
      </c>
      <c r="B2506">
        <v>23</v>
      </c>
      <c r="C2506" t="s">
        <v>948</v>
      </c>
      <c r="D2506" t="str">
        <f t="shared" si="195"/>
        <v>08.02.2020</v>
      </c>
      <c r="E2506" s="1">
        <v>0.875</v>
      </c>
      <c r="F2506" t="s">
        <v>1425</v>
      </c>
      <c r="G2506" t="s">
        <v>24</v>
      </c>
      <c r="H2506" t="s">
        <v>18</v>
      </c>
      <c r="I2506" t="str">
        <f t="shared" si="196"/>
        <v>1-0</v>
      </c>
      <c r="J2506" t="str">
        <f t="shared" si="197"/>
        <v>1</v>
      </c>
      <c r="K2506" t="str">
        <f t="shared" si="198"/>
        <v>0</v>
      </c>
      <c r="L2506" t="str">
        <f t="shared" si="199"/>
        <v>Atlético de Madrid</v>
      </c>
      <c r="M2506" t="str">
        <f>IF(COUNTIF($A$2:A2506,A2506)=1,
     VLOOKUP(A2506,Season_Winners!A:B,2,FALSE),
     "")</f>
        <v/>
      </c>
    </row>
    <row r="2507" spans="1:13" x14ac:dyDescent="0.3">
      <c r="A2507" t="s">
        <v>878</v>
      </c>
      <c r="B2507">
        <v>23</v>
      </c>
      <c r="C2507" t="s">
        <v>949</v>
      </c>
      <c r="D2507" t="str">
        <f t="shared" si="195"/>
        <v>09.02.2020</v>
      </c>
      <c r="E2507" s="1">
        <v>0.5</v>
      </c>
      <c r="F2507" t="s">
        <v>36</v>
      </c>
      <c r="G2507" t="s">
        <v>881</v>
      </c>
      <c r="H2507" t="s">
        <v>18</v>
      </c>
      <c r="I2507" t="str">
        <f t="shared" si="196"/>
        <v>1-0</v>
      </c>
      <c r="J2507" t="str">
        <f t="shared" si="197"/>
        <v>1</v>
      </c>
      <c r="K2507" t="str">
        <f t="shared" si="198"/>
        <v>0</v>
      </c>
      <c r="L2507" t="str">
        <f t="shared" si="199"/>
        <v>RCD Espanyol de Barcelona</v>
      </c>
      <c r="M2507" t="str">
        <f>IF(COUNTIF($A$2:A2507,A2507)=1,
     VLOOKUP(A2507,Season_Winners!A:B,2,FALSE),
     "")</f>
        <v/>
      </c>
    </row>
    <row r="2508" spans="1:13" hidden="1" x14ac:dyDescent="0.3">
      <c r="A2508" t="s">
        <v>878</v>
      </c>
      <c r="B2508">
        <v>23</v>
      </c>
      <c r="C2508" t="s">
        <v>949</v>
      </c>
      <c r="D2508" t="str">
        <f t="shared" si="195"/>
        <v>09.02.2020</v>
      </c>
      <c r="E2508" s="1">
        <v>0.58333333333333337</v>
      </c>
      <c r="F2508" t="s">
        <v>10</v>
      </c>
      <c r="G2508" t="s">
        <v>15</v>
      </c>
      <c r="H2508" s="2">
        <v>46024</v>
      </c>
      <c r="I2508" s="3" t="str">
        <f t="shared" si="196"/>
        <v/>
      </c>
      <c r="J2508" t="str">
        <f t="shared" si="197"/>
        <v/>
      </c>
      <c r="K2508" t="str">
        <f t="shared" si="198"/>
        <v/>
      </c>
      <c r="L2508" t="str">
        <f t="shared" si="199"/>
        <v/>
      </c>
      <c r="M2508" t="str">
        <f>IF(COUNTIF($A$2:A2508,A2508)=1,
     VLOOKUP(A2508,Season_Winners!A:B,2,FALSE),
     "")</f>
        <v/>
      </c>
    </row>
    <row r="2509" spans="1:13" hidden="1" x14ac:dyDescent="0.3">
      <c r="A2509" t="s">
        <v>878</v>
      </c>
      <c r="B2509">
        <v>23</v>
      </c>
      <c r="C2509" t="s">
        <v>949</v>
      </c>
      <c r="D2509" t="str">
        <f t="shared" si="195"/>
        <v>09.02.2020</v>
      </c>
      <c r="E2509" s="1">
        <v>0.66666666666666663</v>
      </c>
      <c r="F2509" t="s">
        <v>23</v>
      </c>
      <c r="G2509" t="s">
        <v>25</v>
      </c>
      <c r="H2509" s="2">
        <v>46113</v>
      </c>
      <c r="I2509" s="3" t="str">
        <f t="shared" si="196"/>
        <v/>
      </c>
      <c r="J2509" t="str">
        <f t="shared" si="197"/>
        <v/>
      </c>
      <c r="K2509" t="str">
        <f t="shared" si="198"/>
        <v/>
      </c>
      <c r="L2509" t="str">
        <f t="shared" si="199"/>
        <v/>
      </c>
      <c r="M2509" t="str">
        <f>IF(COUNTIF($A$2:A2509,A2509)=1,
     VLOOKUP(A2509,Season_Winners!A:B,2,FALSE),
     "")</f>
        <v/>
      </c>
    </row>
    <row r="2510" spans="1:13" hidden="1" x14ac:dyDescent="0.3">
      <c r="A2510" t="s">
        <v>878</v>
      </c>
      <c r="B2510">
        <v>23</v>
      </c>
      <c r="C2510" t="s">
        <v>949</v>
      </c>
      <c r="D2510" t="str">
        <f t="shared" si="195"/>
        <v>09.02.2020</v>
      </c>
      <c r="E2510" s="1">
        <v>0.77083333333333337</v>
      </c>
      <c r="F2510" t="s">
        <v>35</v>
      </c>
      <c r="G2510" t="s">
        <v>27</v>
      </c>
      <c r="H2510" s="2">
        <v>46024</v>
      </c>
      <c r="I2510" s="3" t="str">
        <f t="shared" si="196"/>
        <v/>
      </c>
      <c r="J2510" t="str">
        <f t="shared" si="197"/>
        <v/>
      </c>
      <c r="K2510" t="str">
        <f t="shared" si="198"/>
        <v/>
      </c>
      <c r="L2510" t="str">
        <f t="shared" si="199"/>
        <v/>
      </c>
      <c r="M2510" t="str">
        <f>IF(COUNTIF($A$2:A2510,A2510)=1,
     VLOOKUP(A2510,Season_Winners!A:B,2,FALSE),
     "")</f>
        <v/>
      </c>
    </row>
    <row r="2511" spans="1:13" hidden="1" x14ac:dyDescent="0.3">
      <c r="A2511" t="s">
        <v>878</v>
      </c>
      <c r="B2511">
        <v>23</v>
      </c>
      <c r="C2511" t="s">
        <v>949</v>
      </c>
      <c r="D2511" t="str">
        <f t="shared" si="195"/>
        <v>09.02.2020</v>
      </c>
      <c r="E2511" s="1">
        <v>0.875</v>
      </c>
      <c r="F2511" t="s">
        <v>26</v>
      </c>
      <c r="G2511" t="s">
        <v>20</v>
      </c>
      <c r="H2511" s="2">
        <v>46083</v>
      </c>
      <c r="I2511" s="3" t="str">
        <f t="shared" si="196"/>
        <v/>
      </c>
      <c r="J2511" t="str">
        <f t="shared" si="197"/>
        <v/>
      </c>
      <c r="K2511" t="str">
        <f t="shared" si="198"/>
        <v/>
      </c>
      <c r="L2511" t="str">
        <f t="shared" si="199"/>
        <v/>
      </c>
      <c r="M2511" t="str">
        <f>IF(COUNTIF($A$2:A2511,A2511)=1,
     VLOOKUP(A2511,Season_Winners!A:B,2,FALSE),
     "")</f>
        <v/>
      </c>
    </row>
    <row r="2512" spans="1:13" hidden="1" x14ac:dyDescent="0.3">
      <c r="A2512" t="s">
        <v>878</v>
      </c>
      <c r="B2512">
        <v>24</v>
      </c>
      <c r="C2512" t="s">
        <v>950</v>
      </c>
      <c r="D2512" t="str">
        <f t="shared" si="195"/>
        <v>14.02.2020</v>
      </c>
      <c r="E2512" s="1">
        <v>0.875</v>
      </c>
      <c r="F2512" t="s">
        <v>16</v>
      </c>
      <c r="G2512" t="s">
        <v>28</v>
      </c>
      <c r="H2512" s="2">
        <v>46055</v>
      </c>
      <c r="I2512" s="3" t="str">
        <f t="shared" si="196"/>
        <v/>
      </c>
      <c r="J2512" t="str">
        <f t="shared" si="197"/>
        <v/>
      </c>
      <c r="K2512" t="str">
        <f t="shared" si="198"/>
        <v/>
      </c>
      <c r="L2512" t="str">
        <f t="shared" si="199"/>
        <v/>
      </c>
      <c r="M2512" t="str">
        <f>IF(COUNTIF($A$2:A2512,A2512)=1,
     VLOOKUP(A2512,Season_Winners!A:B,2,FALSE),
     "")</f>
        <v/>
      </c>
    </row>
    <row r="2513" spans="1:13" x14ac:dyDescent="0.3">
      <c r="A2513" t="s">
        <v>878</v>
      </c>
      <c r="B2513">
        <v>24</v>
      </c>
      <c r="C2513" t="s">
        <v>951</v>
      </c>
      <c r="D2513" t="str">
        <f t="shared" si="195"/>
        <v>15.02.2020</v>
      </c>
      <c r="E2513" s="1">
        <v>0.54166666666666663</v>
      </c>
      <c r="F2513" t="s">
        <v>881</v>
      </c>
      <c r="G2513" t="s">
        <v>464</v>
      </c>
      <c r="H2513" t="s">
        <v>18</v>
      </c>
      <c r="I2513" t="str">
        <f t="shared" si="196"/>
        <v>1-0</v>
      </c>
      <c r="J2513" t="str">
        <f t="shared" si="197"/>
        <v>1</v>
      </c>
      <c r="K2513" t="str">
        <f t="shared" si="198"/>
        <v>0</v>
      </c>
      <c r="L2513" t="str">
        <f t="shared" si="199"/>
        <v>RCD Mallorca</v>
      </c>
      <c r="M2513" t="str">
        <f>IF(COUNTIF($A$2:A2513,A2513)=1,
     VLOOKUP(A2513,Season_Winners!A:B,2,FALSE),
     "")</f>
        <v/>
      </c>
    </row>
    <row r="2514" spans="1:13" hidden="1" x14ac:dyDescent="0.3">
      <c r="A2514" t="s">
        <v>878</v>
      </c>
      <c r="B2514">
        <v>24</v>
      </c>
      <c r="C2514" t="s">
        <v>951</v>
      </c>
      <c r="D2514" t="str">
        <f t="shared" si="195"/>
        <v>15.02.2020</v>
      </c>
      <c r="E2514" s="1">
        <v>0.66666666666666663</v>
      </c>
      <c r="F2514" t="s">
        <v>20</v>
      </c>
      <c r="G2514" t="s">
        <v>11</v>
      </c>
      <c r="H2514" s="2">
        <v>46024</v>
      </c>
      <c r="I2514" s="3" t="str">
        <f t="shared" si="196"/>
        <v/>
      </c>
      <c r="J2514" t="str">
        <f t="shared" si="197"/>
        <v/>
      </c>
      <c r="K2514" t="str">
        <f t="shared" si="198"/>
        <v/>
      </c>
      <c r="L2514" t="str">
        <f t="shared" si="199"/>
        <v/>
      </c>
      <c r="M2514" t="str">
        <f>IF(COUNTIF($A$2:A2514,A2514)=1,
     VLOOKUP(A2514,Season_Winners!A:B,2,FALSE),
     "")</f>
        <v/>
      </c>
    </row>
    <row r="2515" spans="1:13" hidden="1" x14ac:dyDescent="0.3">
      <c r="A2515" t="s">
        <v>878</v>
      </c>
      <c r="B2515">
        <v>24</v>
      </c>
      <c r="C2515" t="s">
        <v>951</v>
      </c>
      <c r="D2515" t="str">
        <f t="shared" si="195"/>
        <v>15.02.2020</v>
      </c>
      <c r="E2515" s="1">
        <v>0.77083333333333337</v>
      </c>
      <c r="F2515" t="s">
        <v>34</v>
      </c>
      <c r="G2515" t="s">
        <v>21</v>
      </c>
      <c r="H2515" s="2">
        <v>46024</v>
      </c>
      <c r="I2515" s="3" t="str">
        <f t="shared" si="196"/>
        <v/>
      </c>
      <c r="J2515" t="str">
        <f t="shared" si="197"/>
        <v/>
      </c>
      <c r="K2515" t="str">
        <f t="shared" si="198"/>
        <v/>
      </c>
      <c r="L2515" t="str">
        <f t="shared" si="199"/>
        <v/>
      </c>
      <c r="M2515" t="str">
        <f>IF(COUNTIF($A$2:A2515,A2515)=1,
     VLOOKUP(A2515,Season_Winners!A:B,2,FALSE),
     "")</f>
        <v/>
      </c>
    </row>
    <row r="2516" spans="1:13" hidden="1" x14ac:dyDescent="0.3">
      <c r="A2516" t="s">
        <v>878</v>
      </c>
      <c r="B2516">
        <v>24</v>
      </c>
      <c r="C2516" t="s">
        <v>951</v>
      </c>
      <c r="D2516" t="str">
        <f t="shared" si="195"/>
        <v>15.02.2020</v>
      </c>
      <c r="E2516" s="1">
        <v>0.875</v>
      </c>
      <c r="F2516" t="s">
        <v>24</v>
      </c>
      <c r="G2516" t="s">
        <v>14</v>
      </c>
      <c r="H2516" s="2">
        <v>46024</v>
      </c>
      <c r="I2516" s="3" t="str">
        <f t="shared" si="196"/>
        <v/>
      </c>
      <c r="J2516" t="str">
        <f t="shared" si="197"/>
        <v/>
      </c>
      <c r="K2516" t="str">
        <f t="shared" si="198"/>
        <v/>
      </c>
      <c r="L2516" t="str">
        <f t="shared" si="199"/>
        <v/>
      </c>
      <c r="M2516" t="str">
        <f>IF(COUNTIF($A$2:A2516,A2516)=1,
     VLOOKUP(A2516,Season_Winners!A:B,2,FALSE),
     "")</f>
        <v/>
      </c>
    </row>
    <row r="2517" spans="1:13" hidden="1" x14ac:dyDescent="0.3">
      <c r="A2517" t="s">
        <v>878</v>
      </c>
      <c r="B2517">
        <v>24</v>
      </c>
      <c r="C2517" t="s">
        <v>952</v>
      </c>
      <c r="D2517" t="str">
        <f t="shared" si="195"/>
        <v>16.02.2020</v>
      </c>
      <c r="E2517" s="1">
        <v>0.5</v>
      </c>
      <c r="F2517" t="s">
        <v>27</v>
      </c>
      <c r="G2517" t="s">
        <v>36</v>
      </c>
      <c r="H2517" s="2">
        <v>46055</v>
      </c>
      <c r="I2517" s="3" t="str">
        <f t="shared" si="196"/>
        <v/>
      </c>
      <c r="J2517" t="str">
        <f t="shared" si="197"/>
        <v/>
      </c>
      <c r="K2517" t="str">
        <f t="shared" si="198"/>
        <v/>
      </c>
      <c r="L2517" t="str">
        <f t="shared" si="199"/>
        <v/>
      </c>
      <c r="M2517" t="str">
        <f>IF(COUNTIF($A$2:A2517,A2517)=1,
     VLOOKUP(A2517,Season_Winners!A:B,2,FALSE),
     "")</f>
        <v/>
      </c>
    </row>
    <row r="2518" spans="1:13" x14ac:dyDescent="0.3">
      <c r="A2518" t="s">
        <v>878</v>
      </c>
      <c r="B2518">
        <v>24</v>
      </c>
      <c r="C2518" t="s">
        <v>952</v>
      </c>
      <c r="D2518" t="str">
        <f t="shared" si="195"/>
        <v>16.02.2020</v>
      </c>
      <c r="E2518" s="1">
        <v>0.58333333333333337</v>
      </c>
      <c r="F2518" t="s">
        <v>466</v>
      </c>
      <c r="G2518" t="s">
        <v>26</v>
      </c>
      <c r="H2518" t="s">
        <v>41</v>
      </c>
      <c r="I2518" t="str">
        <f t="shared" si="196"/>
        <v>0-0</v>
      </c>
      <c r="J2518" t="str">
        <f t="shared" si="197"/>
        <v>0</v>
      </c>
      <c r="K2518" t="str">
        <f t="shared" si="198"/>
        <v>0</v>
      </c>
      <c r="L2518" t="str">
        <f t="shared" si="199"/>
        <v>Draw</v>
      </c>
      <c r="M2518" t="str">
        <f>IF(COUNTIF($A$2:A2518,A2518)=1,
     VLOOKUP(A2518,Season_Winners!A:B,2,FALSE),
     "")</f>
        <v/>
      </c>
    </row>
    <row r="2519" spans="1:13" x14ac:dyDescent="0.3">
      <c r="A2519" t="s">
        <v>878</v>
      </c>
      <c r="B2519">
        <v>24</v>
      </c>
      <c r="C2519" t="s">
        <v>952</v>
      </c>
      <c r="D2519" t="str">
        <f t="shared" si="195"/>
        <v>16.02.2020</v>
      </c>
      <c r="E2519" s="1">
        <v>0.77083333333333337</v>
      </c>
      <c r="F2519" t="s">
        <v>15</v>
      </c>
      <c r="G2519" t="s">
        <v>23</v>
      </c>
      <c r="H2519" t="s">
        <v>42</v>
      </c>
      <c r="I2519" t="str">
        <f t="shared" si="196"/>
        <v>0-1</v>
      </c>
      <c r="J2519" t="str">
        <f t="shared" si="197"/>
        <v>0</v>
      </c>
      <c r="K2519" t="str">
        <f t="shared" si="198"/>
        <v>1</v>
      </c>
      <c r="L2519" t="str">
        <f t="shared" si="199"/>
        <v>CA Osasuna</v>
      </c>
      <c r="M2519" t="str">
        <f>IF(COUNTIF($A$2:A2519,A2519)=1,
     VLOOKUP(A2519,Season_Winners!A:B,2,FALSE),
     "")</f>
        <v/>
      </c>
    </row>
    <row r="2520" spans="1:13" hidden="1" x14ac:dyDescent="0.3">
      <c r="A2520" t="s">
        <v>878</v>
      </c>
      <c r="B2520">
        <v>24</v>
      </c>
      <c r="C2520" t="s">
        <v>952</v>
      </c>
      <c r="D2520" t="str">
        <f t="shared" si="195"/>
        <v>16.02.2020</v>
      </c>
      <c r="E2520" s="1">
        <v>0.875</v>
      </c>
      <c r="F2520" t="s">
        <v>25</v>
      </c>
      <c r="G2520" t="s">
        <v>35</v>
      </c>
      <c r="H2520" s="2">
        <v>46055</v>
      </c>
      <c r="I2520" s="3" t="str">
        <f t="shared" si="196"/>
        <v/>
      </c>
      <c r="J2520" t="str">
        <f t="shared" si="197"/>
        <v/>
      </c>
      <c r="K2520" t="str">
        <f t="shared" si="198"/>
        <v/>
      </c>
      <c r="L2520" t="str">
        <f t="shared" si="199"/>
        <v/>
      </c>
      <c r="M2520" t="str">
        <f>IF(COUNTIF($A$2:A2520,A2520)=1,
     VLOOKUP(A2520,Season_Winners!A:B,2,FALSE),
     "")</f>
        <v/>
      </c>
    </row>
    <row r="2521" spans="1:13" hidden="1" x14ac:dyDescent="0.3">
      <c r="A2521" t="s">
        <v>878</v>
      </c>
      <c r="B2521">
        <v>24</v>
      </c>
      <c r="C2521" t="s">
        <v>953</v>
      </c>
      <c r="D2521" t="str">
        <f t="shared" si="195"/>
        <v>10.03.2020</v>
      </c>
      <c r="E2521" s="1">
        <v>0.83333333333333337</v>
      </c>
      <c r="F2521" t="s">
        <v>187</v>
      </c>
      <c r="G2521" t="s">
        <v>10</v>
      </c>
      <c r="H2521" s="2">
        <v>46054</v>
      </c>
      <c r="I2521" s="3" t="str">
        <f t="shared" si="196"/>
        <v/>
      </c>
      <c r="J2521" t="str">
        <f t="shared" si="197"/>
        <v/>
      </c>
      <c r="K2521" t="str">
        <f t="shared" si="198"/>
        <v/>
      </c>
      <c r="L2521" t="str">
        <f t="shared" si="199"/>
        <v/>
      </c>
      <c r="M2521" t="str">
        <f>IF(COUNTIF($A$2:A2521,A2521)=1,
     VLOOKUP(A2521,Season_Winners!A:B,2,FALSE),
     "")</f>
        <v/>
      </c>
    </row>
    <row r="2522" spans="1:13" hidden="1" x14ac:dyDescent="0.3">
      <c r="A2522" t="s">
        <v>878</v>
      </c>
      <c r="B2522">
        <v>25</v>
      </c>
      <c r="C2522" t="s">
        <v>954</v>
      </c>
      <c r="D2522" t="str">
        <f t="shared" si="195"/>
        <v>21.02.2020</v>
      </c>
      <c r="E2522" s="1">
        <v>0.875</v>
      </c>
      <c r="F2522" t="s">
        <v>26</v>
      </c>
      <c r="G2522" t="s">
        <v>881</v>
      </c>
      <c r="H2522" s="2">
        <v>46084</v>
      </c>
      <c r="I2522" s="3" t="str">
        <f t="shared" si="196"/>
        <v/>
      </c>
      <c r="J2522" t="str">
        <f t="shared" si="197"/>
        <v/>
      </c>
      <c r="K2522" t="str">
        <f t="shared" si="198"/>
        <v/>
      </c>
      <c r="L2522" t="str">
        <f t="shared" si="199"/>
        <v/>
      </c>
      <c r="M2522" t="str">
        <f>IF(COUNTIF($A$2:A2522,A2522)=1,
     VLOOKUP(A2522,Season_Winners!A:B,2,FALSE),
     "")</f>
        <v/>
      </c>
    </row>
    <row r="2523" spans="1:13" x14ac:dyDescent="0.3">
      <c r="A2523" t="s">
        <v>878</v>
      </c>
      <c r="B2523">
        <v>25</v>
      </c>
      <c r="C2523" t="s">
        <v>955</v>
      </c>
      <c r="D2523" t="str">
        <f t="shared" si="195"/>
        <v>22.02.2020</v>
      </c>
      <c r="E2523" s="1">
        <v>0.54166666666666663</v>
      </c>
      <c r="F2523" t="s">
        <v>35</v>
      </c>
      <c r="G2523" t="s">
        <v>466</v>
      </c>
      <c r="H2523" t="s">
        <v>18</v>
      </c>
      <c r="I2523" t="str">
        <f t="shared" si="196"/>
        <v>1-0</v>
      </c>
      <c r="J2523" t="str">
        <f t="shared" si="197"/>
        <v>1</v>
      </c>
      <c r="K2523" t="str">
        <f t="shared" si="198"/>
        <v>0</v>
      </c>
      <c r="L2523" t="str">
        <f t="shared" si="199"/>
        <v>RC Celta</v>
      </c>
      <c r="M2523" t="str">
        <f>IF(COUNTIF($A$2:A2523,A2523)=1,
     VLOOKUP(A2523,Season_Winners!A:B,2,FALSE),
     "")</f>
        <v/>
      </c>
    </row>
    <row r="2524" spans="1:13" x14ac:dyDescent="0.3">
      <c r="A2524" t="s">
        <v>878</v>
      </c>
      <c r="B2524">
        <v>25</v>
      </c>
      <c r="C2524" t="s">
        <v>955</v>
      </c>
      <c r="D2524" t="str">
        <f t="shared" si="195"/>
        <v>22.02.2020</v>
      </c>
      <c r="E2524" s="1">
        <v>0.66666666666666663</v>
      </c>
      <c r="F2524" t="s">
        <v>20</v>
      </c>
      <c r="G2524" t="s">
        <v>187</v>
      </c>
      <c r="H2524" t="s">
        <v>40</v>
      </c>
      <c r="I2524" t="str">
        <f t="shared" si="196"/>
        <v>5-0</v>
      </c>
      <c r="J2524" t="str">
        <f t="shared" si="197"/>
        <v>5</v>
      </c>
      <c r="K2524" t="str">
        <f t="shared" si="198"/>
        <v>0</v>
      </c>
      <c r="L2524" t="str">
        <f t="shared" si="199"/>
        <v>FC Barcelona</v>
      </c>
      <c r="M2524" t="str">
        <f>IF(COUNTIF($A$2:A2524,A2524)=1,
     VLOOKUP(A2524,Season_Winners!A:B,2,FALSE),
     "")</f>
        <v/>
      </c>
    </row>
    <row r="2525" spans="1:13" x14ac:dyDescent="0.3">
      <c r="A2525" t="s">
        <v>878</v>
      </c>
      <c r="B2525">
        <v>25</v>
      </c>
      <c r="C2525" t="s">
        <v>955</v>
      </c>
      <c r="D2525" t="str">
        <f t="shared" si="195"/>
        <v>22.02.2020</v>
      </c>
      <c r="E2525" s="1">
        <v>0.77083333333333337</v>
      </c>
      <c r="F2525" t="s">
        <v>10</v>
      </c>
      <c r="G2525" t="s">
        <v>16</v>
      </c>
      <c r="H2525" t="s">
        <v>32</v>
      </c>
      <c r="I2525" t="str">
        <f t="shared" si="196"/>
        <v>3-0</v>
      </c>
      <c r="J2525" t="str">
        <f t="shared" si="197"/>
        <v>3</v>
      </c>
      <c r="K2525" t="str">
        <f t="shared" si="198"/>
        <v>0</v>
      </c>
      <c r="L2525" t="str">
        <f t="shared" si="199"/>
        <v>Real Sociedad</v>
      </c>
      <c r="M2525" t="str">
        <f>IF(COUNTIF($A$2:A2525,A2525)=1,
     VLOOKUP(A2525,Season_Winners!A:B,2,FALSE),
     "")</f>
        <v/>
      </c>
    </row>
    <row r="2526" spans="1:13" x14ac:dyDescent="0.3">
      <c r="A2526" t="s">
        <v>878</v>
      </c>
      <c r="B2526">
        <v>25</v>
      </c>
      <c r="C2526" t="s">
        <v>955</v>
      </c>
      <c r="D2526" t="str">
        <f t="shared" si="195"/>
        <v>22.02.2020</v>
      </c>
      <c r="E2526" s="1">
        <v>0.875</v>
      </c>
      <c r="F2526" t="s">
        <v>21</v>
      </c>
      <c r="G2526" t="s">
        <v>25</v>
      </c>
      <c r="H2526" t="s">
        <v>18</v>
      </c>
      <c r="I2526" t="str">
        <f t="shared" si="196"/>
        <v>1-0</v>
      </c>
      <c r="J2526" t="str">
        <f t="shared" si="197"/>
        <v>1</v>
      </c>
      <c r="K2526" t="str">
        <f t="shared" si="198"/>
        <v>0</v>
      </c>
      <c r="L2526" t="str">
        <f t="shared" si="199"/>
        <v>Levante UD</v>
      </c>
      <c r="M2526" t="str">
        <f>IF(COUNTIF($A$2:A2526,A2526)=1,
     VLOOKUP(A2526,Season_Winners!A:B,2,FALSE),
     "")</f>
        <v/>
      </c>
    </row>
    <row r="2527" spans="1:13" x14ac:dyDescent="0.3">
      <c r="A2527" t="s">
        <v>878</v>
      </c>
      <c r="B2527">
        <v>25</v>
      </c>
      <c r="C2527" t="s">
        <v>956</v>
      </c>
      <c r="D2527" t="str">
        <f t="shared" si="195"/>
        <v>23.02.2020</v>
      </c>
      <c r="E2527" s="1">
        <v>0.5</v>
      </c>
      <c r="F2527" t="s">
        <v>23</v>
      </c>
      <c r="G2527" t="s">
        <v>24</v>
      </c>
      <c r="H2527" t="s">
        <v>46</v>
      </c>
      <c r="I2527" t="str">
        <f t="shared" si="196"/>
        <v>0-3</v>
      </c>
      <c r="J2527" t="str">
        <f t="shared" si="197"/>
        <v>0</v>
      </c>
      <c r="K2527" t="str">
        <f t="shared" si="198"/>
        <v>3</v>
      </c>
      <c r="L2527" t="str">
        <f t="shared" si="199"/>
        <v>Granada CF</v>
      </c>
      <c r="M2527" t="str">
        <f>IF(COUNTIF($A$2:A2527,A2527)=1,
     VLOOKUP(A2527,Season_Winners!A:B,2,FALSE),
     "")</f>
        <v/>
      </c>
    </row>
    <row r="2528" spans="1:13" hidden="1" x14ac:dyDescent="0.3">
      <c r="A2528" t="s">
        <v>878</v>
      </c>
      <c r="B2528">
        <v>25</v>
      </c>
      <c r="C2528" t="s">
        <v>956</v>
      </c>
      <c r="D2528" t="str">
        <f t="shared" si="195"/>
        <v>23.02.2020</v>
      </c>
      <c r="E2528" s="1">
        <v>0.58333333333333337</v>
      </c>
      <c r="F2528" t="s">
        <v>464</v>
      </c>
      <c r="G2528" t="s">
        <v>15</v>
      </c>
      <c r="H2528" s="2">
        <v>46024</v>
      </c>
      <c r="I2528" s="3" t="str">
        <f t="shared" si="196"/>
        <v/>
      </c>
      <c r="J2528" t="str">
        <f t="shared" si="197"/>
        <v/>
      </c>
      <c r="K2528" t="str">
        <f t="shared" si="198"/>
        <v/>
      </c>
      <c r="L2528" t="str">
        <f t="shared" si="199"/>
        <v/>
      </c>
      <c r="M2528" t="str">
        <f>IF(COUNTIF($A$2:A2528,A2528)=1,
     VLOOKUP(A2528,Season_Winners!A:B,2,FALSE),
     "")</f>
        <v/>
      </c>
    </row>
    <row r="2529" spans="1:13" hidden="1" x14ac:dyDescent="0.3">
      <c r="A2529" t="s">
        <v>878</v>
      </c>
      <c r="B2529">
        <v>25</v>
      </c>
      <c r="C2529" t="s">
        <v>956</v>
      </c>
      <c r="D2529" t="str">
        <f t="shared" si="195"/>
        <v>23.02.2020</v>
      </c>
      <c r="E2529" s="1">
        <v>0.66666666666666663</v>
      </c>
      <c r="F2529" t="s">
        <v>14</v>
      </c>
      <c r="G2529" t="s">
        <v>36</v>
      </c>
      <c r="H2529" s="2">
        <v>46024</v>
      </c>
      <c r="I2529" s="3" t="str">
        <f t="shared" si="196"/>
        <v/>
      </c>
      <c r="J2529" t="str">
        <f t="shared" si="197"/>
        <v/>
      </c>
      <c r="K2529" t="str">
        <f t="shared" si="198"/>
        <v/>
      </c>
      <c r="L2529" t="str">
        <f t="shared" si="199"/>
        <v/>
      </c>
      <c r="M2529" t="str">
        <f>IF(COUNTIF($A$2:A2529,A2529)=1,
     VLOOKUP(A2529,Season_Winners!A:B,2,FALSE),
     "")</f>
        <v/>
      </c>
    </row>
    <row r="2530" spans="1:13" x14ac:dyDescent="0.3">
      <c r="A2530" t="s">
        <v>878</v>
      </c>
      <c r="B2530">
        <v>25</v>
      </c>
      <c r="C2530" t="s">
        <v>956</v>
      </c>
      <c r="D2530" t="str">
        <f t="shared" si="195"/>
        <v>23.02.2020</v>
      </c>
      <c r="E2530" s="1">
        <v>0.77083333333333337</v>
      </c>
      <c r="F2530" t="s">
        <v>11</v>
      </c>
      <c r="G2530" t="s">
        <v>27</v>
      </c>
      <c r="H2530" t="s">
        <v>46</v>
      </c>
      <c r="I2530" t="str">
        <f t="shared" si="196"/>
        <v>0-3</v>
      </c>
      <c r="J2530" t="str">
        <f t="shared" si="197"/>
        <v>0</v>
      </c>
      <c r="K2530" t="str">
        <f t="shared" si="198"/>
        <v>3</v>
      </c>
      <c r="L2530" t="str">
        <f t="shared" si="199"/>
        <v>Sevilla FC</v>
      </c>
      <c r="M2530" t="str">
        <f>IF(COUNTIF($A$2:A2530,A2530)=1,
     VLOOKUP(A2530,Season_Winners!A:B,2,FALSE),
     "")</f>
        <v/>
      </c>
    </row>
    <row r="2531" spans="1:13" hidden="1" x14ac:dyDescent="0.3">
      <c r="A2531" t="s">
        <v>878</v>
      </c>
      <c r="B2531">
        <v>25</v>
      </c>
      <c r="C2531" t="s">
        <v>956</v>
      </c>
      <c r="D2531" t="str">
        <f t="shared" si="195"/>
        <v>23.02.2020</v>
      </c>
      <c r="E2531" s="1">
        <v>0.875</v>
      </c>
      <c r="F2531" t="s">
        <v>28</v>
      </c>
      <c r="G2531" t="s">
        <v>34</v>
      </c>
      <c r="H2531" s="2">
        <v>46025</v>
      </c>
      <c r="I2531" s="3" t="str">
        <f t="shared" si="196"/>
        <v/>
      </c>
      <c r="J2531" t="str">
        <f t="shared" si="197"/>
        <v/>
      </c>
      <c r="K2531" t="str">
        <f t="shared" si="198"/>
        <v/>
      </c>
      <c r="L2531" t="str">
        <f t="shared" si="199"/>
        <v/>
      </c>
      <c r="M2531" t="str">
        <f>IF(COUNTIF($A$2:A2531,A2531)=1,
     VLOOKUP(A2531,Season_Winners!A:B,2,FALSE),
     "")</f>
        <v/>
      </c>
    </row>
    <row r="2532" spans="1:13" x14ac:dyDescent="0.3">
      <c r="A2532" t="s">
        <v>878</v>
      </c>
      <c r="B2532">
        <v>26</v>
      </c>
      <c r="C2532" t="s">
        <v>957</v>
      </c>
      <c r="D2532" t="str">
        <f t="shared" si="195"/>
        <v>28.02.2020</v>
      </c>
      <c r="E2532" s="1">
        <v>0.875</v>
      </c>
      <c r="F2532" t="s">
        <v>10</v>
      </c>
      <c r="G2532" t="s">
        <v>14</v>
      </c>
      <c r="H2532" t="s">
        <v>18</v>
      </c>
      <c r="I2532" t="str">
        <f t="shared" si="196"/>
        <v>1-0</v>
      </c>
      <c r="J2532" t="str">
        <f t="shared" si="197"/>
        <v>1</v>
      </c>
      <c r="K2532" t="str">
        <f t="shared" si="198"/>
        <v>0</v>
      </c>
      <c r="L2532" t="str">
        <f t="shared" si="199"/>
        <v>Real Sociedad</v>
      </c>
      <c r="M2532" t="str">
        <f>IF(COUNTIF($A$2:A2532,A2532)=1,
     VLOOKUP(A2532,Season_Winners!A:B,2,FALSE),
     "")</f>
        <v/>
      </c>
    </row>
    <row r="2533" spans="1:13" x14ac:dyDescent="0.3">
      <c r="A2533" t="s">
        <v>878</v>
      </c>
      <c r="B2533">
        <v>26</v>
      </c>
      <c r="C2533" t="s">
        <v>958</v>
      </c>
      <c r="D2533" t="str">
        <f t="shared" si="195"/>
        <v>29.02.2020</v>
      </c>
      <c r="E2533" s="1">
        <v>0.54166666666666663</v>
      </c>
      <c r="F2533" t="s">
        <v>187</v>
      </c>
      <c r="G2533" t="s">
        <v>21</v>
      </c>
      <c r="H2533" t="s">
        <v>32</v>
      </c>
      <c r="I2533" t="str">
        <f t="shared" si="196"/>
        <v>3-0</v>
      </c>
      <c r="J2533" t="str">
        <f t="shared" si="197"/>
        <v>3</v>
      </c>
      <c r="K2533" t="str">
        <f t="shared" si="198"/>
        <v>0</v>
      </c>
      <c r="L2533" t="str">
        <f t="shared" si="199"/>
        <v>SD Eibar</v>
      </c>
      <c r="M2533" t="str">
        <f>IF(COUNTIF($A$2:A2533,A2533)=1,
     VLOOKUP(A2533,Season_Winners!A:B,2,FALSE),
     "")</f>
        <v/>
      </c>
    </row>
    <row r="2534" spans="1:13" hidden="1" x14ac:dyDescent="0.3">
      <c r="A2534" t="s">
        <v>878</v>
      </c>
      <c r="B2534">
        <v>26</v>
      </c>
      <c r="C2534" t="s">
        <v>958</v>
      </c>
      <c r="D2534" t="str">
        <f t="shared" si="195"/>
        <v>29.02.2020</v>
      </c>
      <c r="E2534" s="1">
        <v>0.66666666666666663</v>
      </c>
      <c r="F2534" t="s">
        <v>16</v>
      </c>
      <c r="G2534" t="s">
        <v>26</v>
      </c>
      <c r="H2534" s="2">
        <v>46024</v>
      </c>
      <c r="I2534" s="3" t="str">
        <f t="shared" si="196"/>
        <v/>
      </c>
      <c r="J2534" t="str">
        <f t="shared" si="197"/>
        <v/>
      </c>
      <c r="K2534" t="str">
        <f t="shared" si="198"/>
        <v/>
      </c>
      <c r="L2534" t="str">
        <f t="shared" si="199"/>
        <v/>
      </c>
      <c r="M2534" t="str">
        <f>IF(COUNTIF($A$2:A2534,A2534)=1,
     VLOOKUP(A2534,Season_Winners!A:B,2,FALSE),
     "")</f>
        <v/>
      </c>
    </row>
    <row r="2535" spans="1:13" hidden="1" x14ac:dyDescent="0.3">
      <c r="A2535" t="s">
        <v>878</v>
      </c>
      <c r="B2535">
        <v>26</v>
      </c>
      <c r="C2535" t="s">
        <v>958</v>
      </c>
      <c r="D2535" t="str">
        <f t="shared" si="195"/>
        <v>29.02.2020</v>
      </c>
      <c r="E2535" s="1">
        <v>0.77083333333333337</v>
      </c>
      <c r="F2535" t="s">
        <v>466</v>
      </c>
      <c r="G2535" t="s">
        <v>464</v>
      </c>
      <c r="H2535" s="2">
        <v>46023</v>
      </c>
      <c r="I2535" s="3" t="str">
        <f t="shared" si="196"/>
        <v/>
      </c>
      <c r="J2535" t="str">
        <f t="shared" si="197"/>
        <v/>
      </c>
      <c r="K2535" t="str">
        <f t="shared" si="198"/>
        <v/>
      </c>
      <c r="L2535" t="str">
        <f t="shared" si="199"/>
        <v/>
      </c>
      <c r="M2535" t="str">
        <f>IF(COUNTIF($A$2:A2535,A2535)=1,
     VLOOKUP(A2535,Season_Winners!A:B,2,FALSE),
     "")</f>
        <v/>
      </c>
    </row>
    <row r="2536" spans="1:13" x14ac:dyDescent="0.3">
      <c r="A2536" t="s">
        <v>878</v>
      </c>
      <c r="B2536">
        <v>26</v>
      </c>
      <c r="C2536" t="s">
        <v>958</v>
      </c>
      <c r="D2536" t="str">
        <f t="shared" si="195"/>
        <v>29.02.2020</v>
      </c>
      <c r="E2536" s="1">
        <v>0.875</v>
      </c>
      <c r="F2536" t="s">
        <v>24</v>
      </c>
      <c r="G2536" t="s">
        <v>35</v>
      </c>
      <c r="H2536" t="s">
        <v>41</v>
      </c>
      <c r="I2536" t="str">
        <f t="shared" si="196"/>
        <v>0-0</v>
      </c>
      <c r="J2536" t="str">
        <f t="shared" si="197"/>
        <v>0</v>
      </c>
      <c r="K2536" t="str">
        <f t="shared" si="198"/>
        <v>0</v>
      </c>
      <c r="L2536" t="str">
        <f t="shared" si="199"/>
        <v>Draw</v>
      </c>
      <c r="M2536" t="str">
        <f>IF(COUNTIF($A$2:A2536,A2536)=1,
     VLOOKUP(A2536,Season_Winners!A:B,2,FALSE),
     "")</f>
        <v/>
      </c>
    </row>
    <row r="2537" spans="1:13" hidden="1" x14ac:dyDescent="0.3">
      <c r="A2537" t="s">
        <v>878</v>
      </c>
      <c r="B2537">
        <v>26</v>
      </c>
      <c r="C2537" t="s">
        <v>959</v>
      </c>
      <c r="D2537" t="str">
        <f t="shared" si="195"/>
        <v>01.03.2020</v>
      </c>
      <c r="E2537" s="1">
        <v>0.5</v>
      </c>
      <c r="F2537" t="s">
        <v>27</v>
      </c>
      <c r="G2537" t="s">
        <v>23</v>
      </c>
      <c r="H2537" s="2">
        <v>46056</v>
      </c>
      <c r="I2537" s="3" t="str">
        <f t="shared" si="196"/>
        <v/>
      </c>
      <c r="J2537" t="str">
        <f t="shared" si="197"/>
        <v/>
      </c>
      <c r="K2537" t="str">
        <f t="shared" si="198"/>
        <v/>
      </c>
      <c r="L2537" t="str">
        <f t="shared" si="199"/>
        <v/>
      </c>
      <c r="M2537" t="str">
        <f>IF(COUNTIF($A$2:A2537,A2537)=1,
     VLOOKUP(A2537,Season_Winners!A:B,2,FALSE),
     "")</f>
        <v/>
      </c>
    </row>
    <row r="2538" spans="1:13" x14ac:dyDescent="0.3">
      <c r="A2538" t="s">
        <v>878</v>
      </c>
      <c r="B2538">
        <v>26</v>
      </c>
      <c r="C2538" t="s">
        <v>959</v>
      </c>
      <c r="D2538" t="str">
        <f t="shared" si="195"/>
        <v>01.03.2020</v>
      </c>
      <c r="E2538" s="1">
        <v>0.58333333333333337</v>
      </c>
      <c r="F2538" t="s">
        <v>15</v>
      </c>
      <c r="G2538" t="s">
        <v>34</v>
      </c>
      <c r="H2538" t="s">
        <v>18</v>
      </c>
      <c r="I2538" t="str">
        <f t="shared" si="196"/>
        <v>1-0</v>
      </c>
      <c r="J2538" t="str">
        <f t="shared" si="197"/>
        <v>1</v>
      </c>
      <c r="K2538" t="str">
        <f t="shared" si="198"/>
        <v>0</v>
      </c>
      <c r="L2538" t="str">
        <f t="shared" si="199"/>
        <v>Athletic Club</v>
      </c>
      <c r="M2538" t="str">
        <f>IF(COUNTIF($A$2:A2538,A2538)=1,
     VLOOKUP(A2538,Season_Winners!A:B,2,FALSE),
     "")</f>
        <v/>
      </c>
    </row>
    <row r="2539" spans="1:13" hidden="1" x14ac:dyDescent="0.3">
      <c r="A2539" t="s">
        <v>878</v>
      </c>
      <c r="B2539">
        <v>26</v>
      </c>
      <c r="C2539" t="s">
        <v>959</v>
      </c>
      <c r="D2539" t="str">
        <f t="shared" si="195"/>
        <v>01.03.2020</v>
      </c>
      <c r="E2539" s="1">
        <v>0.66666666666666663</v>
      </c>
      <c r="F2539" t="s">
        <v>36</v>
      </c>
      <c r="G2539" t="s">
        <v>28</v>
      </c>
      <c r="H2539" s="2">
        <v>46023</v>
      </c>
      <c r="I2539" s="3" t="str">
        <f t="shared" si="196"/>
        <v/>
      </c>
      <c r="J2539" t="str">
        <f t="shared" si="197"/>
        <v/>
      </c>
      <c r="K2539" t="str">
        <f t="shared" si="198"/>
        <v/>
      </c>
      <c r="L2539" t="str">
        <f t="shared" si="199"/>
        <v/>
      </c>
      <c r="M2539" t="str">
        <f>IF(COUNTIF($A$2:A2539,A2539)=1,
     VLOOKUP(A2539,Season_Winners!A:B,2,FALSE),
     "")</f>
        <v/>
      </c>
    </row>
    <row r="2540" spans="1:13" x14ac:dyDescent="0.3">
      <c r="A2540" t="s">
        <v>878</v>
      </c>
      <c r="B2540">
        <v>26</v>
      </c>
      <c r="C2540" t="s">
        <v>959</v>
      </c>
      <c r="D2540" t="str">
        <f t="shared" si="195"/>
        <v>01.03.2020</v>
      </c>
      <c r="E2540" s="1">
        <v>0.77083333333333337</v>
      </c>
      <c r="F2540" t="s">
        <v>881</v>
      </c>
      <c r="G2540" t="s">
        <v>11</v>
      </c>
      <c r="H2540" t="s">
        <v>42</v>
      </c>
      <c r="I2540" t="str">
        <f t="shared" si="196"/>
        <v>0-1</v>
      </c>
      <c r="J2540" t="str">
        <f t="shared" si="197"/>
        <v>0</v>
      </c>
      <c r="K2540" t="str">
        <f t="shared" si="198"/>
        <v>1</v>
      </c>
      <c r="L2540" t="str">
        <f t="shared" si="199"/>
        <v>Getafe CF</v>
      </c>
      <c r="M2540" t="str">
        <f>IF(COUNTIF($A$2:A2540,A2540)=1,
     VLOOKUP(A2540,Season_Winners!A:B,2,FALSE),
     "")</f>
        <v/>
      </c>
    </row>
    <row r="2541" spans="1:13" x14ac:dyDescent="0.3">
      <c r="A2541" t="s">
        <v>878</v>
      </c>
      <c r="B2541">
        <v>26</v>
      </c>
      <c r="C2541" t="s">
        <v>959</v>
      </c>
      <c r="D2541" t="str">
        <f t="shared" si="195"/>
        <v>01.03.2020</v>
      </c>
      <c r="E2541" s="1">
        <v>0.875</v>
      </c>
      <c r="F2541" t="s">
        <v>25</v>
      </c>
      <c r="G2541" t="s">
        <v>20</v>
      </c>
      <c r="H2541" t="s">
        <v>12</v>
      </c>
      <c r="I2541" t="str">
        <f t="shared" si="196"/>
        <v>2-0</v>
      </c>
      <c r="J2541" t="str">
        <f t="shared" si="197"/>
        <v>2</v>
      </c>
      <c r="K2541" t="str">
        <f t="shared" si="198"/>
        <v>0</v>
      </c>
      <c r="L2541" t="str">
        <f t="shared" si="199"/>
        <v>Real Madrid</v>
      </c>
      <c r="M2541" t="str">
        <f>IF(COUNTIF($A$2:A2541,A2541)=1,
     VLOOKUP(A2541,Season_Winners!A:B,2,FALSE),
     "")</f>
        <v/>
      </c>
    </row>
    <row r="2542" spans="1:13" hidden="1" x14ac:dyDescent="0.3">
      <c r="A2542" t="s">
        <v>878</v>
      </c>
      <c r="B2542">
        <v>27</v>
      </c>
      <c r="C2542" t="s">
        <v>960</v>
      </c>
      <c r="D2542" t="str">
        <f t="shared" si="195"/>
        <v>06.03.2020</v>
      </c>
      <c r="E2542" s="1">
        <v>0.875</v>
      </c>
      <c r="F2542" t="s">
        <v>464</v>
      </c>
      <c r="G2542" t="s">
        <v>16</v>
      </c>
      <c r="H2542" s="2">
        <v>46023</v>
      </c>
      <c r="I2542" s="3" t="str">
        <f t="shared" si="196"/>
        <v/>
      </c>
      <c r="J2542" t="str">
        <f t="shared" si="197"/>
        <v/>
      </c>
      <c r="K2542" t="str">
        <f t="shared" si="198"/>
        <v/>
      </c>
      <c r="L2542" t="str">
        <f t="shared" si="199"/>
        <v/>
      </c>
      <c r="M2542" t="str">
        <f>IF(COUNTIF($A$2:A2542,A2542)=1,
     VLOOKUP(A2542,Season_Winners!A:B,2,FALSE),
     "")</f>
        <v/>
      </c>
    </row>
    <row r="2543" spans="1:13" hidden="1" x14ac:dyDescent="0.3">
      <c r="A2543" t="s">
        <v>878</v>
      </c>
      <c r="B2543">
        <v>27</v>
      </c>
      <c r="C2543" t="s">
        <v>961</v>
      </c>
      <c r="D2543" t="str">
        <f t="shared" si="195"/>
        <v>07.03.2020</v>
      </c>
      <c r="E2543" s="1">
        <v>0.54166666666666663</v>
      </c>
      <c r="F2543" t="s">
        <v>187</v>
      </c>
      <c r="G2543" t="s">
        <v>881</v>
      </c>
      <c r="H2543" s="2">
        <v>46054</v>
      </c>
      <c r="I2543" s="3" t="str">
        <f t="shared" si="196"/>
        <v/>
      </c>
      <c r="J2543" t="str">
        <f t="shared" si="197"/>
        <v/>
      </c>
      <c r="K2543" t="str">
        <f t="shared" si="198"/>
        <v/>
      </c>
      <c r="L2543" t="str">
        <f t="shared" si="199"/>
        <v/>
      </c>
      <c r="M2543" t="str">
        <f>IF(COUNTIF($A$2:A2543,A2543)=1,
     VLOOKUP(A2543,Season_Winners!A:B,2,FALSE),
     "")</f>
        <v/>
      </c>
    </row>
    <row r="2544" spans="1:13" hidden="1" x14ac:dyDescent="0.3">
      <c r="A2544" t="s">
        <v>878</v>
      </c>
      <c r="B2544">
        <v>27</v>
      </c>
      <c r="C2544" t="s">
        <v>961</v>
      </c>
      <c r="D2544" t="str">
        <f t="shared" si="195"/>
        <v>07.03.2020</v>
      </c>
      <c r="E2544" s="1">
        <v>0.66666666666666663</v>
      </c>
      <c r="F2544" t="s">
        <v>28</v>
      </c>
      <c r="G2544" t="s">
        <v>27</v>
      </c>
      <c r="H2544" s="2">
        <v>46055</v>
      </c>
      <c r="I2544" s="3" t="str">
        <f t="shared" si="196"/>
        <v/>
      </c>
      <c r="J2544" t="str">
        <f t="shared" si="197"/>
        <v/>
      </c>
      <c r="K2544" t="str">
        <f t="shared" si="198"/>
        <v/>
      </c>
      <c r="L2544" t="str">
        <f t="shared" si="199"/>
        <v/>
      </c>
      <c r="M2544" t="str">
        <f>IF(COUNTIF($A$2:A2544,A2544)=1,
     VLOOKUP(A2544,Season_Winners!A:B,2,FALSE),
     "")</f>
        <v/>
      </c>
    </row>
    <row r="2545" spans="1:13" x14ac:dyDescent="0.3">
      <c r="A2545" t="s">
        <v>878</v>
      </c>
      <c r="B2545">
        <v>27</v>
      </c>
      <c r="C2545" t="s">
        <v>961</v>
      </c>
      <c r="D2545" t="str">
        <f t="shared" si="195"/>
        <v>07.03.2020</v>
      </c>
      <c r="E2545" s="1">
        <v>0.77083333333333337</v>
      </c>
      <c r="F2545" t="s">
        <v>20</v>
      </c>
      <c r="G2545" t="s">
        <v>10</v>
      </c>
      <c r="H2545" t="s">
        <v>18</v>
      </c>
      <c r="I2545" t="str">
        <f t="shared" si="196"/>
        <v>1-0</v>
      </c>
      <c r="J2545" t="str">
        <f t="shared" si="197"/>
        <v>1</v>
      </c>
      <c r="K2545" t="str">
        <f t="shared" si="198"/>
        <v>0</v>
      </c>
      <c r="L2545" t="str">
        <f t="shared" si="199"/>
        <v>FC Barcelona</v>
      </c>
      <c r="M2545" t="str">
        <f>IF(COUNTIF($A$2:A2545,A2545)=1,
     VLOOKUP(A2545,Season_Winners!A:B,2,FALSE),
     "")</f>
        <v/>
      </c>
    </row>
    <row r="2546" spans="1:13" x14ac:dyDescent="0.3">
      <c r="A2546" t="s">
        <v>878</v>
      </c>
      <c r="B2546">
        <v>27</v>
      </c>
      <c r="C2546" t="s">
        <v>961</v>
      </c>
      <c r="D2546" t="str">
        <f t="shared" si="195"/>
        <v>07.03.2020</v>
      </c>
      <c r="E2546" s="1">
        <v>0.875</v>
      </c>
      <c r="F2546" t="s">
        <v>11</v>
      </c>
      <c r="G2546" t="s">
        <v>35</v>
      </c>
      <c r="H2546" t="s">
        <v>41</v>
      </c>
      <c r="I2546" t="str">
        <f t="shared" si="196"/>
        <v>0-0</v>
      </c>
      <c r="J2546" t="str">
        <f t="shared" si="197"/>
        <v>0</v>
      </c>
      <c r="K2546" t="str">
        <f t="shared" si="198"/>
        <v>0</v>
      </c>
      <c r="L2546" t="str">
        <f t="shared" si="199"/>
        <v>Draw</v>
      </c>
      <c r="M2546" t="str">
        <f>IF(COUNTIF($A$2:A2546,A2546)=1,
     VLOOKUP(A2546,Season_Winners!A:B,2,FALSE),
     "")</f>
        <v/>
      </c>
    </row>
    <row r="2547" spans="1:13" x14ac:dyDescent="0.3">
      <c r="A2547" t="s">
        <v>878</v>
      </c>
      <c r="B2547">
        <v>27</v>
      </c>
      <c r="C2547" t="s">
        <v>962</v>
      </c>
      <c r="D2547" t="str">
        <f t="shared" si="195"/>
        <v>08.03.2020</v>
      </c>
      <c r="E2547" s="1">
        <v>0.5</v>
      </c>
      <c r="F2547" t="s">
        <v>23</v>
      </c>
      <c r="G2547" t="s">
        <v>36</v>
      </c>
      <c r="H2547" t="s">
        <v>18</v>
      </c>
      <c r="I2547" t="str">
        <f t="shared" si="196"/>
        <v>1-0</v>
      </c>
      <c r="J2547" t="str">
        <f t="shared" si="197"/>
        <v>1</v>
      </c>
      <c r="K2547" t="str">
        <f t="shared" si="198"/>
        <v>0</v>
      </c>
      <c r="L2547" t="str">
        <f t="shared" si="199"/>
        <v>CA Osasuna</v>
      </c>
      <c r="M2547" t="str">
        <f>IF(COUNTIF($A$2:A2547,A2547)=1,
     VLOOKUP(A2547,Season_Winners!A:B,2,FALSE),
     "")</f>
        <v/>
      </c>
    </row>
    <row r="2548" spans="1:13" hidden="1" x14ac:dyDescent="0.3">
      <c r="A2548" t="s">
        <v>878</v>
      </c>
      <c r="B2548">
        <v>27</v>
      </c>
      <c r="C2548" t="s">
        <v>962</v>
      </c>
      <c r="D2548" t="str">
        <f t="shared" si="195"/>
        <v>08.03.2020</v>
      </c>
      <c r="E2548" s="1">
        <v>0.58333333333333337</v>
      </c>
      <c r="F2548" t="s">
        <v>14</v>
      </c>
      <c r="G2548" t="s">
        <v>15</v>
      </c>
      <c r="H2548" s="2">
        <v>46113</v>
      </c>
      <c r="I2548" s="3" t="str">
        <f t="shared" si="196"/>
        <v/>
      </c>
      <c r="J2548" t="str">
        <f t="shared" si="197"/>
        <v/>
      </c>
      <c r="K2548" t="str">
        <f t="shared" si="198"/>
        <v/>
      </c>
      <c r="L2548" t="str">
        <f t="shared" si="199"/>
        <v/>
      </c>
      <c r="M2548" t="str">
        <f>IF(COUNTIF($A$2:A2548,A2548)=1,
     VLOOKUP(A2548,Season_Winners!A:B,2,FALSE),
     "")</f>
        <v/>
      </c>
    </row>
    <row r="2549" spans="1:13" hidden="1" x14ac:dyDescent="0.3">
      <c r="A2549" t="s">
        <v>878</v>
      </c>
      <c r="B2549">
        <v>27</v>
      </c>
      <c r="C2549" t="s">
        <v>962</v>
      </c>
      <c r="D2549" t="str">
        <f t="shared" si="195"/>
        <v>08.03.2020</v>
      </c>
      <c r="E2549" s="1">
        <v>0.66666666666666663</v>
      </c>
      <c r="F2549" t="s">
        <v>21</v>
      </c>
      <c r="G2549" t="s">
        <v>24</v>
      </c>
      <c r="H2549" s="2">
        <v>46023</v>
      </c>
      <c r="I2549" s="3" t="str">
        <f t="shared" si="196"/>
        <v/>
      </c>
      <c r="J2549" t="str">
        <f t="shared" si="197"/>
        <v/>
      </c>
      <c r="K2549" t="str">
        <f t="shared" si="198"/>
        <v/>
      </c>
      <c r="L2549" t="str">
        <f t="shared" si="199"/>
        <v/>
      </c>
      <c r="M2549" t="str">
        <f>IF(COUNTIF($A$2:A2549,A2549)=1,
     VLOOKUP(A2549,Season_Winners!A:B,2,FALSE),
     "")</f>
        <v/>
      </c>
    </row>
    <row r="2550" spans="1:13" hidden="1" x14ac:dyDescent="0.3">
      <c r="A2550" t="s">
        <v>878</v>
      </c>
      <c r="B2550">
        <v>27</v>
      </c>
      <c r="C2550" t="s">
        <v>962</v>
      </c>
      <c r="D2550" t="str">
        <f t="shared" si="195"/>
        <v>08.03.2020</v>
      </c>
      <c r="E2550" s="1">
        <v>0.77083333333333337</v>
      </c>
      <c r="F2550" t="s">
        <v>34</v>
      </c>
      <c r="G2550" t="s">
        <v>466</v>
      </c>
      <c r="H2550" s="2">
        <v>46054</v>
      </c>
      <c r="I2550" s="3" t="str">
        <f t="shared" si="196"/>
        <v/>
      </c>
      <c r="J2550" t="str">
        <f t="shared" si="197"/>
        <v/>
      </c>
      <c r="K2550" t="str">
        <f t="shared" si="198"/>
        <v/>
      </c>
      <c r="L2550" t="str">
        <f t="shared" si="199"/>
        <v/>
      </c>
      <c r="M2550" t="str">
        <f>IF(COUNTIF($A$2:A2550,A2550)=1,
     VLOOKUP(A2550,Season_Winners!A:B,2,FALSE),
     "")</f>
        <v/>
      </c>
    </row>
    <row r="2551" spans="1:13" hidden="1" x14ac:dyDescent="0.3">
      <c r="A2551" t="s">
        <v>878</v>
      </c>
      <c r="B2551">
        <v>27</v>
      </c>
      <c r="C2551" t="s">
        <v>962</v>
      </c>
      <c r="D2551" t="str">
        <f t="shared" si="195"/>
        <v>08.03.2020</v>
      </c>
      <c r="E2551" s="1">
        <v>0.875</v>
      </c>
      <c r="F2551" t="s">
        <v>26</v>
      </c>
      <c r="G2551" t="s">
        <v>25</v>
      </c>
      <c r="H2551" s="2">
        <v>46024</v>
      </c>
      <c r="I2551" s="3" t="str">
        <f t="shared" si="196"/>
        <v/>
      </c>
      <c r="J2551" t="str">
        <f t="shared" si="197"/>
        <v/>
      </c>
      <c r="K2551" t="str">
        <f t="shared" si="198"/>
        <v/>
      </c>
      <c r="L2551" t="str">
        <f t="shared" si="199"/>
        <v/>
      </c>
      <c r="M2551" t="str">
        <f>IF(COUNTIF($A$2:A2551,A2551)=1,
     VLOOKUP(A2551,Season_Winners!A:B,2,FALSE),
     "")</f>
        <v/>
      </c>
    </row>
    <row r="2552" spans="1:13" x14ac:dyDescent="0.3">
      <c r="A2552" t="s">
        <v>878</v>
      </c>
      <c r="B2552">
        <v>28</v>
      </c>
      <c r="C2552" t="s">
        <v>963</v>
      </c>
      <c r="D2552" t="str">
        <f t="shared" si="195"/>
        <v>11.06.2020</v>
      </c>
      <c r="E2552" s="1">
        <v>0.91666666666666663</v>
      </c>
      <c r="F2552" t="s">
        <v>27</v>
      </c>
      <c r="G2552" t="s">
        <v>26</v>
      </c>
      <c r="H2552" t="s">
        <v>12</v>
      </c>
      <c r="I2552" t="str">
        <f t="shared" si="196"/>
        <v>2-0</v>
      </c>
      <c r="J2552" t="str">
        <f t="shared" si="197"/>
        <v>2</v>
      </c>
      <c r="K2552" t="str">
        <f t="shared" si="198"/>
        <v>0</v>
      </c>
      <c r="L2552" t="str">
        <f t="shared" si="199"/>
        <v>Sevilla FC</v>
      </c>
      <c r="M2552" t="str">
        <f>IF(COUNTIF($A$2:A2552,A2552)=1,
     VLOOKUP(A2552,Season_Winners!A:B,2,FALSE),
     "")</f>
        <v/>
      </c>
    </row>
    <row r="2553" spans="1:13" hidden="1" x14ac:dyDescent="0.3">
      <c r="A2553" t="s">
        <v>878</v>
      </c>
      <c r="B2553">
        <v>28</v>
      </c>
      <c r="C2553" t="s">
        <v>964</v>
      </c>
      <c r="D2553" t="str">
        <f t="shared" si="195"/>
        <v>12.06.2020</v>
      </c>
      <c r="E2553" s="1">
        <v>0.8125</v>
      </c>
      <c r="F2553" t="s">
        <v>24</v>
      </c>
      <c r="G2553" t="s">
        <v>11</v>
      </c>
      <c r="H2553" s="2">
        <v>46024</v>
      </c>
      <c r="I2553" s="3" t="str">
        <f t="shared" si="196"/>
        <v/>
      </c>
      <c r="J2553" t="str">
        <f t="shared" si="197"/>
        <v/>
      </c>
      <c r="K2553" t="str">
        <f t="shared" si="198"/>
        <v/>
      </c>
      <c r="L2553" t="str">
        <f t="shared" si="199"/>
        <v/>
      </c>
      <c r="M2553" t="str">
        <f>IF(COUNTIF($A$2:A2553,A2553)=1,
     VLOOKUP(A2553,Season_Winners!A:B,2,FALSE),
     "")</f>
        <v/>
      </c>
    </row>
    <row r="2554" spans="1:13" hidden="1" x14ac:dyDescent="0.3">
      <c r="A2554" t="s">
        <v>878</v>
      </c>
      <c r="B2554">
        <v>28</v>
      </c>
      <c r="C2554" t="s">
        <v>964</v>
      </c>
      <c r="D2554" t="str">
        <f t="shared" si="195"/>
        <v>12.06.2020</v>
      </c>
      <c r="E2554" s="1">
        <v>0.91666666666666663</v>
      </c>
      <c r="F2554" t="s">
        <v>16</v>
      </c>
      <c r="G2554" t="s">
        <v>21</v>
      </c>
      <c r="H2554" s="2">
        <v>46023</v>
      </c>
      <c r="I2554" s="3" t="str">
        <f t="shared" si="196"/>
        <v/>
      </c>
      <c r="J2554" t="str">
        <f t="shared" si="197"/>
        <v/>
      </c>
      <c r="K2554" t="str">
        <f t="shared" si="198"/>
        <v/>
      </c>
      <c r="L2554" t="str">
        <f t="shared" si="199"/>
        <v/>
      </c>
      <c r="M2554" t="str">
        <f>IF(COUNTIF($A$2:A2554,A2554)=1,
     VLOOKUP(A2554,Season_Winners!A:B,2,FALSE),
     "")</f>
        <v/>
      </c>
    </row>
    <row r="2555" spans="1:13" x14ac:dyDescent="0.3">
      <c r="A2555" t="s">
        <v>878</v>
      </c>
      <c r="B2555">
        <v>28</v>
      </c>
      <c r="C2555" t="s">
        <v>965</v>
      </c>
      <c r="D2555" t="str">
        <f t="shared" si="195"/>
        <v>13.06.2020</v>
      </c>
      <c r="E2555" s="1">
        <v>0.58333333333333337</v>
      </c>
      <c r="F2555" t="s">
        <v>36</v>
      </c>
      <c r="G2555" t="s">
        <v>464</v>
      </c>
      <c r="H2555" t="s">
        <v>12</v>
      </c>
      <c r="I2555" t="str">
        <f t="shared" si="196"/>
        <v>2-0</v>
      </c>
      <c r="J2555" t="str">
        <f t="shared" si="197"/>
        <v>2</v>
      </c>
      <c r="K2555" t="str">
        <f t="shared" si="198"/>
        <v>0</v>
      </c>
      <c r="L2555" t="str">
        <f t="shared" si="199"/>
        <v>RCD Espanyol de Barcelona</v>
      </c>
      <c r="M2555" t="str">
        <f>IF(COUNTIF($A$2:A2555,A2555)=1,
     VLOOKUP(A2555,Season_Winners!A:B,2,FALSE),
     "")</f>
        <v/>
      </c>
    </row>
    <row r="2556" spans="1:13" x14ac:dyDescent="0.3">
      <c r="A2556" t="s">
        <v>878</v>
      </c>
      <c r="B2556">
        <v>28</v>
      </c>
      <c r="C2556" t="s">
        <v>965</v>
      </c>
      <c r="D2556" t="str">
        <f t="shared" si="195"/>
        <v>13.06.2020</v>
      </c>
      <c r="E2556" s="1">
        <v>0.70833333333333337</v>
      </c>
      <c r="F2556" t="s">
        <v>35</v>
      </c>
      <c r="G2556" t="s">
        <v>34</v>
      </c>
      <c r="H2556" t="s">
        <v>42</v>
      </c>
      <c r="I2556" t="str">
        <f t="shared" si="196"/>
        <v>0-1</v>
      </c>
      <c r="J2556" t="str">
        <f t="shared" si="197"/>
        <v>0</v>
      </c>
      <c r="K2556" t="str">
        <f t="shared" si="198"/>
        <v>1</v>
      </c>
      <c r="L2556" t="str">
        <f t="shared" si="199"/>
        <v>Villarreal CF</v>
      </c>
      <c r="M2556" t="str">
        <f>IF(COUNTIF($A$2:A2556,A2556)=1,
     VLOOKUP(A2556,Season_Winners!A:B,2,FALSE),
     "")</f>
        <v/>
      </c>
    </row>
    <row r="2557" spans="1:13" hidden="1" x14ac:dyDescent="0.3">
      <c r="A2557" t="s">
        <v>878</v>
      </c>
      <c r="B2557">
        <v>28</v>
      </c>
      <c r="C2557" t="s">
        <v>965</v>
      </c>
      <c r="D2557" t="str">
        <f t="shared" si="195"/>
        <v>13.06.2020</v>
      </c>
      <c r="E2557" s="1">
        <v>0.8125</v>
      </c>
      <c r="F2557" t="s">
        <v>466</v>
      </c>
      <c r="G2557" t="s">
        <v>14</v>
      </c>
      <c r="H2557" s="2">
        <v>46054</v>
      </c>
      <c r="I2557" s="3" t="str">
        <f t="shared" si="196"/>
        <v/>
      </c>
      <c r="J2557" t="str">
        <f t="shared" si="197"/>
        <v/>
      </c>
      <c r="K2557" t="str">
        <f t="shared" si="198"/>
        <v/>
      </c>
      <c r="L2557" t="str">
        <f t="shared" si="199"/>
        <v/>
      </c>
      <c r="M2557" t="str">
        <f>IF(COUNTIF($A$2:A2557,A2557)=1,
     VLOOKUP(A2557,Season_Winners!A:B,2,FALSE),
     "")</f>
        <v/>
      </c>
    </row>
    <row r="2558" spans="1:13" x14ac:dyDescent="0.3">
      <c r="A2558" t="s">
        <v>878</v>
      </c>
      <c r="B2558">
        <v>28</v>
      </c>
      <c r="C2558" t="s">
        <v>965</v>
      </c>
      <c r="D2558" t="str">
        <f t="shared" si="195"/>
        <v>13.06.2020</v>
      </c>
      <c r="E2558" s="1">
        <v>0.91666666666666663</v>
      </c>
      <c r="F2558" t="s">
        <v>881</v>
      </c>
      <c r="G2558" t="s">
        <v>20</v>
      </c>
      <c r="H2558" t="s">
        <v>53</v>
      </c>
      <c r="I2558" t="str">
        <f t="shared" si="196"/>
        <v>0-4</v>
      </c>
      <c r="J2558" t="str">
        <f t="shared" si="197"/>
        <v>0</v>
      </c>
      <c r="K2558" t="str">
        <f t="shared" si="198"/>
        <v>4</v>
      </c>
      <c r="L2558" t="str">
        <f t="shared" si="199"/>
        <v>FC Barcelona</v>
      </c>
      <c r="M2558" t="str">
        <f>IF(COUNTIF($A$2:A2558,A2558)=1,
     VLOOKUP(A2558,Season_Winners!A:B,2,FALSE),
     "")</f>
        <v/>
      </c>
    </row>
    <row r="2559" spans="1:13" hidden="1" x14ac:dyDescent="0.3">
      <c r="A2559" t="s">
        <v>878</v>
      </c>
      <c r="B2559">
        <v>28</v>
      </c>
      <c r="C2559" t="s">
        <v>966</v>
      </c>
      <c r="D2559" t="str">
        <f t="shared" si="195"/>
        <v>14.06.2020</v>
      </c>
      <c r="E2559" s="1">
        <v>0.58333333333333337</v>
      </c>
      <c r="F2559" t="s">
        <v>15</v>
      </c>
      <c r="G2559" t="s">
        <v>28</v>
      </c>
      <c r="H2559" s="2">
        <v>46023</v>
      </c>
      <c r="I2559" s="3" t="str">
        <f t="shared" si="196"/>
        <v/>
      </c>
      <c r="J2559" t="str">
        <f t="shared" si="197"/>
        <v/>
      </c>
      <c r="K2559" t="str">
        <f t="shared" si="198"/>
        <v/>
      </c>
      <c r="L2559" t="str">
        <f t="shared" si="199"/>
        <v/>
      </c>
      <c r="M2559" t="str">
        <f>IF(COUNTIF($A$2:A2559,A2559)=1,
     VLOOKUP(A2559,Season_Winners!A:B,2,FALSE),
     "")</f>
        <v/>
      </c>
    </row>
    <row r="2560" spans="1:13" hidden="1" x14ac:dyDescent="0.3">
      <c r="A2560" t="s">
        <v>878</v>
      </c>
      <c r="B2560">
        <v>28</v>
      </c>
      <c r="C2560" t="s">
        <v>966</v>
      </c>
      <c r="D2560" t="str">
        <f t="shared" si="195"/>
        <v>14.06.2020</v>
      </c>
      <c r="E2560" s="1">
        <v>0.8125</v>
      </c>
      <c r="F2560" t="s">
        <v>25</v>
      </c>
      <c r="G2560" t="s">
        <v>187</v>
      </c>
      <c r="H2560" s="2">
        <v>46025</v>
      </c>
      <c r="I2560" s="3" t="str">
        <f t="shared" si="196"/>
        <v/>
      </c>
      <c r="J2560" t="str">
        <f t="shared" si="197"/>
        <v/>
      </c>
      <c r="K2560" t="str">
        <f t="shared" si="198"/>
        <v/>
      </c>
      <c r="L2560" t="str">
        <f t="shared" si="199"/>
        <v/>
      </c>
      <c r="M2560" t="str">
        <f>IF(COUNTIF($A$2:A2560,A2560)=1,
     VLOOKUP(A2560,Season_Winners!A:B,2,FALSE),
     "")</f>
        <v/>
      </c>
    </row>
    <row r="2561" spans="1:13" hidden="1" x14ac:dyDescent="0.3">
      <c r="A2561" t="s">
        <v>878</v>
      </c>
      <c r="B2561">
        <v>28</v>
      </c>
      <c r="C2561" t="s">
        <v>966</v>
      </c>
      <c r="D2561" t="str">
        <f t="shared" si="195"/>
        <v>14.06.2020</v>
      </c>
      <c r="E2561" s="1">
        <v>0.91666666666666663</v>
      </c>
      <c r="F2561" t="s">
        <v>10</v>
      </c>
      <c r="G2561" t="s">
        <v>23</v>
      </c>
      <c r="H2561" s="2">
        <v>46023</v>
      </c>
      <c r="I2561" s="3" t="str">
        <f t="shared" si="196"/>
        <v/>
      </c>
      <c r="J2561" t="str">
        <f t="shared" si="197"/>
        <v/>
      </c>
      <c r="K2561" t="str">
        <f t="shared" si="198"/>
        <v/>
      </c>
      <c r="L2561" t="str">
        <f t="shared" si="199"/>
        <v/>
      </c>
      <c r="M2561" t="str">
        <f>IF(COUNTIF($A$2:A2561,A2561)=1,
     VLOOKUP(A2561,Season_Winners!A:B,2,FALSE),
     "")</f>
        <v/>
      </c>
    </row>
    <row r="2562" spans="1:13" hidden="1" x14ac:dyDescent="0.3">
      <c r="A2562" t="s">
        <v>878</v>
      </c>
      <c r="B2562">
        <v>29</v>
      </c>
      <c r="C2562" t="s">
        <v>967</v>
      </c>
      <c r="D2562" t="str">
        <f t="shared" ref="D2562:D2625" si="200">RIGHT(C2562,10)</f>
        <v>15.06.2020</v>
      </c>
      <c r="E2562" s="1">
        <v>0.8125</v>
      </c>
      <c r="F2562" t="s">
        <v>21</v>
      </c>
      <c r="G2562" t="s">
        <v>27</v>
      </c>
      <c r="H2562" s="2">
        <v>46023</v>
      </c>
      <c r="I2562" s="3" t="str">
        <f t="shared" ref="I2562:I2625" si="201">IF(ISNUMBER(SEARCH("-",H2562)),H2562,"")</f>
        <v/>
      </c>
      <c r="J2562" t="str">
        <f t="shared" ref="J2562:J2625" si="202">IF(I2562="","",LEFT(I2562,FIND("-",I2562)-1))</f>
        <v/>
      </c>
      <c r="K2562" t="str">
        <f t="shared" ref="K2562:K2625" si="203">IF(I2562="","",RIGHT(I2562,LEN(I2562)-FIND("-",I2562)))</f>
        <v/>
      </c>
      <c r="L2562" t="str">
        <f t="shared" ref="L2562:L2625" si="204">IF(I2562="","",IF(J2562&gt;K2562,F2562,IF(K2562&gt;J2562,G2562,"Draw")))</f>
        <v/>
      </c>
      <c r="M2562" t="str">
        <f>IF(COUNTIF($A$2:A2562,A2562)=1,
     VLOOKUP(A2562,Season_Winners!A:B,2,FALSE),
     "")</f>
        <v/>
      </c>
    </row>
    <row r="2563" spans="1:13" hidden="1" x14ac:dyDescent="0.3">
      <c r="A2563" t="s">
        <v>878</v>
      </c>
      <c r="B2563">
        <v>29</v>
      </c>
      <c r="C2563" t="s">
        <v>967</v>
      </c>
      <c r="D2563" t="str">
        <f t="shared" si="200"/>
        <v>15.06.2020</v>
      </c>
      <c r="E2563" s="1">
        <v>0.91666666666666663</v>
      </c>
      <c r="F2563" t="s">
        <v>26</v>
      </c>
      <c r="G2563" t="s">
        <v>24</v>
      </c>
      <c r="H2563" s="2">
        <v>46055</v>
      </c>
      <c r="I2563" s="3" t="str">
        <f t="shared" si="201"/>
        <v/>
      </c>
      <c r="J2563" t="str">
        <f t="shared" si="202"/>
        <v/>
      </c>
      <c r="K2563" t="str">
        <f t="shared" si="203"/>
        <v/>
      </c>
      <c r="L2563" t="str">
        <f t="shared" si="204"/>
        <v/>
      </c>
      <c r="M2563" t="str">
        <f>IF(COUNTIF($A$2:A2563,A2563)=1,
     VLOOKUP(A2563,Season_Winners!A:B,2,FALSE),
     "")</f>
        <v/>
      </c>
    </row>
    <row r="2564" spans="1:13" x14ac:dyDescent="0.3">
      <c r="A2564" t="s">
        <v>878</v>
      </c>
      <c r="B2564">
        <v>29</v>
      </c>
      <c r="C2564" t="s">
        <v>968</v>
      </c>
      <c r="D2564" t="str">
        <f t="shared" si="200"/>
        <v>16.06.2020</v>
      </c>
      <c r="E2564" s="1">
        <v>0.8125</v>
      </c>
      <c r="F2564" t="s">
        <v>11</v>
      </c>
      <c r="G2564" t="s">
        <v>36</v>
      </c>
      <c r="H2564" t="s">
        <v>41</v>
      </c>
      <c r="I2564" t="str">
        <f t="shared" si="201"/>
        <v>0-0</v>
      </c>
      <c r="J2564" t="str">
        <f t="shared" si="202"/>
        <v>0</v>
      </c>
      <c r="K2564" t="str">
        <f t="shared" si="203"/>
        <v>0</v>
      </c>
      <c r="L2564" t="str">
        <f t="shared" si="204"/>
        <v>Draw</v>
      </c>
      <c r="M2564" t="str">
        <f>IF(COUNTIF($A$2:A2564,A2564)=1,
     VLOOKUP(A2564,Season_Winners!A:B,2,FALSE),
     "")</f>
        <v/>
      </c>
    </row>
    <row r="2565" spans="1:13" x14ac:dyDescent="0.3">
      <c r="A2565" t="s">
        <v>878</v>
      </c>
      <c r="B2565">
        <v>29</v>
      </c>
      <c r="C2565" t="s">
        <v>968</v>
      </c>
      <c r="D2565" t="str">
        <f t="shared" si="200"/>
        <v>16.06.2020</v>
      </c>
      <c r="E2565" s="1">
        <v>0.8125</v>
      </c>
      <c r="F2565" t="s">
        <v>34</v>
      </c>
      <c r="G2565" t="s">
        <v>881</v>
      </c>
      <c r="H2565" t="s">
        <v>18</v>
      </c>
      <c r="I2565" t="str">
        <f t="shared" si="201"/>
        <v>1-0</v>
      </c>
      <c r="J2565" t="str">
        <f t="shared" si="202"/>
        <v>1</v>
      </c>
      <c r="K2565" t="str">
        <f t="shared" si="203"/>
        <v>0</v>
      </c>
      <c r="L2565" t="str">
        <f t="shared" si="204"/>
        <v>Villarreal CF</v>
      </c>
      <c r="M2565" t="str">
        <f>IF(COUNTIF($A$2:A2565,A2565)=1,
     VLOOKUP(A2565,Season_Winners!A:B,2,FALSE),
     "")</f>
        <v/>
      </c>
    </row>
    <row r="2566" spans="1:13" x14ac:dyDescent="0.3">
      <c r="A2566" t="s">
        <v>878</v>
      </c>
      <c r="B2566">
        <v>29</v>
      </c>
      <c r="C2566" t="s">
        <v>968</v>
      </c>
      <c r="D2566" t="str">
        <f t="shared" si="200"/>
        <v>16.06.2020</v>
      </c>
      <c r="E2566" s="1">
        <v>0.91666666666666663</v>
      </c>
      <c r="F2566" t="s">
        <v>20</v>
      </c>
      <c r="G2566" t="s">
        <v>466</v>
      </c>
      <c r="H2566" t="s">
        <v>12</v>
      </c>
      <c r="I2566" t="str">
        <f t="shared" si="201"/>
        <v>2-0</v>
      </c>
      <c r="J2566" t="str">
        <f t="shared" si="202"/>
        <v>2</v>
      </c>
      <c r="K2566" t="str">
        <f t="shared" si="203"/>
        <v>0</v>
      </c>
      <c r="L2566" t="str">
        <f t="shared" si="204"/>
        <v>FC Barcelona</v>
      </c>
      <c r="M2566" t="str">
        <f>IF(COUNTIF($A$2:A2566,A2566)=1,
     VLOOKUP(A2566,Season_Winners!A:B,2,FALSE),
     "")</f>
        <v/>
      </c>
    </row>
    <row r="2567" spans="1:13" hidden="1" x14ac:dyDescent="0.3">
      <c r="A2567" t="s">
        <v>878</v>
      </c>
      <c r="B2567">
        <v>29</v>
      </c>
      <c r="C2567" t="s">
        <v>969</v>
      </c>
      <c r="D2567" t="str">
        <f t="shared" si="200"/>
        <v>17.06.2020</v>
      </c>
      <c r="E2567" s="1">
        <v>0.8125</v>
      </c>
      <c r="F2567" t="s">
        <v>187</v>
      </c>
      <c r="G2567" t="s">
        <v>15</v>
      </c>
      <c r="H2567" s="2">
        <v>46055</v>
      </c>
      <c r="I2567" s="3" t="str">
        <f t="shared" si="201"/>
        <v/>
      </c>
      <c r="J2567" t="str">
        <f t="shared" si="202"/>
        <v/>
      </c>
      <c r="K2567" t="str">
        <f t="shared" si="203"/>
        <v/>
      </c>
      <c r="L2567" t="str">
        <f t="shared" si="204"/>
        <v/>
      </c>
      <c r="M2567" t="str">
        <f>IF(COUNTIF($A$2:A2567,A2567)=1,
     VLOOKUP(A2567,Season_Winners!A:B,2,FALSE),
     "")</f>
        <v/>
      </c>
    </row>
    <row r="2568" spans="1:13" x14ac:dyDescent="0.3">
      <c r="A2568" t="s">
        <v>878</v>
      </c>
      <c r="B2568">
        <v>29</v>
      </c>
      <c r="C2568" t="s">
        <v>969</v>
      </c>
      <c r="D2568" t="str">
        <f t="shared" si="200"/>
        <v>17.06.2020</v>
      </c>
      <c r="E2568" s="1">
        <v>0.8125</v>
      </c>
      <c r="F2568" t="s">
        <v>14</v>
      </c>
      <c r="G2568" t="s">
        <v>35</v>
      </c>
      <c r="H2568" t="s">
        <v>41</v>
      </c>
      <c r="I2568" t="str">
        <f t="shared" si="201"/>
        <v>0-0</v>
      </c>
      <c r="J2568" t="str">
        <f t="shared" si="202"/>
        <v>0</v>
      </c>
      <c r="K2568" t="str">
        <f t="shared" si="203"/>
        <v>0</v>
      </c>
      <c r="L2568" t="str">
        <f t="shared" si="204"/>
        <v>Draw</v>
      </c>
      <c r="M2568" t="str">
        <f>IF(COUNTIF($A$2:A2568,A2568)=1,
     VLOOKUP(A2568,Season_Winners!A:B,2,FALSE),
     "")</f>
        <v/>
      </c>
    </row>
    <row r="2569" spans="1:13" x14ac:dyDescent="0.3">
      <c r="A2569" t="s">
        <v>878</v>
      </c>
      <c r="B2569">
        <v>29</v>
      </c>
      <c r="C2569" t="s">
        <v>969</v>
      </c>
      <c r="D2569" t="str">
        <f t="shared" si="200"/>
        <v>17.06.2020</v>
      </c>
      <c r="E2569" s="1">
        <v>0.91666666666666663</v>
      </c>
      <c r="F2569" t="s">
        <v>23</v>
      </c>
      <c r="G2569" t="s">
        <v>1425</v>
      </c>
      <c r="H2569" t="s">
        <v>72</v>
      </c>
      <c r="I2569" t="str">
        <f t="shared" si="201"/>
        <v>0-5</v>
      </c>
      <c r="J2569" t="str">
        <f t="shared" si="202"/>
        <v>0</v>
      </c>
      <c r="K2569" t="str">
        <f t="shared" si="203"/>
        <v>5</v>
      </c>
      <c r="L2569" t="str">
        <f t="shared" si="204"/>
        <v>Atlético de Madrid</v>
      </c>
      <c r="M2569" t="str">
        <f>IF(COUNTIF($A$2:A2569,A2569)=1,
     VLOOKUP(A2569,Season_Winners!A:B,2,FALSE),
     "")</f>
        <v/>
      </c>
    </row>
    <row r="2570" spans="1:13" x14ac:dyDescent="0.3">
      <c r="A2570" t="s">
        <v>878</v>
      </c>
      <c r="B2570">
        <v>29</v>
      </c>
      <c r="C2570" t="s">
        <v>970</v>
      </c>
      <c r="D2570" t="str">
        <f t="shared" si="200"/>
        <v>18.06.2020</v>
      </c>
      <c r="E2570" s="1">
        <v>0.8125</v>
      </c>
      <c r="F2570" t="s">
        <v>464</v>
      </c>
      <c r="G2570" t="s">
        <v>10</v>
      </c>
      <c r="H2570" t="s">
        <v>12</v>
      </c>
      <c r="I2570" t="str">
        <f t="shared" si="201"/>
        <v>2-0</v>
      </c>
      <c r="J2570" t="str">
        <f t="shared" si="202"/>
        <v>2</v>
      </c>
      <c r="K2570" t="str">
        <f t="shared" si="203"/>
        <v>0</v>
      </c>
      <c r="L2570" t="str">
        <f t="shared" si="204"/>
        <v>Deportivo AlavÃ©s</v>
      </c>
      <c r="M2570" t="str">
        <f>IF(COUNTIF($A$2:A2570,A2570)=1,
     VLOOKUP(A2570,Season_Winners!A:B,2,FALSE),
     "")</f>
        <v/>
      </c>
    </row>
    <row r="2571" spans="1:13" x14ac:dyDescent="0.3">
      <c r="A2571" t="s">
        <v>878</v>
      </c>
      <c r="B2571">
        <v>29</v>
      </c>
      <c r="C2571" t="s">
        <v>970</v>
      </c>
      <c r="D2571" t="str">
        <f t="shared" si="200"/>
        <v>18.06.2020</v>
      </c>
      <c r="E2571" s="1">
        <v>0.91666666666666663</v>
      </c>
      <c r="F2571" t="s">
        <v>25</v>
      </c>
      <c r="G2571" t="s">
        <v>16</v>
      </c>
      <c r="H2571" t="s">
        <v>32</v>
      </c>
      <c r="I2571" t="str">
        <f t="shared" si="201"/>
        <v>3-0</v>
      </c>
      <c r="J2571" t="str">
        <f t="shared" si="202"/>
        <v>3</v>
      </c>
      <c r="K2571" t="str">
        <f t="shared" si="203"/>
        <v>0</v>
      </c>
      <c r="L2571" t="str">
        <f t="shared" si="204"/>
        <v>Real Madrid</v>
      </c>
      <c r="M2571" t="str">
        <f>IF(COUNTIF($A$2:A2571,A2571)=1,
     VLOOKUP(A2571,Season_Winners!A:B,2,FALSE),
     "")</f>
        <v/>
      </c>
    </row>
    <row r="2572" spans="1:13" x14ac:dyDescent="0.3">
      <c r="A2572" t="s">
        <v>878</v>
      </c>
      <c r="B2572">
        <v>30</v>
      </c>
      <c r="C2572" t="s">
        <v>971</v>
      </c>
      <c r="D2572" t="str">
        <f t="shared" si="200"/>
        <v>19.06.2020</v>
      </c>
      <c r="E2572" s="1">
        <v>0.8125</v>
      </c>
      <c r="F2572" t="s">
        <v>24</v>
      </c>
      <c r="G2572" t="s">
        <v>34</v>
      </c>
      <c r="H2572" t="s">
        <v>42</v>
      </c>
      <c r="I2572" t="str">
        <f t="shared" si="201"/>
        <v>0-1</v>
      </c>
      <c r="J2572" t="str">
        <f t="shared" si="202"/>
        <v>0</v>
      </c>
      <c r="K2572" t="str">
        <f t="shared" si="203"/>
        <v>1</v>
      </c>
      <c r="L2572" t="str">
        <f t="shared" si="204"/>
        <v>Villarreal CF</v>
      </c>
      <c r="M2572" t="str">
        <f>IF(COUNTIF($A$2:A2572,A2572)=1,
     VLOOKUP(A2572,Season_Winners!A:B,2,FALSE),
     "")</f>
        <v/>
      </c>
    </row>
    <row r="2573" spans="1:13" hidden="1" x14ac:dyDescent="0.3">
      <c r="A2573" t="s">
        <v>878</v>
      </c>
      <c r="B2573">
        <v>30</v>
      </c>
      <c r="C2573" t="s">
        <v>971</v>
      </c>
      <c r="D2573" t="str">
        <f t="shared" si="200"/>
        <v>19.06.2020</v>
      </c>
      <c r="E2573" s="1">
        <v>0.8125</v>
      </c>
      <c r="F2573" t="s">
        <v>881</v>
      </c>
      <c r="G2573" t="s">
        <v>466</v>
      </c>
      <c r="H2573" s="2">
        <v>46023</v>
      </c>
      <c r="I2573" s="3" t="str">
        <f t="shared" si="201"/>
        <v/>
      </c>
      <c r="J2573" t="str">
        <f t="shared" si="202"/>
        <v/>
      </c>
      <c r="K2573" t="str">
        <f t="shared" si="203"/>
        <v/>
      </c>
      <c r="L2573" t="str">
        <f t="shared" si="204"/>
        <v/>
      </c>
      <c r="M2573" t="str">
        <f>IF(COUNTIF($A$2:A2573,A2573)=1,
     VLOOKUP(A2573,Season_Winners!A:B,2,FALSE),
     "")</f>
        <v/>
      </c>
    </row>
    <row r="2574" spans="1:13" x14ac:dyDescent="0.3">
      <c r="A2574" t="s">
        <v>878</v>
      </c>
      <c r="B2574">
        <v>30</v>
      </c>
      <c r="C2574" t="s">
        <v>971</v>
      </c>
      <c r="D2574" t="str">
        <f t="shared" si="200"/>
        <v>19.06.2020</v>
      </c>
      <c r="E2574" s="1">
        <v>0.91666666666666663</v>
      </c>
      <c r="F2574" t="s">
        <v>27</v>
      </c>
      <c r="G2574" t="s">
        <v>20</v>
      </c>
      <c r="H2574" t="s">
        <v>41</v>
      </c>
      <c r="I2574" t="str">
        <f t="shared" si="201"/>
        <v>0-0</v>
      </c>
      <c r="J2574" t="str">
        <f t="shared" si="202"/>
        <v>0</v>
      </c>
      <c r="K2574" t="str">
        <f t="shared" si="203"/>
        <v>0</v>
      </c>
      <c r="L2574" t="str">
        <f t="shared" si="204"/>
        <v>Draw</v>
      </c>
      <c r="M2574" t="str">
        <f>IF(COUNTIF($A$2:A2574,A2574)=1,
     VLOOKUP(A2574,Season_Winners!A:B,2,FALSE),
     "")</f>
        <v/>
      </c>
    </row>
    <row r="2575" spans="1:13" hidden="1" x14ac:dyDescent="0.3">
      <c r="A2575" t="s">
        <v>878</v>
      </c>
      <c r="B2575">
        <v>30</v>
      </c>
      <c r="C2575" t="s">
        <v>972</v>
      </c>
      <c r="D2575" t="str">
        <f t="shared" si="200"/>
        <v>20.06.2020</v>
      </c>
      <c r="E2575" s="1">
        <v>0.58333333333333337</v>
      </c>
      <c r="F2575" t="s">
        <v>36</v>
      </c>
      <c r="G2575" t="s">
        <v>21</v>
      </c>
      <c r="H2575" s="2">
        <v>46082</v>
      </c>
      <c r="I2575" s="3" t="str">
        <f t="shared" si="201"/>
        <v/>
      </c>
      <c r="J2575" t="str">
        <f t="shared" si="202"/>
        <v/>
      </c>
      <c r="K2575" t="str">
        <f t="shared" si="203"/>
        <v/>
      </c>
      <c r="L2575" t="str">
        <f t="shared" si="204"/>
        <v/>
      </c>
      <c r="M2575" t="str">
        <f>IF(COUNTIF($A$2:A2575,A2575)=1,
     VLOOKUP(A2575,Season_Winners!A:B,2,FALSE),
     "")</f>
        <v/>
      </c>
    </row>
    <row r="2576" spans="1:13" x14ac:dyDescent="0.3">
      <c r="A2576" t="s">
        <v>878</v>
      </c>
      <c r="B2576">
        <v>30</v>
      </c>
      <c r="C2576" t="s">
        <v>972</v>
      </c>
      <c r="D2576" t="str">
        <f t="shared" si="200"/>
        <v>20.06.2020</v>
      </c>
      <c r="E2576" s="1">
        <v>0.70833333333333337</v>
      </c>
      <c r="F2576" t="s">
        <v>15</v>
      </c>
      <c r="G2576" t="s">
        <v>26</v>
      </c>
      <c r="H2576" t="s">
        <v>18</v>
      </c>
      <c r="I2576" t="str">
        <f t="shared" si="201"/>
        <v>1-0</v>
      </c>
      <c r="J2576" t="str">
        <f t="shared" si="202"/>
        <v>1</v>
      </c>
      <c r="K2576" t="str">
        <f t="shared" si="203"/>
        <v>0</v>
      </c>
      <c r="L2576" t="str">
        <f t="shared" si="204"/>
        <v>Athletic Club</v>
      </c>
      <c r="M2576" t="str">
        <f>IF(COUNTIF($A$2:A2576,A2576)=1,
     VLOOKUP(A2576,Season_Winners!A:B,2,FALSE),
     "")</f>
        <v/>
      </c>
    </row>
    <row r="2577" spans="1:13" hidden="1" x14ac:dyDescent="0.3">
      <c r="A2577" t="s">
        <v>878</v>
      </c>
      <c r="B2577">
        <v>30</v>
      </c>
      <c r="C2577" t="s">
        <v>972</v>
      </c>
      <c r="D2577" t="str">
        <f t="shared" si="200"/>
        <v>20.06.2020</v>
      </c>
      <c r="E2577" s="1">
        <v>0.8125</v>
      </c>
      <c r="F2577" t="s">
        <v>11</v>
      </c>
      <c r="G2577" t="s">
        <v>187</v>
      </c>
      <c r="H2577" s="2">
        <v>46023</v>
      </c>
      <c r="I2577" s="3" t="str">
        <f t="shared" si="201"/>
        <v/>
      </c>
      <c r="J2577" t="str">
        <f t="shared" si="202"/>
        <v/>
      </c>
      <c r="K2577" t="str">
        <f t="shared" si="203"/>
        <v/>
      </c>
      <c r="L2577" t="str">
        <f t="shared" si="204"/>
        <v/>
      </c>
      <c r="M2577" t="str">
        <f>IF(COUNTIF($A$2:A2577,A2577)=1,
     VLOOKUP(A2577,Season_Winners!A:B,2,FALSE),
     "")</f>
        <v/>
      </c>
    </row>
    <row r="2578" spans="1:13" x14ac:dyDescent="0.3">
      <c r="A2578" t="s">
        <v>878</v>
      </c>
      <c r="B2578">
        <v>30</v>
      </c>
      <c r="C2578" t="s">
        <v>972</v>
      </c>
      <c r="D2578" t="str">
        <f t="shared" si="200"/>
        <v>20.06.2020</v>
      </c>
      <c r="E2578" s="1">
        <v>0.91666666666666663</v>
      </c>
      <c r="F2578" t="s">
        <v>1425</v>
      </c>
      <c r="G2578" t="s">
        <v>14</v>
      </c>
      <c r="H2578" t="s">
        <v>18</v>
      </c>
      <c r="I2578" t="str">
        <f t="shared" si="201"/>
        <v>1-0</v>
      </c>
      <c r="J2578" t="str">
        <f t="shared" si="202"/>
        <v>1</v>
      </c>
      <c r="K2578" t="str">
        <f t="shared" si="203"/>
        <v>0</v>
      </c>
      <c r="L2578" t="str">
        <f t="shared" si="204"/>
        <v>Atlético de Madrid</v>
      </c>
      <c r="M2578" t="str">
        <f>IF(COUNTIF($A$2:A2578,A2578)=1,
     VLOOKUP(A2578,Season_Winners!A:B,2,FALSE),
     "")</f>
        <v/>
      </c>
    </row>
    <row r="2579" spans="1:13" x14ac:dyDescent="0.3">
      <c r="A2579" t="s">
        <v>878</v>
      </c>
      <c r="B2579">
        <v>30</v>
      </c>
      <c r="C2579" t="s">
        <v>973</v>
      </c>
      <c r="D2579" t="str">
        <f t="shared" si="200"/>
        <v>21.06.2020</v>
      </c>
      <c r="E2579" s="1">
        <v>0.58333333333333337</v>
      </c>
      <c r="F2579" t="s">
        <v>35</v>
      </c>
      <c r="G2579" t="s">
        <v>464</v>
      </c>
      <c r="H2579" t="s">
        <v>126</v>
      </c>
      <c r="I2579" t="str">
        <f t="shared" si="201"/>
        <v>6-0</v>
      </c>
      <c r="J2579" t="str">
        <f t="shared" si="202"/>
        <v>6</v>
      </c>
      <c r="K2579" t="str">
        <f t="shared" si="203"/>
        <v>0</v>
      </c>
      <c r="L2579" t="str">
        <f t="shared" si="204"/>
        <v>RC Celta</v>
      </c>
      <c r="M2579" t="str">
        <f>IF(COUNTIF($A$2:A2579,A2579)=1,
     VLOOKUP(A2579,Season_Winners!A:B,2,FALSE),
     "")</f>
        <v/>
      </c>
    </row>
    <row r="2580" spans="1:13" x14ac:dyDescent="0.3">
      <c r="A2580" t="s">
        <v>878</v>
      </c>
      <c r="B2580">
        <v>30</v>
      </c>
      <c r="C2580" t="s">
        <v>973</v>
      </c>
      <c r="D2580" t="str">
        <f t="shared" si="200"/>
        <v>21.06.2020</v>
      </c>
      <c r="E2580" s="1">
        <v>0.8125</v>
      </c>
      <c r="F2580" t="s">
        <v>16</v>
      </c>
      <c r="G2580" t="s">
        <v>23</v>
      </c>
      <c r="H2580" t="s">
        <v>12</v>
      </c>
      <c r="I2580" t="str">
        <f t="shared" si="201"/>
        <v>2-0</v>
      </c>
      <c r="J2580" t="str">
        <f t="shared" si="202"/>
        <v>2</v>
      </c>
      <c r="K2580" t="str">
        <f t="shared" si="203"/>
        <v>0</v>
      </c>
      <c r="L2580" t="str">
        <f t="shared" si="204"/>
        <v>Valencia CF</v>
      </c>
      <c r="M2580" t="str">
        <f>IF(COUNTIF($A$2:A2580,A2580)=1,
     VLOOKUP(A2580,Season_Winners!A:B,2,FALSE),
     "")</f>
        <v/>
      </c>
    </row>
    <row r="2581" spans="1:13" hidden="1" x14ac:dyDescent="0.3">
      <c r="A2581" t="s">
        <v>878</v>
      </c>
      <c r="B2581">
        <v>30</v>
      </c>
      <c r="C2581" t="s">
        <v>973</v>
      </c>
      <c r="D2581" t="str">
        <f t="shared" si="200"/>
        <v>21.06.2020</v>
      </c>
      <c r="E2581" s="1">
        <v>0.91666666666666663</v>
      </c>
      <c r="F2581" t="s">
        <v>10</v>
      </c>
      <c r="G2581" t="s">
        <v>25</v>
      </c>
      <c r="H2581" s="2">
        <v>46054</v>
      </c>
      <c r="I2581" s="3" t="str">
        <f t="shared" si="201"/>
        <v/>
      </c>
      <c r="J2581" t="str">
        <f t="shared" si="202"/>
        <v/>
      </c>
      <c r="K2581" t="str">
        <f t="shared" si="203"/>
        <v/>
      </c>
      <c r="L2581" t="str">
        <f t="shared" si="204"/>
        <v/>
      </c>
      <c r="M2581" t="str">
        <f>IF(COUNTIF($A$2:A2581,A2581)=1,
     VLOOKUP(A2581,Season_Winners!A:B,2,FALSE),
     "")</f>
        <v/>
      </c>
    </row>
    <row r="2582" spans="1:13" hidden="1" x14ac:dyDescent="0.3">
      <c r="A2582" t="s">
        <v>878</v>
      </c>
      <c r="B2582">
        <v>31</v>
      </c>
      <c r="C2582" t="s">
        <v>974</v>
      </c>
      <c r="D2582" t="str">
        <f t="shared" si="200"/>
        <v>22.06.2020</v>
      </c>
      <c r="E2582" s="1">
        <v>0.8125</v>
      </c>
      <c r="F2582" t="s">
        <v>34</v>
      </c>
      <c r="G2582" t="s">
        <v>27</v>
      </c>
      <c r="H2582" s="2">
        <v>46055</v>
      </c>
      <c r="I2582" s="3" t="str">
        <f t="shared" si="201"/>
        <v/>
      </c>
      <c r="J2582" t="str">
        <f t="shared" si="202"/>
        <v/>
      </c>
      <c r="K2582" t="str">
        <f t="shared" si="203"/>
        <v/>
      </c>
      <c r="L2582" t="str">
        <f t="shared" si="204"/>
        <v/>
      </c>
      <c r="M2582" t="str">
        <f>IF(COUNTIF($A$2:A2582,A2582)=1,
     VLOOKUP(A2582,Season_Winners!A:B,2,FALSE),
     "")</f>
        <v/>
      </c>
    </row>
    <row r="2583" spans="1:13" x14ac:dyDescent="0.3">
      <c r="A2583" t="s">
        <v>878</v>
      </c>
      <c r="B2583">
        <v>31</v>
      </c>
      <c r="C2583" t="s">
        <v>974</v>
      </c>
      <c r="D2583" t="str">
        <f t="shared" si="200"/>
        <v>22.06.2020</v>
      </c>
      <c r="E2583" s="1">
        <v>0.91666666666666663</v>
      </c>
      <c r="F2583" t="s">
        <v>466</v>
      </c>
      <c r="G2583" t="s">
        <v>24</v>
      </c>
      <c r="H2583" t="s">
        <v>41</v>
      </c>
      <c r="I2583" t="str">
        <f t="shared" si="201"/>
        <v>0-0</v>
      </c>
      <c r="J2583" t="str">
        <f t="shared" si="202"/>
        <v>0</v>
      </c>
      <c r="K2583" t="str">
        <f t="shared" si="203"/>
        <v>0</v>
      </c>
      <c r="L2583" t="str">
        <f t="shared" si="204"/>
        <v>Draw</v>
      </c>
      <c r="M2583" t="str">
        <f>IF(COUNTIF($A$2:A2583,A2583)=1,
     VLOOKUP(A2583,Season_Winners!A:B,2,FALSE),
     "")</f>
        <v/>
      </c>
    </row>
    <row r="2584" spans="1:13" x14ac:dyDescent="0.3">
      <c r="A2584" t="s">
        <v>878</v>
      </c>
      <c r="B2584">
        <v>31</v>
      </c>
      <c r="C2584" t="s">
        <v>975</v>
      </c>
      <c r="D2584" t="str">
        <f t="shared" si="200"/>
        <v>23.06.2020</v>
      </c>
      <c r="E2584" s="1">
        <v>0.8125</v>
      </c>
      <c r="F2584" t="s">
        <v>21</v>
      </c>
      <c r="G2584" t="s">
        <v>1425</v>
      </c>
      <c r="H2584" t="s">
        <v>42</v>
      </c>
      <c r="I2584" t="str">
        <f t="shared" si="201"/>
        <v>0-1</v>
      </c>
      <c r="J2584" t="str">
        <f t="shared" si="202"/>
        <v>0</v>
      </c>
      <c r="K2584" t="str">
        <f t="shared" si="203"/>
        <v>1</v>
      </c>
      <c r="L2584" t="str">
        <f t="shared" si="204"/>
        <v>Atlético de Madrid</v>
      </c>
      <c r="M2584" t="str">
        <f>IF(COUNTIF($A$2:A2584,A2584)=1,
     VLOOKUP(A2584,Season_Winners!A:B,2,FALSE),
     "")</f>
        <v/>
      </c>
    </row>
    <row r="2585" spans="1:13" hidden="1" x14ac:dyDescent="0.3">
      <c r="A2585" t="s">
        <v>878</v>
      </c>
      <c r="B2585">
        <v>31</v>
      </c>
      <c r="C2585" t="s">
        <v>975</v>
      </c>
      <c r="D2585" t="str">
        <f t="shared" si="200"/>
        <v>23.06.2020</v>
      </c>
      <c r="E2585" s="1">
        <v>0.8125</v>
      </c>
      <c r="F2585" t="s">
        <v>14</v>
      </c>
      <c r="G2585" t="s">
        <v>11</v>
      </c>
      <c r="H2585" s="2">
        <v>46023</v>
      </c>
      <c r="I2585" s="3" t="str">
        <f t="shared" si="201"/>
        <v/>
      </c>
      <c r="J2585" t="str">
        <f t="shared" si="202"/>
        <v/>
      </c>
      <c r="K2585" t="str">
        <f t="shared" si="203"/>
        <v/>
      </c>
      <c r="L2585" t="str">
        <f t="shared" si="204"/>
        <v/>
      </c>
      <c r="M2585" t="str">
        <f>IF(COUNTIF($A$2:A2585,A2585)=1,
     VLOOKUP(A2585,Season_Winners!A:B,2,FALSE),
     "")</f>
        <v/>
      </c>
    </row>
    <row r="2586" spans="1:13" x14ac:dyDescent="0.3">
      <c r="A2586" t="s">
        <v>878</v>
      </c>
      <c r="B2586">
        <v>31</v>
      </c>
      <c r="C2586" t="s">
        <v>975</v>
      </c>
      <c r="D2586" t="str">
        <f t="shared" si="200"/>
        <v>23.06.2020</v>
      </c>
      <c r="E2586" s="1">
        <v>0.91666666666666663</v>
      </c>
      <c r="F2586" t="s">
        <v>20</v>
      </c>
      <c r="G2586" t="s">
        <v>15</v>
      </c>
      <c r="H2586" t="s">
        <v>18</v>
      </c>
      <c r="I2586" t="str">
        <f t="shared" si="201"/>
        <v>1-0</v>
      </c>
      <c r="J2586" t="str">
        <f t="shared" si="202"/>
        <v>1</v>
      </c>
      <c r="K2586" t="str">
        <f t="shared" si="203"/>
        <v>0</v>
      </c>
      <c r="L2586" t="str">
        <f t="shared" si="204"/>
        <v>FC Barcelona</v>
      </c>
      <c r="M2586" t="str">
        <f>IF(COUNTIF($A$2:A2586,A2586)=1,
     VLOOKUP(A2586,Season_Winners!A:B,2,FALSE),
     "")</f>
        <v/>
      </c>
    </row>
    <row r="2587" spans="1:13" x14ac:dyDescent="0.3">
      <c r="A2587" t="s">
        <v>878</v>
      </c>
      <c r="B2587">
        <v>31</v>
      </c>
      <c r="C2587" t="s">
        <v>976</v>
      </c>
      <c r="D2587" t="str">
        <f t="shared" si="200"/>
        <v>24.06.2020</v>
      </c>
      <c r="E2587" s="1">
        <v>0.8125</v>
      </c>
      <c r="F2587" t="s">
        <v>464</v>
      </c>
      <c r="G2587" t="s">
        <v>23</v>
      </c>
      <c r="H2587" t="s">
        <v>42</v>
      </c>
      <c r="I2587" t="str">
        <f t="shared" si="201"/>
        <v>0-1</v>
      </c>
      <c r="J2587" t="str">
        <f t="shared" si="202"/>
        <v>0</v>
      </c>
      <c r="K2587" t="str">
        <f t="shared" si="203"/>
        <v>1</v>
      </c>
      <c r="L2587" t="str">
        <f t="shared" si="204"/>
        <v>CA Osasuna</v>
      </c>
      <c r="M2587" t="str">
        <f>IF(COUNTIF($A$2:A2587,A2587)=1,
     VLOOKUP(A2587,Season_Winners!A:B,2,FALSE),
     "")</f>
        <v/>
      </c>
    </row>
    <row r="2588" spans="1:13" x14ac:dyDescent="0.3">
      <c r="A2588" t="s">
        <v>878</v>
      </c>
      <c r="B2588">
        <v>31</v>
      </c>
      <c r="C2588" t="s">
        <v>976</v>
      </c>
      <c r="D2588" t="str">
        <f t="shared" si="200"/>
        <v>24.06.2020</v>
      </c>
      <c r="E2588" s="1">
        <v>0.8125</v>
      </c>
      <c r="F2588" t="s">
        <v>10</v>
      </c>
      <c r="G2588" t="s">
        <v>35</v>
      </c>
      <c r="H2588" t="s">
        <v>42</v>
      </c>
      <c r="I2588" t="str">
        <f t="shared" si="201"/>
        <v>0-1</v>
      </c>
      <c r="J2588" t="str">
        <f t="shared" si="202"/>
        <v>0</v>
      </c>
      <c r="K2588" t="str">
        <f t="shared" si="203"/>
        <v>1</v>
      </c>
      <c r="L2588" t="str">
        <f t="shared" si="204"/>
        <v>RC Celta</v>
      </c>
      <c r="M2588" t="str">
        <f>IF(COUNTIF($A$2:A2588,A2588)=1,
     VLOOKUP(A2588,Season_Winners!A:B,2,FALSE),
     "")</f>
        <v/>
      </c>
    </row>
    <row r="2589" spans="1:13" x14ac:dyDescent="0.3">
      <c r="A2589" t="s">
        <v>878</v>
      </c>
      <c r="B2589">
        <v>31</v>
      </c>
      <c r="C2589" t="s">
        <v>976</v>
      </c>
      <c r="D2589" t="str">
        <f t="shared" si="200"/>
        <v>24.06.2020</v>
      </c>
      <c r="E2589" s="1">
        <v>0.91666666666666663</v>
      </c>
      <c r="F2589" t="s">
        <v>25</v>
      </c>
      <c r="G2589" t="s">
        <v>881</v>
      </c>
      <c r="H2589" t="s">
        <v>12</v>
      </c>
      <c r="I2589" t="str">
        <f t="shared" si="201"/>
        <v>2-0</v>
      </c>
      <c r="J2589" t="str">
        <f t="shared" si="202"/>
        <v>2</v>
      </c>
      <c r="K2589" t="str">
        <f t="shared" si="203"/>
        <v>0</v>
      </c>
      <c r="L2589" t="str">
        <f t="shared" si="204"/>
        <v>Real Madrid</v>
      </c>
      <c r="M2589" t="str">
        <f>IF(COUNTIF($A$2:A2589,A2589)=1,
     VLOOKUP(A2589,Season_Winners!A:B,2,FALSE),
     "")</f>
        <v/>
      </c>
    </row>
    <row r="2590" spans="1:13" x14ac:dyDescent="0.3">
      <c r="A2590" t="s">
        <v>878</v>
      </c>
      <c r="B2590">
        <v>31</v>
      </c>
      <c r="C2590" t="s">
        <v>977</v>
      </c>
      <c r="D2590" t="str">
        <f t="shared" si="200"/>
        <v>25.06.2020</v>
      </c>
      <c r="E2590" s="1">
        <v>0.8125</v>
      </c>
      <c r="F2590" t="s">
        <v>187</v>
      </c>
      <c r="G2590" t="s">
        <v>16</v>
      </c>
      <c r="H2590" t="s">
        <v>18</v>
      </c>
      <c r="I2590" t="str">
        <f t="shared" si="201"/>
        <v>1-0</v>
      </c>
      <c r="J2590" t="str">
        <f t="shared" si="202"/>
        <v>1</v>
      </c>
      <c r="K2590" t="str">
        <f t="shared" si="203"/>
        <v>0</v>
      </c>
      <c r="L2590" t="str">
        <f t="shared" si="204"/>
        <v>SD Eibar</v>
      </c>
      <c r="M2590" t="str">
        <f>IF(COUNTIF($A$2:A2590,A2590)=1,
     VLOOKUP(A2590,Season_Winners!A:B,2,FALSE),
     "")</f>
        <v/>
      </c>
    </row>
    <row r="2591" spans="1:13" x14ac:dyDescent="0.3">
      <c r="A2591" t="s">
        <v>878</v>
      </c>
      <c r="B2591">
        <v>31</v>
      </c>
      <c r="C2591" t="s">
        <v>977</v>
      </c>
      <c r="D2591" t="str">
        <f t="shared" si="200"/>
        <v>25.06.2020</v>
      </c>
      <c r="E2591" s="1">
        <v>0.91666666666666663</v>
      </c>
      <c r="F2591" t="s">
        <v>26</v>
      </c>
      <c r="G2591" t="s">
        <v>36</v>
      </c>
      <c r="H2591" t="s">
        <v>18</v>
      </c>
      <c r="I2591" t="str">
        <f t="shared" si="201"/>
        <v>1-0</v>
      </c>
      <c r="J2591" t="str">
        <f t="shared" si="202"/>
        <v>1</v>
      </c>
      <c r="K2591" t="str">
        <f t="shared" si="203"/>
        <v>0</v>
      </c>
      <c r="L2591" t="str">
        <f t="shared" si="204"/>
        <v>Real Betis</v>
      </c>
      <c r="M2591" t="str">
        <f>IF(COUNTIF($A$2:A2591,A2591)=1,
     VLOOKUP(A2591,Season_Winners!A:B,2,FALSE),
     "")</f>
        <v/>
      </c>
    </row>
    <row r="2592" spans="1:13" hidden="1" x14ac:dyDescent="0.3">
      <c r="A2592" t="s">
        <v>878</v>
      </c>
      <c r="B2592">
        <v>32</v>
      </c>
      <c r="C2592" t="s">
        <v>978</v>
      </c>
      <c r="D2592" t="str">
        <f t="shared" si="200"/>
        <v>26.06.2020</v>
      </c>
      <c r="E2592" s="1">
        <v>0.91666666666666663</v>
      </c>
      <c r="F2592" t="s">
        <v>27</v>
      </c>
      <c r="G2592" t="s">
        <v>14</v>
      </c>
      <c r="H2592" s="2">
        <v>46023</v>
      </c>
      <c r="I2592" s="3" t="str">
        <f t="shared" si="201"/>
        <v/>
      </c>
      <c r="J2592" t="str">
        <f t="shared" si="202"/>
        <v/>
      </c>
      <c r="K2592" t="str">
        <f t="shared" si="203"/>
        <v/>
      </c>
      <c r="L2592" t="str">
        <f t="shared" si="204"/>
        <v/>
      </c>
      <c r="M2592" t="str">
        <f>IF(COUNTIF($A$2:A2592,A2592)=1,
     VLOOKUP(A2592,Season_Winners!A:B,2,FALSE),
     "")</f>
        <v/>
      </c>
    </row>
    <row r="2593" spans="1:13" hidden="1" x14ac:dyDescent="0.3">
      <c r="A2593" t="s">
        <v>878</v>
      </c>
      <c r="B2593">
        <v>32</v>
      </c>
      <c r="C2593" t="s">
        <v>979</v>
      </c>
      <c r="D2593" t="str">
        <f t="shared" si="200"/>
        <v>27.06.2020</v>
      </c>
      <c r="E2593" s="1">
        <v>0.58333333333333337</v>
      </c>
      <c r="F2593" t="s">
        <v>15</v>
      </c>
      <c r="G2593" t="s">
        <v>881</v>
      </c>
      <c r="H2593" s="2">
        <v>46025</v>
      </c>
      <c r="I2593" s="3" t="str">
        <f t="shared" si="201"/>
        <v/>
      </c>
      <c r="J2593" t="str">
        <f t="shared" si="202"/>
        <v/>
      </c>
      <c r="K2593" t="str">
        <f t="shared" si="203"/>
        <v/>
      </c>
      <c r="L2593" t="str">
        <f t="shared" si="204"/>
        <v/>
      </c>
      <c r="M2593" t="str">
        <f>IF(COUNTIF($A$2:A2593,A2593)=1,
     VLOOKUP(A2593,Season_Winners!A:B,2,FALSE),
     "")</f>
        <v/>
      </c>
    </row>
    <row r="2594" spans="1:13" hidden="1" x14ac:dyDescent="0.3">
      <c r="A2594" t="s">
        <v>878</v>
      </c>
      <c r="B2594">
        <v>32</v>
      </c>
      <c r="C2594" t="s">
        <v>979</v>
      </c>
      <c r="D2594" t="str">
        <f t="shared" si="200"/>
        <v>27.06.2020</v>
      </c>
      <c r="E2594" s="1">
        <v>0.70833333333333337</v>
      </c>
      <c r="F2594" t="s">
        <v>35</v>
      </c>
      <c r="G2594" t="s">
        <v>20</v>
      </c>
      <c r="H2594" s="2">
        <v>46055</v>
      </c>
      <c r="I2594" s="3" t="str">
        <f t="shared" si="201"/>
        <v/>
      </c>
      <c r="J2594" t="str">
        <f t="shared" si="202"/>
        <v/>
      </c>
      <c r="K2594" t="str">
        <f t="shared" si="203"/>
        <v/>
      </c>
      <c r="L2594" t="str">
        <f t="shared" si="204"/>
        <v/>
      </c>
      <c r="M2594" t="str">
        <f>IF(COUNTIF($A$2:A2594,A2594)=1,
     VLOOKUP(A2594,Season_Winners!A:B,2,FALSE),
     "")</f>
        <v/>
      </c>
    </row>
    <row r="2595" spans="1:13" hidden="1" x14ac:dyDescent="0.3">
      <c r="A2595" t="s">
        <v>878</v>
      </c>
      <c r="B2595">
        <v>32</v>
      </c>
      <c r="C2595" t="s">
        <v>979</v>
      </c>
      <c r="D2595" t="str">
        <f t="shared" si="200"/>
        <v>27.06.2020</v>
      </c>
      <c r="E2595" s="1">
        <v>0.8125</v>
      </c>
      <c r="F2595" t="s">
        <v>23</v>
      </c>
      <c r="G2595" t="s">
        <v>466</v>
      </c>
      <c r="H2595" s="2">
        <v>46024</v>
      </c>
      <c r="I2595" s="3" t="str">
        <f t="shared" si="201"/>
        <v/>
      </c>
      <c r="J2595" t="str">
        <f t="shared" si="202"/>
        <v/>
      </c>
      <c r="K2595" t="str">
        <f t="shared" si="203"/>
        <v/>
      </c>
      <c r="L2595" t="str">
        <f t="shared" si="204"/>
        <v/>
      </c>
      <c r="M2595" t="str">
        <f>IF(COUNTIF($A$2:A2595,A2595)=1,
     VLOOKUP(A2595,Season_Winners!A:B,2,FALSE),
     "")</f>
        <v/>
      </c>
    </row>
    <row r="2596" spans="1:13" hidden="1" x14ac:dyDescent="0.3">
      <c r="A2596" t="s">
        <v>878</v>
      </c>
      <c r="B2596">
        <v>32</v>
      </c>
      <c r="C2596" t="s">
        <v>979</v>
      </c>
      <c r="D2596" t="str">
        <f t="shared" si="200"/>
        <v>27.06.2020</v>
      </c>
      <c r="E2596" s="1">
        <v>0.91666666666666663</v>
      </c>
      <c r="F2596" t="s">
        <v>28</v>
      </c>
      <c r="G2596" t="s">
        <v>464</v>
      </c>
      <c r="H2596" s="2">
        <v>46024</v>
      </c>
      <c r="I2596" s="3" t="str">
        <f t="shared" si="201"/>
        <v/>
      </c>
      <c r="J2596" t="str">
        <f t="shared" si="202"/>
        <v/>
      </c>
      <c r="K2596" t="str">
        <f t="shared" si="203"/>
        <v/>
      </c>
      <c r="L2596" t="str">
        <f t="shared" si="204"/>
        <v/>
      </c>
      <c r="M2596" t="str">
        <f>IF(COUNTIF($A$2:A2596,A2596)=1,
     VLOOKUP(A2596,Season_Winners!A:B,2,FALSE),
     "")</f>
        <v/>
      </c>
    </row>
    <row r="2597" spans="1:13" hidden="1" x14ac:dyDescent="0.3">
      <c r="A2597" t="s">
        <v>878</v>
      </c>
      <c r="B2597">
        <v>32</v>
      </c>
      <c r="C2597" t="s">
        <v>980</v>
      </c>
      <c r="D2597" t="str">
        <f t="shared" si="200"/>
        <v>28.06.2020</v>
      </c>
      <c r="E2597" s="1">
        <v>0.58333333333333337</v>
      </c>
      <c r="F2597" t="s">
        <v>21</v>
      </c>
      <c r="G2597" t="s">
        <v>26</v>
      </c>
      <c r="H2597" s="2">
        <v>46057</v>
      </c>
      <c r="I2597" s="3" t="str">
        <f t="shared" si="201"/>
        <v/>
      </c>
      <c r="J2597" t="str">
        <f t="shared" si="202"/>
        <v/>
      </c>
      <c r="K2597" t="str">
        <f t="shared" si="203"/>
        <v/>
      </c>
      <c r="L2597" t="str">
        <f t="shared" si="204"/>
        <v/>
      </c>
      <c r="M2597" t="str">
        <f>IF(COUNTIF($A$2:A2597,A2597)=1,
     VLOOKUP(A2597,Season_Winners!A:B,2,FALSE),
     "")</f>
        <v/>
      </c>
    </row>
    <row r="2598" spans="1:13" x14ac:dyDescent="0.3">
      <c r="A2598" t="s">
        <v>878</v>
      </c>
      <c r="B2598">
        <v>32</v>
      </c>
      <c r="C2598" t="s">
        <v>980</v>
      </c>
      <c r="D2598" t="str">
        <f t="shared" si="200"/>
        <v>28.06.2020</v>
      </c>
      <c r="E2598" s="1">
        <v>0.70833333333333337</v>
      </c>
      <c r="F2598" t="s">
        <v>34</v>
      </c>
      <c r="G2598" t="s">
        <v>16</v>
      </c>
      <c r="H2598" t="s">
        <v>12</v>
      </c>
      <c r="I2598" t="str">
        <f t="shared" si="201"/>
        <v>2-0</v>
      </c>
      <c r="J2598" t="str">
        <f t="shared" si="202"/>
        <v>2</v>
      </c>
      <c r="K2598" t="str">
        <f t="shared" si="203"/>
        <v>0</v>
      </c>
      <c r="L2598" t="str">
        <f t="shared" si="204"/>
        <v>Villarreal CF</v>
      </c>
      <c r="M2598" t="str">
        <f>IF(COUNTIF($A$2:A2598,A2598)=1,
     VLOOKUP(A2598,Season_Winners!A:B,2,FALSE),
     "")</f>
        <v/>
      </c>
    </row>
    <row r="2599" spans="1:13" hidden="1" x14ac:dyDescent="0.3">
      <c r="A2599" t="s">
        <v>878</v>
      </c>
      <c r="B2599">
        <v>32</v>
      </c>
      <c r="C2599" t="s">
        <v>980</v>
      </c>
      <c r="D2599" t="str">
        <f t="shared" si="200"/>
        <v>28.06.2020</v>
      </c>
      <c r="E2599" s="1">
        <v>0.8125</v>
      </c>
      <c r="F2599" t="s">
        <v>24</v>
      </c>
      <c r="G2599" t="s">
        <v>187</v>
      </c>
      <c r="H2599" s="2">
        <v>46054</v>
      </c>
      <c r="I2599" s="3" t="str">
        <f t="shared" si="201"/>
        <v/>
      </c>
      <c r="J2599" t="str">
        <f t="shared" si="202"/>
        <v/>
      </c>
      <c r="K2599" t="str">
        <f t="shared" si="203"/>
        <v/>
      </c>
      <c r="L2599" t="str">
        <f t="shared" si="204"/>
        <v/>
      </c>
      <c r="M2599" t="str">
        <f>IF(COUNTIF($A$2:A2599,A2599)=1,
     VLOOKUP(A2599,Season_Winners!A:B,2,FALSE),
     "")</f>
        <v/>
      </c>
    </row>
    <row r="2600" spans="1:13" x14ac:dyDescent="0.3">
      <c r="A2600" t="s">
        <v>878</v>
      </c>
      <c r="B2600">
        <v>32</v>
      </c>
      <c r="C2600" t="s">
        <v>980</v>
      </c>
      <c r="D2600" t="str">
        <f t="shared" si="200"/>
        <v>28.06.2020</v>
      </c>
      <c r="E2600" s="1">
        <v>0.91666666666666663</v>
      </c>
      <c r="F2600" t="s">
        <v>36</v>
      </c>
      <c r="G2600" t="s">
        <v>25</v>
      </c>
      <c r="H2600" t="s">
        <v>42</v>
      </c>
      <c r="I2600" t="str">
        <f t="shared" si="201"/>
        <v>0-1</v>
      </c>
      <c r="J2600" t="str">
        <f t="shared" si="202"/>
        <v>0</v>
      </c>
      <c r="K2600" t="str">
        <f t="shared" si="203"/>
        <v>1</v>
      </c>
      <c r="L2600" t="str">
        <f t="shared" si="204"/>
        <v>Real Madrid</v>
      </c>
      <c r="M2600" t="str">
        <f>IF(COUNTIF($A$2:A2600,A2600)=1,
     VLOOKUP(A2600,Season_Winners!A:B,2,FALSE),
     "")</f>
        <v/>
      </c>
    </row>
    <row r="2601" spans="1:13" hidden="1" x14ac:dyDescent="0.3">
      <c r="A2601" t="s">
        <v>878</v>
      </c>
      <c r="B2601">
        <v>32</v>
      </c>
      <c r="C2601" t="s">
        <v>981</v>
      </c>
      <c r="D2601" t="str">
        <f t="shared" si="200"/>
        <v>29.06.2020</v>
      </c>
      <c r="E2601" s="1">
        <v>0.91666666666666663</v>
      </c>
      <c r="F2601" t="s">
        <v>11</v>
      </c>
      <c r="G2601" t="s">
        <v>10</v>
      </c>
      <c r="H2601" s="2">
        <v>46024</v>
      </c>
      <c r="I2601" s="3" t="str">
        <f t="shared" si="201"/>
        <v/>
      </c>
      <c r="J2601" t="str">
        <f t="shared" si="202"/>
        <v/>
      </c>
      <c r="K2601" t="str">
        <f t="shared" si="203"/>
        <v/>
      </c>
      <c r="L2601" t="str">
        <f t="shared" si="204"/>
        <v/>
      </c>
      <c r="M2601" t="str">
        <f>IF(COUNTIF($A$2:A2601,A2601)=1,
     VLOOKUP(A2601,Season_Winners!A:B,2,FALSE),
     "")</f>
        <v/>
      </c>
    </row>
    <row r="2602" spans="1:13" hidden="1" x14ac:dyDescent="0.3">
      <c r="A2602" t="s">
        <v>878</v>
      </c>
      <c r="B2602">
        <v>33</v>
      </c>
      <c r="C2602" t="s">
        <v>982</v>
      </c>
      <c r="D2602" t="str">
        <f t="shared" si="200"/>
        <v>30.06.2020</v>
      </c>
      <c r="E2602" s="1">
        <v>0.8125</v>
      </c>
      <c r="F2602" t="s">
        <v>881</v>
      </c>
      <c r="G2602" t="s">
        <v>35</v>
      </c>
      <c r="H2602" s="2">
        <v>46027</v>
      </c>
      <c r="I2602" s="3" t="str">
        <f t="shared" si="201"/>
        <v/>
      </c>
      <c r="J2602" t="str">
        <f t="shared" si="202"/>
        <v/>
      </c>
      <c r="K2602" t="str">
        <f t="shared" si="203"/>
        <v/>
      </c>
      <c r="L2602" t="str">
        <f t="shared" si="204"/>
        <v/>
      </c>
      <c r="M2602" t="str">
        <f>IF(COUNTIF($A$2:A2602,A2602)=1,
     VLOOKUP(A2602,Season_Winners!A:B,2,FALSE),
     "")</f>
        <v/>
      </c>
    </row>
    <row r="2603" spans="1:13" x14ac:dyDescent="0.3">
      <c r="A2603" t="s">
        <v>878</v>
      </c>
      <c r="B2603">
        <v>33</v>
      </c>
      <c r="C2603" t="s">
        <v>982</v>
      </c>
      <c r="D2603" t="str">
        <f t="shared" si="200"/>
        <v>30.06.2020</v>
      </c>
      <c r="E2603" s="1">
        <v>0.875</v>
      </c>
      <c r="F2603" t="s">
        <v>466</v>
      </c>
      <c r="G2603" t="s">
        <v>27</v>
      </c>
      <c r="H2603" t="s">
        <v>46</v>
      </c>
      <c r="I2603" t="str">
        <f t="shared" si="201"/>
        <v>0-3</v>
      </c>
      <c r="J2603" t="str">
        <f t="shared" si="202"/>
        <v>0</v>
      </c>
      <c r="K2603" t="str">
        <f t="shared" si="203"/>
        <v>3</v>
      </c>
      <c r="L2603" t="str">
        <f t="shared" si="204"/>
        <v>Sevilla FC</v>
      </c>
      <c r="M2603" t="str">
        <f>IF(COUNTIF($A$2:A2603,A2603)=1,
     VLOOKUP(A2603,Season_Winners!A:B,2,FALSE),
     "")</f>
        <v/>
      </c>
    </row>
    <row r="2604" spans="1:13" hidden="1" x14ac:dyDescent="0.3">
      <c r="A2604" t="s">
        <v>878</v>
      </c>
      <c r="B2604">
        <v>33</v>
      </c>
      <c r="C2604" t="s">
        <v>982</v>
      </c>
      <c r="D2604" t="str">
        <f t="shared" si="200"/>
        <v>30.06.2020</v>
      </c>
      <c r="E2604" s="1">
        <v>0.91666666666666663</v>
      </c>
      <c r="F2604" t="s">
        <v>20</v>
      </c>
      <c r="G2604" t="s">
        <v>28</v>
      </c>
      <c r="H2604" s="2">
        <v>46055</v>
      </c>
      <c r="I2604" s="3" t="str">
        <f t="shared" si="201"/>
        <v/>
      </c>
      <c r="J2604" t="str">
        <f t="shared" si="202"/>
        <v/>
      </c>
      <c r="K2604" t="str">
        <f t="shared" si="203"/>
        <v/>
      </c>
      <c r="L2604" t="str">
        <f t="shared" si="204"/>
        <v/>
      </c>
      <c r="M2604" t="str">
        <f>IF(COUNTIF($A$2:A2604,A2604)=1,
     VLOOKUP(A2604,Season_Winners!A:B,2,FALSE),
     "")</f>
        <v/>
      </c>
    </row>
    <row r="2605" spans="1:13" x14ac:dyDescent="0.3">
      <c r="A2605" t="s">
        <v>878</v>
      </c>
      <c r="B2605">
        <v>33</v>
      </c>
      <c r="C2605" t="s">
        <v>983</v>
      </c>
      <c r="D2605" t="str">
        <f t="shared" si="200"/>
        <v>01.07.2020</v>
      </c>
      <c r="E2605" s="1">
        <v>0.8125</v>
      </c>
      <c r="F2605" t="s">
        <v>464</v>
      </c>
      <c r="G2605" t="s">
        <v>24</v>
      </c>
      <c r="H2605" t="s">
        <v>54</v>
      </c>
      <c r="I2605" t="str">
        <f t="shared" si="201"/>
        <v>0-2</v>
      </c>
      <c r="J2605" t="str">
        <f t="shared" si="202"/>
        <v>0</v>
      </c>
      <c r="K2605" t="str">
        <f t="shared" si="203"/>
        <v>2</v>
      </c>
      <c r="L2605" t="str">
        <f t="shared" si="204"/>
        <v>Granada CF</v>
      </c>
      <c r="M2605" t="str">
        <f>IF(COUNTIF($A$2:A2605,A2605)=1,
     VLOOKUP(A2605,Season_Winners!A:B,2,FALSE),
     "")</f>
        <v/>
      </c>
    </row>
    <row r="2606" spans="1:13" x14ac:dyDescent="0.3">
      <c r="A2606" t="s">
        <v>878</v>
      </c>
      <c r="B2606">
        <v>33</v>
      </c>
      <c r="C2606" t="s">
        <v>983</v>
      </c>
      <c r="D2606" t="str">
        <f t="shared" si="200"/>
        <v>01.07.2020</v>
      </c>
      <c r="E2606" s="1">
        <v>0.8125</v>
      </c>
      <c r="F2606" t="s">
        <v>16</v>
      </c>
      <c r="G2606" t="s">
        <v>15</v>
      </c>
      <c r="H2606" t="s">
        <v>54</v>
      </c>
      <c r="I2606" t="str">
        <f t="shared" si="201"/>
        <v>0-2</v>
      </c>
      <c r="J2606" t="str">
        <f t="shared" si="202"/>
        <v>0</v>
      </c>
      <c r="K2606" t="str">
        <f t="shared" si="203"/>
        <v>2</v>
      </c>
      <c r="L2606" t="str">
        <f t="shared" si="204"/>
        <v>Athletic Club</v>
      </c>
      <c r="M2606" t="str">
        <f>IF(COUNTIF($A$2:A2606,A2606)=1,
     VLOOKUP(A2606,Season_Winners!A:B,2,FALSE),
     "")</f>
        <v/>
      </c>
    </row>
    <row r="2607" spans="1:13" x14ac:dyDescent="0.3">
      <c r="A2607" t="s">
        <v>878</v>
      </c>
      <c r="B2607">
        <v>33</v>
      </c>
      <c r="C2607" t="s">
        <v>983</v>
      </c>
      <c r="D2607" t="str">
        <f t="shared" si="200"/>
        <v>01.07.2020</v>
      </c>
      <c r="E2607" s="1">
        <v>0.91666666666666663</v>
      </c>
      <c r="F2607" t="s">
        <v>26</v>
      </c>
      <c r="G2607" t="s">
        <v>34</v>
      </c>
      <c r="H2607" t="s">
        <v>54</v>
      </c>
      <c r="I2607" t="str">
        <f t="shared" si="201"/>
        <v>0-2</v>
      </c>
      <c r="J2607" t="str">
        <f t="shared" si="202"/>
        <v>0</v>
      </c>
      <c r="K2607" t="str">
        <f t="shared" si="203"/>
        <v>2</v>
      </c>
      <c r="L2607" t="str">
        <f t="shared" si="204"/>
        <v>Villarreal CF</v>
      </c>
      <c r="M2607" t="str">
        <f>IF(COUNTIF($A$2:A2607,A2607)=1,
     VLOOKUP(A2607,Season_Winners!A:B,2,FALSE),
     "")</f>
        <v/>
      </c>
    </row>
    <row r="2608" spans="1:13" x14ac:dyDescent="0.3">
      <c r="A2608" t="s">
        <v>878</v>
      </c>
      <c r="B2608">
        <v>33</v>
      </c>
      <c r="C2608" t="s">
        <v>983</v>
      </c>
      <c r="D2608" t="str">
        <f t="shared" si="200"/>
        <v>01.07.2020</v>
      </c>
      <c r="E2608" s="1">
        <v>0.91666666666666663</v>
      </c>
      <c r="F2608" t="s">
        <v>14</v>
      </c>
      <c r="G2608" t="s">
        <v>21</v>
      </c>
      <c r="H2608" t="s">
        <v>41</v>
      </c>
      <c r="I2608" t="str">
        <f t="shared" si="201"/>
        <v>0-0</v>
      </c>
      <c r="J2608" t="str">
        <f t="shared" si="202"/>
        <v>0</v>
      </c>
      <c r="K2608" t="str">
        <f t="shared" si="203"/>
        <v>0</v>
      </c>
      <c r="L2608" t="str">
        <f t="shared" si="204"/>
        <v>Draw</v>
      </c>
      <c r="M2608" t="str">
        <f>IF(COUNTIF($A$2:A2608,A2608)=1,
     VLOOKUP(A2608,Season_Winners!A:B,2,FALSE),
     "")</f>
        <v/>
      </c>
    </row>
    <row r="2609" spans="1:13" x14ac:dyDescent="0.3">
      <c r="A2609" t="s">
        <v>878</v>
      </c>
      <c r="B2609">
        <v>33</v>
      </c>
      <c r="C2609" t="s">
        <v>984</v>
      </c>
      <c r="D2609" t="str">
        <f t="shared" si="200"/>
        <v>02.07.2020</v>
      </c>
      <c r="E2609" s="1">
        <v>0.8125</v>
      </c>
      <c r="F2609" t="s">
        <v>187</v>
      </c>
      <c r="G2609" t="s">
        <v>23</v>
      </c>
      <c r="H2609" t="s">
        <v>54</v>
      </c>
      <c r="I2609" t="str">
        <f t="shared" si="201"/>
        <v>0-2</v>
      </c>
      <c r="J2609" t="str">
        <f t="shared" si="202"/>
        <v>0</v>
      </c>
      <c r="K2609" t="str">
        <f t="shared" si="203"/>
        <v>2</v>
      </c>
      <c r="L2609" t="str">
        <f t="shared" si="204"/>
        <v>CA Osasuna</v>
      </c>
      <c r="M2609" t="str">
        <f>IF(COUNTIF($A$2:A2609,A2609)=1,
     VLOOKUP(A2609,Season_Winners!A:B,2,FALSE),
     "")</f>
        <v/>
      </c>
    </row>
    <row r="2610" spans="1:13" hidden="1" x14ac:dyDescent="0.3">
      <c r="A2610" t="s">
        <v>878</v>
      </c>
      <c r="B2610">
        <v>33</v>
      </c>
      <c r="C2610" t="s">
        <v>984</v>
      </c>
      <c r="D2610" t="str">
        <f t="shared" si="200"/>
        <v>02.07.2020</v>
      </c>
      <c r="E2610" s="1">
        <v>0.8125</v>
      </c>
      <c r="F2610" t="s">
        <v>10</v>
      </c>
      <c r="G2610" t="s">
        <v>36</v>
      </c>
      <c r="H2610" s="2">
        <v>46024</v>
      </c>
      <c r="I2610" s="3" t="str">
        <f t="shared" si="201"/>
        <v/>
      </c>
      <c r="J2610" t="str">
        <f t="shared" si="202"/>
        <v/>
      </c>
      <c r="K2610" t="str">
        <f t="shared" si="203"/>
        <v/>
      </c>
      <c r="L2610" t="str">
        <f t="shared" si="204"/>
        <v/>
      </c>
      <c r="M2610" t="str">
        <f>IF(COUNTIF($A$2:A2610,A2610)=1,
     VLOOKUP(A2610,Season_Winners!A:B,2,FALSE),
     "")</f>
        <v/>
      </c>
    </row>
    <row r="2611" spans="1:13" x14ac:dyDescent="0.3">
      <c r="A2611" t="s">
        <v>878</v>
      </c>
      <c r="B2611">
        <v>33</v>
      </c>
      <c r="C2611" t="s">
        <v>984</v>
      </c>
      <c r="D2611" t="str">
        <f t="shared" si="200"/>
        <v>02.07.2020</v>
      </c>
      <c r="E2611" s="1">
        <v>0.91666666666666663</v>
      </c>
      <c r="F2611" t="s">
        <v>25</v>
      </c>
      <c r="G2611" t="s">
        <v>11</v>
      </c>
      <c r="H2611" t="s">
        <v>18</v>
      </c>
      <c r="I2611" t="str">
        <f t="shared" si="201"/>
        <v>1-0</v>
      </c>
      <c r="J2611" t="str">
        <f t="shared" si="202"/>
        <v>1</v>
      </c>
      <c r="K2611" t="str">
        <f t="shared" si="203"/>
        <v>0</v>
      </c>
      <c r="L2611" t="str">
        <f t="shared" si="204"/>
        <v>Real Madrid</v>
      </c>
      <c r="M2611" t="str">
        <f>IF(COUNTIF($A$2:A2611,A2611)=1,
     VLOOKUP(A2611,Season_Winners!A:B,2,FALSE),
     "")</f>
        <v/>
      </c>
    </row>
    <row r="2612" spans="1:13" x14ac:dyDescent="0.3">
      <c r="A2612" t="s">
        <v>878</v>
      </c>
      <c r="B2612">
        <v>34</v>
      </c>
      <c r="C2612" t="s">
        <v>985</v>
      </c>
      <c r="D2612" t="str">
        <f t="shared" si="200"/>
        <v>03.07.2020</v>
      </c>
      <c r="E2612" s="1">
        <v>0.91666666666666663</v>
      </c>
      <c r="F2612" t="s">
        <v>1425</v>
      </c>
      <c r="G2612" t="s">
        <v>881</v>
      </c>
      <c r="H2612" t="s">
        <v>32</v>
      </c>
      <c r="I2612" t="str">
        <f t="shared" si="201"/>
        <v>3-0</v>
      </c>
      <c r="J2612" t="str">
        <f t="shared" si="202"/>
        <v>3</v>
      </c>
      <c r="K2612" t="str">
        <f t="shared" si="203"/>
        <v>0</v>
      </c>
      <c r="L2612" t="str">
        <f t="shared" si="204"/>
        <v>Atlético de Madrid</v>
      </c>
      <c r="M2612" t="str">
        <f>IF(COUNTIF($A$2:A2612,A2612)=1,
     VLOOKUP(A2612,Season_Winners!A:B,2,FALSE),
     "")</f>
        <v/>
      </c>
    </row>
    <row r="2613" spans="1:13" hidden="1" x14ac:dyDescent="0.3">
      <c r="A2613" t="s">
        <v>878</v>
      </c>
      <c r="B2613">
        <v>34</v>
      </c>
      <c r="C2613" t="s">
        <v>986</v>
      </c>
      <c r="D2613" t="str">
        <f t="shared" si="200"/>
        <v>04.07.2020</v>
      </c>
      <c r="E2613" s="1">
        <v>0.70833333333333337</v>
      </c>
      <c r="F2613" t="s">
        <v>35</v>
      </c>
      <c r="G2613" t="s">
        <v>26</v>
      </c>
      <c r="H2613" s="2">
        <v>46023</v>
      </c>
      <c r="I2613" s="3" t="str">
        <f t="shared" si="201"/>
        <v/>
      </c>
      <c r="J2613" t="str">
        <f t="shared" si="202"/>
        <v/>
      </c>
      <c r="K2613" t="str">
        <f t="shared" si="203"/>
        <v/>
      </c>
      <c r="L2613" t="str">
        <f t="shared" si="204"/>
        <v/>
      </c>
      <c r="M2613" t="str">
        <f>IF(COUNTIF($A$2:A2613,A2613)=1,
     VLOOKUP(A2613,Season_Winners!A:B,2,FALSE),
     "")</f>
        <v/>
      </c>
    </row>
    <row r="2614" spans="1:13" x14ac:dyDescent="0.3">
      <c r="A2614" t="s">
        <v>878</v>
      </c>
      <c r="B2614">
        <v>34</v>
      </c>
      <c r="C2614" t="s">
        <v>986</v>
      </c>
      <c r="D2614" t="str">
        <f t="shared" si="200"/>
        <v>04.07.2020</v>
      </c>
      <c r="E2614" s="1">
        <v>0.8125</v>
      </c>
      <c r="F2614" t="s">
        <v>14</v>
      </c>
      <c r="G2614" t="s">
        <v>464</v>
      </c>
      <c r="H2614" t="s">
        <v>18</v>
      </c>
      <c r="I2614" t="str">
        <f t="shared" si="201"/>
        <v>1-0</v>
      </c>
      <c r="J2614" t="str">
        <f t="shared" si="202"/>
        <v>1</v>
      </c>
      <c r="K2614" t="str">
        <f t="shared" si="203"/>
        <v>0</v>
      </c>
      <c r="L2614" t="str">
        <f t="shared" si="204"/>
        <v>Real Valladolid CF</v>
      </c>
      <c r="M2614" t="str">
        <f>IF(COUNTIF($A$2:A2614,A2614)=1,
     VLOOKUP(A2614,Season_Winners!A:B,2,FALSE),
     "")</f>
        <v/>
      </c>
    </row>
    <row r="2615" spans="1:13" hidden="1" x14ac:dyDescent="0.3">
      <c r="A2615" t="s">
        <v>878</v>
      </c>
      <c r="B2615">
        <v>34</v>
      </c>
      <c r="C2615" t="s">
        <v>986</v>
      </c>
      <c r="D2615" t="str">
        <f t="shared" si="200"/>
        <v>04.07.2020</v>
      </c>
      <c r="E2615" s="1">
        <v>0.91666666666666663</v>
      </c>
      <c r="F2615" t="s">
        <v>24</v>
      </c>
      <c r="G2615" t="s">
        <v>16</v>
      </c>
      <c r="H2615" s="2">
        <v>46055</v>
      </c>
      <c r="I2615" s="3" t="str">
        <f t="shared" si="201"/>
        <v/>
      </c>
      <c r="J2615" t="str">
        <f t="shared" si="202"/>
        <v/>
      </c>
      <c r="K2615" t="str">
        <f t="shared" si="203"/>
        <v/>
      </c>
      <c r="L2615" t="str">
        <f t="shared" si="204"/>
        <v/>
      </c>
      <c r="M2615" t="str">
        <f>IF(COUNTIF($A$2:A2615,A2615)=1,
     VLOOKUP(A2615,Season_Winners!A:B,2,FALSE),
     "")</f>
        <v/>
      </c>
    </row>
    <row r="2616" spans="1:13" x14ac:dyDescent="0.3">
      <c r="A2616" t="s">
        <v>878</v>
      </c>
      <c r="B2616">
        <v>34</v>
      </c>
      <c r="C2616" t="s">
        <v>987</v>
      </c>
      <c r="D2616" t="str">
        <f t="shared" si="200"/>
        <v>05.07.2020</v>
      </c>
      <c r="E2616" s="1">
        <v>0.58333333333333337</v>
      </c>
      <c r="F2616" t="s">
        <v>15</v>
      </c>
      <c r="G2616" t="s">
        <v>25</v>
      </c>
      <c r="H2616" t="s">
        <v>42</v>
      </c>
      <c r="I2616" t="str">
        <f t="shared" si="201"/>
        <v>0-1</v>
      </c>
      <c r="J2616" t="str">
        <f t="shared" si="202"/>
        <v>0</v>
      </c>
      <c r="K2616" t="str">
        <f t="shared" si="203"/>
        <v>1</v>
      </c>
      <c r="L2616" t="str">
        <f t="shared" si="204"/>
        <v>Real Madrid</v>
      </c>
      <c r="M2616" t="str">
        <f>IF(COUNTIF($A$2:A2616,A2616)=1,
     VLOOKUP(A2616,Season_Winners!A:B,2,FALSE),
     "")</f>
        <v/>
      </c>
    </row>
    <row r="2617" spans="1:13" x14ac:dyDescent="0.3">
      <c r="A2617" t="s">
        <v>878</v>
      </c>
      <c r="B2617">
        <v>34</v>
      </c>
      <c r="C2617" t="s">
        <v>987</v>
      </c>
      <c r="D2617" t="str">
        <f t="shared" si="200"/>
        <v>05.07.2020</v>
      </c>
      <c r="E2617" s="1">
        <v>0.70833333333333337</v>
      </c>
      <c r="F2617" t="s">
        <v>36</v>
      </c>
      <c r="G2617" t="s">
        <v>466</v>
      </c>
      <c r="H2617" t="s">
        <v>42</v>
      </c>
      <c r="I2617" t="str">
        <f t="shared" si="201"/>
        <v>0-1</v>
      </c>
      <c r="J2617" t="str">
        <f t="shared" si="202"/>
        <v>0</v>
      </c>
      <c r="K2617" t="str">
        <f t="shared" si="203"/>
        <v>1</v>
      </c>
      <c r="L2617" t="str">
        <f t="shared" si="204"/>
        <v>CD LeganÃ©s</v>
      </c>
      <c r="M2617" t="str">
        <f>IF(COUNTIF($A$2:A2617,A2617)=1,
     VLOOKUP(A2617,Season_Winners!A:B,2,FALSE),
     "")</f>
        <v/>
      </c>
    </row>
    <row r="2618" spans="1:13" x14ac:dyDescent="0.3">
      <c r="A2618" t="s">
        <v>878</v>
      </c>
      <c r="B2618">
        <v>34</v>
      </c>
      <c r="C2618" t="s">
        <v>987</v>
      </c>
      <c r="D2618" t="str">
        <f t="shared" si="200"/>
        <v>05.07.2020</v>
      </c>
      <c r="E2618" s="1">
        <v>0.8125</v>
      </c>
      <c r="F2618" t="s">
        <v>23</v>
      </c>
      <c r="G2618" t="s">
        <v>11</v>
      </c>
      <c r="H2618" t="s">
        <v>41</v>
      </c>
      <c r="I2618" t="str">
        <f t="shared" si="201"/>
        <v>0-0</v>
      </c>
      <c r="J2618" t="str">
        <f t="shared" si="202"/>
        <v>0</v>
      </c>
      <c r="K2618" t="str">
        <f t="shared" si="203"/>
        <v>0</v>
      </c>
      <c r="L2618" t="str">
        <f t="shared" si="204"/>
        <v>Draw</v>
      </c>
      <c r="M2618" t="str">
        <f>IF(COUNTIF($A$2:A2618,A2618)=1,
     VLOOKUP(A2618,Season_Winners!A:B,2,FALSE),
     "")</f>
        <v/>
      </c>
    </row>
    <row r="2619" spans="1:13" hidden="1" x14ac:dyDescent="0.3">
      <c r="A2619" t="s">
        <v>878</v>
      </c>
      <c r="B2619">
        <v>34</v>
      </c>
      <c r="C2619" t="s">
        <v>987</v>
      </c>
      <c r="D2619" t="str">
        <f t="shared" si="200"/>
        <v>05.07.2020</v>
      </c>
      <c r="E2619" s="1">
        <v>0.91666666666666663</v>
      </c>
      <c r="F2619" t="s">
        <v>34</v>
      </c>
      <c r="G2619" t="s">
        <v>20</v>
      </c>
      <c r="H2619" s="2">
        <v>46113</v>
      </c>
      <c r="I2619" s="3" t="str">
        <f t="shared" si="201"/>
        <v/>
      </c>
      <c r="J2619" t="str">
        <f t="shared" si="202"/>
        <v/>
      </c>
      <c r="K2619" t="str">
        <f t="shared" si="203"/>
        <v/>
      </c>
      <c r="L2619" t="str">
        <f t="shared" si="204"/>
        <v/>
      </c>
      <c r="M2619" t="str">
        <f>IF(COUNTIF($A$2:A2619,A2619)=1,
     VLOOKUP(A2619,Season_Winners!A:B,2,FALSE),
     "")</f>
        <v/>
      </c>
    </row>
    <row r="2620" spans="1:13" hidden="1" x14ac:dyDescent="0.3">
      <c r="A2620" t="s">
        <v>878</v>
      </c>
      <c r="B2620">
        <v>34</v>
      </c>
      <c r="C2620" t="s">
        <v>988</v>
      </c>
      <c r="D2620" t="str">
        <f t="shared" si="200"/>
        <v>06.07.2020</v>
      </c>
      <c r="E2620" s="1">
        <v>0.8125</v>
      </c>
      <c r="F2620" t="s">
        <v>21</v>
      </c>
      <c r="G2620" t="s">
        <v>10</v>
      </c>
      <c r="H2620" s="2">
        <v>46023</v>
      </c>
      <c r="I2620" s="3" t="str">
        <f t="shared" si="201"/>
        <v/>
      </c>
      <c r="J2620" t="str">
        <f t="shared" si="202"/>
        <v/>
      </c>
      <c r="K2620" t="str">
        <f t="shared" si="203"/>
        <v/>
      </c>
      <c r="L2620" t="str">
        <f t="shared" si="204"/>
        <v/>
      </c>
      <c r="M2620" t="str">
        <f>IF(COUNTIF($A$2:A2620,A2620)=1,
     VLOOKUP(A2620,Season_Winners!A:B,2,FALSE),
     "")</f>
        <v/>
      </c>
    </row>
    <row r="2621" spans="1:13" x14ac:dyDescent="0.3">
      <c r="A2621" t="s">
        <v>878</v>
      </c>
      <c r="B2621">
        <v>34</v>
      </c>
      <c r="C2621" t="s">
        <v>988</v>
      </c>
      <c r="D2621" t="str">
        <f t="shared" si="200"/>
        <v>06.07.2020</v>
      </c>
      <c r="E2621" s="1">
        <v>0.91666666666666663</v>
      </c>
      <c r="F2621" t="s">
        <v>27</v>
      </c>
      <c r="G2621" t="s">
        <v>187</v>
      </c>
      <c r="H2621" t="s">
        <v>18</v>
      </c>
      <c r="I2621" t="str">
        <f t="shared" si="201"/>
        <v>1-0</v>
      </c>
      <c r="J2621" t="str">
        <f t="shared" si="202"/>
        <v>1</v>
      </c>
      <c r="K2621" t="str">
        <f t="shared" si="203"/>
        <v>0</v>
      </c>
      <c r="L2621" t="str">
        <f t="shared" si="204"/>
        <v>Sevilla FC</v>
      </c>
      <c r="M2621" t="str">
        <f>IF(COUNTIF($A$2:A2621,A2621)=1,
     VLOOKUP(A2621,Season_Winners!A:B,2,FALSE),
     "")</f>
        <v/>
      </c>
    </row>
    <row r="2622" spans="1:13" hidden="1" x14ac:dyDescent="0.3">
      <c r="A2622" t="s">
        <v>878</v>
      </c>
      <c r="B2622">
        <v>35</v>
      </c>
      <c r="C2622" t="s">
        <v>989</v>
      </c>
      <c r="D2622" t="str">
        <f t="shared" si="200"/>
        <v>07.07.2020</v>
      </c>
      <c r="E2622" s="1">
        <v>0.8125</v>
      </c>
      <c r="F2622" t="s">
        <v>16</v>
      </c>
      <c r="G2622" t="s">
        <v>14</v>
      </c>
      <c r="H2622" s="2">
        <v>46024</v>
      </c>
      <c r="I2622" s="3" t="str">
        <f t="shared" si="201"/>
        <v/>
      </c>
      <c r="J2622" t="str">
        <f t="shared" si="202"/>
        <v/>
      </c>
      <c r="K2622" t="str">
        <f t="shared" si="203"/>
        <v/>
      </c>
      <c r="L2622" t="str">
        <f t="shared" si="204"/>
        <v/>
      </c>
      <c r="M2622" t="str">
        <f>IF(COUNTIF($A$2:A2622,A2622)=1,
     VLOOKUP(A2622,Season_Winners!A:B,2,FALSE),
     "")</f>
        <v/>
      </c>
    </row>
    <row r="2623" spans="1:13" hidden="1" x14ac:dyDescent="0.3">
      <c r="A2623" t="s">
        <v>878</v>
      </c>
      <c r="B2623">
        <v>35</v>
      </c>
      <c r="C2623" t="s">
        <v>989</v>
      </c>
      <c r="D2623" t="str">
        <f t="shared" si="200"/>
        <v>07.07.2020</v>
      </c>
      <c r="E2623" s="1">
        <v>0.91666666666666663</v>
      </c>
      <c r="F2623" t="s">
        <v>35</v>
      </c>
      <c r="G2623" t="s">
        <v>28</v>
      </c>
      <c r="H2623" s="2">
        <v>46023</v>
      </c>
      <c r="I2623" s="3" t="str">
        <f t="shared" si="201"/>
        <v/>
      </c>
      <c r="J2623" t="str">
        <f t="shared" si="202"/>
        <v/>
      </c>
      <c r="K2623" t="str">
        <f t="shared" si="203"/>
        <v/>
      </c>
      <c r="L2623" t="str">
        <f t="shared" si="204"/>
        <v/>
      </c>
      <c r="M2623" t="str">
        <f>IF(COUNTIF($A$2:A2623,A2623)=1,
     VLOOKUP(A2623,Season_Winners!A:B,2,FALSE),
     "")</f>
        <v/>
      </c>
    </row>
    <row r="2624" spans="1:13" x14ac:dyDescent="0.3">
      <c r="A2624" t="s">
        <v>878</v>
      </c>
      <c r="B2624">
        <v>35</v>
      </c>
      <c r="C2624" t="s">
        <v>990</v>
      </c>
      <c r="D2624" t="str">
        <f t="shared" si="200"/>
        <v>08.07.2020</v>
      </c>
      <c r="E2624" s="1">
        <v>0.85416666666666663</v>
      </c>
      <c r="F2624" t="s">
        <v>26</v>
      </c>
      <c r="G2624" t="s">
        <v>23</v>
      </c>
      <c r="H2624" t="s">
        <v>32</v>
      </c>
      <c r="I2624" t="str">
        <f t="shared" si="201"/>
        <v>3-0</v>
      </c>
      <c r="J2624" t="str">
        <f t="shared" si="202"/>
        <v>3</v>
      </c>
      <c r="K2624" t="str">
        <f t="shared" si="203"/>
        <v>0</v>
      </c>
      <c r="L2624" t="str">
        <f t="shared" si="204"/>
        <v>Real Betis</v>
      </c>
      <c r="M2624" t="str">
        <f>IF(COUNTIF($A$2:A2624,A2624)=1,
     VLOOKUP(A2624,Season_Winners!A:B,2,FALSE),
     "")</f>
        <v/>
      </c>
    </row>
    <row r="2625" spans="1:13" hidden="1" x14ac:dyDescent="0.3">
      <c r="A2625" t="s">
        <v>878</v>
      </c>
      <c r="B2625">
        <v>35</v>
      </c>
      <c r="C2625" t="s">
        <v>990</v>
      </c>
      <c r="D2625" t="str">
        <f t="shared" si="200"/>
        <v>08.07.2020</v>
      </c>
      <c r="E2625" s="1">
        <v>0.85416666666666663</v>
      </c>
      <c r="F2625" t="s">
        <v>11</v>
      </c>
      <c r="G2625" t="s">
        <v>34</v>
      </c>
      <c r="H2625" s="2">
        <v>46082</v>
      </c>
      <c r="I2625" s="3" t="str">
        <f t="shared" si="201"/>
        <v/>
      </c>
      <c r="J2625" t="str">
        <f t="shared" si="202"/>
        <v/>
      </c>
      <c r="K2625" t="str">
        <f t="shared" si="203"/>
        <v/>
      </c>
      <c r="L2625" t="str">
        <f t="shared" si="204"/>
        <v/>
      </c>
      <c r="M2625" t="str">
        <f>IF(COUNTIF($A$2:A2625,A2625)=1,
     VLOOKUP(A2625,Season_Winners!A:B,2,FALSE),
     "")</f>
        <v/>
      </c>
    </row>
    <row r="2626" spans="1:13" x14ac:dyDescent="0.3">
      <c r="A2626" t="s">
        <v>878</v>
      </c>
      <c r="B2626">
        <v>35</v>
      </c>
      <c r="C2626" t="s">
        <v>990</v>
      </c>
      <c r="D2626" t="str">
        <f t="shared" ref="D2626:D2689" si="205">RIGHT(C2626,10)</f>
        <v>08.07.2020</v>
      </c>
      <c r="E2626" s="1">
        <v>0.91666666666666663</v>
      </c>
      <c r="F2626" t="s">
        <v>20</v>
      </c>
      <c r="G2626" t="s">
        <v>36</v>
      </c>
      <c r="H2626" t="s">
        <v>18</v>
      </c>
      <c r="I2626" t="str">
        <f t="shared" ref="I2626:I2689" si="206">IF(ISNUMBER(SEARCH("-",H2626)),H2626,"")</f>
        <v>1-0</v>
      </c>
      <c r="J2626" t="str">
        <f t="shared" ref="J2626:J2689" si="207">IF(I2626="","",LEFT(I2626,FIND("-",I2626)-1))</f>
        <v>1</v>
      </c>
      <c r="K2626" t="str">
        <f t="shared" ref="K2626:K2689" si="208">IF(I2626="","",RIGHT(I2626,LEN(I2626)-FIND("-",I2626)))</f>
        <v>0</v>
      </c>
      <c r="L2626" t="str">
        <f t="shared" ref="L2626:L2689" si="209">IF(I2626="","",IF(J2626&gt;K2626,F2626,IF(K2626&gt;J2626,G2626,"Draw")))</f>
        <v>FC Barcelona</v>
      </c>
      <c r="M2626" t="str">
        <f>IF(COUNTIF($A$2:A2626,A2626)=1,
     VLOOKUP(A2626,Season_Winners!A:B,2,FALSE),
     "")</f>
        <v/>
      </c>
    </row>
    <row r="2627" spans="1:13" x14ac:dyDescent="0.3">
      <c r="A2627" t="s">
        <v>878</v>
      </c>
      <c r="B2627">
        <v>35</v>
      </c>
      <c r="C2627" t="s">
        <v>991</v>
      </c>
      <c r="D2627" t="str">
        <f t="shared" si="205"/>
        <v>09.07.2020</v>
      </c>
      <c r="E2627" s="1">
        <v>0.8125</v>
      </c>
      <c r="F2627" t="s">
        <v>187</v>
      </c>
      <c r="G2627" t="s">
        <v>466</v>
      </c>
      <c r="H2627" t="s">
        <v>41</v>
      </c>
      <c r="I2627" t="str">
        <f t="shared" si="206"/>
        <v>0-0</v>
      </c>
      <c r="J2627" t="str">
        <f t="shared" si="207"/>
        <v>0</v>
      </c>
      <c r="K2627" t="str">
        <f t="shared" si="208"/>
        <v>0</v>
      </c>
      <c r="L2627" t="str">
        <f t="shared" si="209"/>
        <v>Draw</v>
      </c>
      <c r="M2627" t="str">
        <f>IF(COUNTIF($A$2:A2627,A2627)=1,
     VLOOKUP(A2627,Season_Winners!A:B,2,FALSE),
     "")</f>
        <v/>
      </c>
    </row>
    <row r="2628" spans="1:13" x14ac:dyDescent="0.3">
      <c r="A2628" t="s">
        <v>878</v>
      </c>
      <c r="B2628">
        <v>35</v>
      </c>
      <c r="C2628" t="s">
        <v>991</v>
      </c>
      <c r="D2628" t="str">
        <f t="shared" si="205"/>
        <v>09.07.2020</v>
      </c>
      <c r="E2628" s="1">
        <v>0.8125</v>
      </c>
      <c r="F2628" t="s">
        <v>881</v>
      </c>
      <c r="G2628" t="s">
        <v>21</v>
      </c>
      <c r="H2628" t="s">
        <v>12</v>
      </c>
      <c r="I2628" t="str">
        <f t="shared" si="206"/>
        <v>2-0</v>
      </c>
      <c r="J2628" t="str">
        <f t="shared" si="207"/>
        <v>2</v>
      </c>
      <c r="K2628" t="str">
        <f t="shared" si="208"/>
        <v>0</v>
      </c>
      <c r="L2628" t="str">
        <f t="shared" si="209"/>
        <v>RCD Mallorca</v>
      </c>
      <c r="M2628" t="str">
        <f>IF(COUNTIF($A$2:A2628,A2628)=1,
     VLOOKUP(A2628,Season_Winners!A:B,2,FALSE),
     "")</f>
        <v/>
      </c>
    </row>
    <row r="2629" spans="1:13" hidden="1" x14ac:dyDescent="0.3">
      <c r="A2629" t="s">
        <v>878</v>
      </c>
      <c r="B2629">
        <v>35</v>
      </c>
      <c r="C2629" t="s">
        <v>991</v>
      </c>
      <c r="D2629" t="str">
        <f t="shared" si="205"/>
        <v>09.07.2020</v>
      </c>
      <c r="E2629" s="1">
        <v>0.91666666666666663</v>
      </c>
      <c r="F2629" t="s">
        <v>15</v>
      </c>
      <c r="G2629" t="s">
        <v>27</v>
      </c>
      <c r="H2629" s="2">
        <v>46054</v>
      </c>
      <c r="I2629" s="3" t="str">
        <f t="shared" si="206"/>
        <v/>
      </c>
      <c r="J2629" t="str">
        <f t="shared" si="207"/>
        <v/>
      </c>
      <c r="K2629" t="str">
        <f t="shared" si="208"/>
        <v/>
      </c>
      <c r="L2629" t="str">
        <f t="shared" si="209"/>
        <v/>
      </c>
      <c r="M2629" t="str">
        <f>IF(COUNTIF($A$2:A2629,A2629)=1,
     VLOOKUP(A2629,Season_Winners!A:B,2,FALSE),
     "")</f>
        <v/>
      </c>
    </row>
    <row r="2630" spans="1:13" hidden="1" x14ac:dyDescent="0.3">
      <c r="A2630" t="s">
        <v>878</v>
      </c>
      <c r="B2630">
        <v>35</v>
      </c>
      <c r="C2630" t="s">
        <v>992</v>
      </c>
      <c r="D2630" t="str">
        <f t="shared" si="205"/>
        <v>10.07.2020</v>
      </c>
      <c r="E2630" s="1">
        <v>0.8125</v>
      </c>
      <c r="F2630" t="s">
        <v>10</v>
      </c>
      <c r="G2630" t="s">
        <v>24</v>
      </c>
      <c r="H2630" s="2">
        <v>46083</v>
      </c>
      <c r="I2630" s="3" t="str">
        <f t="shared" si="206"/>
        <v/>
      </c>
      <c r="J2630" t="str">
        <f t="shared" si="207"/>
        <v/>
      </c>
      <c r="K2630" t="str">
        <f t="shared" si="208"/>
        <v/>
      </c>
      <c r="L2630" t="str">
        <f t="shared" si="209"/>
        <v/>
      </c>
      <c r="M2630" t="str">
        <f>IF(COUNTIF($A$2:A2630,A2630)=1,
     VLOOKUP(A2630,Season_Winners!A:B,2,FALSE),
     "")</f>
        <v/>
      </c>
    </row>
    <row r="2631" spans="1:13" x14ac:dyDescent="0.3">
      <c r="A2631" t="s">
        <v>878</v>
      </c>
      <c r="B2631">
        <v>35</v>
      </c>
      <c r="C2631" t="s">
        <v>992</v>
      </c>
      <c r="D2631" t="str">
        <f t="shared" si="205"/>
        <v>10.07.2020</v>
      </c>
      <c r="E2631" s="1">
        <v>0.91666666666666663</v>
      </c>
      <c r="F2631" t="s">
        <v>25</v>
      </c>
      <c r="G2631" t="s">
        <v>464</v>
      </c>
      <c r="H2631" t="s">
        <v>12</v>
      </c>
      <c r="I2631" t="str">
        <f t="shared" si="206"/>
        <v>2-0</v>
      </c>
      <c r="J2631" t="str">
        <f t="shared" si="207"/>
        <v>2</v>
      </c>
      <c r="K2631" t="str">
        <f t="shared" si="208"/>
        <v>0</v>
      </c>
      <c r="L2631" t="str">
        <f t="shared" si="209"/>
        <v>Real Madrid</v>
      </c>
      <c r="M2631" t="str">
        <f>IF(COUNTIF($A$2:A2631,A2631)=1,
     VLOOKUP(A2631,Season_Winners!A:B,2,FALSE),
     "")</f>
        <v/>
      </c>
    </row>
    <row r="2632" spans="1:13" hidden="1" x14ac:dyDescent="0.3">
      <c r="A2632" t="s">
        <v>878</v>
      </c>
      <c r="B2632">
        <v>36</v>
      </c>
      <c r="C2632" t="s">
        <v>993</v>
      </c>
      <c r="D2632" t="str">
        <f t="shared" si="205"/>
        <v>11.07.2020</v>
      </c>
      <c r="E2632" s="1">
        <v>0.70833333333333337</v>
      </c>
      <c r="F2632" t="s">
        <v>23</v>
      </c>
      <c r="G2632" t="s">
        <v>35</v>
      </c>
      <c r="H2632" s="2">
        <v>46024</v>
      </c>
      <c r="I2632" s="3" t="str">
        <f t="shared" si="206"/>
        <v/>
      </c>
      <c r="J2632" t="str">
        <f t="shared" si="207"/>
        <v/>
      </c>
      <c r="K2632" t="str">
        <f t="shared" si="208"/>
        <v/>
      </c>
      <c r="L2632" t="str">
        <f t="shared" si="209"/>
        <v/>
      </c>
      <c r="M2632" t="str">
        <f>IF(COUNTIF($A$2:A2632,A2632)=1,
     VLOOKUP(A2632,Season_Winners!A:B,2,FALSE),
     "")</f>
        <v/>
      </c>
    </row>
    <row r="2633" spans="1:13" x14ac:dyDescent="0.3">
      <c r="A2633" t="s">
        <v>878</v>
      </c>
      <c r="B2633">
        <v>36</v>
      </c>
      <c r="C2633" t="s">
        <v>993</v>
      </c>
      <c r="D2633" t="str">
        <f t="shared" si="205"/>
        <v>11.07.2020</v>
      </c>
      <c r="E2633" s="1">
        <v>0.8125</v>
      </c>
      <c r="F2633" t="s">
        <v>14</v>
      </c>
      <c r="G2633" t="s">
        <v>20</v>
      </c>
      <c r="H2633" t="s">
        <v>42</v>
      </c>
      <c r="I2633" t="str">
        <f t="shared" si="206"/>
        <v>0-1</v>
      </c>
      <c r="J2633" t="str">
        <f t="shared" si="207"/>
        <v>0</v>
      </c>
      <c r="K2633" t="str">
        <f t="shared" si="208"/>
        <v>1</v>
      </c>
      <c r="L2633" t="str">
        <f t="shared" si="209"/>
        <v>FC Barcelona</v>
      </c>
      <c r="M2633" t="str">
        <f>IF(COUNTIF($A$2:A2633,A2633)=1,
     VLOOKUP(A2633,Season_Winners!A:B,2,FALSE),
     "")</f>
        <v/>
      </c>
    </row>
    <row r="2634" spans="1:13" x14ac:dyDescent="0.3">
      <c r="A2634" t="s">
        <v>878</v>
      </c>
      <c r="B2634">
        <v>36</v>
      </c>
      <c r="C2634" t="s">
        <v>993</v>
      </c>
      <c r="D2634" t="str">
        <f t="shared" si="205"/>
        <v>11.07.2020</v>
      </c>
      <c r="E2634" s="1">
        <v>0.91666666666666663</v>
      </c>
      <c r="F2634" t="s">
        <v>1425</v>
      </c>
      <c r="G2634" t="s">
        <v>26</v>
      </c>
      <c r="H2634" t="s">
        <v>18</v>
      </c>
      <c r="I2634" t="str">
        <f t="shared" si="206"/>
        <v>1-0</v>
      </c>
      <c r="J2634" t="str">
        <f t="shared" si="207"/>
        <v>1</v>
      </c>
      <c r="K2634" t="str">
        <f t="shared" si="208"/>
        <v>0</v>
      </c>
      <c r="L2634" t="str">
        <f t="shared" si="209"/>
        <v>Atlético de Madrid</v>
      </c>
      <c r="M2634" t="str">
        <f>IF(COUNTIF($A$2:A2634,A2634)=1,
     VLOOKUP(A2634,Season_Winners!A:B,2,FALSE),
     "")</f>
        <v/>
      </c>
    </row>
    <row r="2635" spans="1:13" x14ac:dyDescent="0.3">
      <c r="A2635" t="s">
        <v>878</v>
      </c>
      <c r="B2635">
        <v>36</v>
      </c>
      <c r="C2635" t="s">
        <v>994</v>
      </c>
      <c r="D2635" t="str">
        <f t="shared" si="205"/>
        <v>12.07.2020</v>
      </c>
      <c r="E2635" s="1">
        <v>0.58333333333333337</v>
      </c>
      <c r="F2635" t="s">
        <v>36</v>
      </c>
      <c r="G2635" t="s">
        <v>187</v>
      </c>
      <c r="H2635" t="s">
        <v>54</v>
      </c>
      <c r="I2635" t="str">
        <f t="shared" si="206"/>
        <v>0-2</v>
      </c>
      <c r="J2635" t="str">
        <f t="shared" si="207"/>
        <v>0</v>
      </c>
      <c r="K2635" t="str">
        <f t="shared" si="208"/>
        <v>2</v>
      </c>
      <c r="L2635" t="str">
        <f t="shared" si="209"/>
        <v>SD Eibar</v>
      </c>
      <c r="M2635" t="str">
        <f>IF(COUNTIF($A$2:A2635,A2635)=1,
     VLOOKUP(A2635,Season_Winners!A:B,2,FALSE),
     "")</f>
        <v/>
      </c>
    </row>
    <row r="2636" spans="1:13" hidden="1" x14ac:dyDescent="0.3">
      <c r="A2636" t="s">
        <v>878</v>
      </c>
      <c r="B2636">
        <v>36</v>
      </c>
      <c r="C2636" t="s">
        <v>994</v>
      </c>
      <c r="D2636" t="str">
        <f t="shared" si="205"/>
        <v>12.07.2020</v>
      </c>
      <c r="E2636" s="1">
        <v>0.70833333333333337</v>
      </c>
      <c r="F2636" t="s">
        <v>21</v>
      </c>
      <c r="G2636" t="s">
        <v>15</v>
      </c>
      <c r="H2636" s="2">
        <v>46054</v>
      </c>
      <c r="I2636" s="3" t="str">
        <f t="shared" si="206"/>
        <v/>
      </c>
      <c r="J2636" t="str">
        <f t="shared" si="207"/>
        <v/>
      </c>
      <c r="K2636" t="str">
        <f t="shared" si="208"/>
        <v/>
      </c>
      <c r="L2636" t="str">
        <f t="shared" si="209"/>
        <v/>
      </c>
      <c r="M2636" t="str">
        <f>IF(COUNTIF($A$2:A2636,A2636)=1,
     VLOOKUP(A2636,Season_Winners!A:B,2,FALSE),
     "")</f>
        <v/>
      </c>
    </row>
    <row r="2637" spans="1:13" x14ac:dyDescent="0.3">
      <c r="A2637" t="s">
        <v>878</v>
      </c>
      <c r="B2637">
        <v>36</v>
      </c>
      <c r="C2637" t="s">
        <v>994</v>
      </c>
      <c r="D2637" t="str">
        <f t="shared" si="205"/>
        <v>12.07.2020</v>
      </c>
      <c r="E2637" s="1">
        <v>0.8125</v>
      </c>
      <c r="F2637" t="s">
        <v>466</v>
      </c>
      <c r="G2637" t="s">
        <v>16</v>
      </c>
      <c r="H2637" t="s">
        <v>18</v>
      </c>
      <c r="I2637" t="str">
        <f t="shared" si="206"/>
        <v>1-0</v>
      </c>
      <c r="J2637" t="str">
        <f t="shared" si="207"/>
        <v>1</v>
      </c>
      <c r="K2637" t="str">
        <f t="shared" si="208"/>
        <v>0</v>
      </c>
      <c r="L2637" t="str">
        <f t="shared" si="209"/>
        <v>CD LeganÃ©s</v>
      </c>
      <c r="M2637" t="str">
        <f>IF(COUNTIF($A$2:A2637,A2637)=1,
     VLOOKUP(A2637,Season_Winners!A:B,2,FALSE),
     "")</f>
        <v/>
      </c>
    </row>
    <row r="2638" spans="1:13" x14ac:dyDescent="0.3">
      <c r="A2638" t="s">
        <v>878</v>
      </c>
      <c r="B2638">
        <v>36</v>
      </c>
      <c r="C2638" t="s">
        <v>994</v>
      </c>
      <c r="D2638" t="str">
        <f t="shared" si="205"/>
        <v>12.07.2020</v>
      </c>
      <c r="E2638" s="1">
        <v>0.91666666666666663</v>
      </c>
      <c r="F2638" t="s">
        <v>27</v>
      </c>
      <c r="G2638" t="s">
        <v>881</v>
      </c>
      <c r="H2638" t="s">
        <v>12</v>
      </c>
      <c r="I2638" t="str">
        <f t="shared" si="206"/>
        <v>2-0</v>
      </c>
      <c r="J2638" t="str">
        <f t="shared" si="207"/>
        <v>2</v>
      </c>
      <c r="K2638" t="str">
        <f t="shared" si="208"/>
        <v>0</v>
      </c>
      <c r="L2638" t="str">
        <f t="shared" si="209"/>
        <v>Sevilla FC</v>
      </c>
      <c r="M2638" t="str">
        <f>IF(COUNTIF($A$2:A2638,A2638)=1,
     VLOOKUP(A2638,Season_Winners!A:B,2,FALSE),
     "")</f>
        <v/>
      </c>
    </row>
    <row r="2639" spans="1:13" x14ac:dyDescent="0.3">
      <c r="A2639" t="s">
        <v>878</v>
      </c>
      <c r="B2639">
        <v>36</v>
      </c>
      <c r="C2639" t="s">
        <v>995</v>
      </c>
      <c r="D2639" t="str">
        <f t="shared" si="205"/>
        <v>13.07.2020</v>
      </c>
      <c r="E2639" s="1">
        <v>0.8125</v>
      </c>
      <c r="F2639" t="s">
        <v>464</v>
      </c>
      <c r="G2639" t="s">
        <v>11</v>
      </c>
      <c r="H2639" t="s">
        <v>41</v>
      </c>
      <c r="I2639" t="str">
        <f t="shared" si="206"/>
        <v>0-0</v>
      </c>
      <c r="J2639" t="str">
        <f t="shared" si="207"/>
        <v>0</v>
      </c>
      <c r="K2639" t="str">
        <f t="shared" si="208"/>
        <v>0</v>
      </c>
      <c r="L2639" t="str">
        <f t="shared" si="209"/>
        <v>Draw</v>
      </c>
      <c r="M2639" t="str">
        <f>IF(COUNTIF($A$2:A2639,A2639)=1,
     VLOOKUP(A2639,Season_Winners!A:B,2,FALSE),
     "")</f>
        <v/>
      </c>
    </row>
    <row r="2640" spans="1:13" hidden="1" x14ac:dyDescent="0.3">
      <c r="A2640" t="s">
        <v>878</v>
      </c>
      <c r="B2640">
        <v>36</v>
      </c>
      <c r="C2640" t="s">
        <v>995</v>
      </c>
      <c r="D2640" t="str">
        <f t="shared" si="205"/>
        <v>13.07.2020</v>
      </c>
      <c r="E2640" s="1">
        <v>0.8125</v>
      </c>
      <c r="F2640" t="s">
        <v>34</v>
      </c>
      <c r="G2640" t="s">
        <v>10</v>
      </c>
      <c r="H2640" s="2">
        <v>46054</v>
      </c>
      <c r="I2640" s="3" t="str">
        <f t="shared" si="206"/>
        <v/>
      </c>
      <c r="J2640" t="str">
        <f t="shared" si="207"/>
        <v/>
      </c>
      <c r="K2640" t="str">
        <f t="shared" si="208"/>
        <v/>
      </c>
      <c r="L2640" t="str">
        <f t="shared" si="209"/>
        <v/>
      </c>
      <c r="M2640" t="str">
        <f>IF(COUNTIF($A$2:A2640,A2640)=1,
     VLOOKUP(A2640,Season_Winners!A:B,2,FALSE),
     "")</f>
        <v/>
      </c>
    </row>
    <row r="2641" spans="1:13" hidden="1" x14ac:dyDescent="0.3">
      <c r="A2641" t="s">
        <v>878</v>
      </c>
      <c r="B2641">
        <v>36</v>
      </c>
      <c r="C2641" t="s">
        <v>995</v>
      </c>
      <c r="D2641" t="str">
        <f t="shared" si="205"/>
        <v>13.07.2020</v>
      </c>
      <c r="E2641" s="1">
        <v>0.91666666666666663</v>
      </c>
      <c r="F2641" t="s">
        <v>24</v>
      </c>
      <c r="G2641" t="s">
        <v>25</v>
      </c>
      <c r="H2641" s="2">
        <v>46054</v>
      </c>
      <c r="I2641" s="3" t="str">
        <f t="shared" si="206"/>
        <v/>
      </c>
      <c r="J2641" t="str">
        <f t="shared" si="207"/>
        <v/>
      </c>
      <c r="K2641" t="str">
        <f t="shared" si="208"/>
        <v/>
      </c>
      <c r="L2641" t="str">
        <f t="shared" si="209"/>
        <v/>
      </c>
      <c r="M2641" t="str">
        <f>IF(COUNTIF($A$2:A2641,A2641)=1,
     VLOOKUP(A2641,Season_Winners!A:B,2,FALSE),
     "")</f>
        <v/>
      </c>
    </row>
    <row r="2642" spans="1:13" hidden="1" x14ac:dyDescent="0.3">
      <c r="A2642" t="s">
        <v>878</v>
      </c>
      <c r="B2642">
        <v>37</v>
      </c>
      <c r="C2642" t="s">
        <v>996</v>
      </c>
      <c r="D2642" t="str">
        <f t="shared" si="205"/>
        <v>16.07.2020</v>
      </c>
      <c r="E2642" s="1">
        <v>0.77083333333333337</v>
      </c>
      <c r="F2642" t="s">
        <v>187</v>
      </c>
      <c r="G2642" t="s">
        <v>14</v>
      </c>
      <c r="H2642" s="2">
        <v>46025</v>
      </c>
      <c r="I2642" s="3" t="str">
        <f t="shared" si="206"/>
        <v/>
      </c>
      <c r="J2642" t="str">
        <f t="shared" si="207"/>
        <v/>
      </c>
      <c r="K2642" t="str">
        <f t="shared" si="208"/>
        <v/>
      </c>
      <c r="L2642" t="str">
        <f t="shared" si="209"/>
        <v/>
      </c>
      <c r="M2642" t="str">
        <f>IF(COUNTIF($A$2:A2642,A2642)=1,
     VLOOKUP(A2642,Season_Winners!A:B,2,FALSE),
     "")</f>
        <v/>
      </c>
    </row>
    <row r="2643" spans="1:13" x14ac:dyDescent="0.3">
      <c r="A2643" t="s">
        <v>878</v>
      </c>
      <c r="B2643">
        <v>37</v>
      </c>
      <c r="C2643" t="s">
        <v>996</v>
      </c>
      <c r="D2643" t="str">
        <f t="shared" si="205"/>
        <v>16.07.2020</v>
      </c>
      <c r="E2643" s="1">
        <v>0.875</v>
      </c>
      <c r="F2643" t="s">
        <v>15</v>
      </c>
      <c r="G2643" t="s">
        <v>466</v>
      </c>
      <c r="H2643" t="s">
        <v>54</v>
      </c>
      <c r="I2643" t="str">
        <f t="shared" si="206"/>
        <v>0-2</v>
      </c>
      <c r="J2643" t="str">
        <f t="shared" si="207"/>
        <v>0</v>
      </c>
      <c r="K2643" t="str">
        <f t="shared" si="208"/>
        <v>2</v>
      </c>
      <c r="L2643" t="str">
        <f t="shared" si="209"/>
        <v>CD LeganÃ©s</v>
      </c>
      <c r="M2643" t="str">
        <f>IF(COUNTIF($A$2:A2643,A2643)=1,
     VLOOKUP(A2643,Season_Winners!A:B,2,FALSE),
     "")</f>
        <v/>
      </c>
    </row>
    <row r="2644" spans="1:13" hidden="1" x14ac:dyDescent="0.3">
      <c r="A2644" t="s">
        <v>878</v>
      </c>
      <c r="B2644">
        <v>37</v>
      </c>
      <c r="C2644" t="s">
        <v>996</v>
      </c>
      <c r="D2644" t="str">
        <f t="shared" si="205"/>
        <v>16.07.2020</v>
      </c>
      <c r="E2644" s="1">
        <v>0.875</v>
      </c>
      <c r="F2644" t="s">
        <v>20</v>
      </c>
      <c r="G2644" t="s">
        <v>23</v>
      </c>
      <c r="H2644" s="2">
        <v>46054</v>
      </c>
      <c r="I2644" s="3" t="str">
        <f t="shared" si="206"/>
        <v/>
      </c>
      <c r="J2644" t="str">
        <f t="shared" si="207"/>
        <v/>
      </c>
      <c r="K2644" t="str">
        <f t="shared" si="208"/>
        <v/>
      </c>
      <c r="L2644" t="str">
        <f t="shared" si="209"/>
        <v/>
      </c>
      <c r="M2644" t="str">
        <f>IF(COUNTIF($A$2:A2644,A2644)=1,
     VLOOKUP(A2644,Season_Winners!A:B,2,FALSE),
     "")</f>
        <v/>
      </c>
    </row>
    <row r="2645" spans="1:13" hidden="1" x14ac:dyDescent="0.3">
      <c r="A2645" t="s">
        <v>878</v>
      </c>
      <c r="B2645">
        <v>37</v>
      </c>
      <c r="C2645" t="s">
        <v>996</v>
      </c>
      <c r="D2645" t="str">
        <f t="shared" si="205"/>
        <v>16.07.2020</v>
      </c>
      <c r="E2645" s="1">
        <v>0.875</v>
      </c>
      <c r="F2645" t="s">
        <v>26</v>
      </c>
      <c r="G2645" t="s">
        <v>464</v>
      </c>
      <c r="H2645" s="2">
        <v>46054</v>
      </c>
      <c r="I2645" s="3" t="str">
        <f t="shared" si="206"/>
        <v/>
      </c>
      <c r="J2645" t="str">
        <f t="shared" si="207"/>
        <v/>
      </c>
      <c r="K2645" t="str">
        <f t="shared" si="208"/>
        <v/>
      </c>
      <c r="L2645" t="str">
        <f t="shared" si="209"/>
        <v/>
      </c>
      <c r="M2645" t="str">
        <f>IF(COUNTIF($A$2:A2645,A2645)=1,
     VLOOKUP(A2645,Season_Winners!A:B,2,FALSE),
     "")</f>
        <v/>
      </c>
    </row>
    <row r="2646" spans="1:13" hidden="1" x14ac:dyDescent="0.3">
      <c r="A2646" t="s">
        <v>878</v>
      </c>
      <c r="B2646">
        <v>37</v>
      </c>
      <c r="C2646" t="s">
        <v>996</v>
      </c>
      <c r="D2646" t="str">
        <f t="shared" si="205"/>
        <v>16.07.2020</v>
      </c>
      <c r="E2646" s="1">
        <v>0.875</v>
      </c>
      <c r="F2646" t="s">
        <v>35</v>
      </c>
      <c r="G2646" t="s">
        <v>21</v>
      </c>
      <c r="H2646" s="2">
        <v>46083</v>
      </c>
      <c r="I2646" s="3" t="str">
        <f t="shared" si="206"/>
        <v/>
      </c>
      <c r="J2646" t="str">
        <f t="shared" si="207"/>
        <v/>
      </c>
      <c r="K2646" t="str">
        <f t="shared" si="208"/>
        <v/>
      </c>
      <c r="L2646" t="str">
        <f t="shared" si="209"/>
        <v/>
      </c>
      <c r="M2646" t="str">
        <f>IF(COUNTIF($A$2:A2646,A2646)=1,
     VLOOKUP(A2646,Season_Winners!A:B,2,FALSE),
     "")</f>
        <v/>
      </c>
    </row>
    <row r="2647" spans="1:13" x14ac:dyDescent="0.3">
      <c r="A2647" t="s">
        <v>878</v>
      </c>
      <c r="B2647">
        <v>37</v>
      </c>
      <c r="C2647" t="s">
        <v>996</v>
      </c>
      <c r="D2647" t="str">
        <f t="shared" si="205"/>
        <v>16.07.2020</v>
      </c>
      <c r="E2647" s="1">
        <v>0.875</v>
      </c>
      <c r="F2647" t="s">
        <v>11</v>
      </c>
      <c r="G2647" t="s">
        <v>1425</v>
      </c>
      <c r="H2647" t="s">
        <v>54</v>
      </c>
      <c r="I2647" t="str">
        <f t="shared" si="206"/>
        <v>0-2</v>
      </c>
      <c r="J2647" t="str">
        <f t="shared" si="207"/>
        <v>0</v>
      </c>
      <c r="K2647" t="str">
        <f t="shared" si="208"/>
        <v>2</v>
      </c>
      <c r="L2647" t="str">
        <f t="shared" si="209"/>
        <v>Atlético de Madrid</v>
      </c>
      <c r="M2647" t="str">
        <f>IF(COUNTIF($A$2:A2647,A2647)=1,
     VLOOKUP(A2647,Season_Winners!A:B,2,FALSE),
     "")</f>
        <v/>
      </c>
    </row>
    <row r="2648" spans="1:13" hidden="1" x14ac:dyDescent="0.3">
      <c r="A2648" t="s">
        <v>878</v>
      </c>
      <c r="B2648">
        <v>37</v>
      </c>
      <c r="C2648" t="s">
        <v>996</v>
      </c>
      <c r="D2648" t="str">
        <f t="shared" si="205"/>
        <v>16.07.2020</v>
      </c>
      <c r="E2648" s="1">
        <v>0.875</v>
      </c>
      <c r="F2648" t="s">
        <v>881</v>
      </c>
      <c r="G2648" t="s">
        <v>24</v>
      </c>
      <c r="H2648" s="2">
        <v>46054</v>
      </c>
      <c r="I2648" s="3" t="str">
        <f t="shared" si="206"/>
        <v/>
      </c>
      <c r="J2648" t="str">
        <f t="shared" si="207"/>
        <v/>
      </c>
      <c r="K2648" t="str">
        <f t="shared" si="208"/>
        <v/>
      </c>
      <c r="L2648" t="str">
        <f t="shared" si="209"/>
        <v/>
      </c>
      <c r="M2648" t="str">
        <f>IF(COUNTIF($A$2:A2648,A2648)=1,
     VLOOKUP(A2648,Season_Winners!A:B,2,FALSE),
     "")</f>
        <v/>
      </c>
    </row>
    <row r="2649" spans="1:13" hidden="1" x14ac:dyDescent="0.3">
      <c r="A2649" t="s">
        <v>878</v>
      </c>
      <c r="B2649">
        <v>37</v>
      </c>
      <c r="C2649" t="s">
        <v>996</v>
      </c>
      <c r="D2649" t="str">
        <f t="shared" si="205"/>
        <v>16.07.2020</v>
      </c>
      <c r="E2649" s="1">
        <v>0.875</v>
      </c>
      <c r="F2649" t="s">
        <v>25</v>
      </c>
      <c r="G2649" t="s">
        <v>34</v>
      </c>
      <c r="H2649" s="2">
        <v>46024</v>
      </c>
      <c r="I2649" s="3" t="str">
        <f t="shared" si="206"/>
        <v/>
      </c>
      <c r="J2649" t="str">
        <f t="shared" si="207"/>
        <v/>
      </c>
      <c r="K2649" t="str">
        <f t="shared" si="208"/>
        <v/>
      </c>
      <c r="L2649" t="str">
        <f t="shared" si="209"/>
        <v/>
      </c>
      <c r="M2649" t="str">
        <f>IF(COUNTIF($A$2:A2649,A2649)=1,
     VLOOKUP(A2649,Season_Winners!A:B,2,FALSE),
     "")</f>
        <v/>
      </c>
    </row>
    <row r="2650" spans="1:13" x14ac:dyDescent="0.3">
      <c r="A2650" t="s">
        <v>878</v>
      </c>
      <c r="B2650">
        <v>37</v>
      </c>
      <c r="C2650" t="s">
        <v>996</v>
      </c>
      <c r="D2650" t="str">
        <f t="shared" si="205"/>
        <v>16.07.2020</v>
      </c>
      <c r="E2650" s="1">
        <v>0.875</v>
      </c>
      <c r="F2650" t="s">
        <v>10</v>
      </c>
      <c r="G2650" t="s">
        <v>27</v>
      </c>
      <c r="H2650" t="s">
        <v>41</v>
      </c>
      <c r="I2650" t="str">
        <f t="shared" si="206"/>
        <v>0-0</v>
      </c>
      <c r="J2650" t="str">
        <f t="shared" si="207"/>
        <v>0</v>
      </c>
      <c r="K2650" t="str">
        <f t="shared" si="208"/>
        <v>0</v>
      </c>
      <c r="L2650" t="str">
        <f t="shared" si="209"/>
        <v>Draw</v>
      </c>
      <c r="M2650" t="str">
        <f>IF(COUNTIF($A$2:A2650,A2650)=1,
     VLOOKUP(A2650,Season_Winners!A:B,2,FALSE),
     "")</f>
        <v/>
      </c>
    </row>
    <row r="2651" spans="1:13" x14ac:dyDescent="0.3">
      <c r="A2651" t="s">
        <v>878</v>
      </c>
      <c r="B2651">
        <v>37</v>
      </c>
      <c r="C2651" t="s">
        <v>996</v>
      </c>
      <c r="D2651" t="str">
        <f t="shared" si="205"/>
        <v>16.07.2020</v>
      </c>
      <c r="E2651" s="1">
        <v>0.875</v>
      </c>
      <c r="F2651" t="s">
        <v>16</v>
      </c>
      <c r="G2651" t="s">
        <v>36</v>
      </c>
      <c r="H2651" t="s">
        <v>18</v>
      </c>
      <c r="I2651" t="str">
        <f t="shared" si="206"/>
        <v>1-0</v>
      </c>
      <c r="J2651" t="str">
        <f t="shared" si="207"/>
        <v>1</v>
      </c>
      <c r="K2651" t="str">
        <f t="shared" si="208"/>
        <v>0</v>
      </c>
      <c r="L2651" t="str">
        <f t="shared" si="209"/>
        <v>Valencia CF</v>
      </c>
      <c r="M2651" t="str">
        <f>IF(COUNTIF($A$2:A2651,A2651)=1,
     VLOOKUP(A2651,Season_Winners!A:B,2,FALSE),
     "")</f>
        <v/>
      </c>
    </row>
    <row r="2652" spans="1:13" x14ac:dyDescent="0.3">
      <c r="A2652" t="s">
        <v>878</v>
      </c>
      <c r="B2652">
        <v>38</v>
      </c>
      <c r="C2652" t="s">
        <v>997</v>
      </c>
      <c r="D2652" t="str">
        <f t="shared" si="205"/>
        <v>19.07.2020</v>
      </c>
      <c r="E2652" s="1">
        <v>0.70833333333333337</v>
      </c>
      <c r="F2652" t="s">
        <v>464</v>
      </c>
      <c r="G2652" t="s">
        <v>20</v>
      </c>
      <c r="H2652" t="s">
        <v>72</v>
      </c>
      <c r="I2652" t="str">
        <f t="shared" si="206"/>
        <v>0-5</v>
      </c>
      <c r="J2652" t="str">
        <f t="shared" si="207"/>
        <v>0</v>
      </c>
      <c r="K2652" t="str">
        <f t="shared" si="208"/>
        <v>5</v>
      </c>
      <c r="L2652" t="str">
        <f t="shared" si="209"/>
        <v>FC Barcelona</v>
      </c>
      <c r="M2652" t="str">
        <f>IF(COUNTIF($A$2:A2652,A2652)=1,
     VLOOKUP(A2652,Season_Winners!A:B,2,FALSE),
     "")</f>
        <v/>
      </c>
    </row>
    <row r="2653" spans="1:13" x14ac:dyDescent="0.3">
      <c r="A2653" t="s">
        <v>878</v>
      </c>
      <c r="B2653">
        <v>38</v>
      </c>
      <c r="C2653" t="s">
        <v>997</v>
      </c>
      <c r="D2653" t="str">
        <f t="shared" si="205"/>
        <v>19.07.2020</v>
      </c>
      <c r="E2653" s="1">
        <v>0.77083333333333337</v>
      </c>
      <c r="F2653" t="s">
        <v>34</v>
      </c>
      <c r="G2653" t="s">
        <v>187</v>
      </c>
      <c r="H2653" t="s">
        <v>88</v>
      </c>
      <c r="I2653" t="str">
        <f t="shared" si="206"/>
        <v>4-0</v>
      </c>
      <c r="J2653" t="str">
        <f t="shared" si="207"/>
        <v>4</v>
      </c>
      <c r="K2653" t="str">
        <f t="shared" si="208"/>
        <v>0</v>
      </c>
      <c r="L2653" t="str">
        <f t="shared" si="209"/>
        <v>Villarreal CF</v>
      </c>
      <c r="M2653" t="str">
        <f>IF(COUNTIF($A$2:A2653,A2653)=1,
     VLOOKUP(A2653,Season_Winners!A:B,2,FALSE),
     "")</f>
        <v/>
      </c>
    </row>
    <row r="2654" spans="1:13" x14ac:dyDescent="0.3">
      <c r="A2654" t="s">
        <v>878</v>
      </c>
      <c r="B2654">
        <v>38</v>
      </c>
      <c r="C2654" t="s">
        <v>997</v>
      </c>
      <c r="D2654" t="str">
        <f t="shared" si="205"/>
        <v>19.07.2020</v>
      </c>
      <c r="E2654" s="1">
        <v>0.77083333333333337</v>
      </c>
      <c r="F2654" t="s">
        <v>14</v>
      </c>
      <c r="G2654" t="s">
        <v>26</v>
      </c>
      <c r="H2654" t="s">
        <v>12</v>
      </c>
      <c r="I2654" t="str">
        <f t="shared" si="206"/>
        <v>2-0</v>
      </c>
      <c r="J2654" t="str">
        <f t="shared" si="207"/>
        <v>2</v>
      </c>
      <c r="K2654" t="str">
        <f t="shared" si="208"/>
        <v>0</v>
      </c>
      <c r="L2654" t="str">
        <f t="shared" si="209"/>
        <v>Real Valladolid CF</v>
      </c>
      <c r="M2654" t="str">
        <f>IF(COUNTIF($A$2:A2654,A2654)=1,
     VLOOKUP(A2654,Season_Winners!A:B,2,FALSE),
     "")</f>
        <v/>
      </c>
    </row>
    <row r="2655" spans="1:13" hidden="1" x14ac:dyDescent="0.3">
      <c r="A2655" t="s">
        <v>878</v>
      </c>
      <c r="B2655">
        <v>38</v>
      </c>
      <c r="C2655" t="s">
        <v>997</v>
      </c>
      <c r="D2655" t="str">
        <f t="shared" si="205"/>
        <v>19.07.2020</v>
      </c>
      <c r="E2655" s="1">
        <v>0.875</v>
      </c>
      <c r="F2655" t="s">
        <v>28</v>
      </c>
      <c r="G2655" t="s">
        <v>10</v>
      </c>
      <c r="H2655" s="2">
        <v>46023</v>
      </c>
      <c r="I2655" s="3" t="str">
        <f t="shared" si="206"/>
        <v/>
      </c>
      <c r="J2655" t="str">
        <f t="shared" si="207"/>
        <v/>
      </c>
      <c r="K2655" t="str">
        <f t="shared" si="208"/>
        <v/>
      </c>
      <c r="L2655" t="str">
        <f t="shared" si="209"/>
        <v/>
      </c>
      <c r="M2655" t="str">
        <f>IF(COUNTIF($A$2:A2655,A2655)=1,
     VLOOKUP(A2655,Season_Winners!A:B,2,FALSE),
     "")</f>
        <v/>
      </c>
    </row>
    <row r="2656" spans="1:13" x14ac:dyDescent="0.3">
      <c r="A2656" t="s">
        <v>878</v>
      </c>
      <c r="B2656">
        <v>38</v>
      </c>
      <c r="C2656" t="s">
        <v>997</v>
      </c>
      <c r="D2656" t="str">
        <f t="shared" si="205"/>
        <v>19.07.2020</v>
      </c>
      <c r="E2656" s="1">
        <v>0.875</v>
      </c>
      <c r="F2656" t="s">
        <v>36</v>
      </c>
      <c r="G2656" t="s">
        <v>35</v>
      </c>
      <c r="H2656" t="s">
        <v>41</v>
      </c>
      <c r="I2656" t="str">
        <f t="shared" si="206"/>
        <v>0-0</v>
      </c>
      <c r="J2656" t="str">
        <f t="shared" si="207"/>
        <v>0</v>
      </c>
      <c r="K2656" t="str">
        <f t="shared" si="208"/>
        <v>0</v>
      </c>
      <c r="L2656" t="str">
        <f t="shared" si="209"/>
        <v>Draw</v>
      </c>
      <c r="M2656" t="str">
        <f>IF(COUNTIF($A$2:A2656,A2656)=1,
     VLOOKUP(A2656,Season_Winners!A:B,2,FALSE),
     "")</f>
        <v/>
      </c>
    </row>
    <row r="2657" spans="1:13" x14ac:dyDescent="0.3">
      <c r="A2657" t="s">
        <v>878</v>
      </c>
      <c r="B2657">
        <v>38</v>
      </c>
      <c r="C2657" t="s">
        <v>997</v>
      </c>
      <c r="D2657" t="str">
        <f t="shared" si="205"/>
        <v>19.07.2020</v>
      </c>
      <c r="E2657" s="1">
        <v>0.875</v>
      </c>
      <c r="F2657" t="s">
        <v>24</v>
      </c>
      <c r="G2657" t="s">
        <v>15</v>
      </c>
      <c r="H2657" t="s">
        <v>88</v>
      </c>
      <c r="I2657" t="str">
        <f t="shared" si="206"/>
        <v>4-0</v>
      </c>
      <c r="J2657" t="str">
        <f t="shared" si="207"/>
        <v>4</v>
      </c>
      <c r="K2657" t="str">
        <f t="shared" si="208"/>
        <v>0</v>
      </c>
      <c r="L2657" t="str">
        <f t="shared" si="209"/>
        <v>Granada CF</v>
      </c>
      <c r="M2657" t="str">
        <f>IF(COUNTIF($A$2:A2657,A2657)=1,
     VLOOKUP(A2657,Season_Winners!A:B,2,FALSE),
     "")</f>
        <v/>
      </c>
    </row>
    <row r="2658" spans="1:13" hidden="1" x14ac:dyDescent="0.3">
      <c r="A2658" t="s">
        <v>878</v>
      </c>
      <c r="B2658">
        <v>38</v>
      </c>
      <c r="C2658" t="s">
        <v>997</v>
      </c>
      <c r="D2658" t="str">
        <f t="shared" si="205"/>
        <v>19.07.2020</v>
      </c>
      <c r="E2658" s="1">
        <v>0.875</v>
      </c>
      <c r="F2658" t="s">
        <v>466</v>
      </c>
      <c r="G2658" t="s">
        <v>25</v>
      </c>
      <c r="H2658" s="2">
        <v>46055</v>
      </c>
      <c r="I2658" s="3" t="str">
        <f t="shared" si="206"/>
        <v/>
      </c>
      <c r="J2658" t="str">
        <f t="shared" si="207"/>
        <v/>
      </c>
      <c r="K2658" t="str">
        <f t="shared" si="208"/>
        <v/>
      </c>
      <c r="L2658" t="str">
        <f t="shared" si="209"/>
        <v/>
      </c>
      <c r="M2658" t="str">
        <f>IF(COUNTIF($A$2:A2658,A2658)=1,
     VLOOKUP(A2658,Season_Winners!A:B,2,FALSE),
     "")</f>
        <v/>
      </c>
    </row>
    <row r="2659" spans="1:13" x14ac:dyDescent="0.3">
      <c r="A2659" t="s">
        <v>878</v>
      </c>
      <c r="B2659">
        <v>38</v>
      </c>
      <c r="C2659" t="s">
        <v>997</v>
      </c>
      <c r="D2659" t="str">
        <f t="shared" si="205"/>
        <v>19.07.2020</v>
      </c>
      <c r="E2659" s="1">
        <v>0.875</v>
      </c>
      <c r="F2659" t="s">
        <v>21</v>
      </c>
      <c r="G2659" t="s">
        <v>11</v>
      </c>
      <c r="H2659" t="s">
        <v>18</v>
      </c>
      <c r="I2659" t="str">
        <f t="shared" si="206"/>
        <v>1-0</v>
      </c>
      <c r="J2659" t="str">
        <f t="shared" si="207"/>
        <v>1</v>
      </c>
      <c r="K2659" t="str">
        <f t="shared" si="208"/>
        <v>0</v>
      </c>
      <c r="L2659" t="str">
        <f t="shared" si="209"/>
        <v>Levante UD</v>
      </c>
      <c r="M2659" t="str">
        <f>IF(COUNTIF($A$2:A2659,A2659)=1,
     VLOOKUP(A2659,Season_Winners!A:B,2,FALSE),
     "")</f>
        <v/>
      </c>
    </row>
    <row r="2660" spans="1:13" hidden="1" x14ac:dyDescent="0.3">
      <c r="A2660" t="s">
        <v>878</v>
      </c>
      <c r="B2660">
        <v>38</v>
      </c>
      <c r="C2660" t="s">
        <v>997</v>
      </c>
      <c r="D2660" t="str">
        <f t="shared" si="205"/>
        <v>19.07.2020</v>
      </c>
      <c r="E2660" s="1">
        <v>0.875</v>
      </c>
      <c r="F2660" t="s">
        <v>23</v>
      </c>
      <c r="G2660" t="s">
        <v>881</v>
      </c>
      <c r="H2660" s="2">
        <v>46055</v>
      </c>
      <c r="I2660" s="3" t="str">
        <f t="shared" si="206"/>
        <v/>
      </c>
      <c r="J2660" t="str">
        <f t="shared" si="207"/>
        <v/>
      </c>
      <c r="K2660" t="str">
        <f t="shared" si="208"/>
        <v/>
      </c>
      <c r="L2660" t="str">
        <f t="shared" si="209"/>
        <v/>
      </c>
      <c r="M2660" t="str">
        <f>IF(COUNTIF($A$2:A2660,A2660)=1,
     VLOOKUP(A2660,Season_Winners!A:B,2,FALSE),
     "")</f>
        <v/>
      </c>
    </row>
    <row r="2661" spans="1:13" x14ac:dyDescent="0.3">
      <c r="A2661" t="s">
        <v>878</v>
      </c>
      <c r="B2661">
        <v>38</v>
      </c>
      <c r="C2661" t="s">
        <v>997</v>
      </c>
      <c r="D2661" t="str">
        <f t="shared" si="205"/>
        <v>19.07.2020</v>
      </c>
      <c r="E2661" s="1">
        <v>0.875</v>
      </c>
      <c r="F2661" t="s">
        <v>27</v>
      </c>
      <c r="G2661" t="s">
        <v>16</v>
      </c>
      <c r="H2661" t="s">
        <v>18</v>
      </c>
      <c r="I2661" t="str">
        <f t="shared" si="206"/>
        <v>1-0</v>
      </c>
      <c r="J2661" t="str">
        <f t="shared" si="207"/>
        <v>1</v>
      </c>
      <c r="K2661" t="str">
        <f t="shared" si="208"/>
        <v>0</v>
      </c>
      <c r="L2661" t="str">
        <f t="shared" si="209"/>
        <v>Sevilla FC</v>
      </c>
      <c r="M2661" t="str">
        <f>IF(COUNTIF($A$2:A2661,A2661)=1,
     VLOOKUP(A2661,Season_Winners!A:B,2,FALSE),
     "")</f>
        <v/>
      </c>
    </row>
    <row r="2662" spans="1:13" x14ac:dyDescent="0.3">
      <c r="A2662" t="s">
        <v>998</v>
      </c>
      <c r="B2662">
        <v>1</v>
      </c>
      <c r="C2662" t="s">
        <v>999</v>
      </c>
      <c r="D2662" t="str">
        <f t="shared" si="205"/>
        <v>12.09.2020</v>
      </c>
      <c r="E2662" s="1">
        <v>0.66666666666666663</v>
      </c>
      <c r="F2662" t="s">
        <v>187</v>
      </c>
      <c r="G2662" t="s">
        <v>35</v>
      </c>
      <c r="H2662" t="s">
        <v>41</v>
      </c>
      <c r="I2662" t="str">
        <f t="shared" si="206"/>
        <v>0-0</v>
      </c>
      <c r="J2662" t="str">
        <f t="shared" si="207"/>
        <v>0</v>
      </c>
      <c r="K2662" t="str">
        <f t="shared" si="208"/>
        <v>0</v>
      </c>
      <c r="L2662" t="str">
        <f t="shared" si="209"/>
        <v>Draw</v>
      </c>
      <c r="M2662" t="str">
        <f>IF(COUNTIF($A$2:A2662,A2662)=1,
     VLOOKUP(A2662,Season_Winners!A:B,2,FALSE),
     "")</f>
        <v>Atlético de Madrid</v>
      </c>
    </row>
    <row r="2663" spans="1:13" x14ac:dyDescent="0.3">
      <c r="A2663" t="s">
        <v>998</v>
      </c>
      <c r="B2663">
        <v>1</v>
      </c>
      <c r="C2663" t="s">
        <v>999</v>
      </c>
      <c r="D2663" t="str">
        <f t="shared" si="205"/>
        <v>12.09.2020</v>
      </c>
      <c r="E2663" s="1">
        <v>0.77083333333333337</v>
      </c>
      <c r="F2663" t="s">
        <v>24</v>
      </c>
      <c r="G2663" t="s">
        <v>15</v>
      </c>
      <c r="H2663" t="s">
        <v>12</v>
      </c>
      <c r="I2663" t="str">
        <f t="shared" si="206"/>
        <v>2-0</v>
      </c>
      <c r="J2663" t="str">
        <f t="shared" si="207"/>
        <v>2</v>
      </c>
      <c r="K2663" t="str">
        <f t="shared" si="208"/>
        <v>0</v>
      </c>
      <c r="L2663" t="str">
        <f t="shared" si="209"/>
        <v>Granada CF</v>
      </c>
      <c r="M2663" t="str">
        <f>IF(COUNTIF($A$2:A2663,A2663)=1,
     VLOOKUP(A2663,Season_Winners!A:B,2,FALSE),
     "")</f>
        <v/>
      </c>
    </row>
    <row r="2664" spans="1:13" x14ac:dyDescent="0.3">
      <c r="A2664" t="s">
        <v>998</v>
      </c>
      <c r="B2664">
        <v>1</v>
      </c>
      <c r="C2664" t="s">
        <v>999</v>
      </c>
      <c r="D2664" t="str">
        <f t="shared" si="205"/>
        <v>12.09.2020</v>
      </c>
      <c r="E2664" s="1">
        <v>0.875</v>
      </c>
      <c r="F2664" t="s">
        <v>1000</v>
      </c>
      <c r="G2664" t="s">
        <v>23</v>
      </c>
      <c r="H2664" t="s">
        <v>54</v>
      </c>
      <c r="I2664" t="str">
        <f t="shared" si="206"/>
        <v>0-2</v>
      </c>
      <c r="J2664" t="str">
        <f t="shared" si="207"/>
        <v>0</v>
      </c>
      <c r="K2664" t="str">
        <f t="shared" si="208"/>
        <v>2</v>
      </c>
      <c r="L2664" t="str">
        <f t="shared" si="209"/>
        <v>CA Osasuna</v>
      </c>
      <c r="M2664" t="str">
        <f>IF(COUNTIF($A$2:A2664,A2664)=1,
     VLOOKUP(A2664,Season_Winners!A:B,2,FALSE),
     "")</f>
        <v/>
      </c>
    </row>
    <row r="2665" spans="1:13" x14ac:dyDescent="0.3">
      <c r="A2665" t="s">
        <v>998</v>
      </c>
      <c r="B2665">
        <v>1</v>
      </c>
      <c r="C2665" t="s">
        <v>1002</v>
      </c>
      <c r="D2665" t="str">
        <f t="shared" si="205"/>
        <v>13.09.2020</v>
      </c>
      <c r="E2665" s="1">
        <v>0.58333333333333337</v>
      </c>
      <c r="F2665" t="s">
        <v>464</v>
      </c>
      <c r="G2665" t="s">
        <v>26</v>
      </c>
      <c r="H2665" t="s">
        <v>42</v>
      </c>
      <c r="I2665" t="str">
        <f t="shared" si="206"/>
        <v>0-1</v>
      </c>
      <c r="J2665" t="str">
        <f t="shared" si="207"/>
        <v>0</v>
      </c>
      <c r="K2665" t="str">
        <f t="shared" si="208"/>
        <v>1</v>
      </c>
      <c r="L2665" t="str">
        <f t="shared" si="209"/>
        <v>Real Betis</v>
      </c>
      <c r="M2665" t="str">
        <f>IF(COUNTIF($A$2:A2665,A2665)=1,
     VLOOKUP(A2665,Season_Winners!A:B,2,FALSE),
     "")</f>
        <v/>
      </c>
    </row>
    <row r="2666" spans="1:13" hidden="1" x14ac:dyDescent="0.3">
      <c r="A2666" t="s">
        <v>998</v>
      </c>
      <c r="B2666">
        <v>1</v>
      </c>
      <c r="C2666" t="s">
        <v>1002</v>
      </c>
      <c r="D2666" t="str">
        <f t="shared" si="205"/>
        <v>13.09.2020</v>
      </c>
      <c r="E2666" s="1">
        <v>0.66666666666666663</v>
      </c>
      <c r="F2666" t="s">
        <v>14</v>
      </c>
      <c r="G2666" t="s">
        <v>10</v>
      </c>
      <c r="H2666" s="2">
        <v>46023</v>
      </c>
      <c r="I2666" s="3" t="str">
        <f t="shared" si="206"/>
        <v/>
      </c>
      <c r="J2666" t="str">
        <f t="shared" si="207"/>
        <v/>
      </c>
      <c r="K2666" t="str">
        <f t="shared" si="208"/>
        <v/>
      </c>
      <c r="L2666" t="str">
        <f t="shared" si="209"/>
        <v/>
      </c>
      <c r="M2666" t="str">
        <f>IF(COUNTIF($A$2:A2666,A2666)=1,
     VLOOKUP(A2666,Season_Winners!A:B,2,FALSE),
     "")</f>
        <v/>
      </c>
    </row>
    <row r="2667" spans="1:13" hidden="1" x14ac:dyDescent="0.3">
      <c r="A2667" t="s">
        <v>998</v>
      </c>
      <c r="B2667">
        <v>1</v>
      </c>
      <c r="C2667" t="s">
        <v>1002</v>
      </c>
      <c r="D2667" t="str">
        <f t="shared" si="205"/>
        <v>13.09.2020</v>
      </c>
      <c r="E2667" s="1">
        <v>0.77083333333333337</v>
      </c>
      <c r="F2667" t="s">
        <v>34</v>
      </c>
      <c r="G2667" t="s">
        <v>750</v>
      </c>
      <c r="H2667" s="2">
        <v>46023</v>
      </c>
      <c r="I2667" s="3" t="str">
        <f t="shared" si="206"/>
        <v/>
      </c>
      <c r="J2667" t="str">
        <f t="shared" si="207"/>
        <v/>
      </c>
      <c r="K2667" t="str">
        <f t="shared" si="208"/>
        <v/>
      </c>
      <c r="L2667" t="str">
        <f t="shared" si="209"/>
        <v/>
      </c>
      <c r="M2667" t="str">
        <f>IF(COUNTIF($A$2:A2667,A2667)=1,
     VLOOKUP(A2667,Season_Winners!A:B,2,FALSE),
     "")</f>
        <v/>
      </c>
    </row>
    <row r="2668" spans="1:13" hidden="1" x14ac:dyDescent="0.3">
      <c r="A2668" t="s">
        <v>998</v>
      </c>
      <c r="B2668">
        <v>1</v>
      </c>
      <c r="C2668" t="s">
        <v>1002</v>
      </c>
      <c r="D2668" t="str">
        <f t="shared" si="205"/>
        <v>13.09.2020</v>
      </c>
      <c r="E2668" s="1">
        <v>0.875</v>
      </c>
      <c r="F2668" t="s">
        <v>16</v>
      </c>
      <c r="G2668" t="s">
        <v>21</v>
      </c>
      <c r="H2668" s="2">
        <v>46057</v>
      </c>
      <c r="I2668" s="3" t="str">
        <f t="shared" si="206"/>
        <v/>
      </c>
      <c r="J2668" t="str">
        <f t="shared" si="207"/>
        <v/>
      </c>
      <c r="K2668" t="str">
        <f t="shared" si="208"/>
        <v/>
      </c>
      <c r="L2668" t="str">
        <f t="shared" si="209"/>
        <v/>
      </c>
      <c r="M2668" t="str">
        <f>IF(COUNTIF($A$2:A2668,A2668)=1,
     VLOOKUP(A2668,Season_Winners!A:B,2,FALSE),
     "")</f>
        <v/>
      </c>
    </row>
    <row r="2669" spans="1:13" x14ac:dyDescent="0.3">
      <c r="A2669" t="s">
        <v>998</v>
      </c>
      <c r="B2669">
        <v>1</v>
      </c>
      <c r="C2669" t="s">
        <v>1003</v>
      </c>
      <c r="D2669" t="str">
        <f t="shared" si="205"/>
        <v>12.01.2021</v>
      </c>
      <c r="E2669" s="1">
        <v>0.89583333333333337</v>
      </c>
      <c r="F2669" t="s">
        <v>1425</v>
      </c>
      <c r="G2669" t="s">
        <v>27</v>
      </c>
      <c r="H2669" t="s">
        <v>12</v>
      </c>
      <c r="I2669" t="str">
        <f t="shared" si="206"/>
        <v>2-0</v>
      </c>
      <c r="J2669" t="str">
        <f t="shared" si="207"/>
        <v>2</v>
      </c>
      <c r="K2669" t="str">
        <f t="shared" si="208"/>
        <v>0</v>
      </c>
      <c r="L2669" t="str">
        <f t="shared" si="209"/>
        <v>Atlético de Madrid</v>
      </c>
      <c r="M2669" t="str">
        <f>IF(COUNTIF($A$2:A2669,A2669)=1,
     VLOOKUP(A2669,Season_Winners!A:B,2,FALSE),
     "")</f>
        <v/>
      </c>
    </row>
    <row r="2670" spans="1:13" x14ac:dyDescent="0.3">
      <c r="A2670" t="s">
        <v>998</v>
      </c>
      <c r="B2670">
        <v>1</v>
      </c>
      <c r="C2670" t="s">
        <v>1004</v>
      </c>
      <c r="D2670" t="str">
        <f t="shared" si="205"/>
        <v>09.02.2021</v>
      </c>
      <c r="E2670" s="1">
        <v>0.875</v>
      </c>
      <c r="F2670" t="s">
        <v>25</v>
      </c>
      <c r="G2670" t="s">
        <v>11</v>
      </c>
      <c r="H2670" t="s">
        <v>12</v>
      </c>
      <c r="I2670" t="str">
        <f t="shared" si="206"/>
        <v>2-0</v>
      </c>
      <c r="J2670" t="str">
        <f t="shared" si="207"/>
        <v>2</v>
      </c>
      <c r="K2670" t="str">
        <f t="shared" si="208"/>
        <v>0</v>
      </c>
      <c r="L2670" t="str">
        <f t="shared" si="209"/>
        <v>Real Madrid</v>
      </c>
      <c r="M2670" t="str">
        <f>IF(COUNTIF($A$2:A2670,A2670)=1,
     VLOOKUP(A2670,Season_Winners!A:B,2,FALSE),
     "")</f>
        <v/>
      </c>
    </row>
    <row r="2671" spans="1:13" x14ac:dyDescent="0.3">
      <c r="A2671" t="s">
        <v>998</v>
      </c>
      <c r="B2671">
        <v>1</v>
      </c>
      <c r="C2671" t="s">
        <v>1005</v>
      </c>
      <c r="D2671" t="str">
        <f t="shared" si="205"/>
        <v>24.02.2021</v>
      </c>
      <c r="E2671" s="1">
        <v>0.79166666666666663</v>
      </c>
      <c r="F2671" t="s">
        <v>20</v>
      </c>
      <c r="G2671" t="s">
        <v>31</v>
      </c>
      <c r="H2671" t="s">
        <v>32</v>
      </c>
      <c r="I2671" t="str">
        <f t="shared" si="206"/>
        <v>3-0</v>
      </c>
      <c r="J2671" t="str">
        <f t="shared" si="207"/>
        <v>3</v>
      </c>
      <c r="K2671" t="str">
        <f t="shared" si="208"/>
        <v>0</v>
      </c>
      <c r="L2671" t="str">
        <f t="shared" si="209"/>
        <v>FC Barcelona</v>
      </c>
      <c r="M2671" t="str">
        <f>IF(COUNTIF($A$2:A2671,A2671)=1,
     VLOOKUP(A2671,Season_Winners!A:B,2,FALSE),
     "")</f>
        <v/>
      </c>
    </row>
    <row r="2672" spans="1:13" hidden="1" x14ac:dyDescent="0.3">
      <c r="A2672" t="s">
        <v>998</v>
      </c>
      <c r="B2672">
        <v>2</v>
      </c>
      <c r="C2672" t="s">
        <v>1006</v>
      </c>
      <c r="D2672" t="str">
        <f t="shared" si="205"/>
        <v>19.09.2020</v>
      </c>
      <c r="E2672" s="1">
        <v>0.66666666666666663</v>
      </c>
      <c r="F2672" t="s">
        <v>34</v>
      </c>
      <c r="G2672" t="s">
        <v>187</v>
      </c>
      <c r="H2672" s="2">
        <v>46024</v>
      </c>
      <c r="I2672" s="3" t="str">
        <f t="shared" si="206"/>
        <v/>
      </c>
      <c r="J2672" t="str">
        <f t="shared" si="207"/>
        <v/>
      </c>
      <c r="K2672" t="str">
        <f t="shared" si="208"/>
        <v/>
      </c>
      <c r="L2672" t="str">
        <f t="shared" si="209"/>
        <v/>
      </c>
      <c r="M2672" t="str">
        <f>IF(COUNTIF($A$2:A2672,A2672)=1,
     VLOOKUP(A2672,Season_Winners!A:B,2,FALSE),
     "")</f>
        <v/>
      </c>
    </row>
    <row r="2673" spans="1:13" x14ac:dyDescent="0.3">
      <c r="A2673" t="s">
        <v>998</v>
      </c>
      <c r="B2673">
        <v>2</v>
      </c>
      <c r="C2673" t="s">
        <v>1006</v>
      </c>
      <c r="D2673" t="str">
        <f t="shared" si="205"/>
        <v>19.09.2020</v>
      </c>
      <c r="E2673" s="1">
        <v>0.77083333333333337</v>
      </c>
      <c r="F2673" t="s">
        <v>11</v>
      </c>
      <c r="G2673" t="s">
        <v>23</v>
      </c>
      <c r="H2673" t="s">
        <v>18</v>
      </c>
      <c r="I2673" t="str">
        <f t="shared" si="206"/>
        <v>1-0</v>
      </c>
      <c r="J2673" t="str">
        <f t="shared" si="207"/>
        <v>1</v>
      </c>
      <c r="K2673" t="str">
        <f t="shared" si="208"/>
        <v>0</v>
      </c>
      <c r="L2673" t="str">
        <f t="shared" si="209"/>
        <v>Getafe CF</v>
      </c>
      <c r="M2673" t="str">
        <f>IF(COUNTIF($A$2:A2673,A2673)=1,
     VLOOKUP(A2673,Season_Winners!A:B,2,FALSE),
     "")</f>
        <v/>
      </c>
    </row>
    <row r="2674" spans="1:13" hidden="1" x14ac:dyDescent="0.3">
      <c r="A2674" t="s">
        <v>998</v>
      </c>
      <c r="B2674">
        <v>2</v>
      </c>
      <c r="C2674" t="s">
        <v>1006</v>
      </c>
      <c r="D2674" t="str">
        <f t="shared" si="205"/>
        <v>19.09.2020</v>
      </c>
      <c r="E2674" s="1">
        <v>0.875</v>
      </c>
      <c r="F2674" t="s">
        <v>35</v>
      </c>
      <c r="G2674" t="s">
        <v>16</v>
      </c>
      <c r="H2674" s="2">
        <v>46024</v>
      </c>
      <c r="I2674" s="3" t="str">
        <f t="shared" si="206"/>
        <v/>
      </c>
      <c r="J2674" t="str">
        <f t="shared" si="207"/>
        <v/>
      </c>
      <c r="K2674" t="str">
        <f t="shared" si="208"/>
        <v/>
      </c>
      <c r="L2674" t="str">
        <f t="shared" si="209"/>
        <v/>
      </c>
      <c r="M2674" t="str">
        <f>IF(COUNTIF($A$2:A2674,A2674)=1,
     VLOOKUP(A2674,Season_Winners!A:B,2,FALSE),
     "")</f>
        <v/>
      </c>
    </row>
    <row r="2675" spans="1:13" x14ac:dyDescent="0.3">
      <c r="A2675" t="s">
        <v>998</v>
      </c>
      <c r="B2675">
        <v>2</v>
      </c>
      <c r="C2675" t="s">
        <v>1008</v>
      </c>
      <c r="D2675" t="str">
        <f t="shared" si="205"/>
        <v>20.09.2020</v>
      </c>
      <c r="E2675" s="1">
        <v>0.66666666666666663</v>
      </c>
      <c r="F2675" t="s">
        <v>750</v>
      </c>
      <c r="G2675" t="s">
        <v>1000</v>
      </c>
      <c r="H2675" t="s">
        <v>54</v>
      </c>
      <c r="I2675" t="str">
        <f t="shared" si="206"/>
        <v>0-2</v>
      </c>
      <c r="J2675" t="str">
        <f t="shared" si="207"/>
        <v>0</v>
      </c>
      <c r="K2675" t="str">
        <f t="shared" si="208"/>
        <v>2</v>
      </c>
      <c r="L2675" t="str">
        <f t="shared" si="209"/>
        <v>CÃ¡diz CF</v>
      </c>
      <c r="M2675" t="str">
        <f>IF(COUNTIF($A$2:A2675,A2675)=1,
     VLOOKUP(A2675,Season_Winners!A:B,2,FALSE),
     "")</f>
        <v/>
      </c>
    </row>
    <row r="2676" spans="1:13" x14ac:dyDescent="0.3">
      <c r="A2676" t="s">
        <v>998</v>
      </c>
      <c r="B2676">
        <v>2</v>
      </c>
      <c r="C2676" t="s">
        <v>1008</v>
      </c>
      <c r="D2676" t="str">
        <f t="shared" si="205"/>
        <v>20.09.2020</v>
      </c>
      <c r="E2676" s="1">
        <v>0.77083333333333337</v>
      </c>
      <c r="F2676" t="s">
        <v>26</v>
      </c>
      <c r="G2676" t="s">
        <v>14</v>
      </c>
      <c r="H2676" t="s">
        <v>12</v>
      </c>
      <c r="I2676" t="str">
        <f t="shared" si="206"/>
        <v>2-0</v>
      </c>
      <c r="J2676" t="str">
        <f t="shared" si="207"/>
        <v>2</v>
      </c>
      <c r="K2676" t="str">
        <f t="shared" si="208"/>
        <v>0</v>
      </c>
      <c r="L2676" t="str">
        <f t="shared" si="209"/>
        <v>Real Betis</v>
      </c>
      <c r="M2676" t="str">
        <f>IF(COUNTIF($A$2:A2676,A2676)=1,
     VLOOKUP(A2676,Season_Winners!A:B,2,FALSE),
     "")</f>
        <v/>
      </c>
    </row>
    <row r="2677" spans="1:13" hidden="1" x14ac:dyDescent="0.3">
      <c r="A2677" t="s">
        <v>998</v>
      </c>
      <c r="B2677">
        <v>2</v>
      </c>
      <c r="C2677" t="s">
        <v>1008</v>
      </c>
      <c r="D2677" t="str">
        <f t="shared" si="205"/>
        <v>20.09.2020</v>
      </c>
      <c r="E2677" s="1">
        <v>0.77083333333333337</v>
      </c>
      <c r="F2677" t="s">
        <v>24</v>
      </c>
      <c r="G2677" t="s">
        <v>464</v>
      </c>
      <c r="H2677" s="2">
        <v>46024</v>
      </c>
      <c r="I2677" s="3" t="str">
        <f t="shared" si="206"/>
        <v/>
      </c>
      <c r="J2677" t="str">
        <f t="shared" si="207"/>
        <v/>
      </c>
      <c r="K2677" t="str">
        <f t="shared" si="208"/>
        <v/>
      </c>
      <c r="L2677" t="str">
        <f t="shared" si="209"/>
        <v/>
      </c>
      <c r="M2677" t="str">
        <f>IF(COUNTIF($A$2:A2677,A2677)=1,
     VLOOKUP(A2677,Season_Winners!A:B,2,FALSE),
     "")</f>
        <v/>
      </c>
    </row>
    <row r="2678" spans="1:13" x14ac:dyDescent="0.3">
      <c r="A2678" t="s">
        <v>998</v>
      </c>
      <c r="B2678">
        <v>2</v>
      </c>
      <c r="C2678" t="s">
        <v>1008</v>
      </c>
      <c r="D2678" t="str">
        <f t="shared" si="205"/>
        <v>20.09.2020</v>
      </c>
      <c r="E2678" s="1">
        <v>0.875</v>
      </c>
      <c r="F2678" t="s">
        <v>10</v>
      </c>
      <c r="G2678" t="s">
        <v>25</v>
      </c>
      <c r="H2678" t="s">
        <v>41</v>
      </c>
      <c r="I2678" t="str">
        <f t="shared" si="206"/>
        <v>0-0</v>
      </c>
      <c r="J2678" t="str">
        <f t="shared" si="207"/>
        <v>0</v>
      </c>
      <c r="K2678" t="str">
        <f t="shared" si="208"/>
        <v>0</v>
      </c>
      <c r="L2678" t="str">
        <f t="shared" si="209"/>
        <v>Draw</v>
      </c>
      <c r="M2678" t="str">
        <f>IF(COUNTIF($A$2:A2678,A2678)=1,
     VLOOKUP(A2678,Season_Winners!A:B,2,FALSE),
     "")</f>
        <v/>
      </c>
    </row>
    <row r="2679" spans="1:13" hidden="1" x14ac:dyDescent="0.3">
      <c r="A2679" t="s">
        <v>998</v>
      </c>
      <c r="B2679">
        <v>2</v>
      </c>
      <c r="C2679" t="s">
        <v>1009</v>
      </c>
      <c r="D2679" t="str">
        <f t="shared" si="205"/>
        <v>06.01.2021</v>
      </c>
      <c r="E2679" s="1">
        <v>0.875</v>
      </c>
      <c r="F2679" t="s">
        <v>15</v>
      </c>
      <c r="G2679" t="s">
        <v>20</v>
      </c>
      <c r="H2679" s="2">
        <v>46083</v>
      </c>
      <c r="I2679" s="3" t="str">
        <f t="shared" si="206"/>
        <v/>
      </c>
      <c r="J2679" t="str">
        <f t="shared" si="207"/>
        <v/>
      </c>
      <c r="K2679" t="str">
        <f t="shared" si="208"/>
        <v/>
      </c>
      <c r="L2679" t="str">
        <f t="shared" si="209"/>
        <v/>
      </c>
      <c r="M2679" t="str">
        <f>IF(COUNTIF($A$2:A2679,A2679)=1,
     VLOOKUP(A2679,Season_Winners!A:B,2,FALSE),
     "")</f>
        <v/>
      </c>
    </row>
    <row r="2680" spans="1:13" hidden="1" x14ac:dyDescent="0.3">
      <c r="A2680" t="s">
        <v>998</v>
      </c>
      <c r="B2680">
        <v>2</v>
      </c>
      <c r="C2680" t="s">
        <v>1010</v>
      </c>
      <c r="D2680" t="str">
        <f t="shared" si="205"/>
        <v>17.02.2021</v>
      </c>
      <c r="E2680" s="1">
        <v>0.79166666666666663</v>
      </c>
      <c r="F2680" t="s">
        <v>21</v>
      </c>
      <c r="G2680" t="s">
        <v>28</v>
      </c>
      <c r="H2680" s="2">
        <v>46023</v>
      </c>
      <c r="I2680" s="3" t="str">
        <f t="shared" si="206"/>
        <v/>
      </c>
      <c r="J2680" t="str">
        <f t="shared" si="207"/>
        <v/>
      </c>
      <c r="K2680" t="str">
        <f t="shared" si="208"/>
        <v/>
      </c>
      <c r="L2680" t="str">
        <f t="shared" si="209"/>
        <v/>
      </c>
      <c r="M2680" t="str">
        <f>IF(COUNTIF($A$2:A2680,A2680)=1,
     VLOOKUP(A2680,Season_Winners!A:B,2,FALSE),
     "")</f>
        <v/>
      </c>
    </row>
    <row r="2681" spans="1:13" x14ac:dyDescent="0.3">
      <c r="A2681" t="s">
        <v>998</v>
      </c>
      <c r="B2681">
        <v>2</v>
      </c>
      <c r="C2681" t="s">
        <v>1011</v>
      </c>
      <c r="D2681" t="str">
        <f t="shared" si="205"/>
        <v>17.03.2021</v>
      </c>
      <c r="E2681" s="1">
        <v>0.79166666666666663</v>
      </c>
      <c r="F2681" t="s">
        <v>27</v>
      </c>
      <c r="G2681" t="s">
        <v>31</v>
      </c>
      <c r="H2681" t="s">
        <v>12</v>
      </c>
      <c r="I2681" t="str">
        <f t="shared" si="206"/>
        <v>2-0</v>
      </c>
      <c r="J2681" t="str">
        <f t="shared" si="207"/>
        <v>2</v>
      </c>
      <c r="K2681" t="str">
        <f t="shared" si="208"/>
        <v>0</v>
      </c>
      <c r="L2681" t="str">
        <f t="shared" si="209"/>
        <v>Sevilla FC</v>
      </c>
      <c r="M2681" t="str">
        <f>IF(COUNTIF($A$2:A2681,A2681)=1,
     VLOOKUP(A2681,Season_Winners!A:B,2,FALSE),
     "")</f>
        <v/>
      </c>
    </row>
    <row r="2682" spans="1:13" x14ac:dyDescent="0.3">
      <c r="A2682" t="s">
        <v>998</v>
      </c>
      <c r="B2682">
        <v>3</v>
      </c>
      <c r="C2682" t="s">
        <v>1012</v>
      </c>
      <c r="D2682" t="str">
        <f t="shared" si="205"/>
        <v>26.09.2020</v>
      </c>
      <c r="E2682" s="1">
        <v>0.54166666666666663</v>
      </c>
      <c r="F2682" t="s">
        <v>464</v>
      </c>
      <c r="G2682" t="s">
        <v>11</v>
      </c>
      <c r="H2682" t="s">
        <v>41</v>
      </c>
      <c r="I2682" t="str">
        <f t="shared" si="206"/>
        <v>0-0</v>
      </c>
      <c r="J2682" t="str">
        <f t="shared" si="207"/>
        <v>0</v>
      </c>
      <c r="K2682" t="str">
        <f t="shared" si="208"/>
        <v>0</v>
      </c>
      <c r="L2682" t="str">
        <f t="shared" si="209"/>
        <v>Draw</v>
      </c>
      <c r="M2682" t="str">
        <f>IF(COUNTIF($A$2:A2682,A2682)=1,
     VLOOKUP(A2682,Season_Winners!A:B,2,FALSE),
     "")</f>
        <v/>
      </c>
    </row>
    <row r="2683" spans="1:13" hidden="1" x14ac:dyDescent="0.3">
      <c r="A2683" t="s">
        <v>998</v>
      </c>
      <c r="B2683">
        <v>3</v>
      </c>
      <c r="C2683" t="s">
        <v>1012</v>
      </c>
      <c r="D2683" t="str">
        <f t="shared" si="205"/>
        <v>26.09.2020</v>
      </c>
      <c r="E2683" s="1">
        <v>0.66666666666666663</v>
      </c>
      <c r="F2683" t="s">
        <v>16</v>
      </c>
      <c r="G2683" t="s">
        <v>750</v>
      </c>
      <c r="H2683" s="2">
        <v>46023</v>
      </c>
      <c r="I2683" s="3" t="str">
        <f t="shared" si="206"/>
        <v/>
      </c>
      <c r="J2683" t="str">
        <f t="shared" si="207"/>
        <v/>
      </c>
      <c r="K2683" t="str">
        <f t="shared" si="208"/>
        <v/>
      </c>
      <c r="L2683" t="str">
        <f t="shared" si="209"/>
        <v/>
      </c>
      <c r="M2683" t="str">
        <f>IF(COUNTIF($A$2:A2683,A2683)=1,
     VLOOKUP(A2683,Season_Winners!A:B,2,FALSE),
     "")</f>
        <v/>
      </c>
    </row>
    <row r="2684" spans="1:13" x14ac:dyDescent="0.3">
      <c r="A2684" t="s">
        <v>998</v>
      </c>
      <c r="B2684">
        <v>3</v>
      </c>
      <c r="C2684" t="s">
        <v>1012</v>
      </c>
      <c r="D2684" t="str">
        <f t="shared" si="205"/>
        <v>26.09.2020</v>
      </c>
      <c r="E2684" s="1">
        <v>0.77083333333333337</v>
      </c>
      <c r="F2684" t="s">
        <v>31</v>
      </c>
      <c r="G2684" t="s">
        <v>10</v>
      </c>
      <c r="H2684" t="s">
        <v>46</v>
      </c>
      <c r="I2684" t="str">
        <f t="shared" si="206"/>
        <v>0-3</v>
      </c>
      <c r="J2684" t="str">
        <f t="shared" si="207"/>
        <v>0</v>
      </c>
      <c r="K2684" t="str">
        <f t="shared" si="208"/>
        <v>3</v>
      </c>
      <c r="L2684" t="str">
        <f t="shared" si="209"/>
        <v>Real Sociedad</v>
      </c>
      <c r="M2684" t="str">
        <f>IF(COUNTIF($A$2:A2684,A2684)=1,
     VLOOKUP(A2684,Season_Winners!A:B,2,FALSE),
     "")</f>
        <v/>
      </c>
    </row>
    <row r="2685" spans="1:13" hidden="1" x14ac:dyDescent="0.3">
      <c r="A2685" t="s">
        <v>998</v>
      </c>
      <c r="B2685">
        <v>3</v>
      </c>
      <c r="C2685" t="s">
        <v>1012</v>
      </c>
      <c r="D2685" t="str">
        <f t="shared" si="205"/>
        <v>26.09.2020</v>
      </c>
      <c r="E2685" s="1">
        <v>0.875</v>
      </c>
      <c r="F2685" t="s">
        <v>26</v>
      </c>
      <c r="G2685" t="s">
        <v>25</v>
      </c>
      <c r="H2685" s="2">
        <v>46083</v>
      </c>
      <c r="I2685" s="3" t="str">
        <f t="shared" si="206"/>
        <v/>
      </c>
      <c r="J2685" t="str">
        <f t="shared" si="207"/>
        <v/>
      </c>
      <c r="K2685" t="str">
        <f t="shared" si="208"/>
        <v/>
      </c>
      <c r="L2685" t="str">
        <f t="shared" si="209"/>
        <v/>
      </c>
      <c r="M2685" t="str">
        <f>IF(COUNTIF($A$2:A2685,A2685)=1,
     VLOOKUP(A2685,Season_Winners!A:B,2,FALSE),
     "")</f>
        <v/>
      </c>
    </row>
    <row r="2686" spans="1:13" hidden="1" x14ac:dyDescent="0.3">
      <c r="A2686" t="s">
        <v>998</v>
      </c>
      <c r="B2686">
        <v>3</v>
      </c>
      <c r="C2686" t="s">
        <v>1013</v>
      </c>
      <c r="D2686" t="str">
        <f t="shared" si="205"/>
        <v>27.09.2020</v>
      </c>
      <c r="E2686" s="1">
        <v>0.5</v>
      </c>
      <c r="F2686" t="s">
        <v>23</v>
      </c>
      <c r="G2686" t="s">
        <v>21</v>
      </c>
      <c r="H2686" s="2">
        <v>46082</v>
      </c>
      <c r="I2686" s="3" t="str">
        <f t="shared" si="206"/>
        <v/>
      </c>
      <c r="J2686" t="str">
        <f t="shared" si="207"/>
        <v/>
      </c>
      <c r="K2686" t="str">
        <f t="shared" si="208"/>
        <v/>
      </c>
      <c r="L2686" t="str">
        <f t="shared" si="209"/>
        <v/>
      </c>
      <c r="M2686" t="str">
        <f>IF(COUNTIF($A$2:A2686,A2686)=1,
     VLOOKUP(A2686,Season_Winners!A:B,2,FALSE),
     "")</f>
        <v/>
      </c>
    </row>
    <row r="2687" spans="1:13" hidden="1" x14ac:dyDescent="0.3">
      <c r="A2687" t="s">
        <v>998</v>
      </c>
      <c r="B2687">
        <v>3</v>
      </c>
      <c r="C2687" t="s">
        <v>1013</v>
      </c>
      <c r="D2687" t="str">
        <f t="shared" si="205"/>
        <v>27.09.2020</v>
      </c>
      <c r="E2687" s="1">
        <v>0.58333333333333337</v>
      </c>
      <c r="F2687" t="s">
        <v>187</v>
      </c>
      <c r="G2687" t="s">
        <v>15</v>
      </c>
      <c r="H2687" s="2">
        <v>46054</v>
      </c>
      <c r="I2687" s="3" t="str">
        <f t="shared" si="206"/>
        <v/>
      </c>
      <c r="J2687" t="str">
        <f t="shared" si="207"/>
        <v/>
      </c>
      <c r="K2687" t="str">
        <f t="shared" si="208"/>
        <v/>
      </c>
      <c r="L2687" t="str">
        <f t="shared" si="209"/>
        <v/>
      </c>
      <c r="M2687" t="str">
        <f>IF(COUNTIF($A$2:A2687,A2687)=1,
     VLOOKUP(A2687,Season_Winners!A:B,2,FALSE),
     "")</f>
        <v/>
      </c>
    </row>
    <row r="2688" spans="1:13" hidden="1" x14ac:dyDescent="0.3">
      <c r="A2688" t="s">
        <v>998</v>
      </c>
      <c r="B2688">
        <v>3</v>
      </c>
      <c r="C2688" t="s">
        <v>1013</v>
      </c>
      <c r="D2688" t="str">
        <f t="shared" si="205"/>
        <v>27.09.2020</v>
      </c>
      <c r="E2688" s="1">
        <v>0.66666666666666663</v>
      </c>
      <c r="F2688" t="s">
        <v>28</v>
      </c>
      <c r="G2688" t="s">
        <v>24</v>
      </c>
      <c r="H2688" s="2">
        <v>46028</v>
      </c>
      <c r="I2688" s="3" t="str">
        <f t="shared" si="206"/>
        <v/>
      </c>
      <c r="J2688" t="str">
        <f t="shared" si="207"/>
        <v/>
      </c>
      <c r="K2688" t="str">
        <f t="shared" si="208"/>
        <v/>
      </c>
      <c r="L2688" t="str">
        <f t="shared" si="209"/>
        <v/>
      </c>
      <c r="M2688" t="str">
        <f>IF(COUNTIF($A$2:A2688,A2688)=1,
     VLOOKUP(A2688,Season_Winners!A:B,2,FALSE),
     "")</f>
        <v/>
      </c>
    </row>
    <row r="2689" spans="1:13" hidden="1" x14ac:dyDescent="0.3">
      <c r="A2689" t="s">
        <v>998</v>
      </c>
      <c r="B2689">
        <v>3</v>
      </c>
      <c r="C2689" t="s">
        <v>1013</v>
      </c>
      <c r="D2689" t="str">
        <f t="shared" si="205"/>
        <v>27.09.2020</v>
      </c>
      <c r="E2689" s="1">
        <v>0.77083333333333337</v>
      </c>
      <c r="F2689" t="s">
        <v>1000</v>
      </c>
      <c r="G2689" t="s">
        <v>27</v>
      </c>
      <c r="H2689" s="2">
        <v>46082</v>
      </c>
      <c r="I2689" s="3" t="str">
        <f t="shared" si="206"/>
        <v/>
      </c>
      <c r="J2689" t="str">
        <f t="shared" si="207"/>
        <v/>
      </c>
      <c r="K2689" t="str">
        <f t="shared" si="208"/>
        <v/>
      </c>
      <c r="L2689" t="str">
        <f t="shared" si="209"/>
        <v/>
      </c>
      <c r="M2689" t="str">
        <f>IF(COUNTIF($A$2:A2689,A2689)=1,
     VLOOKUP(A2689,Season_Winners!A:B,2,FALSE),
     "")</f>
        <v/>
      </c>
    </row>
    <row r="2690" spans="1:13" hidden="1" x14ac:dyDescent="0.3">
      <c r="A2690" t="s">
        <v>998</v>
      </c>
      <c r="B2690">
        <v>3</v>
      </c>
      <c r="C2690" t="s">
        <v>1013</v>
      </c>
      <c r="D2690" t="str">
        <f t="shared" ref="D2690:D2753" si="210">RIGHT(C2690,10)</f>
        <v>27.09.2020</v>
      </c>
      <c r="E2690" s="1">
        <v>0.77083333333333337</v>
      </c>
      <c r="F2690" t="s">
        <v>14</v>
      </c>
      <c r="G2690" t="s">
        <v>35</v>
      </c>
      <c r="H2690" s="2">
        <v>46023</v>
      </c>
      <c r="I2690" s="3" t="str">
        <f t="shared" ref="I2690:I2753" si="211">IF(ISNUMBER(SEARCH("-",H2690)),H2690,"")</f>
        <v/>
      </c>
      <c r="J2690" t="str">
        <f t="shared" ref="J2690:J2753" si="212">IF(I2690="","",LEFT(I2690,FIND("-",I2690)-1))</f>
        <v/>
      </c>
      <c r="K2690" t="str">
        <f t="shared" ref="K2690:K2753" si="213">IF(I2690="","",RIGHT(I2690,LEN(I2690)-FIND("-",I2690)))</f>
        <v/>
      </c>
      <c r="L2690" t="str">
        <f t="shared" ref="L2690:L2753" si="214">IF(I2690="","",IF(J2690&gt;K2690,F2690,IF(K2690&gt;J2690,G2690,"Draw")))</f>
        <v/>
      </c>
      <c r="M2690" t="str">
        <f>IF(COUNTIF($A$2:A2690,A2690)=1,
     VLOOKUP(A2690,Season_Winners!A:B,2,FALSE),
     "")</f>
        <v/>
      </c>
    </row>
    <row r="2691" spans="1:13" x14ac:dyDescent="0.3">
      <c r="A2691" t="s">
        <v>998</v>
      </c>
      <c r="B2691">
        <v>3</v>
      </c>
      <c r="C2691" t="s">
        <v>1013</v>
      </c>
      <c r="D2691" t="str">
        <f t="shared" si="210"/>
        <v>27.09.2020</v>
      </c>
      <c r="E2691" s="1">
        <v>0.875</v>
      </c>
      <c r="F2691" t="s">
        <v>20</v>
      </c>
      <c r="G2691" t="s">
        <v>34</v>
      </c>
      <c r="H2691" t="s">
        <v>88</v>
      </c>
      <c r="I2691" t="str">
        <f t="shared" si="211"/>
        <v>4-0</v>
      </c>
      <c r="J2691" t="str">
        <f t="shared" si="212"/>
        <v>4</v>
      </c>
      <c r="K2691" t="str">
        <f t="shared" si="213"/>
        <v>0</v>
      </c>
      <c r="L2691" t="str">
        <f t="shared" si="214"/>
        <v>FC Barcelona</v>
      </c>
      <c r="M2691" t="str">
        <f>IF(COUNTIF($A$2:A2691,A2691)=1,
     VLOOKUP(A2691,Season_Winners!A:B,2,FALSE),
     "")</f>
        <v/>
      </c>
    </row>
    <row r="2692" spans="1:13" x14ac:dyDescent="0.3">
      <c r="A2692" t="s">
        <v>998</v>
      </c>
      <c r="B2692">
        <v>4</v>
      </c>
      <c r="C2692" t="s">
        <v>1014</v>
      </c>
      <c r="D2692" t="str">
        <f t="shared" si="210"/>
        <v>29.09.2020</v>
      </c>
      <c r="E2692" s="1">
        <v>0.79166666666666663</v>
      </c>
      <c r="F2692" t="s">
        <v>10</v>
      </c>
      <c r="G2692" t="s">
        <v>16</v>
      </c>
      <c r="H2692" t="s">
        <v>42</v>
      </c>
      <c r="I2692" t="str">
        <f t="shared" si="211"/>
        <v>0-1</v>
      </c>
      <c r="J2692" t="str">
        <f t="shared" si="212"/>
        <v>0</v>
      </c>
      <c r="K2692" t="str">
        <f t="shared" si="213"/>
        <v>1</v>
      </c>
      <c r="L2692" t="str">
        <f t="shared" si="214"/>
        <v>Valencia CF</v>
      </c>
      <c r="M2692" t="str">
        <f>IF(COUNTIF($A$2:A2692,A2692)=1,
     VLOOKUP(A2692,Season_Winners!A:B,2,FALSE),
     "")</f>
        <v/>
      </c>
    </row>
    <row r="2693" spans="1:13" x14ac:dyDescent="0.3">
      <c r="A2693" t="s">
        <v>998</v>
      </c>
      <c r="B2693">
        <v>4</v>
      </c>
      <c r="C2693" t="s">
        <v>1014</v>
      </c>
      <c r="D2693" t="str">
        <f t="shared" si="210"/>
        <v>29.09.2020</v>
      </c>
      <c r="E2693" s="1">
        <v>0.89583333333333337</v>
      </c>
      <c r="F2693" t="s">
        <v>11</v>
      </c>
      <c r="G2693" t="s">
        <v>26</v>
      </c>
      <c r="H2693" t="s">
        <v>32</v>
      </c>
      <c r="I2693" t="str">
        <f t="shared" si="211"/>
        <v>3-0</v>
      </c>
      <c r="J2693" t="str">
        <f t="shared" si="212"/>
        <v>3</v>
      </c>
      <c r="K2693" t="str">
        <f t="shared" si="213"/>
        <v>0</v>
      </c>
      <c r="L2693" t="str">
        <f t="shared" si="214"/>
        <v>Getafe CF</v>
      </c>
      <c r="M2693" t="str">
        <f>IF(COUNTIF($A$2:A2693,A2693)=1,
     VLOOKUP(A2693,Season_Winners!A:B,2,FALSE),
     "")</f>
        <v/>
      </c>
    </row>
    <row r="2694" spans="1:13" x14ac:dyDescent="0.3">
      <c r="A2694" t="s">
        <v>998</v>
      </c>
      <c r="B2694">
        <v>4</v>
      </c>
      <c r="C2694" t="s">
        <v>1015</v>
      </c>
      <c r="D2694" t="str">
        <f t="shared" si="210"/>
        <v>30.09.2020</v>
      </c>
      <c r="E2694" s="1">
        <v>0.79166666666666663</v>
      </c>
      <c r="F2694" t="s">
        <v>750</v>
      </c>
      <c r="G2694" t="s">
        <v>1425</v>
      </c>
      <c r="H2694" t="s">
        <v>41</v>
      </c>
      <c r="I2694" t="str">
        <f t="shared" si="211"/>
        <v>0-0</v>
      </c>
      <c r="J2694" t="str">
        <f t="shared" si="212"/>
        <v>0</v>
      </c>
      <c r="K2694" t="str">
        <f t="shared" si="213"/>
        <v>0</v>
      </c>
      <c r="L2694" t="str">
        <f t="shared" si="214"/>
        <v>Draw</v>
      </c>
      <c r="M2694" t="str">
        <f>IF(COUNTIF($A$2:A2694,A2694)=1,
     VLOOKUP(A2694,Season_Winners!A:B,2,FALSE),
     "")</f>
        <v/>
      </c>
    </row>
    <row r="2695" spans="1:13" x14ac:dyDescent="0.3">
      <c r="A2695" t="s">
        <v>998</v>
      </c>
      <c r="B2695">
        <v>4</v>
      </c>
      <c r="C2695" t="s">
        <v>1015</v>
      </c>
      <c r="D2695" t="str">
        <f t="shared" si="210"/>
        <v>30.09.2020</v>
      </c>
      <c r="E2695" s="1">
        <v>0.89583333333333337</v>
      </c>
      <c r="F2695" t="s">
        <v>187</v>
      </c>
      <c r="G2695" t="s">
        <v>31</v>
      </c>
      <c r="H2695" t="s">
        <v>42</v>
      </c>
      <c r="I2695" t="str">
        <f t="shared" si="211"/>
        <v>0-1</v>
      </c>
      <c r="J2695" t="str">
        <f t="shared" si="212"/>
        <v>0</v>
      </c>
      <c r="K2695" t="str">
        <f t="shared" si="213"/>
        <v>1</v>
      </c>
      <c r="L2695" t="str">
        <f t="shared" si="214"/>
        <v>Elche CF</v>
      </c>
      <c r="M2695" t="str">
        <f>IF(COUNTIF($A$2:A2695,A2695)=1,
     VLOOKUP(A2695,Season_Winners!A:B,2,FALSE),
     "")</f>
        <v/>
      </c>
    </row>
    <row r="2696" spans="1:13" x14ac:dyDescent="0.3">
      <c r="A2696" t="s">
        <v>998</v>
      </c>
      <c r="B2696">
        <v>4</v>
      </c>
      <c r="C2696" t="s">
        <v>1015</v>
      </c>
      <c r="D2696" t="str">
        <f t="shared" si="210"/>
        <v>30.09.2020</v>
      </c>
      <c r="E2696" s="1">
        <v>0.89583333333333337</v>
      </c>
      <c r="F2696" t="s">
        <v>25</v>
      </c>
      <c r="G2696" t="s">
        <v>14</v>
      </c>
      <c r="H2696" t="s">
        <v>18</v>
      </c>
      <c r="I2696" t="str">
        <f t="shared" si="211"/>
        <v>1-0</v>
      </c>
      <c r="J2696" t="str">
        <f t="shared" si="212"/>
        <v>1</v>
      </c>
      <c r="K2696" t="str">
        <f t="shared" si="213"/>
        <v>0</v>
      </c>
      <c r="L2696" t="str">
        <f t="shared" si="214"/>
        <v>Real Madrid</v>
      </c>
      <c r="M2696" t="str">
        <f>IF(COUNTIF($A$2:A2696,A2696)=1,
     VLOOKUP(A2696,Season_Winners!A:B,2,FALSE),
     "")</f>
        <v/>
      </c>
    </row>
    <row r="2697" spans="1:13" x14ac:dyDescent="0.3">
      <c r="A2697" t="s">
        <v>998</v>
      </c>
      <c r="B2697">
        <v>4</v>
      </c>
      <c r="C2697" t="s">
        <v>1016</v>
      </c>
      <c r="D2697" t="str">
        <f t="shared" si="210"/>
        <v>01.10.2020</v>
      </c>
      <c r="E2697" s="1">
        <v>0.79166666666666663</v>
      </c>
      <c r="F2697" t="s">
        <v>15</v>
      </c>
      <c r="G2697" t="s">
        <v>1000</v>
      </c>
      <c r="H2697" t="s">
        <v>42</v>
      </c>
      <c r="I2697" t="str">
        <f t="shared" si="211"/>
        <v>0-1</v>
      </c>
      <c r="J2697" t="str">
        <f t="shared" si="212"/>
        <v>0</v>
      </c>
      <c r="K2697" t="str">
        <f t="shared" si="213"/>
        <v>1</v>
      </c>
      <c r="L2697" t="str">
        <f t="shared" si="214"/>
        <v>CÃ¡diz CF</v>
      </c>
      <c r="M2697" t="str">
        <f>IF(COUNTIF($A$2:A2697,A2697)=1,
     VLOOKUP(A2697,Season_Winners!A:B,2,FALSE),
     "")</f>
        <v/>
      </c>
    </row>
    <row r="2698" spans="1:13" x14ac:dyDescent="0.3">
      <c r="A2698" t="s">
        <v>998</v>
      </c>
      <c r="B2698">
        <v>4</v>
      </c>
      <c r="C2698" t="s">
        <v>1016</v>
      </c>
      <c r="D2698" t="str">
        <f t="shared" si="210"/>
        <v>01.10.2020</v>
      </c>
      <c r="E2698" s="1">
        <v>0.79166666666666663</v>
      </c>
      <c r="F2698" t="s">
        <v>27</v>
      </c>
      <c r="G2698" t="s">
        <v>21</v>
      </c>
      <c r="H2698" t="s">
        <v>18</v>
      </c>
      <c r="I2698" t="str">
        <f t="shared" si="211"/>
        <v>1-0</v>
      </c>
      <c r="J2698" t="str">
        <f t="shared" si="212"/>
        <v>1</v>
      </c>
      <c r="K2698" t="str">
        <f t="shared" si="213"/>
        <v>0</v>
      </c>
      <c r="L2698" t="str">
        <f t="shared" si="214"/>
        <v>Sevilla FC</v>
      </c>
      <c r="M2698" t="str">
        <f>IF(COUNTIF($A$2:A2698,A2698)=1,
     VLOOKUP(A2698,Season_Winners!A:B,2,FALSE),
     "")</f>
        <v/>
      </c>
    </row>
    <row r="2699" spans="1:13" x14ac:dyDescent="0.3">
      <c r="A2699" t="s">
        <v>998</v>
      </c>
      <c r="B2699">
        <v>4</v>
      </c>
      <c r="C2699" t="s">
        <v>1016</v>
      </c>
      <c r="D2699" t="str">
        <f t="shared" si="210"/>
        <v>01.10.2020</v>
      </c>
      <c r="E2699" s="1">
        <v>0.89583333333333337</v>
      </c>
      <c r="F2699" t="s">
        <v>35</v>
      </c>
      <c r="G2699" t="s">
        <v>20</v>
      </c>
      <c r="H2699" t="s">
        <v>46</v>
      </c>
      <c r="I2699" t="str">
        <f t="shared" si="211"/>
        <v>0-3</v>
      </c>
      <c r="J2699" t="str">
        <f t="shared" si="212"/>
        <v>0</v>
      </c>
      <c r="K2699" t="str">
        <f t="shared" si="213"/>
        <v>3</v>
      </c>
      <c r="L2699" t="str">
        <f t="shared" si="214"/>
        <v>FC Barcelona</v>
      </c>
      <c r="M2699" t="str">
        <f>IF(COUNTIF($A$2:A2699,A2699)=1,
     VLOOKUP(A2699,Season_Winners!A:B,2,FALSE),
     "")</f>
        <v/>
      </c>
    </row>
    <row r="2700" spans="1:13" x14ac:dyDescent="0.3">
      <c r="A2700" t="s">
        <v>998</v>
      </c>
      <c r="B2700">
        <v>4</v>
      </c>
      <c r="C2700" t="s">
        <v>1003</v>
      </c>
      <c r="D2700" t="str">
        <f t="shared" si="210"/>
        <v>12.01.2021</v>
      </c>
      <c r="E2700" s="1">
        <v>0.79166666666666663</v>
      </c>
      <c r="F2700" t="s">
        <v>24</v>
      </c>
      <c r="G2700" t="s">
        <v>23</v>
      </c>
      <c r="H2700" t="s">
        <v>12</v>
      </c>
      <c r="I2700" t="str">
        <f t="shared" si="211"/>
        <v>2-0</v>
      </c>
      <c r="J2700" t="str">
        <f t="shared" si="212"/>
        <v>2</v>
      </c>
      <c r="K2700" t="str">
        <f t="shared" si="213"/>
        <v>0</v>
      </c>
      <c r="L2700" t="str">
        <f t="shared" si="214"/>
        <v>Granada CF</v>
      </c>
      <c r="M2700" t="str">
        <f>IF(COUNTIF($A$2:A2700,A2700)=1,
     VLOOKUP(A2700,Season_Winners!A:B,2,FALSE),
     "")</f>
        <v/>
      </c>
    </row>
    <row r="2701" spans="1:13" hidden="1" x14ac:dyDescent="0.3">
      <c r="A2701" t="s">
        <v>998</v>
      </c>
      <c r="B2701">
        <v>4</v>
      </c>
      <c r="C2701" t="s">
        <v>1017</v>
      </c>
      <c r="D2701" t="str">
        <f t="shared" si="210"/>
        <v>--/--/--</v>
      </c>
      <c r="E2701" t="s">
        <v>1018</v>
      </c>
      <c r="F2701" t="s">
        <v>34</v>
      </c>
      <c r="G2701" t="s">
        <v>464</v>
      </c>
      <c r="H2701" s="2">
        <v>46025</v>
      </c>
      <c r="I2701" s="3" t="str">
        <f t="shared" si="211"/>
        <v/>
      </c>
      <c r="J2701" t="str">
        <f t="shared" si="212"/>
        <v/>
      </c>
      <c r="K2701" t="str">
        <f t="shared" si="213"/>
        <v/>
      </c>
      <c r="L2701" t="str">
        <f t="shared" si="214"/>
        <v/>
      </c>
      <c r="M2701" t="str">
        <f>IF(COUNTIF($A$2:A2701,A2701)=1,
     VLOOKUP(A2701,Season_Winners!A:B,2,FALSE),
     "")</f>
        <v/>
      </c>
    </row>
    <row r="2702" spans="1:13" hidden="1" x14ac:dyDescent="0.3">
      <c r="A2702" t="s">
        <v>998</v>
      </c>
      <c r="B2702">
        <v>5</v>
      </c>
      <c r="C2702" t="s">
        <v>1019</v>
      </c>
      <c r="D2702" t="str">
        <f t="shared" si="210"/>
        <v>03.10.2020</v>
      </c>
      <c r="E2702" s="1">
        <v>0.54166666666666663</v>
      </c>
      <c r="F2702" t="s">
        <v>14</v>
      </c>
      <c r="G2702" t="s">
        <v>187</v>
      </c>
      <c r="H2702" s="2">
        <v>46054</v>
      </c>
      <c r="I2702" s="3" t="str">
        <f t="shared" si="211"/>
        <v/>
      </c>
      <c r="J2702" t="str">
        <f t="shared" si="212"/>
        <v/>
      </c>
      <c r="K2702" t="str">
        <f t="shared" si="213"/>
        <v/>
      </c>
      <c r="L2702" t="str">
        <f t="shared" si="214"/>
        <v/>
      </c>
      <c r="M2702" t="str">
        <f>IF(COUNTIF($A$2:A2702,A2702)=1,
     VLOOKUP(A2702,Season_Winners!A:B,2,FALSE),
     "")</f>
        <v/>
      </c>
    </row>
    <row r="2703" spans="1:13" x14ac:dyDescent="0.3">
      <c r="A2703" t="s">
        <v>998</v>
      </c>
      <c r="B2703">
        <v>5</v>
      </c>
      <c r="C2703" t="s">
        <v>1019</v>
      </c>
      <c r="D2703" t="str">
        <f t="shared" si="210"/>
        <v>03.10.2020</v>
      </c>
      <c r="E2703" s="1">
        <v>0.66666666666666663</v>
      </c>
      <c r="F2703" t="s">
        <v>1425</v>
      </c>
      <c r="G2703" t="s">
        <v>34</v>
      </c>
      <c r="H2703" t="s">
        <v>41</v>
      </c>
      <c r="I2703" t="str">
        <f t="shared" si="211"/>
        <v>0-0</v>
      </c>
      <c r="J2703" t="str">
        <f t="shared" si="212"/>
        <v>0</v>
      </c>
      <c r="K2703" t="str">
        <f t="shared" si="213"/>
        <v>0</v>
      </c>
      <c r="L2703" t="str">
        <f t="shared" si="214"/>
        <v>Draw</v>
      </c>
      <c r="M2703" t="str">
        <f>IF(COUNTIF($A$2:A2703,A2703)=1,
     VLOOKUP(A2703,Season_Winners!A:B,2,FALSE),
     "")</f>
        <v/>
      </c>
    </row>
    <row r="2704" spans="1:13" x14ac:dyDescent="0.3">
      <c r="A2704" t="s">
        <v>998</v>
      </c>
      <c r="B2704">
        <v>5</v>
      </c>
      <c r="C2704" t="s">
        <v>1019</v>
      </c>
      <c r="D2704" t="str">
        <f t="shared" si="210"/>
        <v>03.10.2020</v>
      </c>
      <c r="E2704" s="1">
        <v>0.77083333333333337</v>
      </c>
      <c r="F2704" t="s">
        <v>10</v>
      </c>
      <c r="G2704" t="s">
        <v>11</v>
      </c>
      <c r="H2704" t="s">
        <v>32</v>
      </c>
      <c r="I2704" t="str">
        <f t="shared" si="211"/>
        <v>3-0</v>
      </c>
      <c r="J2704" t="str">
        <f t="shared" si="212"/>
        <v>3</v>
      </c>
      <c r="K2704" t="str">
        <f t="shared" si="213"/>
        <v>0</v>
      </c>
      <c r="L2704" t="str">
        <f t="shared" si="214"/>
        <v>Real Sociedad</v>
      </c>
      <c r="M2704" t="str">
        <f>IF(COUNTIF($A$2:A2704,A2704)=1,
     VLOOKUP(A2704,Season_Winners!A:B,2,FALSE),
     "")</f>
        <v/>
      </c>
    </row>
    <row r="2705" spans="1:13" x14ac:dyDescent="0.3">
      <c r="A2705" t="s">
        <v>998</v>
      </c>
      <c r="B2705">
        <v>5</v>
      </c>
      <c r="C2705" t="s">
        <v>1019</v>
      </c>
      <c r="D2705" t="str">
        <f t="shared" si="210"/>
        <v>03.10.2020</v>
      </c>
      <c r="E2705" s="1">
        <v>0.77083333333333337</v>
      </c>
      <c r="F2705" t="s">
        <v>31</v>
      </c>
      <c r="G2705" t="s">
        <v>750</v>
      </c>
      <c r="H2705" t="s">
        <v>41</v>
      </c>
      <c r="I2705" t="str">
        <f t="shared" si="211"/>
        <v>0-0</v>
      </c>
      <c r="J2705" t="str">
        <f t="shared" si="212"/>
        <v>0</v>
      </c>
      <c r="K2705" t="str">
        <f t="shared" si="213"/>
        <v>0</v>
      </c>
      <c r="L2705" t="str">
        <f t="shared" si="214"/>
        <v>Draw</v>
      </c>
      <c r="M2705" t="str">
        <f>IF(COUNTIF($A$2:A2705,A2705)=1,
     VLOOKUP(A2705,Season_Winners!A:B,2,FALSE),
     "")</f>
        <v/>
      </c>
    </row>
    <row r="2706" spans="1:13" x14ac:dyDescent="0.3">
      <c r="A2706" t="s">
        <v>998</v>
      </c>
      <c r="B2706">
        <v>5</v>
      </c>
      <c r="C2706" t="s">
        <v>1019</v>
      </c>
      <c r="D2706" t="str">
        <f t="shared" si="210"/>
        <v>03.10.2020</v>
      </c>
      <c r="E2706" s="1">
        <v>0.875</v>
      </c>
      <c r="F2706" t="s">
        <v>16</v>
      </c>
      <c r="G2706" t="s">
        <v>26</v>
      </c>
      <c r="H2706" t="s">
        <v>54</v>
      </c>
      <c r="I2706" t="str">
        <f t="shared" si="211"/>
        <v>0-2</v>
      </c>
      <c r="J2706" t="str">
        <f t="shared" si="212"/>
        <v>0</v>
      </c>
      <c r="K2706" t="str">
        <f t="shared" si="213"/>
        <v>2</v>
      </c>
      <c r="L2706" t="str">
        <f t="shared" si="214"/>
        <v>Real Betis</v>
      </c>
      <c r="M2706" t="str">
        <f>IF(COUNTIF($A$2:A2706,A2706)=1,
     VLOOKUP(A2706,Season_Winners!A:B,2,FALSE),
     "")</f>
        <v/>
      </c>
    </row>
    <row r="2707" spans="1:13" x14ac:dyDescent="0.3">
      <c r="A2707" t="s">
        <v>998</v>
      </c>
      <c r="B2707">
        <v>5</v>
      </c>
      <c r="C2707" t="s">
        <v>1020</v>
      </c>
      <c r="D2707" t="str">
        <f t="shared" si="210"/>
        <v>04.10.2020</v>
      </c>
      <c r="E2707" s="1">
        <v>0.5</v>
      </c>
      <c r="F2707" t="s">
        <v>23</v>
      </c>
      <c r="G2707" t="s">
        <v>35</v>
      </c>
      <c r="H2707" t="s">
        <v>12</v>
      </c>
      <c r="I2707" t="str">
        <f t="shared" si="211"/>
        <v>2-0</v>
      </c>
      <c r="J2707" t="str">
        <f t="shared" si="212"/>
        <v>2</v>
      </c>
      <c r="K2707" t="str">
        <f t="shared" si="213"/>
        <v>0</v>
      </c>
      <c r="L2707" t="str">
        <f t="shared" si="214"/>
        <v>CA Osasuna</v>
      </c>
      <c r="M2707" t="str">
        <f>IF(COUNTIF($A$2:A2707,A2707)=1,
     VLOOKUP(A2707,Season_Winners!A:B,2,FALSE),
     "")</f>
        <v/>
      </c>
    </row>
    <row r="2708" spans="1:13" x14ac:dyDescent="0.3">
      <c r="A2708" t="s">
        <v>998</v>
      </c>
      <c r="B2708">
        <v>5</v>
      </c>
      <c r="C2708" t="s">
        <v>1020</v>
      </c>
      <c r="D2708" t="str">
        <f t="shared" si="210"/>
        <v>04.10.2020</v>
      </c>
      <c r="E2708" s="1">
        <v>0.58333333333333337</v>
      </c>
      <c r="F2708" t="s">
        <v>464</v>
      </c>
      <c r="G2708" t="s">
        <v>15</v>
      </c>
      <c r="H2708" t="s">
        <v>18</v>
      </c>
      <c r="I2708" t="str">
        <f t="shared" si="211"/>
        <v>1-0</v>
      </c>
      <c r="J2708" t="str">
        <f t="shared" si="212"/>
        <v>1</v>
      </c>
      <c r="K2708" t="str">
        <f t="shared" si="213"/>
        <v>0</v>
      </c>
      <c r="L2708" t="str">
        <f t="shared" si="214"/>
        <v>Deportivo AlavÃ©s</v>
      </c>
      <c r="M2708" t="str">
        <f>IF(COUNTIF($A$2:A2708,A2708)=1,
     VLOOKUP(A2708,Season_Winners!A:B,2,FALSE),
     "")</f>
        <v/>
      </c>
    </row>
    <row r="2709" spans="1:13" x14ac:dyDescent="0.3">
      <c r="A2709" t="s">
        <v>998</v>
      </c>
      <c r="B2709">
        <v>5</v>
      </c>
      <c r="C2709" t="s">
        <v>1020</v>
      </c>
      <c r="D2709" t="str">
        <f t="shared" si="210"/>
        <v>04.10.2020</v>
      </c>
      <c r="E2709" s="1">
        <v>0.66666666666666663</v>
      </c>
      <c r="F2709" t="s">
        <v>21</v>
      </c>
      <c r="G2709" t="s">
        <v>25</v>
      </c>
      <c r="H2709" t="s">
        <v>54</v>
      </c>
      <c r="I2709" t="str">
        <f t="shared" si="211"/>
        <v>0-2</v>
      </c>
      <c r="J2709" t="str">
        <f t="shared" si="212"/>
        <v>0</v>
      </c>
      <c r="K2709" t="str">
        <f t="shared" si="213"/>
        <v>2</v>
      </c>
      <c r="L2709" t="str">
        <f t="shared" si="214"/>
        <v>Real Madrid</v>
      </c>
      <c r="M2709" t="str">
        <f>IF(COUNTIF($A$2:A2709,A2709)=1,
     VLOOKUP(A2709,Season_Winners!A:B,2,FALSE),
     "")</f>
        <v/>
      </c>
    </row>
    <row r="2710" spans="1:13" hidden="1" x14ac:dyDescent="0.3">
      <c r="A2710" t="s">
        <v>998</v>
      </c>
      <c r="B2710">
        <v>5</v>
      </c>
      <c r="C2710" t="s">
        <v>1020</v>
      </c>
      <c r="D2710" t="str">
        <f t="shared" si="210"/>
        <v>04.10.2020</v>
      </c>
      <c r="E2710" s="1">
        <v>0.77083333333333337</v>
      </c>
      <c r="F2710" t="s">
        <v>1000</v>
      </c>
      <c r="G2710" t="s">
        <v>24</v>
      </c>
      <c r="H2710" s="2">
        <v>46023</v>
      </c>
      <c r="I2710" s="3" t="str">
        <f t="shared" si="211"/>
        <v/>
      </c>
      <c r="J2710" t="str">
        <f t="shared" si="212"/>
        <v/>
      </c>
      <c r="K2710" t="str">
        <f t="shared" si="213"/>
        <v/>
      </c>
      <c r="L2710" t="str">
        <f t="shared" si="214"/>
        <v/>
      </c>
      <c r="M2710" t="str">
        <f>IF(COUNTIF($A$2:A2710,A2710)=1,
     VLOOKUP(A2710,Season_Winners!A:B,2,FALSE),
     "")</f>
        <v/>
      </c>
    </row>
    <row r="2711" spans="1:13" hidden="1" x14ac:dyDescent="0.3">
      <c r="A2711" t="s">
        <v>998</v>
      </c>
      <c r="B2711">
        <v>5</v>
      </c>
      <c r="C2711" t="s">
        <v>1020</v>
      </c>
      <c r="D2711" t="str">
        <f t="shared" si="210"/>
        <v>04.10.2020</v>
      </c>
      <c r="E2711" s="1">
        <v>0.875</v>
      </c>
      <c r="F2711" t="s">
        <v>20</v>
      </c>
      <c r="G2711" t="s">
        <v>27</v>
      </c>
      <c r="H2711" s="2">
        <v>46023</v>
      </c>
      <c r="I2711" s="3" t="str">
        <f t="shared" si="211"/>
        <v/>
      </c>
      <c r="J2711" t="str">
        <f t="shared" si="212"/>
        <v/>
      </c>
      <c r="K2711" t="str">
        <f t="shared" si="213"/>
        <v/>
      </c>
      <c r="L2711" t="str">
        <f t="shared" si="214"/>
        <v/>
      </c>
      <c r="M2711" t="str">
        <f>IF(COUNTIF($A$2:A2711,A2711)=1,
     VLOOKUP(A2711,Season_Winners!A:B,2,FALSE),
     "")</f>
        <v/>
      </c>
    </row>
    <row r="2712" spans="1:13" x14ac:dyDescent="0.3">
      <c r="A2712" t="s">
        <v>998</v>
      </c>
      <c r="B2712">
        <v>6</v>
      </c>
      <c r="C2712" t="s">
        <v>1021</v>
      </c>
      <c r="D2712" t="str">
        <f t="shared" si="210"/>
        <v>17.10.2020</v>
      </c>
      <c r="E2712" s="1">
        <v>0.54166666666666663</v>
      </c>
      <c r="F2712" t="s">
        <v>24</v>
      </c>
      <c r="G2712" t="s">
        <v>27</v>
      </c>
      <c r="H2712" t="s">
        <v>18</v>
      </c>
      <c r="I2712" t="str">
        <f t="shared" si="211"/>
        <v>1-0</v>
      </c>
      <c r="J2712" t="str">
        <f t="shared" si="212"/>
        <v>1</v>
      </c>
      <c r="K2712" t="str">
        <f t="shared" si="213"/>
        <v>0</v>
      </c>
      <c r="L2712" t="str">
        <f t="shared" si="214"/>
        <v>Granada CF</v>
      </c>
      <c r="M2712" t="str">
        <f>IF(COUNTIF($A$2:A2712,A2712)=1,
     VLOOKUP(A2712,Season_Winners!A:B,2,FALSE),
     "")</f>
        <v/>
      </c>
    </row>
    <row r="2713" spans="1:13" x14ac:dyDescent="0.3">
      <c r="A2713" t="s">
        <v>998</v>
      </c>
      <c r="B2713">
        <v>6</v>
      </c>
      <c r="C2713" t="s">
        <v>1021</v>
      </c>
      <c r="D2713" t="str">
        <f t="shared" si="210"/>
        <v>17.10.2020</v>
      </c>
      <c r="E2713" s="1">
        <v>0.66666666666666663</v>
      </c>
      <c r="F2713" t="s">
        <v>35</v>
      </c>
      <c r="G2713" t="s">
        <v>1425</v>
      </c>
      <c r="H2713" t="s">
        <v>54</v>
      </c>
      <c r="I2713" t="str">
        <f t="shared" si="211"/>
        <v>0-2</v>
      </c>
      <c r="J2713" t="str">
        <f t="shared" si="212"/>
        <v>0</v>
      </c>
      <c r="K2713" t="str">
        <f t="shared" si="213"/>
        <v>2</v>
      </c>
      <c r="L2713" t="str">
        <f t="shared" si="214"/>
        <v>Atlético de Madrid</v>
      </c>
      <c r="M2713" t="str">
        <f>IF(COUNTIF($A$2:A2713,A2713)=1,
     VLOOKUP(A2713,Season_Winners!A:B,2,FALSE),
     "")</f>
        <v/>
      </c>
    </row>
    <row r="2714" spans="1:13" x14ac:dyDescent="0.3">
      <c r="A2714" t="s">
        <v>998</v>
      </c>
      <c r="B2714">
        <v>6</v>
      </c>
      <c r="C2714" t="s">
        <v>1021</v>
      </c>
      <c r="D2714" t="str">
        <f t="shared" si="210"/>
        <v>17.10.2020</v>
      </c>
      <c r="E2714" s="1">
        <v>0.77083333333333337</v>
      </c>
      <c r="F2714" t="s">
        <v>25</v>
      </c>
      <c r="G2714" t="s">
        <v>1000</v>
      </c>
      <c r="H2714" t="s">
        <v>42</v>
      </c>
      <c r="I2714" t="str">
        <f t="shared" si="211"/>
        <v>0-1</v>
      </c>
      <c r="J2714" t="str">
        <f t="shared" si="212"/>
        <v>0</v>
      </c>
      <c r="K2714" t="str">
        <f t="shared" si="213"/>
        <v>1</v>
      </c>
      <c r="L2714" t="str">
        <f t="shared" si="214"/>
        <v>CÃ¡diz CF</v>
      </c>
      <c r="M2714" t="str">
        <f>IF(COUNTIF($A$2:A2714,A2714)=1,
     VLOOKUP(A2714,Season_Winners!A:B,2,FALSE),
     "")</f>
        <v/>
      </c>
    </row>
    <row r="2715" spans="1:13" x14ac:dyDescent="0.3">
      <c r="A2715" t="s">
        <v>998</v>
      </c>
      <c r="B2715">
        <v>6</v>
      </c>
      <c r="C2715" t="s">
        <v>1021</v>
      </c>
      <c r="D2715" t="str">
        <f t="shared" si="210"/>
        <v>17.10.2020</v>
      </c>
      <c r="E2715" s="1">
        <v>0.875</v>
      </c>
      <c r="F2715" t="s">
        <v>11</v>
      </c>
      <c r="G2715" t="s">
        <v>20</v>
      </c>
      <c r="H2715" t="s">
        <v>18</v>
      </c>
      <c r="I2715" t="str">
        <f t="shared" si="211"/>
        <v>1-0</v>
      </c>
      <c r="J2715" t="str">
        <f t="shared" si="212"/>
        <v>1</v>
      </c>
      <c r="K2715" t="str">
        <f t="shared" si="213"/>
        <v>0</v>
      </c>
      <c r="L2715" t="str">
        <f t="shared" si="214"/>
        <v>Getafe CF</v>
      </c>
      <c r="M2715" t="str">
        <f>IF(COUNTIF($A$2:A2715,A2715)=1,
     VLOOKUP(A2715,Season_Winners!A:B,2,FALSE),
     "")</f>
        <v/>
      </c>
    </row>
    <row r="2716" spans="1:13" x14ac:dyDescent="0.3">
      <c r="A2716" t="s">
        <v>998</v>
      </c>
      <c r="B2716">
        <v>6</v>
      </c>
      <c r="C2716" t="s">
        <v>1022</v>
      </c>
      <c r="D2716" t="str">
        <f t="shared" si="210"/>
        <v>18.10.2020</v>
      </c>
      <c r="E2716" s="1">
        <v>0.5</v>
      </c>
      <c r="F2716" t="s">
        <v>187</v>
      </c>
      <c r="G2716" t="s">
        <v>23</v>
      </c>
      <c r="H2716" t="s">
        <v>41</v>
      </c>
      <c r="I2716" t="str">
        <f t="shared" si="211"/>
        <v>0-0</v>
      </c>
      <c r="J2716" t="str">
        <f t="shared" si="212"/>
        <v>0</v>
      </c>
      <c r="K2716" t="str">
        <f t="shared" si="213"/>
        <v>0</v>
      </c>
      <c r="L2716" t="str">
        <f t="shared" si="214"/>
        <v>Draw</v>
      </c>
      <c r="M2716" t="str">
        <f>IF(COUNTIF($A$2:A2716,A2716)=1,
     VLOOKUP(A2716,Season_Winners!A:B,2,FALSE),
     "")</f>
        <v/>
      </c>
    </row>
    <row r="2717" spans="1:13" x14ac:dyDescent="0.3">
      <c r="A2717" t="s">
        <v>998</v>
      </c>
      <c r="B2717">
        <v>6</v>
      </c>
      <c r="C2717" t="s">
        <v>1022</v>
      </c>
      <c r="D2717" t="str">
        <f t="shared" si="210"/>
        <v>18.10.2020</v>
      </c>
      <c r="E2717" s="1">
        <v>0.58333333333333337</v>
      </c>
      <c r="F2717" t="s">
        <v>15</v>
      </c>
      <c r="G2717" t="s">
        <v>21</v>
      </c>
      <c r="H2717" t="s">
        <v>12</v>
      </c>
      <c r="I2717" t="str">
        <f t="shared" si="211"/>
        <v>2-0</v>
      </c>
      <c r="J2717" t="str">
        <f t="shared" si="212"/>
        <v>2</v>
      </c>
      <c r="K2717" t="str">
        <f t="shared" si="213"/>
        <v>0</v>
      </c>
      <c r="L2717" t="str">
        <f t="shared" si="214"/>
        <v>Athletic Club</v>
      </c>
      <c r="M2717" t="str">
        <f>IF(COUNTIF($A$2:A2717,A2717)=1,
     VLOOKUP(A2717,Season_Winners!A:B,2,FALSE),
     "")</f>
        <v/>
      </c>
    </row>
    <row r="2718" spans="1:13" hidden="1" x14ac:dyDescent="0.3">
      <c r="A2718" t="s">
        <v>998</v>
      </c>
      <c r="B2718">
        <v>6</v>
      </c>
      <c r="C2718" t="s">
        <v>1022</v>
      </c>
      <c r="D2718" t="str">
        <f t="shared" si="210"/>
        <v>18.10.2020</v>
      </c>
      <c r="E2718" s="1">
        <v>0.66666666666666663</v>
      </c>
      <c r="F2718" t="s">
        <v>34</v>
      </c>
      <c r="G2718" t="s">
        <v>16</v>
      </c>
      <c r="H2718" s="2">
        <v>46024</v>
      </c>
      <c r="I2718" s="3" t="str">
        <f t="shared" si="211"/>
        <v/>
      </c>
      <c r="J2718" t="str">
        <f t="shared" si="212"/>
        <v/>
      </c>
      <c r="K2718" t="str">
        <f t="shared" si="213"/>
        <v/>
      </c>
      <c r="L2718" t="str">
        <f t="shared" si="214"/>
        <v/>
      </c>
      <c r="M2718" t="str">
        <f>IF(COUNTIF($A$2:A2718,A2718)=1,
     VLOOKUP(A2718,Season_Winners!A:B,2,FALSE),
     "")</f>
        <v/>
      </c>
    </row>
    <row r="2719" spans="1:13" x14ac:dyDescent="0.3">
      <c r="A2719" t="s">
        <v>998</v>
      </c>
      <c r="B2719">
        <v>6</v>
      </c>
      <c r="C2719" t="s">
        <v>1022</v>
      </c>
      <c r="D2719" t="str">
        <f t="shared" si="210"/>
        <v>18.10.2020</v>
      </c>
      <c r="E2719" s="1">
        <v>0.77083333333333337</v>
      </c>
      <c r="F2719" t="s">
        <v>464</v>
      </c>
      <c r="G2719" t="s">
        <v>31</v>
      </c>
      <c r="H2719" t="s">
        <v>54</v>
      </c>
      <c r="I2719" t="str">
        <f t="shared" si="211"/>
        <v>0-2</v>
      </c>
      <c r="J2719" t="str">
        <f t="shared" si="212"/>
        <v>0</v>
      </c>
      <c r="K2719" t="str">
        <f t="shared" si="213"/>
        <v>2</v>
      </c>
      <c r="L2719" t="str">
        <f t="shared" si="214"/>
        <v>Elche CF</v>
      </c>
      <c r="M2719" t="str">
        <f>IF(COUNTIF($A$2:A2719,A2719)=1,
     VLOOKUP(A2719,Season_Winners!A:B,2,FALSE),
     "")</f>
        <v/>
      </c>
    </row>
    <row r="2720" spans="1:13" hidden="1" x14ac:dyDescent="0.3">
      <c r="A2720" t="s">
        <v>998</v>
      </c>
      <c r="B2720">
        <v>6</v>
      </c>
      <c r="C2720" t="s">
        <v>1022</v>
      </c>
      <c r="D2720" t="str">
        <f t="shared" si="210"/>
        <v>18.10.2020</v>
      </c>
      <c r="E2720" s="1">
        <v>0.77083333333333337</v>
      </c>
      <c r="F2720" t="s">
        <v>750</v>
      </c>
      <c r="G2720" t="s">
        <v>14</v>
      </c>
      <c r="H2720" s="2">
        <v>46055</v>
      </c>
      <c r="I2720" s="3" t="str">
        <f t="shared" si="211"/>
        <v/>
      </c>
      <c r="J2720" t="str">
        <f t="shared" si="212"/>
        <v/>
      </c>
      <c r="K2720" t="str">
        <f t="shared" si="213"/>
        <v/>
      </c>
      <c r="L2720" t="str">
        <f t="shared" si="214"/>
        <v/>
      </c>
      <c r="M2720" t="str">
        <f>IF(COUNTIF($A$2:A2720,A2720)=1,
     VLOOKUP(A2720,Season_Winners!A:B,2,FALSE),
     "")</f>
        <v/>
      </c>
    </row>
    <row r="2721" spans="1:13" x14ac:dyDescent="0.3">
      <c r="A2721" t="s">
        <v>998</v>
      </c>
      <c r="B2721">
        <v>6</v>
      </c>
      <c r="C2721" t="s">
        <v>1022</v>
      </c>
      <c r="D2721" t="str">
        <f t="shared" si="210"/>
        <v>18.10.2020</v>
      </c>
      <c r="E2721" s="1">
        <v>0.875</v>
      </c>
      <c r="F2721" t="s">
        <v>26</v>
      </c>
      <c r="G2721" t="s">
        <v>10</v>
      </c>
      <c r="H2721" t="s">
        <v>46</v>
      </c>
      <c r="I2721" t="str">
        <f t="shared" si="211"/>
        <v>0-3</v>
      </c>
      <c r="J2721" t="str">
        <f t="shared" si="212"/>
        <v>0</v>
      </c>
      <c r="K2721" t="str">
        <f t="shared" si="213"/>
        <v>3</v>
      </c>
      <c r="L2721" t="str">
        <f t="shared" si="214"/>
        <v>Real Sociedad</v>
      </c>
      <c r="M2721" t="str">
        <f>IF(COUNTIF($A$2:A2721,A2721)=1,
     VLOOKUP(A2721,Season_Winners!A:B,2,FALSE),
     "")</f>
        <v/>
      </c>
    </row>
    <row r="2722" spans="1:13" hidden="1" x14ac:dyDescent="0.3">
      <c r="A2722" t="s">
        <v>998</v>
      </c>
      <c r="B2722">
        <v>7</v>
      </c>
      <c r="C2722" t="s">
        <v>1023</v>
      </c>
      <c r="D2722" t="str">
        <f t="shared" si="210"/>
        <v>23.10.2020</v>
      </c>
      <c r="E2722" s="1">
        <v>0.875</v>
      </c>
      <c r="F2722" t="s">
        <v>31</v>
      </c>
      <c r="G2722" t="s">
        <v>16</v>
      </c>
      <c r="H2722" s="2">
        <v>46024</v>
      </c>
      <c r="I2722" s="3" t="str">
        <f t="shared" si="211"/>
        <v/>
      </c>
      <c r="J2722" t="str">
        <f t="shared" si="212"/>
        <v/>
      </c>
      <c r="K2722" t="str">
        <f t="shared" si="213"/>
        <v/>
      </c>
      <c r="L2722" t="str">
        <f t="shared" si="214"/>
        <v/>
      </c>
      <c r="M2722" t="str">
        <f>IF(COUNTIF($A$2:A2722,A2722)=1,
     VLOOKUP(A2722,Season_Winners!A:B,2,FALSE),
     "")</f>
        <v/>
      </c>
    </row>
    <row r="2723" spans="1:13" hidden="1" x14ac:dyDescent="0.3">
      <c r="A2723" t="s">
        <v>998</v>
      </c>
      <c r="B2723">
        <v>7</v>
      </c>
      <c r="C2723" t="s">
        <v>1024</v>
      </c>
      <c r="D2723" t="str">
        <f t="shared" si="210"/>
        <v>24.10.2020</v>
      </c>
      <c r="E2723" s="1">
        <v>0.66666666666666663</v>
      </c>
      <c r="F2723" t="s">
        <v>20</v>
      </c>
      <c r="G2723" t="s">
        <v>25</v>
      </c>
      <c r="H2723" s="2">
        <v>46082</v>
      </c>
      <c r="I2723" s="3" t="str">
        <f t="shared" si="211"/>
        <v/>
      </c>
      <c r="J2723" t="str">
        <f t="shared" si="212"/>
        <v/>
      </c>
      <c r="K2723" t="str">
        <f t="shared" si="213"/>
        <v/>
      </c>
      <c r="L2723" t="str">
        <f t="shared" si="214"/>
        <v/>
      </c>
      <c r="M2723" t="str">
        <f>IF(COUNTIF($A$2:A2723,A2723)=1,
     VLOOKUP(A2723,Season_Winners!A:B,2,FALSE),
     "")</f>
        <v/>
      </c>
    </row>
    <row r="2724" spans="1:13" x14ac:dyDescent="0.3">
      <c r="A2724" t="s">
        <v>998</v>
      </c>
      <c r="B2724">
        <v>7</v>
      </c>
      <c r="C2724" t="s">
        <v>1024</v>
      </c>
      <c r="D2724" t="str">
        <f t="shared" si="210"/>
        <v>24.10.2020</v>
      </c>
      <c r="E2724" s="1">
        <v>0.77083333333333337</v>
      </c>
      <c r="F2724" t="s">
        <v>23</v>
      </c>
      <c r="G2724" t="s">
        <v>15</v>
      </c>
      <c r="H2724" t="s">
        <v>18</v>
      </c>
      <c r="I2724" t="str">
        <f t="shared" si="211"/>
        <v>1-0</v>
      </c>
      <c r="J2724" t="str">
        <f t="shared" si="212"/>
        <v>1</v>
      </c>
      <c r="K2724" t="str">
        <f t="shared" si="213"/>
        <v>0</v>
      </c>
      <c r="L2724" t="str">
        <f t="shared" si="214"/>
        <v>CA Osasuna</v>
      </c>
      <c r="M2724" t="str">
        <f>IF(COUNTIF($A$2:A2724,A2724)=1,
     VLOOKUP(A2724,Season_Winners!A:B,2,FALSE),
     "")</f>
        <v/>
      </c>
    </row>
    <row r="2725" spans="1:13" x14ac:dyDescent="0.3">
      <c r="A2725" t="s">
        <v>998</v>
      </c>
      <c r="B2725">
        <v>7</v>
      </c>
      <c r="C2725" t="s">
        <v>1024</v>
      </c>
      <c r="D2725" t="str">
        <f t="shared" si="210"/>
        <v>24.10.2020</v>
      </c>
      <c r="E2725" s="1">
        <v>0.77083333333333337</v>
      </c>
      <c r="F2725" t="s">
        <v>27</v>
      </c>
      <c r="G2725" t="s">
        <v>187</v>
      </c>
      <c r="H2725" t="s">
        <v>42</v>
      </c>
      <c r="I2725" t="str">
        <f t="shared" si="211"/>
        <v>0-1</v>
      </c>
      <c r="J2725" t="str">
        <f t="shared" si="212"/>
        <v>0</v>
      </c>
      <c r="K2725" t="str">
        <f t="shared" si="213"/>
        <v>1</v>
      </c>
      <c r="L2725" t="str">
        <f t="shared" si="214"/>
        <v>SD Eibar</v>
      </c>
      <c r="M2725" t="str">
        <f>IF(COUNTIF($A$2:A2725,A2725)=1,
     VLOOKUP(A2725,Season_Winners!A:B,2,FALSE),
     "")</f>
        <v/>
      </c>
    </row>
    <row r="2726" spans="1:13" x14ac:dyDescent="0.3">
      <c r="A2726" t="s">
        <v>998</v>
      </c>
      <c r="B2726">
        <v>7</v>
      </c>
      <c r="C2726" t="s">
        <v>1024</v>
      </c>
      <c r="D2726" t="str">
        <f t="shared" si="210"/>
        <v>24.10.2020</v>
      </c>
      <c r="E2726" s="1">
        <v>0.875</v>
      </c>
      <c r="F2726" t="s">
        <v>1425</v>
      </c>
      <c r="G2726" t="s">
        <v>26</v>
      </c>
      <c r="H2726" t="s">
        <v>12</v>
      </c>
      <c r="I2726" t="str">
        <f t="shared" si="211"/>
        <v>2-0</v>
      </c>
      <c r="J2726" t="str">
        <f t="shared" si="212"/>
        <v>2</v>
      </c>
      <c r="K2726" t="str">
        <f t="shared" si="213"/>
        <v>0</v>
      </c>
      <c r="L2726" t="str">
        <f t="shared" si="214"/>
        <v>Atlético de Madrid</v>
      </c>
      <c r="M2726" t="str">
        <f>IF(COUNTIF($A$2:A2726,A2726)=1,
     VLOOKUP(A2726,Season_Winners!A:B,2,FALSE),
     "")</f>
        <v/>
      </c>
    </row>
    <row r="2727" spans="1:13" x14ac:dyDescent="0.3">
      <c r="A2727" t="s">
        <v>998</v>
      </c>
      <c r="B2727">
        <v>7</v>
      </c>
      <c r="C2727" t="s">
        <v>1025</v>
      </c>
      <c r="D2727" t="str">
        <f t="shared" si="210"/>
        <v>25.10.2020</v>
      </c>
      <c r="E2727" s="1">
        <v>0.58333333333333337</v>
      </c>
      <c r="F2727" t="s">
        <v>14</v>
      </c>
      <c r="G2727" t="s">
        <v>464</v>
      </c>
      <c r="H2727" t="s">
        <v>54</v>
      </c>
      <c r="I2727" t="str">
        <f t="shared" si="211"/>
        <v>0-2</v>
      </c>
      <c r="J2727" t="str">
        <f t="shared" si="212"/>
        <v>0</v>
      </c>
      <c r="K2727" t="str">
        <f t="shared" si="213"/>
        <v>2</v>
      </c>
      <c r="L2727" t="str">
        <f t="shared" si="214"/>
        <v>Deportivo AlavÃ©s</v>
      </c>
      <c r="M2727" t="str">
        <f>IF(COUNTIF($A$2:A2727,A2727)=1,
     VLOOKUP(A2727,Season_Winners!A:B,2,FALSE),
     "")</f>
        <v/>
      </c>
    </row>
    <row r="2728" spans="1:13" x14ac:dyDescent="0.3">
      <c r="A2728" t="s">
        <v>998</v>
      </c>
      <c r="B2728">
        <v>7</v>
      </c>
      <c r="C2728" t="s">
        <v>1025</v>
      </c>
      <c r="D2728" t="str">
        <f t="shared" si="210"/>
        <v>25.10.2020</v>
      </c>
      <c r="E2728" s="1">
        <v>0.66666666666666663</v>
      </c>
      <c r="F2728" t="s">
        <v>1000</v>
      </c>
      <c r="G2728" t="s">
        <v>34</v>
      </c>
      <c r="H2728" t="s">
        <v>41</v>
      </c>
      <c r="I2728" t="str">
        <f t="shared" si="211"/>
        <v>0-0</v>
      </c>
      <c r="J2728" t="str">
        <f t="shared" si="212"/>
        <v>0</v>
      </c>
      <c r="K2728" t="str">
        <f t="shared" si="213"/>
        <v>0</v>
      </c>
      <c r="L2728" t="str">
        <f t="shared" si="214"/>
        <v>Draw</v>
      </c>
      <c r="M2728" t="str">
        <f>IF(COUNTIF($A$2:A2728,A2728)=1,
     VLOOKUP(A2728,Season_Winners!A:B,2,FALSE),
     "")</f>
        <v/>
      </c>
    </row>
    <row r="2729" spans="1:13" x14ac:dyDescent="0.3">
      <c r="A2729" t="s">
        <v>998</v>
      </c>
      <c r="B2729">
        <v>7</v>
      </c>
      <c r="C2729" t="s">
        <v>1025</v>
      </c>
      <c r="D2729" t="str">
        <f t="shared" si="210"/>
        <v>25.10.2020</v>
      </c>
      <c r="E2729" s="1">
        <v>0.77083333333333337</v>
      </c>
      <c r="F2729" t="s">
        <v>11</v>
      </c>
      <c r="G2729" t="s">
        <v>24</v>
      </c>
      <c r="H2729" t="s">
        <v>42</v>
      </c>
      <c r="I2729" t="str">
        <f t="shared" si="211"/>
        <v>0-1</v>
      </c>
      <c r="J2729" t="str">
        <f t="shared" si="212"/>
        <v>0</v>
      </c>
      <c r="K2729" t="str">
        <f t="shared" si="213"/>
        <v>1</v>
      </c>
      <c r="L2729" t="str">
        <f t="shared" si="214"/>
        <v>Granada CF</v>
      </c>
      <c r="M2729" t="str">
        <f>IF(COUNTIF($A$2:A2729,A2729)=1,
     VLOOKUP(A2729,Season_Winners!A:B,2,FALSE),
     "")</f>
        <v/>
      </c>
    </row>
    <row r="2730" spans="1:13" hidden="1" x14ac:dyDescent="0.3">
      <c r="A2730" t="s">
        <v>998</v>
      </c>
      <c r="B2730">
        <v>7</v>
      </c>
      <c r="C2730" t="s">
        <v>1025</v>
      </c>
      <c r="D2730" t="str">
        <f t="shared" si="210"/>
        <v>25.10.2020</v>
      </c>
      <c r="E2730" s="1">
        <v>0.875</v>
      </c>
      <c r="F2730" t="s">
        <v>10</v>
      </c>
      <c r="G2730" t="s">
        <v>750</v>
      </c>
      <c r="H2730" s="2">
        <v>46026</v>
      </c>
      <c r="I2730" s="3" t="str">
        <f t="shared" si="211"/>
        <v/>
      </c>
      <c r="J2730" t="str">
        <f t="shared" si="212"/>
        <v/>
      </c>
      <c r="K2730" t="str">
        <f t="shared" si="213"/>
        <v/>
      </c>
      <c r="L2730" t="str">
        <f t="shared" si="214"/>
        <v/>
      </c>
      <c r="M2730" t="str">
        <f>IF(COUNTIF($A$2:A2730,A2730)=1,
     VLOOKUP(A2730,Season_Winners!A:B,2,FALSE),
     "")</f>
        <v/>
      </c>
    </row>
    <row r="2731" spans="1:13" hidden="1" x14ac:dyDescent="0.3">
      <c r="A2731" t="s">
        <v>998</v>
      </c>
      <c r="B2731">
        <v>7</v>
      </c>
      <c r="C2731" t="s">
        <v>1026</v>
      </c>
      <c r="D2731" t="str">
        <f t="shared" si="210"/>
        <v>26.10.2020</v>
      </c>
      <c r="E2731" s="1">
        <v>0.875</v>
      </c>
      <c r="F2731" t="s">
        <v>21</v>
      </c>
      <c r="G2731" t="s">
        <v>35</v>
      </c>
      <c r="H2731" s="2">
        <v>46023</v>
      </c>
      <c r="I2731" s="3" t="str">
        <f t="shared" si="211"/>
        <v/>
      </c>
      <c r="J2731" t="str">
        <f t="shared" si="212"/>
        <v/>
      </c>
      <c r="K2731" t="str">
        <f t="shared" si="213"/>
        <v/>
      </c>
      <c r="L2731" t="str">
        <f t="shared" si="214"/>
        <v/>
      </c>
      <c r="M2731" t="str">
        <f>IF(COUNTIF($A$2:A2731,A2731)=1,
     VLOOKUP(A2731,Season_Winners!A:B,2,FALSE),
     "")</f>
        <v/>
      </c>
    </row>
    <row r="2732" spans="1:13" x14ac:dyDescent="0.3">
      <c r="A2732" t="s">
        <v>998</v>
      </c>
      <c r="B2732">
        <v>8</v>
      </c>
      <c r="C2732" t="s">
        <v>1027</v>
      </c>
      <c r="D2732" t="str">
        <f t="shared" si="210"/>
        <v>30.10.2020</v>
      </c>
      <c r="E2732" s="1">
        <v>0.875</v>
      </c>
      <c r="F2732" t="s">
        <v>187</v>
      </c>
      <c r="G2732" t="s">
        <v>1000</v>
      </c>
      <c r="H2732" t="s">
        <v>54</v>
      </c>
      <c r="I2732" t="str">
        <f t="shared" si="211"/>
        <v>0-2</v>
      </c>
      <c r="J2732" t="str">
        <f t="shared" si="212"/>
        <v>0</v>
      </c>
      <c r="K2732" t="str">
        <f t="shared" si="213"/>
        <v>2</v>
      </c>
      <c r="L2732" t="str">
        <f t="shared" si="214"/>
        <v>CÃ¡diz CF</v>
      </c>
      <c r="M2732" t="str">
        <f>IF(COUNTIF($A$2:A2732,A2732)=1,
     VLOOKUP(A2732,Season_Winners!A:B,2,FALSE),
     "")</f>
        <v/>
      </c>
    </row>
    <row r="2733" spans="1:13" hidden="1" x14ac:dyDescent="0.3">
      <c r="A2733" t="s">
        <v>998</v>
      </c>
      <c r="B2733">
        <v>8</v>
      </c>
      <c r="C2733" t="s">
        <v>1028</v>
      </c>
      <c r="D2733" t="str">
        <f t="shared" si="210"/>
        <v>31.10.2020</v>
      </c>
      <c r="E2733" s="1">
        <v>0.58333333333333337</v>
      </c>
      <c r="F2733" t="s">
        <v>25</v>
      </c>
      <c r="G2733" t="s">
        <v>750</v>
      </c>
      <c r="H2733" s="2">
        <v>46026</v>
      </c>
      <c r="I2733" s="3" t="str">
        <f t="shared" si="211"/>
        <v/>
      </c>
      <c r="J2733" t="str">
        <f t="shared" si="212"/>
        <v/>
      </c>
      <c r="K2733" t="str">
        <f t="shared" si="213"/>
        <v/>
      </c>
      <c r="L2733" t="str">
        <f t="shared" si="214"/>
        <v/>
      </c>
      <c r="M2733" t="str">
        <f>IF(COUNTIF($A$2:A2733,A2733)=1,
     VLOOKUP(A2733,Season_Winners!A:B,2,FALSE),
     "")</f>
        <v/>
      </c>
    </row>
    <row r="2734" spans="1:13" hidden="1" x14ac:dyDescent="0.3">
      <c r="A2734" t="s">
        <v>998</v>
      </c>
      <c r="B2734">
        <v>8</v>
      </c>
      <c r="C2734" t="s">
        <v>1028</v>
      </c>
      <c r="D2734" t="str">
        <f t="shared" si="210"/>
        <v>31.10.2020</v>
      </c>
      <c r="E2734" s="1">
        <v>0.67708333333333337</v>
      </c>
      <c r="F2734" t="s">
        <v>15</v>
      </c>
      <c r="G2734" t="s">
        <v>27</v>
      </c>
      <c r="H2734" s="2">
        <v>46024</v>
      </c>
      <c r="I2734" s="3" t="str">
        <f t="shared" si="211"/>
        <v/>
      </c>
      <c r="J2734" t="str">
        <f t="shared" si="212"/>
        <v/>
      </c>
      <c r="K2734" t="str">
        <f t="shared" si="213"/>
        <v/>
      </c>
      <c r="L2734" t="str">
        <f t="shared" si="214"/>
        <v/>
      </c>
      <c r="M2734" t="str">
        <f>IF(COUNTIF($A$2:A2734,A2734)=1,
     VLOOKUP(A2734,Season_Winners!A:B,2,FALSE),
     "")</f>
        <v/>
      </c>
    </row>
    <row r="2735" spans="1:13" hidden="1" x14ac:dyDescent="0.3">
      <c r="A2735" t="s">
        <v>998</v>
      </c>
      <c r="B2735">
        <v>8</v>
      </c>
      <c r="C2735" t="s">
        <v>1028</v>
      </c>
      <c r="D2735" t="str">
        <f t="shared" si="210"/>
        <v>31.10.2020</v>
      </c>
      <c r="E2735" s="1">
        <v>0.77083333333333337</v>
      </c>
      <c r="F2735" t="s">
        <v>23</v>
      </c>
      <c r="G2735" t="s">
        <v>28</v>
      </c>
      <c r="H2735" s="2">
        <v>46082</v>
      </c>
      <c r="I2735" s="3" t="str">
        <f t="shared" si="211"/>
        <v/>
      </c>
      <c r="J2735" t="str">
        <f t="shared" si="212"/>
        <v/>
      </c>
      <c r="K2735" t="str">
        <f t="shared" si="213"/>
        <v/>
      </c>
      <c r="L2735" t="str">
        <f t="shared" si="214"/>
        <v/>
      </c>
      <c r="M2735" t="str">
        <f>IF(COUNTIF($A$2:A2735,A2735)=1,
     VLOOKUP(A2735,Season_Winners!A:B,2,FALSE),
     "")</f>
        <v/>
      </c>
    </row>
    <row r="2736" spans="1:13" hidden="1" x14ac:dyDescent="0.3">
      <c r="A2736" t="s">
        <v>998</v>
      </c>
      <c r="B2736">
        <v>8</v>
      </c>
      <c r="C2736" t="s">
        <v>1028</v>
      </c>
      <c r="D2736" t="str">
        <f t="shared" si="210"/>
        <v>31.10.2020</v>
      </c>
      <c r="E2736" s="1">
        <v>0.875</v>
      </c>
      <c r="F2736" t="s">
        <v>464</v>
      </c>
      <c r="G2736" t="s">
        <v>20</v>
      </c>
      <c r="H2736" s="2">
        <v>46023</v>
      </c>
      <c r="I2736" s="3" t="str">
        <f t="shared" si="211"/>
        <v/>
      </c>
      <c r="J2736" t="str">
        <f t="shared" si="212"/>
        <v/>
      </c>
      <c r="K2736" t="str">
        <f t="shared" si="213"/>
        <v/>
      </c>
      <c r="L2736" t="str">
        <f t="shared" si="214"/>
        <v/>
      </c>
      <c r="M2736" t="str">
        <f>IF(COUNTIF($A$2:A2736,A2736)=1,
     VLOOKUP(A2736,Season_Winners!A:B,2,FALSE),
     "")</f>
        <v/>
      </c>
    </row>
    <row r="2737" spans="1:13" hidden="1" x14ac:dyDescent="0.3">
      <c r="A2737" t="s">
        <v>998</v>
      </c>
      <c r="B2737">
        <v>8</v>
      </c>
      <c r="C2737" t="s">
        <v>1029</v>
      </c>
      <c r="D2737" t="str">
        <f t="shared" si="210"/>
        <v>01.11.2020</v>
      </c>
      <c r="E2737" s="1">
        <v>0.58333333333333337</v>
      </c>
      <c r="F2737" t="s">
        <v>26</v>
      </c>
      <c r="G2737" t="s">
        <v>31</v>
      </c>
      <c r="H2737" s="2">
        <v>46025</v>
      </c>
      <c r="I2737" s="3" t="str">
        <f t="shared" si="211"/>
        <v/>
      </c>
      <c r="J2737" t="str">
        <f t="shared" si="212"/>
        <v/>
      </c>
      <c r="K2737" t="str">
        <f t="shared" si="213"/>
        <v/>
      </c>
      <c r="L2737" t="str">
        <f t="shared" si="214"/>
        <v/>
      </c>
      <c r="M2737" t="str">
        <f>IF(COUNTIF($A$2:A2737,A2737)=1,
     VLOOKUP(A2737,Season_Winners!A:B,2,FALSE),
     "")</f>
        <v/>
      </c>
    </row>
    <row r="2738" spans="1:13" hidden="1" x14ac:dyDescent="0.3">
      <c r="A2738" t="s">
        <v>998</v>
      </c>
      <c r="B2738">
        <v>8</v>
      </c>
      <c r="C2738" t="s">
        <v>1029</v>
      </c>
      <c r="D2738" t="str">
        <f t="shared" si="210"/>
        <v>01.11.2020</v>
      </c>
      <c r="E2738" s="1">
        <v>0.66666666666666663</v>
      </c>
      <c r="F2738" t="s">
        <v>35</v>
      </c>
      <c r="G2738" t="s">
        <v>10</v>
      </c>
      <c r="H2738" s="2">
        <v>46113</v>
      </c>
      <c r="I2738" s="3" t="str">
        <f t="shared" si="211"/>
        <v/>
      </c>
      <c r="J2738" t="str">
        <f t="shared" si="212"/>
        <v/>
      </c>
      <c r="K2738" t="str">
        <f t="shared" si="213"/>
        <v/>
      </c>
      <c r="L2738" t="str">
        <f t="shared" si="214"/>
        <v/>
      </c>
      <c r="M2738" t="str">
        <f>IF(COUNTIF($A$2:A2738,A2738)=1,
     VLOOKUP(A2738,Season_Winners!A:B,2,FALSE),
     "")</f>
        <v/>
      </c>
    </row>
    <row r="2739" spans="1:13" hidden="1" x14ac:dyDescent="0.3">
      <c r="A2739" t="s">
        <v>998</v>
      </c>
      <c r="B2739">
        <v>8</v>
      </c>
      <c r="C2739" t="s">
        <v>1029</v>
      </c>
      <c r="D2739" t="str">
        <f t="shared" si="210"/>
        <v>01.11.2020</v>
      </c>
      <c r="E2739" s="1">
        <v>0.77083333333333337</v>
      </c>
      <c r="F2739" t="s">
        <v>24</v>
      </c>
      <c r="G2739" t="s">
        <v>21</v>
      </c>
      <c r="H2739" s="2">
        <v>46023</v>
      </c>
      <c r="I2739" s="3" t="str">
        <f t="shared" si="211"/>
        <v/>
      </c>
      <c r="J2739" t="str">
        <f t="shared" si="212"/>
        <v/>
      </c>
      <c r="K2739" t="str">
        <f t="shared" si="213"/>
        <v/>
      </c>
      <c r="L2739" t="str">
        <f t="shared" si="214"/>
        <v/>
      </c>
      <c r="M2739" t="str">
        <f>IF(COUNTIF($A$2:A2739,A2739)=1,
     VLOOKUP(A2739,Season_Winners!A:B,2,FALSE),
     "")</f>
        <v/>
      </c>
    </row>
    <row r="2740" spans="1:13" hidden="1" x14ac:dyDescent="0.3">
      <c r="A2740" t="s">
        <v>998</v>
      </c>
      <c r="B2740">
        <v>8</v>
      </c>
      <c r="C2740" t="s">
        <v>1029</v>
      </c>
      <c r="D2740" t="str">
        <f t="shared" si="210"/>
        <v>01.11.2020</v>
      </c>
      <c r="E2740" s="1">
        <v>0.875</v>
      </c>
      <c r="F2740" t="s">
        <v>16</v>
      </c>
      <c r="G2740" t="s">
        <v>11</v>
      </c>
      <c r="H2740" s="2">
        <v>46055</v>
      </c>
      <c r="I2740" s="3" t="str">
        <f t="shared" si="211"/>
        <v/>
      </c>
      <c r="J2740" t="str">
        <f t="shared" si="212"/>
        <v/>
      </c>
      <c r="K2740" t="str">
        <f t="shared" si="213"/>
        <v/>
      </c>
      <c r="L2740" t="str">
        <f t="shared" si="214"/>
        <v/>
      </c>
      <c r="M2740" t="str">
        <f>IF(COUNTIF($A$2:A2740,A2740)=1,
     VLOOKUP(A2740,Season_Winners!A:B,2,FALSE),
     "")</f>
        <v/>
      </c>
    </row>
    <row r="2741" spans="1:13" x14ac:dyDescent="0.3">
      <c r="A2741" t="s">
        <v>998</v>
      </c>
      <c r="B2741">
        <v>8</v>
      </c>
      <c r="C2741" t="s">
        <v>1030</v>
      </c>
      <c r="D2741" t="str">
        <f t="shared" si="210"/>
        <v>02.11.2020</v>
      </c>
      <c r="E2741" s="1">
        <v>0.875</v>
      </c>
      <c r="F2741" t="s">
        <v>34</v>
      </c>
      <c r="G2741" t="s">
        <v>14</v>
      </c>
      <c r="H2741" t="s">
        <v>12</v>
      </c>
      <c r="I2741" t="str">
        <f t="shared" si="211"/>
        <v>2-0</v>
      </c>
      <c r="J2741" t="str">
        <f t="shared" si="212"/>
        <v>2</v>
      </c>
      <c r="K2741" t="str">
        <f t="shared" si="213"/>
        <v>0</v>
      </c>
      <c r="L2741" t="str">
        <f t="shared" si="214"/>
        <v>Villarreal CF</v>
      </c>
      <c r="M2741" t="str">
        <f>IF(COUNTIF($A$2:A2741,A2741)=1,
     VLOOKUP(A2741,Season_Winners!A:B,2,FALSE),
     "")</f>
        <v/>
      </c>
    </row>
    <row r="2742" spans="1:13" hidden="1" x14ac:dyDescent="0.3">
      <c r="A2742" t="s">
        <v>998</v>
      </c>
      <c r="B2742">
        <v>9</v>
      </c>
      <c r="C2742" t="s">
        <v>1031</v>
      </c>
      <c r="D2742" t="str">
        <f t="shared" si="210"/>
        <v>06.11.2020</v>
      </c>
      <c r="E2742" s="1">
        <v>0.875</v>
      </c>
      <c r="F2742" t="s">
        <v>31</v>
      </c>
      <c r="G2742" t="s">
        <v>35</v>
      </c>
      <c r="H2742" s="2">
        <v>46023</v>
      </c>
      <c r="I2742" s="3" t="str">
        <f t="shared" si="211"/>
        <v/>
      </c>
      <c r="J2742" t="str">
        <f t="shared" si="212"/>
        <v/>
      </c>
      <c r="K2742" t="str">
        <f t="shared" si="213"/>
        <v/>
      </c>
      <c r="L2742" t="str">
        <f t="shared" si="214"/>
        <v/>
      </c>
      <c r="M2742" t="str">
        <f>IF(COUNTIF($A$2:A2742,A2742)=1,
     VLOOKUP(A2742,Season_Winners!A:B,2,FALSE),
     "")</f>
        <v/>
      </c>
    </row>
    <row r="2743" spans="1:13" hidden="1" x14ac:dyDescent="0.3">
      <c r="A2743" t="s">
        <v>998</v>
      </c>
      <c r="B2743">
        <v>9</v>
      </c>
      <c r="C2743" t="s">
        <v>1032</v>
      </c>
      <c r="D2743" t="str">
        <f t="shared" si="210"/>
        <v>07.11.2020</v>
      </c>
      <c r="E2743" s="1">
        <v>0.58333333333333337</v>
      </c>
      <c r="F2743" t="s">
        <v>750</v>
      </c>
      <c r="G2743" t="s">
        <v>187</v>
      </c>
      <c r="H2743" s="2">
        <v>46023</v>
      </c>
      <c r="I2743" s="3" t="str">
        <f t="shared" si="211"/>
        <v/>
      </c>
      <c r="J2743" t="str">
        <f t="shared" si="212"/>
        <v/>
      </c>
      <c r="K2743" t="str">
        <f t="shared" si="213"/>
        <v/>
      </c>
      <c r="L2743" t="str">
        <f t="shared" si="214"/>
        <v/>
      </c>
      <c r="M2743" t="str">
        <f>IF(COUNTIF($A$2:A2743,A2743)=1,
     VLOOKUP(A2743,Season_Winners!A:B,2,FALSE),
     "")</f>
        <v/>
      </c>
    </row>
    <row r="2744" spans="1:13" hidden="1" x14ac:dyDescent="0.3">
      <c r="A2744" t="s">
        <v>998</v>
      </c>
      <c r="B2744">
        <v>9</v>
      </c>
      <c r="C2744" t="s">
        <v>1032</v>
      </c>
      <c r="D2744" t="str">
        <f t="shared" si="210"/>
        <v>07.11.2020</v>
      </c>
      <c r="E2744" s="1">
        <v>0.67708333333333337</v>
      </c>
      <c r="F2744" t="s">
        <v>20</v>
      </c>
      <c r="G2744" t="s">
        <v>26</v>
      </c>
      <c r="H2744" s="2">
        <v>46058</v>
      </c>
      <c r="I2744" s="3" t="str">
        <f t="shared" si="211"/>
        <v/>
      </c>
      <c r="J2744" t="str">
        <f t="shared" si="212"/>
        <v/>
      </c>
      <c r="K2744" t="str">
        <f t="shared" si="213"/>
        <v/>
      </c>
      <c r="L2744" t="str">
        <f t="shared" si="214"/>
        <v/>
      </c>
      <c r="M2744" t="str">
        <f>IF(COUNTIF($A$2:A2744,A2744)=1,
     VLOOKUP(A2744,Season_Winners!A:B,2,FALSE),
     "")</f>
        <v/>
      </c>
    </row>
    <row r="2745" spans="1:13" x14ac:dyDescent="0.3">
      <c r="A2745" t="s">
        <v>998</v>
      </c>
      <c r="B2745">
        <v>9</v>
      </c>
      <c r="C2745" t="s">
        <v>1032</v>
      </c>
      <c r="D2745" t="str">
        <f t="shared" si="210"/>
        <v>07.11.2020</v>
      </c>
      <c r="E2745" s="1">
        <v>0.77083333333333337</v>
      </c>
      <c r="F2745" t="s">
        <v>27</v>
      </c>
      <c r="G2745" t="s">
        <v>23</v>
      </c>
      <c r="H2745" t="s">
        <v>18</v>
      </c>
      <c r="I2745" t="str">
        <f t="shared" si="211"/>
        <v>1-0</v>
      </c>
      <c r="J2745" t="str">
        <f t="shared" si="212"/>
        <v>1</v>
      </c>
      <c r="K2745" t="str">
        <f t="shared" si="213"/>
        <v>0</v>
      </c>
      <c r="L2745" t="str">
        <f t="shared" si="214"/>
        <v>Sevilla FC</v>
      </c>
      <c r="M2745" t="str">
        <f>IF(COUNTIF($A$2:A2745,A2745)=1,
     VLOOKUP(A2745,Season_Winners!A:B,2,FALSE),
     "")</f>
        <v/>
      </c>
    </row>
    <row r="2746" spans="1:13" x14ac:dyDescent="0.3">
      <c r="A2746" t="s">
        <v>998</v>
      </c>
      <c r="B2746">
        <v>9</v>
      </c>
      <c r="C2746" t="s">
        <v>1032</v>
      </c>
      <c r="D2746" t="str">
        <f t="shared" si="210"/>
        <v>07.11.2020</v>
      </c>
      <c r="E2746" s="1">
        <v>0.875</v>
      </c>
      <c r="F2746" t="s">
        <v>1425</v>
      </c>
      <c r="G2746" t="s">
        <v>1000</v>
      </c>
      <c r="H2746" t="s">
        <v>88</v>
      </c>
      <c r="I2746" t="str">
        <f t="shared" si="211"/>
        <v>4-0</v>
      </c>
      <c r="J2746" t="str">
        <f t="shared" si="212"/>
        <v>4</v>
      </c>
      <c r="K2746" t="str">
        <f t="shared" si="213"/>
        <v>0</v>
      </c>
      <c r="L2746" t="str">
        <f t="shared" si="214"/>
        <v>Atlético de Madrid</v>
      </c>
      <c r="M2746" t="str">
        <f>IF(COUNTIF($A$2:A2746,A2746)=1,
     VLOOKUP(A2746,Season_Winners!A:B,2,FALSE),
     "")</f>
        <v/>
      </c>
    </row>
    <row r="2747" spans="1:13" hidden="1" x14ac:dyDescent="0.3">
      <c r="A2747" t="s">
        <v>998</v>
      </c>
      <c r="B2747">
        <v>9</v>
      </c>
      <c r="C2747" t="s">
        <v>1033</v>
      </c>
      <c r="D2747" t="str">
        <f t="shared" si="210"/>
        <v>08.11.2020</v>
      </c>
      <c r="E2747" s="1">
        <v>0.58333333333333337</v>
      </c>
      <c r="F2747" t="s">
        <v>11</v>
      </c>
      <c r="G2747" t="s">
        <v>34</v>
      </c>
      <c r="H2747" s="2">
        <v>46082</v>
      </c>
      <c r="I2747" s="3" t="str">
        <f t="shared" si="211"/>
        <v/>
      </c>
      <c r="J2747" t="str">
        <f t="shared" si="212"/>
        <v/>
      </c>
      <c r="K2747" t="str">
        <f t="shared" si="213"/>
        <v/>
      </c>
      <c r="L2747" t="str">
        <f t="shared" si="214"/>
        <v/>
      </c>
      <c r="M2747" t="str">
        <f>IF(COUNTIF($A$2:A2747,A2747)=1,
     VLOOKUP(A2747,Season_Winners!A:B,2,FALSE),
     "")</f>
        <v/>
      </c>
    </row>
    <row r="2748" spans="1:13" x14ac:dyDescent="0.3">
      <c r="A2748" t="s">
        <v>998</v>
      </c>
      <c r="B2748">
        <v>9</v>
      </c>
      <c r="C2748" t="s">
        <v>1033</v>
      </c>
      <c r="D2748" t="str">
        <f t="shared" si="210"/>
        <v>08.11.2020</v>
      </c>
      <c r="E2748" s="1">
        <v>0.67708333333333337</v>
      </c>
      <c r="F2748" t="s">
        <v>10</v>
      </c>
      <c r="G2748" t="s">
        <v>24</v>
      </c>
      <c r="H2748" t="s">
        <v>12</v>
      </c>
      <c r="I2748" t="str">
        <f t="shared" si="211"/>
        <v>2-0</v>
      </c>
      <c r="J2748" t="str">
        <f t="shared" si="212"/>
        <v>2</v>
      </c>
      <c r="K2748" t="str">
        <f t="shared" si="213"/>
        <v>0</v>
      </c>
      <c r="L2748" t="str">
        <f t="shared" si="214"/>
        <v>Real Sociedad</v>
      </c>
      <c r="M2748" t="str">
        <f>IF(COUNTIF($A$2:A2748,A2748)=1,
     VLOOKUP(A2748,Season_Winners!A:B,2,FALSE),
     "")</f>
        <v/>
      </c>
    </row>
    <row r="2749" spans="1:13" hidden="1" x14ac:dyDescent="0.3">
      <c r="A2749" t="s">
        <v>998</v>
      </c>
      <c r="B2749">
        <v>9</v>
      </c>
      <c r="C2749" t="s">
        <v>1033</v>
      </c>
      <c r="D2749" t="str">
        <f t="shared" si="210"/>
        <v>08.11.2020</v>
      </c>
      <c r="E2749" s="1">
        <v>0.77083333333333337</v>
      </c>
      <c r="F2749" t="s">
        <v>21</v>
      </c>
      <c r="G2749" t="s">
        <v>464</v>
      </c>
      <c r="H2749" s="2">
        <v>46023</v>
      </c>
      <c r="I2749" s="3" t="str">
        <f t="shared" si="211"/>
        <v/>
      </c>
      <c r="J2749" t="str">
        <f t="shared" si="212"/>
        <v/>
      </c>
      <c r="K2749" t="str">
        <f t="shared" si="213"/>
        <v/>
      </c>
      <c r="L2749" t="str">
        <f t="shared" si="214"/>
        <v/>
      </c>
      <c r="M2749" t="str">
        <f>IF(COUNTIF($A$2:A2749,A2749)=1,
     VLOOKUP(A2749,Season_Winners!A:B,2,FALSE),
     "")</f>
        <v/>
      </c>
    </row>
    <row r="2750" spans="1:13" hidden="1" x14ac:dyDescent="0.3">
      <c r="A2750" t="s">
        <v>998</v>
      </c>
      <c r="B2750">
        <v>9</v>
      </c>
      <c r="C2750" t="s">
        <v>1033</v>
      </c>
      <c r="D2750" t="str">
        <f t="shared" si="210"/>
        <v>08.11.2020</v>
      </c>
      <c r="E2750" s="1">
        <v>0.77083333333333337</v>
      </c>
      <c r="F2750" t="s">
        <v>14</v>
      </c>
      <c r="G2750" t="s">
        <v>15</v>
      </c>
      <c r="H2750" s="2">
        <v>46024</v>
      </c>
      <c r="I2750" s="3" t="str">
        <f t="shared" si="211"/>
        <v/>
      </c>
      <c r="J2750" t="str">
        <f t="shared" si="212"/>
        <v/>
      </c>
      <c r="K2750" t="str">
        <f t="shared" si="213"/>
        <v/>
      </c>
      <c r="L2750" t="str">
        <f t="shared" si="214"/>
        <v/>
      </c>
      <c r="M2750" t="str">
        <f>IF(COUNTIF($A$2:A2750,A2750)=1,
     VLOOKUP(A2750,Season_Winners!A:B,2,FALSE),
     "")</f>
        <v/>
      </c>
    </row>
    <row r="2751" spans="1:13" hidden="1" x14ac:dyDescent="0.3">
      <c r="A2751" t="s">
        <v>998</v>
      </c>
      <c r="B2751">
        <v>9</v>
      </c>
      <c r="C2751" t="s">
        <v>1033</v>
      </c>
      <c r="D2751" t="str">
        <f t="shared" si="210"/>
        <v>08.11.2020</v>
      </c>
      <c r="E2751" s="1">
        <v>0.875</v>
      </c>
      <c r="F2751" t="s">
        <v>16</v>
      </c>
      <c r="G2751" t="s">
        <v>25</v>
      </c>
      <c r="H2751" s="2">
        <v>46026</v>
      </c>
      <c r="I2751" s="3" t="str">
        <f t="shared" si="211"/>
        <v/>
      </c>
      <c r="J2751" t="str">
        <f t="shared" si="212"/>
        <v/>
      </c>
      <c r="K2751" t="str">
        <f t="shared" si="213"/>
        <v/>
      </c>
      <c r="L2751" t="str">
        <f t="shared" si="214"/>
        <v/>
      </c>
      <c r="M2751" t="str">
        <f>IF(COUNTIF($A$2:A2751,A2751)=1,
     VLOOKUP(A2751,Season_Winners!A:B,2,FALSE),
     "")</f>
        <v/>
      </c>
    </row>
    <row r="2752" spans="1:13" hidden="1" x14ac:dyDescent="0.3">
      <c r="A2752" t="s">
        <v>998</v>
      </c>
      <c r="B2752">
        <v>10</v>
      </c>
      <c r="C2752" t="s">
        <v>1034</v>
      </c>
      <c r="D2752" t="str">
        <f t="shared" si="210"/>
        <v>20.11.2020</v>
      </c>
      <c r="E2752" s="1">
        <v>0.875</v>
      </c>
      <c r="F2752" t="s">
        <v>23</v>
      </c>
      <c r="G2752" t="s">
        <v>750</v>
      </c>
      <c r="H2752" s="2">
        <v>46023</v>
      </c>
      <c r="I2752" s="3" t="str">
        <f t="shared" si="211"/>
        <v/>
      </c>
      <c r="J2752" t="str">
        <f t="shared" si="212"/>
        <v/>
      </c>
      <c r="K2752" t="str">
        <f t="shared" si="213"/>
        <v/>
      </c>
      <c r="L2752" t="str">
        <f t="shared" si="214"/>
        <v/>
      </c>
      <c r="M2752" t="str">
        <f>IF(COUNTIF($A$2:A2752,A2752)=1,
     VLOOKUP(A2752,Season_Winners!A:B,2,FALSE),
     "")</f>
        <v/>
      </c>
    </row>
    <row r="2753" spans="1:13" hidden="1" x14ac:dyDescent="0.3">
      <c r="A2753" t="s">
        <v>998</v>
      </c>
      <c r="B2753">
        <v>10</v>
      </c>
      <c r="C2753" t="s">
        <v>1035</v>
      </c>
      <c r="D2753" t="str">
        <f t="shared" si="210"/>
        <v>21.11.2020</v>
      </c>
      <c r="E2753" s="1">
        <v>0.58333333333333337</v>
      </c>
      <c r="F2753" t="s">
        <v>21</v>
      </c>
      <c r="G2753" t="s">
        <v>31</v>
      </c>
      <c r="H2753" s="2">
        <v>46023</v>
      </c>
      <c r="I2753" s="3" t="str">
        <f t="shared" si="211"/>
        <v/>
      </c>
      <c r="J2753" t="str">
        <f t="shared" si="212"/>
        <v/>
      </c>
      <c r="K2753" t="str">
        <f t="shared" si="213"/>
        <v/>
      </c>
      <c r="L2753" t="str">
        <f t="shared" si="214"/>
        <v/>
      </c>
      <c r="M2753" t="str">
        <f>IF(COUNTIF($A$2:A2753,A2753)=1,
     VLOOKUP(A2753,Season_Winners!A:B,2,FALSE),
     "")</f>
        <v/>
      </c>
    </row>
    <row r="2754" spans="1:13" hidden="1" x14ac:dyDescent="0.3">
      <c r="A2754" t="s">
        <v>998</v>
      </c>
      <c r="B2754">
        <v>10</v>
      </c>
      <c r="C2754" t="s">
        <v>1035</v>
      </c>
      <c r="D2754" t="str">
        <f t="shared" ref="D2754:D2817" si="215">RIGHT(C2754,10)</f>
        <v>21.11.2020</v>
      </c>
      <c r="E2754" s="1">
        <v>0.67708333333333337</v>
      </c>
      <c r="F2754" t="s">
        <v>34</v>
      </c>
      <c r="G2754" t="s">
        <v>25</v>
      </c>
      <c r="H2754" s="2">
        <v>46023</v>
      </c>
      <c r="I2754" s="3" t="str">
        <f t="shared" ref="I2754:I2817" si="216">IF(ISNUMBER(SEARCH("-",H2754)),H2754,"")</f>
        <v/>
      </c>
      <c r="J2754" t="str">
        <f t="shared" ref="J2754:J2817" si="217">IF(I2754="","",LEFT(I2754,FIND("-",I2754)-1))</f>
        <v/>
      </c>
      <c r="K2754" t="str">
        <f t="shared" ref="K2754:K2817" si="218">IF(I2754="","",RIGHT(I2754,LEN(I2754)-FIND("-",I2754)))</f>
        <v/>
      </c>
      <c r="L2754" t="str">
        <f t="shared" ref="L2754:L2817" si="219">IF(I2754="","",IF(J2754&gt;K2754,F2754,IF(K2754&gt;J2754,G2754,"Draw")))</f>
        <v/>
      </c>
      <c r="M2754" t="str">
        <f>IF(COUNTIF($A$2:A2754,A2754)=1,
     VLOOKUP(A2754,Season_Winners!A:B,2,FALSE),
     "")</f>
        <v/>
      </c>
    </row>
    <row r="2755" spans="1:13" hidden="1" x14ac:dyDescent="0.3">
      <c r="A2755" t="s">
        <v>998</v>
      </c>
      <c r="B2755">
        <v>10</v>
      </c>
      <c r="C2755" t="s">
        <v>1035</v>
      </c>
      <c r="D2755" t="str">
        <f t="shared" si="215"/>
        <v>21.11.2020</v>
      </c>
      <c r="E2755" s="1">
        <v>0.77083333333333337</v>
      </c>
      <c r="F2755" t="s">
        <v>27</v>
      </c>
      <c r="G2755" t="s">
        <v>35</v>
      </c>
      <c r="H2755" s="2">
        <v>46057</v>
      </c>
      <c r="I2755" s="3" t="str">
        <f t="shared" si="216"/>
        <v/>
      </c>
      <c r="J2755" t="str">
        <f t="shared" si="217"/>
        <v/>
      </c>
      <c r="K2755" t="str">
        <f t="shared" si="218"/>
        <v/>
      </c>
      <c r="L2755" t="str">
        <f t="shared" si="219"/>
        <v/>
      </c>
      <c r="M2755" t="str">
        <f>IF(COUNTIF($A$2:A2755,A2755)=1,
     VLOOKUP(A2755,Season_Winners!A:B,2,FALSE),
     "")</f>
        <v/>
      </c>
    </row>
    <row r="2756" spans="1:13" x14ac:dyDescent="0.3">
      <c r="A2756" t="s">
        <v>998</v>
      </c>
      <c r="B2756">
        <v>10</v>
      </c>
      <c r="C2756" t="s">
        <v>1035</v>
      </c>
      <c r="D2756" t="str">
        <f t="shared" si="215"/>
        <v>21.11.2020</v>
      </c>
      <c r="E2756" s="1">
        <v>0.875</v>
      </c>
      <c r="F2756" t="s">
        <v>1425</v>
      </c>
      <c r="G2756" t="s">
        <v>20</v>
      </c>
      <c r="H2756" t="s">
        <v>18</v>
      </c>
      <c r="I2756" t="str">
        <f t="shared" si="216"/>
        <v>1-0</v>
      </c>
      <c r="J2756" t="str">
        <f t="shared" si="217"/>
        <v>1</v>
      </c>
      <c r="K2756" t="str">
        <f t="shared" si="218"/>
        <v>0</v>
      </c>
      <c r="L2756" t="str">
        <f t="shared" si="219"/>
        <v>Atlético de Madrid</v>
      </c>
      <c r="M2756" t="str">
        <f>IF(COUNTIF($A$2:A2756,A2756)=1,
     VLOOKUP(A2756,Season_Winners!A:B,2,FALSE),
     "")</f>
        <v/>
      </c>
    </row>
    <row r="2757" spans="1:13" x14ac:dyDescent="0.3">
      <c r="A2757" t="s">
        <v>998</v>
      </c>
      <c r="B2757">
        <v>10</v>
      </c>
      <c r="C2757" t="s">
        <v>1036</v>
      </c>
      <c r="D2757" t="str">
        <f t="shared" si="215"/>
        <v>22.11.2020</v>
      </c>
      <c r="E2757" s="1">
        <v>0.58333333333333337</v>
      </c>
      <c r="F2757" t="s">
        <v>187</v>
      </c>
      <c r="G2757" t="s">
        <v>11</v>
      </c>
      <c r="H2757" t="s">
        <v>41</v>
      </c>
      <c r="I2757" t="str">
        <f t="shared" si="216"/>
        <v>0-0</v>
      </c>
      <c r="J2757" t="str">
        <f t="shared" si="217"/>
        <v>0</v>
      </c>
      <c r="K2757" t="str">
        <f t="shared" si="218"/>
        <v>0</v>
      </c>
      <c r="L2757" t="str">
        <f t="shared" si="219"/>
        <v>Draw</v>
      </c>
      <c r="M2757" t="str">
        <f>IF(COUNTIF($A$2:A2757,A2757)=1,
     VLOOKUP(A2757,Season_Winners!A:B,2,FALSE),
     "")</f>
        <v/>
      </c>
    </row>
    <row r="2758" spans="1:13" x14ac:dyDescent="0.3">
      <c r="A2758" t="s">
        <v>998</v>
      </c>
      <c r="B2758">
        <v>10</v>
      </c>
      <c r="C2758" t="s">
        <v>1036</v>
      </c>
      <c r="D2758" t="str">
        <f t="shared" si="215"/>
        <v>22.11.2020</v>
      </c>
      <c r="E2758" s="1">
        <v>0.67708333333333337</v>
      </c>
      <c r="F2758" t="s">
        <v>1000</v>
      </c>
      <c r="G2758" t="s">
        <v>10</v>
      </c>
      <c r="H2758" t="s">
        <v>42</v>
      </c>
      <c r="I2758" t="str">
        <f t="shared" si="216"/>
        <v>0-1</v>
      </c>
      <c r="J2758" t="str">
        <f t="shared" si="217"/>
        <v>0</v>
      </c>
      <c r="K2758" t="str">
        <f t="shared" si="218"/>
        <v>1</v>
      </c>
      <c r="L2758" t="str">
        <f t="shared" si="219"/>
        <v>Real Sociedad</v>
      </c>
      <c r="M2758" t="str">
        <f>IF(COUNTIF($A$2:A2758,A2758)=1,
     VLOOKUP(A2758,Season_Winners!A:B,2,FALSE),
     "")</f>
        <v/>
      </c>
    </row>
    <row r="2759" spans="1:13" hidden="1" x14ac:dyDescent="0.3">
      <c r="A2759" t="s">
        <v>998</v>
      </c>
      <c r="B2759">
        <v>10</v>
      </c>
      <c r="C2759" t="s">
        <v>1036</v>
      </c>
      <c r="D2759" t="str">
        <f t="shared" si="215"/>
        <v>22.11.2020</v>
      </c>
      <c r="E2759" s="1">
        <v>0.77083333333333337</v>
      </c>
      <c r="F2759" t="s">
        <v>24</v>
      </c>
      <c r="G2759" t="s">
        <v>14</v>
      </c>
      <c r="H2759" s="2">
        <v>46082</v>
      </c>
      <c r="I2759" s="3" t="str">
        <f t="shared" si="216"/>
        <v/>
      </c>
      <c r="J2759" t="str">
        <f t="shared" si="217"/>
        <v/>
      </c>
      <c r="K2759" t="str">
        <f t="shared" si="218"/>
        <v/>
      </c>
      <c r="L2759" t="str">
        <f t="shared" si="219"/>
        <v/>
      </c>
      <c r="M2759" t="str">
        <f>IF(COUNTIF($A$2:A2759,A2759)=1,
     VLOOKUP(A2759,Season_Winners!A:B,2,FALSE),
     "")</f>
        <v/>
      </c>
    </row>
    <row r="2760" spans="1:13" hidden="1" x14ac:dyDescent="0.3">
      <c r="A2760" t="s">
        <v>998</v>
      </c>
      <c r="B2760">
        <v>10</v>
      </c>
      <c r="C2760" t="s">
        <v>1036</v>
      </c>
      <c r="D2760" t="str">
        <f t="shared" si="215"/>
        <v>22.11.2020</v>
      </c>
      <c r="E2760" s="1">
        <v>0.875</v>
      </c>
      <c r="F2760" t="s">
        <v>464</v>
      </c>
      <c r="G2760" t="s">
        <v>16</v>
      </c>
      <c r="H2760" s="2">
        <v>46055</v>
      </c>
      <c r="I2760" s="3" t="str">
        <f t="shared" si="216"/>
        <v/>
      </c>
      <c r="J2760" t="str">
        <f t="shared" si="217"/>
        <v/>
      </c>
      <c r="K2760" t="str">
        <f t="shared" si="218"/>
        <v/>
      </c>
      <c r="L2760" t="str">
        <f t="shared" si="219"/>
        <v/>
      </c>
      <c r="M2760" t="str">
        <f>IF(COUNTIF($A$2:A2760,A2760)=1,
     VLOOKUP(A2760,Season_Winners!A:B,2,FALSE),
     "")</f>
        <v/>
      </c>
    </row>
    <row r="2761" spans="1:13" x14ac:dyDescent="0.3">
      <c r="A2761" t="s">
        <v>998</v>
      </c>
      <c r="B2761">
        <v>10</v>
      </c>
      <c r="C2761" t="s">
        <v>1037</v>
      </c>
      <c r="D2761" t="str">
        <f t="shared" si="215"/>
        <v>23.11.2020</v>
      </c>
      <c r="E2761" s="1">
        <v>0.875</v>
      </c>
      <c r="F2761" t="s">
        <v>15</v>
      </c>
      <c r="G2761" t="s">
        <v>26</v>
      </c>
      <c r="H2761" t="s">
        <v>88</v>
      </c>
      <c r="I2761" t="str">
        <f t="shared" si="216"/>
        <v>4-0</v>
      </c>
      <c r="J2761" t="str">
        <f t="shared" si="217"/>
        <v>4</v>
      </c>
      <c r="K2761" t="str">
        <f t="shared" si="218"/>
        <v>0</v>
      </c>
      <c r="L2761" t="str">
        <f t="shared" si="219"/>
        <v>Athletic Club</v>
      </c>
      <c r="M2761" t="str">
        <f>IF(COUNTIF($A$2:A2761,A2761)=1,
     VLOOKUP(A2761,Season_Winners!A:B,2,FALSE),
     "")</f>
        <v/>
      </c>
    </row>
    <row r="2762" spans="1:13" hidden="1" x14ac:dyDescent="0.3">
      <c r="A2762" t="s">
        <v>998</v>
      </c>
      <c r="B2762">
        <v>11</v>
      </c>
      <c r="C2762" t="s">
        <v>1038</v>
      </c>
      <c r="D2762" t="str">
        <f t="shared" si="215"/>
        <v>27.11.2020</v>
      </c>
      <c r="E2762" s="1">
        <v>0.875</v>
      </c>
      <c r="F2762" t="s">
        <v>14</v>
      </c>
      <c r="G2762" t="s">
        <v>21</v>
      </c>
      <c r="H2762" s="2">
        <v>46023</v>
      </c>
      <c r="I2762" s="3" t="str">
        <f t="shared" si="216"/>
        <v/>
      </c>
      <c r="J2762" t="str">
        <f t="shared" si="217"/>
        <v/>
      </c>
      <c r="K2762" t="str">
        <f t="shared" si="218"/>
        <v/>
      </c>
      <c r="L2762" t="str">
        <f t="shared" si="219"/>
        <v/>
      </c>
      <c r="M2762" t="str">
        <f>IF(COUNTIF($A$2:A2762,A2762)=1,
     VLOOKUP(A2762,Season_Winners!A:B,2,FALSE),
     "")</f>
        <v/>
      </c>
    </row>
    <row r="2763" spans="1:13" hidden="1" x14ac:dyDescent="0.3">
      <c r="A2763" t="s">
        <v>998</v>
      </c>
      <c r="B2763">
        <v>11</v>
      </c>
      <c r="C2763" t="s">
        <v>1039</v>
      </c>
      <c r="D2763" t="str">
        <f t="shared" si="215"/>
        <v>28.11.2020</v>
      </c>
      <c r="E2763" s="1">
        <v>0.58333333333333337</v>
      </c>
      <c r="F2763" t="s">
        <v>31</v>
      </c>
      <c r="G2763" t="s">
        <v>1000</v>
      </c>
      <c r="H2763" s="2">
        <v>46023</v>
      </c>
      <c r="I2763" s="3" t="str">
        <f t="shared" si="216"/>
        <v/>
      </c>
      <c r="J2763" t="str">
        <f t="shared" si="217"/>
        <v/>
      </c>
      <c r="K2763" t="str">
        <f t="shared" si="218"/>
        <v/>
      </c>
      <c r="L2763" t="str">
        <f t="shared" si="219"/>
        <v/>
      </c>
      <c r="M2763" t="str">
        <f>IF(COUNTIF($A$2:A2763,A2763)=1,
     VLOOKUP(A2763,Season_Winners!A:B,2,FALSE),
     "")</f>
        <v/>
      </c>
    </row>
    <row r="2764" spans="1:13" x14ac:dyDescent="0.3">
      <c r="A2764" t="s">
        <v>998</v>
      </c>
      <c r="B2764">
        <v>11</v>
      </c>
      <c r="C2764" t="s">
        <v>1039</v>
      </c>
      <c r="D2764" t="str">
        <f t="shared" si="215"/>
        <v>28.11.2020</v>
      </c>
      <c r="E2764" s="1">
        <v>0.67708333333333337</v>
      </c>
      <c r="F2764" t="s">
        <v>16</v>
      </c>
      <c r="G2764" t="s">
        <v>1425</v>
      </c>
      <c r="H2764" t="s">
        <v>42</v>
      </c>
      <c r="I2764" t="str">
        <f t="shared" si="216"/>
        <v>0-1</v>
      </c>
      <c r="J2764" t="str">
        <f t="shared" si="217"/>
        <v>0</v>
      </c>
      <c r="K2764" t="str">
        <f t="shared" si="218"/>
        <v>1</v>
      </c>
      <c r="L2764" t="str">
        <f t="shared" si="219"/>
        <v>Atlético de Madrid</v>
      </c>
      <c r="M2764" t="str">
        <f>IF(COUNTIF($A$2:A2764,A2764)=1,
     VLOOKUP(A2764,Season_Winners!A:B,2,FALSE),
     "")</f>
        <v/>
      </c>
    </row>
    <row r="2765" spans="1:13" x14ac:dyDescent="0.3">
      <c r="A2765" t="s">
        <v>998</v>
      </c>
      <c r="B2765">
        <v>11</v>
      </c>
      <c r="C2765" t="s">
        <v>1039</v>
      </c>
      <c r="D2765" t="str">
        <f t="shared" si="215"/>
        <v>28.11.2020</v>
      </c>
      <c r="E2765" s="1">
        <v>0.77083333333333337</v>
      </c>
      <c r="F2765" t="s">
        <v>750</v>
      </c>
      <c r="G2765" t="s">
        <v>27</v>
      </c>
      <c r="H2765" t="s">
        <v>42</v>
      </c>
      <c r="I2765" t="str">
        <f t="shared" si="216"/>
        <v>0-1</v>
      </c>
      <c r="J2765" t="str">
        <f t="shared" si="217"/>
        <v>0</v>
      </c>
      <c r="K2765" t="str">
        <f t="shared" si="218"/>
        <v>1</v>
      </c>
      <c r="L2765" t="str">
        <f t="shared" si="219"/>
        <v>Sevilla FC</v>
      </c>
      <c r="M2765" t="str">
        <f>IF(COUNTIF($A$2:A2765,A2765)=1,
     VLOOKUP(A2765,Season_Winners!A:B,2,FALSE),
     "")</f>
        <v/>
      </c>
    </row>
    <row r="2766" spans="1:13" hidden="1" x14ac:dyDescent="0.3">
      <c r="A2766" t="s">
        <v>998</v>
      </c>
      <c r="B2766">
        <v>11</v>
      </c>
      <c r="C2766" t="s">
        <v>1039</v>
      </c>
      <c r="D2766" t="str">
        <f t="shared" si="215"/>
        <v>28.11.2020</v>
      </c>
      <c r="E2766" s="1">
        <v>0.875</v>
      </c>
      <c r="F2766" t="s">
        <v>25</v>
      </c>
      <c r="G2766" t="s">
        <v>464</v>
      </c>
      <c r="H2766" s="2">
        <v>46054</v>
      </c>
      <c r="I2766" s="3" t="str">
        <f t="shared" si="216"/>
        <v/>
      </c>
      <c r="J2766" t="str">
        <f t="shared" si="217"/>
        <v/>
      </c>
      <c r="K2766" t="str">
        <f t="shared" si="218"/>
        <v/>
      </c>
      <c r="L2766" t="str">
        <f t="shared" si="219"/>
        <v/>
      </c>
      <c r="M2766" t="str">
        <f>IF(COUNTIF($A$2:A2766,A2766)=1,
     VLOOKUP(A2766,Season_Winners!A:B,2,FALSE),
     "")</f>
        <v/>
      </c>
    </row>
    <row r="2767" spans="1:13" x14ac:dyDescent="0.3">
      <c r="A2767" t="s">
        <v>998</v>
      </c>
      <c r="B2767">
        <v>11</v>
      </c>
      <c r="C2767" t="s">
        <v>1040</v>
      </c>
      <c r="D2767" t="str">
        <f t="shared" si="215"/>
        <v>29.11.2020</v>
      </c>
      <c r="E2767" s="1">
        <v>0.58333333333333337</v>
      </c>
      <c r="F2767" t="s">
        <v>20</v>
      </c>
      <c r="G2767" t="s">
        <v>23</v>
      </c>
      <c r="H2767" t="s">
        <v>88</v>
      </c>
      <c r="I2767" t="str">
        <f t="shared" si="216"/>
        <v>4-0</v>
      </c>
      <c r="J2767" t="str">
        <f t="shared" si="217"/>
        <v>4</v>
      </c>
      <c r="K2767" t="str">
        <f t="shared" si="218"/>
        <v>0</v>
      </c>
      <c r="L2767" t="str">
        <f t="shared" si="219"/>
        <v>FC Barcelona</v>
      </c>
      <c r="M2767" t="str">
        <f>IF(COUNTIF($A$2:A2767,A2767)=1,
     VLOOKUP(A2767,Season_Winners!A:B,2,FALSE),
     "")</f>
        <v/>
      </c>
    </row>
    <row r="2768" spans="1:13" hidden="1" x14ac:dyDescent="0.3">
      <c r="A2768" t="s">
        <v>998</v>
      </c>
      <c r="B2768">
        <v>11</v>
      </c>
      <c r="C2768" t="s">
        <v>1040</v>
      </c>
      <c r="D2768" t="str">
        <f t="shared" si="215"/>
        <v>29.11.2020</v>
      </c>
      <c r="E2768" s="1">
        <v>0.67708333333333337</v>
      </c>
      <c r="F2768" t="s">
        <v>11</v>
      </c>
      <c r="G2768" t="s">
        <v>15</v>
      </c>
      <c r="H2768" s="2">
        <v>46023</v>
      </c>
      <c r="I2768" s="3" t="str">
        <f t="shared" si="216"/>
        <v/>
      </c>
      <c r="J2768" t="str">
        <f t="shared" si="217"/>
        <v/>
      </c>
      <c r="K2768" t="str">
        <f t="shared" si="218"/>
        <v/>
      </c>
      <c r="L2768" t="str">
        <f t="shared" si="219"/>
        <v/>
      </c>
      <c r="M2768" t="str">
        <f>IF(COUNTIF($A$2:A2768,A2768)=1,
     VLOOKUP(A2768,Season_Winners!A:B,2,FALSE),
     "")</f>
        <v/>
      </c>
    </row>
    <row r="2769" spans="1:13" hidden="1" x14ac:dyDescent="0.3">
      <c r="A2769" t="s">
        <v>998</v>
      </c>
      <c r="B2769">
        <v>11</v>
      </c>
      <c r="C2769" t="s">
        <v>1040</v>
      </c>
      <c r="D2769" t="str">
        <f t="shared" si="215"/>
        <v>29.11.2020</v>
      </c>
      <c r="E2769" s="1">
        <v>0.77083333333333337</v>
      </c>
      <c r="F2769" t="s">
        <v>35</v>
      </c>
      <c r="G2769" t="s">
        <v>24</v>
      </c>
      <c r="H2769" s="2">
        <v>46025</v>
      </c>
      <c r="I2769" s="3" t="str">
        <f t="shared" si="216"/>
        <v/>
      </c>
      <c r="J2769" t="str">
        <f t="shared" si="217"/>
        <v/>
      </c>
      <c r="K2769" t="str">
        <f t="shared" si="218"/>
        <v/>
      </c>
      <c r="L2769" t="str">
        <f t="shared" si="219"/>
        <v/>
      </c>
      <c r="M2769" t="str">
        <f>IF(COUNTIF($A$2:A2769,A2769)=1,
     VLOOKUP(A2769,Season_Winners!A:B,2,FALSE),
     "")</f>
        <v/>
      </c>
    </row>
    <row r="2770" spans="1:13" hidden="1" x14ac:dyDescent="0.3">
      <c r="A2770" t="s">
        <v>998</v>
      </c>
      <c r="B2770">
        <v>11</v>
      </c>
      <c r="C2770" t="s">
        <v>1040</v>
      </c>
      <c r="D2770" t="str">
        <f t="shared" si="215"/>
        <v>29.11.2020</v>
      </c>
      <c r="E2770" s="1">
        <v>0.875</v>
      </c>
      <c r="F2770" t="s">
        <v>10</v>
      </c>
      <c r="G2770" t="s">
        <v>34</v>
      </c>
      <c r="H2770" s="2">
        <v>46023</v>
      </c>
      <c r="I2770" s="3" t="str">
        <f t="shared" si="216"/>
        <v/>
      </c>
      <c r="J2770" t="str">
        <f t="shared" si="217"/>
        <v/>
      </c>
      <c r="K2770" t="str">
        <f t="shared" si="218"/>
        <v/>
      </c>
      <c r="L2770" t="str">
        <f t="shared" si="219"/>
        <v/>
      </c>
      <c r="M2770" t="str">
        <f>IF(COUNTIF($A$2:A2770,A2770)=1,
     VLOOKUP(A2770,Season_Winners!A:B,2,FALSE),
     "")</f>
        <v/>
      </c>
    </row>
    <row r="2771" spans="1:13" x14ac:dyDescent="0.3">
      <c r="A2771" t="s">
        <v>998</v>
      </c>
      <c r="B2771">
        <v>11</v>
      </c>
      <c r="C2771" t="s">
        <v>1041</v>
      </c>
      <c r="D2771" t="str">
        <f t="shared" si="215"/>
        <v>30.11.2020</v>
      </c>
      <c r="E2771" s="1">
        <v>0.875</v>
      </c>
      <c r="F2771" t="s">
        <v>26</v>
      </c>
      <c r="G2771" t="s">
        <v>187</v>
      </c>
      <c r="H2771" t="s">
        <v>54</v>
      </c>
      <c r="I2771" t="str">
        <f t="shared" si="216"/>
        <v>0-2</v>
      </c>
      <c r="J2771" t="str">
        <f t="shared" si="217"/>
        <v>0</v>
      </c>
      <c r="K2771" t="str">
        <f t="shared" si="218"/>
        <v>2</v>
      </c>
      <c r="L2771" t="str">
        <f t="shared" si="219"/>
        <v>SD Eibar</v>
      </c>
      <c r="M2771" t="str">
        <f>IF(COUNTIF($A$2:A2771,A2771)=1,
     VLOOKUP(A2771,Season_Winners!A:B,2,FALSE),
     "")</f>
        <v/>
      </c>
    </row>
    <row r="2772" spans="1:13" x14ac:dyDescent="0.3">
      <c r="A2772" t="s">
        <v>998</v>
      </c>
      <c r="B2772">
        <v>12</v>
      </c>
      <c r="C2772" t="s">
        <v>1042</v>
      </c>
      <c r="D2772" t="str">
        <f t="shared" si="215"/>
        <v>04.12.2020</v>
      </c>
      <c r="E2772" s="1">
        <v>0.875</v>
      </c>
      <c r="F2772" t="s">
        <v>15</v>
      </c>
      <c r="G2772" t="s">
        <v>35</v>
      </c>
      <c r="H2772" t="s">
        <v>54</v>
      </c>
      <c r="I2772" t="str">
        <f t="shared" si="216"/>
        <v>0-2</v>
      </c>
      <c r="J2772" t="str">
        <f t="shared" si="217"/>
        <v>0</v>
      </c>
      <c r="K2772" t="str">
        <f t="shared" si="218"/>
        <v>2</v>
      </c>
      <c r="L2772" t="str">
        <f t="shared" si="219"/>
        <v>RC Celta</v>
      </c>
      <c r="M2772" t="str">
        <f>IF(COUNTIF($A$2:A2772,A2772)=1,
     VLOOKUP(A2772,Season_Winners!A:B,2,FALSE),
     "")</f>
        <v/>
      </c>
    </row>
    <row r="2773" spans="1:13" x14ac:dyDescent="0.3">
      <c r="A2773" t="s">
        <v>998</v>
      </c>
      <c r="B2773">
        <v>12</v>
      </c>
      <c r="C2773" t="s">
        <v>1043</v>
      </c>
      <c r="D2773" t="str">
        <f t="shared" si="215"/>
        <v>05.12.2020</v>
      </c>
      <c r="E2773" s="1">
        <v>0.58333333333333337</v>
      </c>
      <c r="F2773" t="s">
        <v>21</v>
      </c>
      <c r="G2773" t="s">
        <v>11</v>
      </c>
      <c r="H2773" t="s">
        <v>32</v>
      </c>
      <c r="I2773" t="str">
        <f t="shared" si="216"/>
        <v>3-0</v>
      </c>
      <c r="J2773" t="str">
        <f t="shared" si="217"/>
        <v>3</v>
      </c>
      <c r="K2773" t="str">
        <f t="shared" si="218"/>
        <v>0</v>
      </c>
      <c r="L2773" t="str">
        <f t="shared" si="219"/>
        <v>Levante UD</v>
      </c>
      <c r="M2773" t="str">
        <f>IF(COUNTIF($A$2:A2773,A2773)=1,
     VLOOKUP(A2773,Season_Winners!A:B,2,FALSE),
     "")</f>
        <v/>
      </c>
    </row>
    <row r="2774" spans="1:13" x14ac:dyDescent="0.3">
      <c r="A2774" t="s">
        <v>998</v>
      </c>
      <c r="B2774">
        <v>12</v>
      </c>
      <c r="C2774" t="s">
        <v>1043</v>
      </c>
      <c r="D2774" t="str">
        <f t="shared" si="215"/>
        <v>05.12.2020</v>
      </c>
      <c r="E2774" s="1">
        <v>0.67708333333333337</v>
      </c>
      <c r="F2774" t="s">
        <v>27</v>
      </c>
      <c r="G2774" t="s">
        <v>25</v>
      </c>
      <c r="H2774" t="s">
        <v>42</v>
      </c>
      <c r="I2774" t="str">
        <f t="shared" si="216"/>
        <v>0-1</v>
      </c>
      <c r="J2774" t="str">
        <f t="shared" si="217"/>
        <v>0</v>
      </c>
      <c r="K2774" t="str">
        <f t="shared" si="218"/>
        <v>1</v>
      </c>
      <c r="L2774" t="str">
        <f t="shared" si="219"/>
        <v>Real Madrid</v>
      </c>
      <c r="M2774" t="str">
        <f>IF(COUNTIF($A$2:A2774,A2774)=1,
     VLOOKUP(A2774,Season_Winners!A:B,2,FALSE),
     "")</f>
        <v/>
      </c>
    </row>
    <row r="2775" spans="1:13" x14ac:dyDescent="0.3">
      <c r="A2775" t="s">
        <v>998</v>
      </c>
      <c r="B2775">
        <v>12</v>
      </c>
      <c r="C2775" t="s">
        <v>1043</v>
      </c>
      <c r="D2775" t="str">
        <f t="shared" si="215"/>
        <v>05.12.2020</v>
      </c>
      <c r="E2775" s="1">
        <v>0.77083333333333337</v>
      </c>
      <c r="F2775" t="s">
        <v>1425</v>
      </c>
      <c r="G2775" t="s">
        <v>14</v>
      </c>
      <c r="H2775" t="s">
        <v>12</v>
      </c>
      <c r="I2775" t="str">
        <f t="shared" si="216"/>
        <v>2-0</v>
      </c>
      <c r="J2775" t="str">
        <f t="shared" si="217"/>
        <v>2</v>
      </c>
      <c r="K2775" t="str">
        <f t="shared" si="218"/>
        <v>0</v>
      </c>
      <c r="L2775" t="str">
        <f t="shared" si="219"/>
        <v>Atlético de Madrid</v>
      </c>
      <c r="M2775" t="str">
        <f>IF(COUNTIF($A$2:A2775,A2775)=1,
     VLOOKUP(A2775,Season_Winners!A:B,2,FALSE),
     "")</f>
        <v/>
      </c>
    </row>
    <row r="2776" spans="1:13" hidden="1" x14ac:dyDescent="0.3">
      <c r="A2776" t="s">
        <v>998</v>
      </c>
      <c r="B2776">
        <v>12</v>
      </c>
      <c r="C2776" t="s">
        <v>1043</v>
      </c>
      <c r="D2776" t="str">
        <f t="shared" si="215"/>
        <v>05.12.2020</v>
      </c>
      <c r="E2776" s="1">
        <v>0.875</v>
      </c>
      <c r="F2776" t="s">
        <v>1000</v>
      </c>
      <c r="G2776" t="s">
        <v>20</v>
      </c>
      <c r="H2776" s="2">
        <v>46024</v>
      </c>
      <c r="I2776" s="3" t="str">
        <f t="shared" si="216"/>
        <v/>
      </c>
      <c r="J2776" t="str">
        <f t="shared" si="217"/>
        <v/>
      </c>
      <c r="K2776" t="str">
        <f t="shared" si="218"/>
        <v/>
      </c>
      <c r="L2776" t="str">
        <f t="shared" si="219"/>
        <v/>
      </c>
      <c r="M2776" t="str">
        <f>IF(COUNTIF($A$2:A2776,A2776)=1,
     VLOOKUP(A2776,Season_Winners!A:B,2,FALSE),
     "")</f>
        <v/>
      </c>
    </row>
    <row r="2777" spans="1:13" hidden="1" x14ac:dyDescent="0.3">
      <c r="A2777" t="s">
        <v>998</v>
      </c>
      <c r="B2777">
        <v>12</v>
      </c>
      <c r="C2777" t="s">
        <v>1044</v>
      </c>
      <c r="D2777" t="str">
        <f t="shared" si="215"/>
        <v>06.12.2020</v>
      </c>
      <c r="E2777" s="1">
        <v>0.58333333333333337</v>
      </c>
      <c r="F2777" t="s">
        <v>24</v>
      </c>
      <c r="G2777" t="s">
        <v>750</v>
      </c>
      <c r="H2777" s="2">
        <v>46084</v>
      </c>
      <c r="I2777" s="3" t="str">
        <f t="shared" si="216"/>
        <v/>
      </c>
      <c r="J2777" t="str">
        <f t="shared" si="217"/>
        <v/>
      </c>
      <c r="K2777" t="str">
        <f t="shared" si="218"/>
        <v/>
      </c>
      <c r="L2777" t="str">
        <f t="shared" si="219"/>
        <v/>
      </c>
      <c r="M2777" t="str">
        <f>IF(COUNTIF($A$2:A2777,A2777)=1,
     VLOOKUP(A2777,Season_Winners!A:B,2,FALSE),
     "")</f>
        <v/>
      </c>
    </row>
    <row r="2778" spans="1:13" x14ac:dyDescent="0.3">
      <c r="A2778" t="s">
        <v>998</v>
      </c>
      <c r="B2778">
        <v>12</v>
      </c>
      <c r="C2778" t="s">
        <v>1044</v>
      </c>
      <c r="D2778" t="str">
        <f t="shared" si="215"/>
        <v>06.12.2020</v>
      </c>
      <c r="E2778" s="1">
        <v>0.67708333333333337</v>
      </c>
      <c r="F2778" t="s">
        <v>23</v>
      </c>
      <c r="G2778" t="s">
        <v>26</v>
      </c>
      <c r="H2778" t="s">
        <v>54</v>
      </c>
      <c r="I2778" t="str">
        <f t="shared" si="216"/>
        <v>0-2</v>
      </c>
      <c r="J2778" t="str">
        <f t="shared" si="217"/>
        <v>0</v>
      </c>
      <c r="K2778" t="str">
        <f t="shared" si="218"/>
        <v>2</v>
      </c>
      <c r="L2778" t="str">
        <f t="shared" si="219"/>
        <v>Real Betis</v>
      </c>
      <c r="M2778" t="str">
        <f>IF(COUNTIF($A$2:A2778,A2778)=1,
     VLOOKUP(A2778,Season_Winners!A:B,2,FALSE),
     "")</f>
        <v/>
      </c>
    </row>
    <row r="2779" spans="1:13" x14ac:dyDescent="0.3">
      <c r="A2779" t="s">
        <v>998</v>
      </c>
      <c r="B2779">
        <v>12</v>
      </c>
      <c r="C2779" t="s">
        <v>1044</v>
      </c>
      <c r="D2779" t="str">
        <f t="shared" si="215"/>
        <v>06.12.2020</v>
      </c>
      <c r="E2779" s="1">
        <v>0.77083333333333337</v>
      </c>
      <c r="F2779" t="s">
        <v>34</v>
      </c>
      <c r="G2779" t="s">
        <v>31</v>
      </c>
      <c r="H2779" t="s">
        <v>41</v>
      </c>
      <c r="I2779" t="str">
        <f t="shared" si="216"/>
        <v>0-0</v>
      </c>
      <c r="J2779" t="str">
        <f t="shared" si="217"/>
        <v>0</v>
      </c>
      <c r="K2779" t="str">
        <f t="shared" si="218"/>
        <v>0</v>
      </c>
      <c r="L2779" t="str">
        <f t="shared" si="219"/>
        <v>Draw</v>
      </c>
      <c r="M2779" t="str">
        <f>IF(COUNTIF($A$2:A2779,A2779)=1,
     VLOOKUP(A2779,Season_Winners!A:B,2,FALSE),
     "")</f>
        <v/>
      </c>
    </row>
    <row r="2780" spans="1:13" x14ac:dyDescent="0.3">
      <c r="A2780" t="s">
        <v>998</v>
      </c>
      <c r="B2780">
        <v>12</v>
      </c>
      <c r="C2780" t="s">
        <v>1044</v>
      </c>
      <c r="D2780" t="str">
        <f t="shared" si="215"/>
        <v>06.12.2020</v>
      </c>
      <c r="E2780" s="1">
        <v>0.875</v>
      </c>
      <c r="F2780" t="s">
        <v>464</v>
      </c>
      <c r="G2780" t="s">
        <v>10</v>
      </c>
      <c r="H2780" t="s">
        <v>41</v>
      </c>
      <c r="I2780" t="str">
        <f t="shared" si="216"/>
        <v>0-0</v>
      </c>
      <c r="J2780" t="str">
        <f t="shared" si="217"/>
        <v>0</v>
      </c>
      <c r="K2780" t="str">
        <f t="shared" si="218"/>
        <v>0</v>
      </c>
      <c r="L2780" t="str">
        <f t="shared" si="219"/>
        <v>Draw</v>
      </c>
      <c r="M2780" t="str">
        <f>IF(COUNTIF($A$2:A2780,A2780)=1,
     VLOOKUP(A2780,Season_Winners!A:B,2,FALSE),
     "")</f>
        <v/>
      </c>
    </row>
    <row r="2781" spans="1:13" x14ac:dyDescent="0.3">
      <c r="A2781" t="s">
        <v>998</v>
      </c>
      <c r="B2781">
        <v>12</v>
      </c>
      <c r="C2781" t="s">
        <v>1045</v>
      </c>
      <c r="D2781" t="str">
        <f t="shared" si="215"/>
        <v>07.12.2020</v>
      </c>
      <c r="E2781" s="1">
        <v>0.875</v>
      </c>
      <c r="F2781" t="s">
        <v>187</v>
      </c>
      <c r="G2781" t="s">
        <v>16</v>
      </c>
      <c r="H2781" t="s">
        <v>41</v>
      </c>
      <c r="I2781" t="str">
        <f t="shared" si="216"/>
        <v>0-0</v>
      </c>
      <c r="J2781" t="str">
        <f t="shared" si="217"/>
        <v>0</v>
      </c>
      <c r="K2781" t="str">
        <f t="shared" si="218"/>
        <v>0</v>
      </c>
      <c r="L2781" t="str">
        <f t="shared" si="219"/>
        <v>Draw</v>
      </c>
      <c r="M2781" t="str">
        <f>IF(COUNTIF($A$2:A2781,A2781)=1,
     VLOOKUP(A2781,Season_Winners!A:B,2,FALSE),
     "")</f>
        <v/>
      </c>
    </row>
    <row r="2782" spans="1:13" hidden="1" x14ac:dyDescent="0.3">
      <c r="A2782" t="s">
        <v>998</v>
      </c>
      <c r="B2782">
        <v>13</v>
      </c>
      <c r="C2782" t="s">
        <v>1046</v>
      </c>
      <c r="D2782" t="str">
        <f t="shared" si="215"/>
        <v>11.12.2020</v>
      </c>
      <c r="E2782" s="1">
        <v>0.875</v>
      </c>
      <c r="F2782" t="s">
        <v>14</v>
      </c>
      <c r="G2782" t="s">
        <v>23</v>
      </c>
      <c r="H2782" s="2">
        <v>46056</v>
      </c>
      <c r="I2782" s="3" t="str">
        <f t="shared" si="216"/>
        <v/>
      </c>
      <c r="J2782" t="str">
        <f t="shared" si="217"/>
        <v/>
      </c>
      <c r="K2782" t="str">
        <f t="shared" si="218"/>
        <v/>
      </c>
      <c r="L2782" t="str">
        <f t="shared" si="219"/>
        <v/>
      </c>
      <c r="M2782" t="str">
        <f>IF(COUNTIF($A$2:A2782,A2782)=1,
     VLOOKUP(A2782,Season_Winners!A:B,2,FALSE),
     "")</f>
        <v/>
      </c>
    </row>
    <row r="2783" spans="1:13" hidden="1" x14ac:dyDescent="0.3">
      <c r="A2783" t="s">
        <v>998</v>
      </c>
      <c r="B2783">
        <v>13</v>
      </c>
      <c r="C2783" t="s">
        <v>1047</v>
      </c>
      <c r="D2783" t="str">
        <f t="shared" si="215"/>
        <v>12.12.2020</v>
      </c>
      <c r="E2783" s="1">
        <v>0.58333333333333337</v>
      </c>
      <c r="F2783" t="s">
        <v>16</v>
      </c>
      <c r="G2783" t="s">
        <v>15</v>
      </c>
      <c r="H2783" s="2">
        <v>46055</v>
      </c>
      <c r="I2783" s="3" t="str">
        <f t="shared" si="216"/>
        <v/>
      </c>
      <c r="J2783" t="str">
        <f t="shared" si="217"/>
        <v/>
      </c>
      <c r="K2783" t="str">
        <f t="shared" si="218"/>
        <v/>
      </c>
      <c r="L2783" t="str">
        <f t="shared" si="219"/>
        <v/>
      </c>
      <c r="M2783" t="str">
        <f>IF(COUNTIF($A$2:A2783,A2783)=1,
     VLOOKUP(A2783,Season_Winners!A:B,2,FALSE),
     "")</f>
        <v/>
      </c>
    </row>
    <row r="2784" spans="1:13" x14ac:dyDescent="0.3">
      <c r="A2784" t="s">
        <v>998</v>
      </c>
      <c r="B2784">
        <v>13</v>
      </c>
      <c r="C2784" t="s">
        <v>1047</v>
      </c>
      <c r="D2784" t="str">
        <f t="shared" si="215"/>
        <v>12.12.2020</v>
      </c>
      <c r="E2784" s="1">
        <v>0.67708333333333337</v>
      </c>
      <c r="F2784" t="s">
        <v>11</v>
      </c>
      <c r="G2784" t="s">
        <v>27</v>
      </c>
      <c r="H2784" t="s">
        <v>42</v>
      </c>
      <c r="I2784" t="str">
        <f t="shared" si="216"/>
        <v>0-1</v>
      </c>
      <c r="J2784" t="str">
        <f t="shared" si="217"/>
        <v>0</v>
      </c>
      <c r="K2784" t="str">
        <f t="shared" si="218"/>
        <v>1</v>
      </c>
      <c r="L2784" t="str">
        <f t="shared" si="219"/>
        <v>Sevilla FC</v>
      </c>
      <c r="M2784" t="str">
        <f>IF(COUNTIF($A$2:A2784,A2784)=1,
     VLOOKUP(A2784,Season_Winners!A:B,2,FALSE),
     "")</f>
        <v/>
      </c>
    </row>
    <row r="2785" spans="1:13" x14ac:dyDescent="0.3">
      <c r="A2785" t="s">
        <v>998</v>
      </c>
      <c r="B2785">
        <v>13</v>
      </c>
      <c r="C2785" t="s">
        <v>1047</v>
      </c>
      <c r="D2785" t="str">
        <f t="shared" si="215"/>
        <v>12.12.2020</v>
      </c>
      <c r="E2785" s="1">
        <v>0.77083333333333337</v>
      </c>
      <c r="F2785" t="s">
        <v>750</v>
      </c>
      <c r="G2785" t="s">
        <v>464</v>
      </c>
      <c r="H2785" t="s">
        <v>18</v>
      </c>
      <c r="I2785" t="str">
        <f t="shared" si="216"/>
        <v>1-0</v>
      </c>
      <c r="J2785" t="str">
        <f t="shared" si="217"/>
        <v>1</v>
      </c>
      <c r="K2785" t="str">
        <f t="shared" si="218"/>
        <v>0</v>
      </c>
      <c r="L2785" t="str">
        <f t="shared" si="219"/>
        <v>SD Huesca</v>
      </c>
      <c r="M2785" t="str">
        <f>IF(COUNTIF($A$2:A2785,A2785)=1,
     VLOOKUP(A2785,Season_Winners!A:B,2,FALSE),
     "")</f>
        <v/>
      </c>
    </row>
    <row r="2786" spans="1:13" x14ac:dyDescent="0.3">
      <c r="A2786" t="s">
        <v>998</v>
      </c>
      <c r="B2786">
        <v>13</v>
      </c>
      <c r="C2786" t="s">
        <v>1047</v>
      </c>
      <c r="D2786" t="str">
        <f t="shared" si="215"/>
        <v>12.12.2020</v>
      </c>
      <c r="E2786" s="1">
        <v>0.875</v>
      </c>
      <c r="F2786" t="s">
        <v>25</v>
      </c>
      <c r="G2786" t="s">
        <v>1425</v>
      </c>
      <c r="H2786" t="s">
        <v>12</v>
      </c>
      <c r="I2786" t="str">
        <f t="shared" si="216"/>
        <v>2-0</v>
      </c>
      <c r="J2786" t="str">
        <f t="shared" si="217"/>
        <v>2</v>
      </c>
      <c r="K2786" t="str">
        <f t="shared" si="218"/>
        <v>0</v>
      </c>
      <c r="L2786" t="str">
        <f t="shared" si="219"/>
        <v>Real Madrid</v>
      </c>
      <c r="M2786" t="str">
        <f>IF(COUNTIF($A$2:A2786,A2786)=1,
     VLOOKUP(A2786,Season_Winners!A:B,2,FALSE),
     "")</f>
        <v/>
      </c>
    </row>
    <row r="2787" spans="1:13" hidden="1" x14ac:dyDescent="0.3">
      <c r="A2787" t="s">
        <v>998</v>
      </c>
      <c r="B2787">
        <v>13</v>
      </c>
      <c r="C2787" t="s">
        <v>1048</v>
      </c>
      <c r="D2787" t="str">
        <f t="shared" si="215"/>
        <v>13.12.2020</v>
      </c>
      <c r="E2787" s="1">
        <v>0.58333333333333337</v>
      </c>
      <c r="F2787" t="s">
        <v>10</v>
      </c>
      <c r="G2787" t="s">
        <v>187</v>
      </c>
      <c r="H2787" s="2">
        <v>46023</v>
      </c>
      <c r="I2787" s="3" t="str">
        <f t="shared" si="216"/>
        <v/>
      </c>
      <c r="J2787" t="str">
        <f t="shared" si="217"/>
        <v/>
      </c>
      <c r="K2787" t="str">
        <f t="shared" si="218"/>
        <v/>
      </c>
      <c r="L2787" t="str">
        <f t="shared" si="219"/>
        <v/>
      </c>
      <c r="M2787" t="str">
        <f>IF(COUNTIF($A$2:A2787,A2787)=1,
     VLOOKUP(A2787,Season_Winners!A:B,2,FALSE),
     "")</f>
        <v/>
      </c>
    </row>
    <row r="2788" spans="1:13" hidden="1" x14ac:dyDescent="0.3">
      <c r="A2788" t="s">
        <v>998</v>
      </c>
      <c r="B2788">
        <v>13</v>
      </c>
      <c r="C2788" t="s">
        <v>1048</v>
      </c>
      <c r="D2788" t="str">
        <f t="shared" si="215"/>
        <v>13.12.2020</v>
      </c>
      <c r="E2788" s="1">
        <v>0.67708333333333337</v>
      </c>
      <c r="F2788" t="s">
        <v>26</v>
      </c>
      <c r="G2788" t="s">
        <v>34</v>
      </c>
      <c r="H2788" s="2">
        <v>46023</v>
      </c>
      <c r="I2788" s="3" t="str">
        <f t="shared" si="216"/>
        <v/>
      </c>
      <c r="J2788" t="str">
        <f t="shared" si="217"/>
        <v/>
      </c>
      <c r="K2788" t="str">
        <f t="shared" si="218"/>
        <v/>
      </c>
      <c r="L2788" t="str">
        <f t="shared" si="219"/>
        <v/>
      </c>
      <c r="M2788" t="str">
        <f>IF(COUNTIF($A$2:A2788,A2788)=1,
     VLOOKUP(A2788,Season_Winners!A:B,2,FALSE),
     "")</f>
        <v/>
      </c>
    </row>
    <row r="2789" spans="1:13" x14ac:dyDescent="0.3">
      <c r="A2789" t="s">
        <v>998</v>
      </c>
      <c r="B2789">
        <v>13</v>
      </c>
      <c r="C2789" t="s">
        <v>1048</v>
      </c>
      <c r="D2789" t="str">
        <f t="shared" si="215"/>
        <v>13.12.2020</v>
      </c>
      <c r="E2789" s="1">
        <v>0.77083333333333337</v>
      </c>
      <c r="F2789" t="s">
        <v>31</v>
      </c>
      <c r="G2789" t="s">
        <v>24</v>
      </c>
      <c r="H2789" t="s">
        <v>42</v>
      </c>
      <c r="I2789" t="str">
        <f t="shared" si="216"/>
        <v>0-1</v>
      </c>
      <c r="J2789" t="str">
        <f t="shared" si="217"/>
        <v>0</v>
      </c>
      <c r="K2789" t="str">
        <f t="shared" si="218"/>
        <v>1</v>
      </c>
      <c r="L2789" t="str">
        <f t="shared" si="219"/>
        <v>Granada CF</v>
      </c>
      <c r="M2789" t="str">
        <f>IF(COUNTIF($A$2:A2789,A2789)=1,
     VLOOKUP(A2789,Season_Winners!A:B,2,FALSE),
     "")</f>
        <v/>
      </c>
    </row>
    <row r="2790" spans="1:13" x14ac:dyDescent="0.3">
      <c r="A2790" t="s">
        <v>998</v>
      </c>
      <c r="B2790">
        <v>13</v>
      </c>
      <c r="C2790" t="s">
        <v>1048</v>
      </c>
      <c r="D2790" t="str">
        <f t="shared" si="215"/>
        <v>13.12.2020</v>
      </c>
      <c r="E2790" s="1">
        <v>0.875</v>
      </c>
      <c r="F2790" t="s">
        <v>20</v>
      </c>
      <c r="G2790" t="s">
        <v>21</v>
      </c>
      <c r="H2790" t="s">
        <v>18</v>
      </c>
      <c r="I2790" t="str">
        <f t="shared" si="216"/>
        <v>1-0</v>
      </c>
      <c r="J2790" t="str">
        <f t="shared" si="217"/>
        <v>1</v>
      </c>
      <c r="K2790" t="str">
        <f t="shared" si="218"/>
        <v>0</v>
      </c>
      <c r="L2790" t="str">
        <f t="shared" si="219"/>
        <v>FC Barcelona</v>
      </c>
      <c r="M2790" t="str">
        <f>IF(COUNTIF($A$2:A2790,A2790)=1,
     VLOOKUP(A2790,Season_Winners!A:B,2,FALSE),
     "")</f>
        <v/>
      </c>
    </row>
    <row r="2791" spans="1:13" x14ac:dyDescent="0.3">
      <c r="A2791" t="s">
        <v>998</v>
      </c>
      <c r="B2791">
        <v>13</v>
      </c>
      <c r="C2791" t="s">
        <v>1049</v>
      </c>
      <c r="D2791" t="str">
        <f t="shared" si="215"/>
        <v>14.12.2020</v>
      </c>
      <c r="E2791" s="1">
        <v>0.875</v>
      </c>
      <c r="F2791" t="s">
        <v>35</v>
      </c>
      <c r="G2791" t="s">
        <v>1000</v>
      </c>
      <c r="H2791" t="s">
        <v>88</v>
      </c>
      <c r="I2791" t="str">
        <f t="shared" si="216"/>
        <v>4-0</v>
      </c>
      <c r="J2791" t="str">
        <f t="shared" si="217"/>
        <v>4</v>
      </c>
      <c r="K2791" t="str">
        <f t="shared" si="218"/>
        <v>0</v>
      </c>
      <c r="L2791" t="str">
        <f t="shared" si="219"/>
        <v>RC Celta</v>
      </c>
      <c r="M2791" t="str">
        <f>IF(COUNTIF($A$2:A2791,A2791)=1,
     VLOOKUP(A2791,Season_Winners!A:B,2,FALSE),
     "")</f>
        <v/>
      </c>
    </row>
    <row r="2792" spans="1:13" x14ac:dyDescent="0.3">
      <c r="A2792" t="s">
        <v>998</v>
      </c>
      <c r="B2792">
        <v>14</v>
      </c>
      <c r="C2792" t="s">
        <v>1050</v>
      </c>
      <c r="D2792" t="str">
        <f t="shared" si="215"/>
        <v>18.12.2020</v>
      </c>
      <c r="E2792" s="1">
        <v>0.875</v>
      </c>
      <c r="F2792" t="s">
        <v>15</v>
      </c>
      <c r="G2792" t="s">
        <v>750</v>
      </c>
      <c r="H2792" t="s">
        <v>12</v>
      </c>
      <c r="I2792" t="str">
        <f t="shared" si="216"/>
        <v>2-0</v>
      </c>
      <c r="J2792" t="str">
        <f t="shared" si="217"/>
        <v>2</v>
      </c>
      <c r="K2792" t="str">
        <f t="shared" si="218"/>
        <v>0</v>
      </c>
      <c r="L2792" t="str">
        <f t="shared" si="219"/>
        <v>Athletic Club</v>
      </c>
      <c r="M2792" t="str">
        <f>IF(COUNTIF($A$2:A2792,A2792)=1,
     VLOOKUP(A2792,Season_Winners!A:B,2,FALSE),
     "")</f>
        <v/>
      </c>
    </row>
    <row r="2793" spans="1:13" hidden="1" x14ac:dyDescent="0.3">
      <c r="A2793" t="s">
        <v>998</v>
      </c>
      <c r="B2793">
        <v>14</v>
      </c>
      <c r="C2793" t="s">
        <v>1051</v>
      </c>
      <c r="D2793" t="str">
        <f t="shared" si="215"/>
        <v>19.12.2020</v>
      </c>
      <c r="E2793" s="1">
        <v>0.58333333333333337</v>
      </c>
      <c r="F2793" t="s">
        <v>28</v>
      </c>
      <c r="G2793" t="s">
        <v>31</v>
      </c>
      <c r="H2793" s="2">
        <v>46025</v>
      </c>
      <c r="I2793" s="3" t="str">
        <f t="shared" si="216"/>
        <v/>
      </c>
      <c r="J2793" t="str">
        <f t="shared" si="217"/>
        <v/>
      </c>
      <c r="K2793" t="str">
        <f t="shared" si="218"/>
        <v/>
      </c>
      <c r="L2793" t="str">
        <f t="shared" si="219"/>
        <v/>
      </c>
      <c r="M2793" t="str">
        <f>IF(COUNTIF($A$2:A2793,A2793)=1,
     VLOOKUP(A2793,Season_Winners!A:B,2,FALSE),
     "")</f>
        <v/>
      </c>
    </row>
    <row r="2794" spans="1:13" hidden="1" x14ac:dyDescent="0.3">
      <c r="A2794" t="s">
        <v>998</v>
      </c>
      <c r="B2794">
        <v>14</v>
      </c>
      <c r="C2794" t="s">
        <v>1051</v>
      </c>
      <c r="D2794" t="str">
        <f t="shared" si="215"/>
        <v>19.12.2020</v>
      </c>
      <c r="E2794" s="1">
        <v>0.67708333333333337</v>
      </c>
      <c r="F2794" t="s">
        <v>20</v>
      </c>
      <c r="G2794" t="s">
        <v>16</v>
      </c>
      <c r="H2794" s="2">
        <v>46055</v>
      </c>
      <c r="I2794" s="3" t="str">
        <f t="shared" si="216"/>
        <v/>
      </c>
      <c r="J2794" t="str">
        <f t="shared" si="217"/>
        <v/>
      </c>
      <c r="K2794" t="str">
        <f t="shared" si="218"/>
        <v/>
      </c>
      <c r="L2794" t="str">
        <f t="shared" si="219"/>
        <v/>
      </c>
      <c r="M2794" t="str">
        <f>IF(COUNTIF($A$2:A2794,A2794)=1,
     VLOOKUP(A2794,Season_Winners!A:B,2,FALSE),
     "")</f>
        <v/>
      </c>
    </row>
    <row r="2795" spans="1:13" hidden="1" x14ac:dyDescent="0.3">
      <c r="A2795" t="s">
        <v>998</v>
      </c>
      <c r="B2795">
        <v>14</v>
      </c>
      <c r="C2795" t="s">
        <v>1051</v>
      </c>
      <c r="D2795" t="str">
        <f t="shared" si="215"/>
        <v>19.12.2020</v>
      </c>
      <c r="E2795" s="1">
        <v>0.77083333333333337</v>
      </c>
      <c r="F2795" t="s">
        <v>21</v>
      </c>
      <c r="G2795" t="s">
        <v>10</v>
      </c>
      <c r="H2795" s="2">
        <v>46024</v>
      </c>
      <c r="I2795" s="3" t="str">
        <f t="shared" si="216"/>
        <v/>
      </c>
      <c r="J2795" t="str">
        <f t="shared" si="217"/>
        <v/>
      </c>
      <c r="K2795" t="str">
        <f t="shared" si="218"/>
        <v/>
      </c>
      <c r="L2795" t="str">
        <f t="shared" si="219"/>
        <v/>
      </c>
      <c r="M2795" t="str">
        <f>IF(COUNTIF($A$2:A2795,A2795)=1,
     VLOOKUP(A2795,Season_Winners!A:B,2,FALSE),
     "")</f>
        <v/>
      </c>
    </row>
    <row r="2796" spans="1:13" hidden="1" x14ac:dyDescent="0.3">
      <c r="A2796" t="s">
        <v>998</v>
      </c>
      <c r="B2796">
        <v>14</v>
      </c>
      <c r="C2796" t="s">
        <v>1051</v>
      </c>
      <c r="D2796" t="str">
        <f t="shared" si="215"/>
        <v>19.12.2020</v>
      </c>
      <c r="E2796" s="1">
        <v>0.77083333333333337</v>
      </c>
      <c r="F2796" t="s">
        <v>23</v>
      </c>
      <c r="G2796" t="s">
        <v>34</v>
      </c>
      <c r="H2796" s="2">
        <v>46082</v>
      </c>
      <c r="I2796" s="3" t="str">
        <f t="shared" si="216"/>
        <v/>
      </c>
      <c r="J2796" t="str">
        <f t="shared" si="217"/>
        <v/>
      </c>
      <c r="K2796" t="str">
        <f t="shared" si="218"/>
        <v/>
      </c>
      <c r="L2796" t="str">
        <f t="shared" si="219"/>
        <v/>
      </c>
      <c r="M2796" t="str">
        <f>IF(COUNTIF($A$2:A2796,A2796)=1,
     VLOOKUP(A2796,Season_Winners!A:B,2,FALSE),
     "")</f>
        <v/>
      </c>
    </row>
    <row r="2797" spans="1:13" hidden="1" x14ac:dyDescent="0.3">
      <c r="A2797" t="s">
        <v>998</v>
      </c>
      <c r="B2797">
        <v>14</v>
      </c>
      <c r="C2797" t="s">
        <v>1051</v>
      </c>
      <c r="D2797" t="str">
        <f t="shared" si="215"/>
        <v>19.12.2020</v>
      </c>
      <c r="E2797" s="1">
        <v>0.875</v>
      </c>
      <c r="F2797" t="s">
        <v>27</v>
      </c>
      <c r="G2797" t="s">
        <v>14</v>
      </c>
      <c r="H2797" s="2">
        <v>46023</v>
      </c>
      <c r="I2797" s="3" t="str">
        <f t="shared" si="216"/>
        <v/>
      </c>
      <c r="J2797" t="str">
        <f t="shared" si="217"/>
        <v/>
      </c>
      <c r="K2797" t="str">
        <f t="shared" si="218"/>
        <v/>
      </c>
      <c r="L2797" t="str">
        <f t="shared" si="219"/>
        <v/>
      </c>
      <c r="M2797" t="str">
        <f>IF(COUNTIF($A$2:A2797,A2797)=1,
     VLOOKUP(A2797,Season_Winners!A:B,2,FALSE),
     "")</f>
        <v/>
      </c>
    </row>
    <row r="2798" spans="1:13" x14ac:dyDescent="0.3">
      <c r="A2798" t="s">
        <v>998</v>
      </c>
      <c r="B2798">
        <v>14</v>
      </c>
      <c r="C2798" t="s">
        <v>1052</v>
      </c>
      <c r="D2798" t="str">
        <f t="shared" si="215"/>
        <v>20.12.2020</v>
      </c>
      <c r="E2798" s="1">
        <v>0.58333333333333337</v>
      </c>
      <c r="F2798" t="s">
        <v>35</v>
      </c>
      <c r="G2798" t="s">
        <v>464</v>
      </c>
      <c r="H2798" t="s">
        <v>12</v>
      </c>
      <c r="I2798" t="str">
        <f t="shared" si="216"/>
        <v>2-0</v>
      </c>
      <c r="J2798" t="str">
        <f t="shared" si="217"/>
        <v>2</v>
      </c>
      <c r="K2798" t="str">
        <f t="shared" si="218"/>
        <v>0</v>
      </c>
      <c r="L2798" t="str">
        <f t="shared" si="219"/>
        <v>RC Celta</v>
      </c>
      <c r="M2798" t="str">
        <f>IF(COUNTIF($A$2:A2798,A2798)=1,
     VLOOKUP(A2798,Season_Winners!A:B,2,FALSE),
     "")</f>
        <v/>
      </c>
    </row>
    <row r="2799" spans="1:13" x14ac:dyDescent="0.3">
      <c r="A2799" t="s">
        <v>998</v>
      </c>
      <c r="B2799">
        <v>14</v>
      </c>
      <c r="C2799" t="s">
        <v>1052</v>
      </c>
      <c r="D2799" t="str">
        <f t="shared" si="215"/>
        <v>20.12.2020</v>
      </c>
      <c r="E2799" s="1">
        <v>0.67708333333333337</v>
      </c>
      <c r="F2799" t="s">
        <v>24</v>
      </c>
      <c r="G2799" t="s">
        <v>26</v>
      </c>
      <c r="H2799" t="s">
        <v>12</v>
      </c>
      <c r="I2799" t="str">
        <f t="shared" si="216"/>
        <v>2-0</v>
      </c>
      <c r="J2799" t="str">
        <f t="shared" si="217"/>
        <v>2</v>
      </c>
      <c r="K2799" t="str">
        <f t="shared" si="218"/>
        <v>0</v>
      </c>
      <c r="L2799" t="str">
        <f t="shared" si="219"/>
        <v>Granada CF</v>
      </c>
      <c r="M2799" t="str">
        <f>IF(COUNTIF($A$2:A2799,A2799)=1,
     VLOOKUP(A2799,Season_Winners!A:B,2,FALSE),
     "")</f>
        <v/>
      </c>
    </row>
    <row r="2800" spans="1:13" x14ac:dyDescent="0.3">
      <c r="A2800" t="s">
        <v>998</v>
      </c>
      <c r="B2800">
        <v>14</v>
      </c>
      <c r="C2800" t="s">
        <v>1052</v>
      </c>
      <c r="D2800" t="str">
        <f t="shared" si="215"/>
        <v>20.12.2020</v>
      </c>
      <c r="E2800" s="1">
        <v>0.77083333333333337</v>
      </c>
      <c r="F2800" t="s">
        <v>1000</v>
      </c>
      <c r="G2800" t="s">
        <v>11</v>
      </c>
      <c r="H2800" t="s">
        <v>54</v>
      </c>
      <c r="I2800" t="str">
        <f t="shared" si="216"/>
        <v>0-2</v>
      </c>
      <c r="J2800" t="str">
        <f t="shared" si="217"/>
        <v>0</v>
      </c>
      <c r="K2800" t="str">
        <f t="shared" si="218"/>
        <v>2</v>
      </c>
      <c r="L2800" t="str">
        <f t="shared" si="219"/>
        <v>Getafe CF</v>
      </c>
      <c r="M2800" t="str">
        <f>IF(COUNTIF($A$2:A2800,A2800)=1,
     VLOOKUP(A2800,Season_Winners!A:B,2,FALSE),
     "")</f>
        <v/>
      </c>
    </row>
    <row r="2801" spans="1:13" hidden="1" x14ac:dyDescent="0.3">
      <c r="A2801" t="s">
        <v>998</v>
      </c>
      <c r="B2801">
        <v>14</v>
      </c>
      <c r="C2801" t="s">
        <v>1052</v>
      </c>
      <c r="D2801" t="str">
        <f t="shared" si="215"/>
        <v>20.12.2020</v>
      </c>
      <c r="E2801" s="1">
        <v>0.875</v>
      </c>
      <c r="F2801" t="s">
        <v>187</v>
      </c>
      <c r="G2801" t="s">
        <v>25</v>
      </c>
      <c r="H2801" s="2">
        <v>46082</v>
      </c>
      <c r="I2801" s="3" t="str">
        <f t="shared" si="216"/>
        <v/>
      </c>
      <c r="J2801" t="str">
        <f t="shared" si="217"/>
        <v/>
      </c>
      <c r="K2801" t="str">
        <f t="shared" si="218"/>
        <v/>
      </c>
      <c r="L2801" t="str">
        <f t="shared" si="219"/>
        <v/>
      </c>
      <c r="M2801" t="str">
        <f>IF(COUNTIF($A$2:A2801,A2801)=1,
     VLOOKUP(A2801,Season_Winners!A:B,2,FALSE),
     "")</f>
        <v/>
      </c>
    </row>
    <row r="2802" spans="1:13" x14ac:dyDescent="0.3">
      <c r="A2802" t="s">
        <v>998</v>
      </c>
      <c r="B2802">
        <v>15</v>
      </c>
      <c r="C2802" t="s">
        <v>1053</v>
      </c>
      <c r="D2802" t="str">
        <f t="shared" si="215"/>
        <v>22.12.2020</v>
      </c>
      <c r="E2802" s="1">
        <v>0.72916666666666663</v>
      </c>
      <c r="F2802" t="s">
        <v>16</v>
      </c>
      <c r="G2802" t="s">
        <v>27</v>
      </c>
      <c r="H2802" t="s">
        <v>42</v>
      </c>
      <c r="I2802" t="str">
        <f t="shared" si="216"/>
        <v>0-1</v>
      </c>
      <c r="J2802" t="str">
        <f t="shared" si="217"/>
        <v>0</v>
      </c>
      <c r="K2802" t="str">
        <f t="shared" si="218"/>
        <v>1</v>
      </c>
      <c r="L2802" t="str">
        <f t="shared" si="219"/>
        <v>Sevilla FC</v>
      </c>
      <c r="M2802" t="str">
        <f>IF(COUNTIF($A$2:A2802,A2802)=1,
     VLOOKUP(A2802,Season_Winners!A:B,2,FALSE),
     "")</f>
        <v/>
      </c>
    </row>
    <row r="2803" spans="1:13" hidden="1" x14ac:dyDescent="0.3">
      <c r="A2803" t="s">
        <v>998</v>
      </c>
      <c r="B2803">
        <v>15</v>
      </c>
      <c r="C2803" t="s">
        <v>1053</v>
      </c>
      <c r="D2803" t="str">
        <f t="shared" si="215"/>
        <v>22.12.2020</v>
      </c>
      <c r="E2803" s="1">
        <v>0.72916666666666663</v>
      </c>
      <c r="F2803" t="s">
        <v>31</v>
      </c>
      <c r="G2803" t="s">
        <v>23</v>
      </c>
      <c r="H2803" s="2">
        <v>46055</v>
      </c>
      <c r="I2803" s="3" t="str">
        <f t="shared" si="216"/>
        <v/>
      </c>
      <c r="J2803" t="str">
        <f t="shared" si="217"/>
        <v/>
      </c>
      <c r="K2803" t="str">
        <f t="shared" si="218"/>
        <v/>
      </c>
      <c r="L2803" t="str">
        <f t="shared" si="219"/>
        <v/>
      </c>
      <c r="M2803" t="str">
        <f>IF(COUNTIF($A$2:A2803,A2803)=1,
     VLOOKUP(A2803,Season_Winners!A:B,2,FALSE),
     "")</f>
        <v/>
      </c>
    </row>
    <row r="2804" spans="1:13" hidden="1" x14ac:dyDescent="0.3">
      <c r="A2804" t="s">
        <v>998</v>
      </c>
      <c r="B2804">
        <v>15</v>
      </c>
      <c r="C2804" t="s">
        <v>1053</v>
      </c>
      <c r="D2804" t="str">
        <f t="shared" si="215"/>
        <v>22.12.2020</v>
      </c>
      <c r="E2804" s="1">
        <v>0.82291666666666663</v>
      </c>
      <c r="F2804" t="s">
        <v>750</v>
      </c>
      <c r="G2804" t="s">
        <v>21</v>
      </c>
      <c r="H2804" s="2">
        <v>46023</v>
      </c>
      <c r="I2804" s="3" t="str">
        <f t="shared" si="216"/>
        <v/>
      </c>
      <c r="J2804" t="str">
        <f t="shared" si="217"/>
        <v/>
      </c>
      <c r="K2804" t="str">
        <f t="shared" si="218"/>
        <v/>
      </c>
      <c r="L2804" t="str">
        <f t="shared" si="219"/>
        <v/>
      </c>
      <c r="M2804" t="str">
        <f>IF(COUNTIF($A$2:A2804,A2804)=1,
     VLOOKUP(A2804,Season_Winners!A:B,2,FALSE),
     "")</f>
        <v/>
      </c>
    </row>
    <row r="2805" spans="1:13" x14ac:dyDescent="0.3">
      <c r="A2805" t="s">
        <v>998</v>
      </c>
      <c r="B2805">
        <v>15</v>
      </c>
      <c r="C2805" t="s">
        <v>1053</v>
      </c>
      <c r="D2805" t="str">
        <f t="shared" si="215"/>
        <v>22.12.2020</v>
      </c>
      <c r="E2805" s="1">
        <v>0.82291666666666663</v>
      </c>
      <c r="F2805" t="s">
        <v>10</v>
      </c>
      <c r="G2805" t="s">
        <v>1425</v>
      </c>
      <c r="H2805" t="s">
        <v>54</v>
      </c>
      <c r="I2805" t="str">
        <f t="shared" si="216"/>
        <v>0-2</v>
      </c>
      <c r="J2805" t="str">
        <f t="shared" si="217"/>
        <v>0</v>
      </c>
      <c r="K2805" t="str">
        <f t="shared" si="218"/>
        <v>2</v>
      </c>
      <c r="L2805" t="str">
        <f t="shared" si="219"/>
        <v>Atlético de Madrid</v>
      </c>
      <c r="M2805" t="str">
        <f>IF(COUNTIF($A$2:A2805,A2805)=1,
     VLOOKUP(A2805,Season_Winners!A:B,2,FALSE),
     "")</f>
        <v/>
      </c>
    </row>
    <row r="2806" spans="1:13" x14ac:dyDescent="0.3">
      <c r="A2806" t="s">
        <v>998</v>
      </c>
      <c r="B2806">
        <v>15</v>
      </c>
      <c r="C2806" t="s">
        <v>1053</v>
      </c>
      <c r="D2806" t="str">
        <f t="shared" si="215"/>
        <v>22.12.2020</v>
      </c>
      <c r="E2806" s="1">
        <v>0.91666666666666663</v>
      </c>
      <c r="F2806" t="s">
        <v>14</v>
      </c>
      <c r="G2806" t="s">
        <v>20</v>
      </c>
      <c r="H2806" t="s">
        <v>46</v>
      </c>
      <c r="I2806" t="str">
        <f t="shared" si="216"/>
        <v>0-3</v>
      </c>
      <c r="J2806" t="str">
        <f t="shared" si="217"/>
        <v>0</v>
      </c>
      <c r="K2806" t="str">
        <f t="shared" si="218"/>
        <v>3</v>
      </c>
      <c r="L2806" t="str">
        <f t="shared" si="219"/>
        <v>FC Barcelona</v>
      </c>
      <c r="M2806" t="str">
        <f>IF(COUNTIF($A$2:A2806,A2806)=1,
     VLOOKUP(A2806,Season_Winners!A:B,2,FALSE),
     "")</f>
        <v/>
      </c>
    </row>
    <row r="2807" spans="1:13" hidden="1" x14ac:dyDescent="0.3">
      <c r="A2807" t="s">
        <v>998</v>
      </c>
      <c r="B2807">
        <v>15</v>
      </c>
      <c r="C2807" t="s">
        <v>1053</v>
      </c>
      <c r="D2807" t="str">
        <f t="shared" si="215"/>
        <v>22.12.2020</v>
      </c>
      <c r="E2807" s="1">
        <v>0.91666666666666663</v>
      </c>
      <c r="F2807" t="s">
        <v>34</v>
      </c>
      <c r="G2807" t="s">
        <v>15</v>
      </c>
      <c r="H2807" s="2">
        <v>46023</v>
      </c>
      <c r="I2807" s="3" t="str">
        <f t="shared" si="216"/>
        <v/>
      </c>
      <c r="J2807" t="str">
        <f t="shared" si="217"/>
        <v/>
      </c>
      <c r="K2807" t="str">
        <f t="shared" si="218"/>
        <v/>
      </c>
      <c r="L2807" t="str">
        <f t="shared" si="219"/>
        <v/>
      </c>
      <c r="M2807" t="str">
        <f>IF(COUNTIF($A$2:A2807,A2807)=1,
     VLOOKUP(A2807,Season_Winners!A:B,2,FALSE),
     "")</f>
        <v/>
      </c>
    </row>
    <row r="2808" spans="1:13" hidden="1" x14ac:dyDescent="0.3">
      <c r="A2808" t="s">
        <v>998</v>
      </c>
      <c r="B2808">
        <v>15</v>
      </c>
      <c r="C2808" t="s">
        <v>1054</v>
      </c>
      <c r="D2808" t="str">
        <f t="shared" si="215"/>
        <v>23.12.2020</v>
      </c>
      <c r="E2808" s="1">
        <v>0.72916666666666663</v>
      </c>
      <c r="F2808" t="s">
        <v>11</v>
      </c>
      <c r="G2808" t="s">
        <v>35</v>
      </c>
      <c r="H2808" s="2">
        <v>46023</v>
      </c>
      <c r="I2808" s="3" t="str">
        <f t="shared" si="216"/>
        <v/>
      </c>
      <c r="J2808" t="str">
        <f t="shared" si="217"/>
        <v/>
      </c>
      <c r="K2808" t="str">
        <f t="shared" si="218"/>
        <v/>
      </c>
      <c r="L2808" t="str">
        <f t="shared" si="219"/>
        <v/>
      </c>
      <c r="M2808" t="str">
        <f>IF(COUNTIF($A$2:A2808,A2808)=1,
     VLOOKUP(A2808,Season_Winners!A:B,2,FALSE),
     "")</f>
        <v/>
      </c>
    </row>
    <row r="2809" spans="1:13" x14ac:dyDescent="0.3">
      <c r="A2809" t="s">
        <v>998</v>
      </c>
      <c r="B2809">
        <v>15</v>
      </c>
      <c r="C2809" t="s">
        <v>1054</v>
      </c>
      <c r="D2809" t="str">
        <f t="shared" si="215"/>
        <v>23.12.2020</v>
      </c>
      <c r="E2809" s="1">
        <v>0.82291666666666663</v>
      </c>
      <c r="F2809" t="s">
        <v>25</v>
      </c>
      <c r="G2809" t="s">
        <v>24</v>
      </c>
      <c r="H2809" t="s">
        <v>12</v>
      </c>
      <c r="I2809" t="str">
        <f t="shared" si="216"/>
        <v>2-0</v>
      </c>
      <c r="J2809" t="str">
        <f t="shared" si="217"/>
        <v>2</v>
      </c>
      <c r="K2809" t="str">
        <f t="shared" si="218"/>
        <v>0</v>
      </c>
      <c r="L2809" t="str">
        <f t="shared" si="219"/>
        <v>Real Madrid</v>
      </c>
      <c r="M2809" t="str">
        <f>IF(COUNTIF($A$2:A2809,A2809)=1,
     VLOOKUP(A2809,Season_Winners!A:B,2,FALSE),
     "")</f>
        <v/>
      </c>
    </row>
    <row r="2810" spans="1:13" hidden="1" x14ac:dyDescent="0.3">
      <c r="A2810" t="s">
        <v>998</v>
      </c>
      <c r="B2810">
        <v>15</v>
      </c>
      <c r="C2810" t="s">
        <v>1054</v>
      </c>
      <c r="D2810" t="str">
        <f t="shared" si="215"/>
        <v>23.12.2020</v>
      </c>
      <c r="E2810" s="1">
        <v>0.91666666666666663</v>
      </c>
      <c r="F2810" t="s">
        <v>464</v>
      </c>
      <c r="G2810" t="s">
        <v>187</v>
      </c>
      <c r="H2810" s="2">
        <v>46024</v>
      </c>
      <c r="I2810" s="3" t="str">
        <f t="shared" si="216"/>
        <v/>
      </c>
      <c r="J2810" t="str">
        <f t="shared" si="217"/>
        <v/>
      </c>
      <c r="K2810" t="str">
        <f t="shared" si="218"/>
        <v/>
      </c>
      <c r="L2810" t="str">
        <f t="shared" si="219"/>
        <v/>
      </c>
      <c r="M2810" t="str">
        <f>IF(COUNTIF($A$2:A2810,A2810)=1,
     VLOOKUP(A2810,Season_Winners!A:B,2,FALSE),
     "")</f>
        <v/>
      </c>
    </row>
    <row r="2811" spans="1:13" x14ac:dyDescent="0.3">
      <c r="A2811" t="s">
        <v>998</v>
      </c>
      <c r="B2811">
        <v>15</v>
      </c>
      <c r="C2811" t="s">
        <v>1054</v>
      </c>
      <c r="D2811" t="str">
        <f t="shared" si="215"/>
        <v>23.12.2020</v>
      </c>
      <c r="E2811" s="1">
        <v>0.91666666666666663</v>
      </c>
      <c r="F2811" t="s">
        <v>26</v>
      </c>
      <c r="G2811" t="s">
        <v>1000</v>
      </c>
      <c r="H2811" t="s">
        <v>18</v>
      </c>
      <c r="I2811" t="str">
        <f t="shared" si="216"/>
        <v>1-0</v>
      </c>
      <c r="J2811" t="str">
        <f t="shared" si="217"/>
        <v>1</v>
      </c>
      <c r="K2811" t="str">
        <f t="shared" si="218"/>
        <v>0</v>
      </c>
      <c r="L2811" t="str">
        <f t="shared" si="219"/>
        <v>Real Betis</v>
      </c>
      <c r="M2811" t="str">
        <f>IF(COUNTIF($A$2:A2811,A2811)=1,
     VLOOKUP(A2811,Season_Winners!A:B,2,FALSE),
     "")</f>
        <v/>
      </c>
    </row>
    <row r="2812" spans="1:13" x14ac:dyDescent="0.3">
      <c r="A2812" t="s">
        <v>998</v>
      </c>
      <c r="B2812">
        <v>16</v>
      </c>
      <c r="C2812" t="s">
        <v>1055</v>
      </c>
      <c r="D2812" t="str">
        <f t="shared" si="215"/>
        <v>29.12.2020</v>
      </c>
      <c r="E2812" s="1">
        <v>0.70833333333333337</v>
      </c>
      <c r="F2812" t="s">
        <v>27</v>
      </c>
      <c r="G2812" t="s">
        <v>34</v>
      </c>
      <c r="H2812" t="s">
        <v>12</v>
      </c>
      <c r="I2812" t="str">
        <f t="shared" si="216"/>
        <v>2-0</v>
      </c>
      <c r="J2812" t="str">
        <f t="shared" si="217"/>
        <v>2</v>
      </c>
      <c r="K2812" t="str">
        <f t="shared" si="218"/>
        <v>0</v>
      </c>
      <c r="L2812" t="str">
        <f t="shared" si="219"/>
        <v>Sevilla FC</v>
      </c>
      <c r="M2812" t="str">
        <f>IF(COUNTIF($A$2:A2812,A2812)=1,
     VLOOKUP(A2812,Season_Winners!A:B,2,FALSE),
     "")</f>
        <v/>
      </c>
    </row>
    <row r="2813" spans="1:13" hidden="1" x14ac:dyDescent="0.3">
      <c r="A2813" t="s">
        <v>998</v>
      </c>
      <c r="B2813">
        <v>16</v>
      </c>
      <c r="C2813" t="s">
        <v>1055</v>
      </c>
      <c r="D2813" t="str">
        <f t="shared" si="215"/>
        <v>29.12.2020</v>
      </c>
      <c r="E2813" s="1">
        <v>0.80208333333333337</v>
      </c>
      <c r="F2813" t="s">
        <v>20</v>
      </c>
      <c r="G2813" t="s">
        <v>187</v>
      </c>
      <c r="H2813" s="2">
        <v>46023</v>
      </c>
      <c r="I2813" s="3" t="str">
        <f t="shared" si="216"/>
        <v/>
      </c>
      <c r="J2813" t="str">
        <f t="shared" si="217"/>
        <v/>
      </c>
      <c r="K2813" t="str">
        <f t="shared" si="218"/>
        <v/>
      </c>
      <c r="L2813" t="str">
        <f t="shared" si="219"/>
        <v/>
      </c>
      <c r="M2813" t="str">
        <f>IF(COUNTIF($A$2:A2813,A2813)=1,
     VLOOKUP(A2813,Season_Winners!A:B,2,FALSE),
     "")</f>
        <v/>
      </c>
    </row>
    <row r="2814" spans="1:13" x14ac:dyDescent="0.3">
      <c r="A2814" t="s">
        <v>998</v>
      </c>
      <c r="B2814">
        <v>16</v>
      </c>
      <c r="C2814" t="s">
        <v>1055</v>
      </c>
      <c r="D2814" t="str">
        <f t="shared" si="215"/>
        <v>29.12.2020</v>
      </c>
      <c r="E2814" s="1">
        <v>0.89583333333333337</v>
      </c>
      <c r="F2814" t="s">
        <v>1000</v>
      </c>
      <c r="G2814" t="s">
        <v>14</v>
      </c>
      <c r="H2814" t="s">
        <v>41</v>
      </c>
      <c r="I2814" t="str">
        <f t="shared" si="216"/>
        <v>0-0</v>
      </c>
      <c r="J2814" t="str">
        <f t="shared" si="217"/>
        <v>0</v>
      </c>
      <c r="K2814" t="str">
        <f t="shared" si="218"/>
        <v>0</v>
      </c>
      <c r="L2814" t="str">
        <f t="shared" si="219"/>
        <v>Draw</v>
      </c>
      <c r="M2814" t="str">
        <f>IF(COUNTIF($A$2:A2814,A2814)=1,
     VLOOKUP(A2814,Season_Winners!A:B,2,FALSE),
     "")</f>
        <v/>
      </c>
    </row>
    <row r="2815" spans="1:13" hidden="1" x14ac:dyDescent="0.3">
      <c r="A2815" t="s">
        <v>998</v>
      </c>
      <c r="B2815">
        <v>16</v>
      </c>
      <c r="C2815" t="s">
        <v>1055</v>
      </c>
      <c r="D2815" t="str">
        <f t="shared" si="215"/>
        <v>29.12.2020</v>
      </c>
      <c r="E2815" s="1">
        <v>0.89583333333333337</v>
      </c>
      <c r="F2815" t="s">
        <v>21</v>
      </c>
      <c r="G2815" t="s">
        <v>26</v>
      </c>
      <c r="H2815" s="2">
        <v>46085</v>
      </c>
      <c r="I2815" s="3" t="str">
        <f t="shared" si="216"/>
        <v/>
      </c>
      <c r="J2815" t="str">
        <f t="shared" si="217"/>
        <v/>
      </c>
      <c r="K2815" t="str">
        <f t="shared" si="218"/>
        <v/>
      </c>
      <c r="L2815" t="str">
        <f t="shared" si="219"/>
        <v/>
      </c>
      <c r="M2815" t="str">
        <f>IF(COUNTIF($A$2:A2815,A2815)=1,
     VLOOKUP(A2815,Season_Winners!A:B,2,FALSE),
     "")</f>
        <v/>
      </c>
    </row>
    <row r="2816" spans="1:13" hidden="1" x14ac:dyDescent="0.3">
      <c r="A2816" t="s">
        <v>998</v>
      </c>
      <c r="B2816">
        <v>16</v>
      </c>
      <c r="C2816" t="s">
        <v>1056</v>
      </c>
      <c r="D2816" t="str">
        <f t="shared" si="215"/>
        <v>30.12.2020</v>
      </c>
      <c r="E2816" s="1">
        <v>0.70833333333333337</v>
      </c>
      <c r="F2816" t="s">
        <v>24</v>
      </c>
      <c r="G2816" t="s">
        <v>16</v>
      </c>
      <c r="H2816" s="2">
        <v>46024</v>
      </c>
      <c r="I2816" s="3" t="str">
        <f t="shared" si="216"/>
        <v/>
      </c>
      <c r="J2816" t="str">
        <f t="shared" si="217"/>
        <v/>
      </c>
      <c r="K2816" t="str">
        <f t="shared" si="218"/>
        <v/>
      </c>
      <c r="L2816" t="str">
        <f t="shared" si="219"/>
        <v/>
      </c>
      <c r="M2816" t="str">
        <f>IF(COUNTIF($A$2:A2816,A2816)=1,
     VLOOKUP(A2816,Season_Winners!A:B,2,FALSE),
     "")</f>
        <v/>
      </c>
    </row>
    <row r="2817" spans="1:13" x14ac:dyDescent="0.3">
      <c r="A2817" t="s">
        <v>998</v>
      </c>
      <c r="B2817">
        <v>16</v>
      </c>
      <c r="C2817" t="s">
        <v>1056</v>
      </c>
      <c r="D2817" t="str">
        <f t="shared" si="215"/>
        <v>30.12.2020</v>
      </c>
      <c r="E2817" s="1">
        <v>0.80208333333333337</v>
      </c>
      <c r="F2817" t="s">
        <v>1425</v>
      </c>
      <c r="G2817" t="s">
        <v>11</v>
      </c>
      <c r="H2817" t="s">
        <v>18</v>
      </c>
      <c r="I2817" t="str">
        <f t="shared" si="216"/>
        <v>1-0</v>
      </c>
      <c r="J2817" t="str">
        <f t="shared" si="217"/>
        <v>1</v>
      </c>
      <c r="K2817" t="str">
        <f t="shared" si="218"/>
        <v>0</v>
      </c>
      <c r="L2817" t="str">
        <f t="shared" si="219"/>
        <v>Atlético de Madrid</v>
      </c>
      <c r="M2817" t="str">
        <f>IF(COUNTIF($A$2:A2817,A2817)=1,
     VLOOKUP(A2817,Season_Winners!A:B,2,FALSE),
     "")</f>
        <v/>
      </c>
    </row>
    <row r="2818" spans="1:13" hidden="1" x14ac:dyDescent="0.3">
      <c r="A2818" t="s">
        <v>998</v>
      </c>
      <c r="B2818">
        <v>16</v>
      </c>
      <c r="C2818" t="s">
        <v>1056</v>
      </c>
      <c r="D2818" t="str">
        <f t="shared" ref="D2818:D2881" si="220">RIGHT(C2818,10)</f>
        <v>30.12.2020</v>
      </c>
      <c r="E2818" s="1">
        <v>0.80208333333333337</v>
      </c>
      <c r="F2818" t="s">
        <v>35</v>
      </c>
      <c r="G2818" t="s">
        <v>750</v>
      </c>
      <c r="H2818" s="2">
        <v>46024</v>
      </c>
      <c r="I2818" s="3" t="str">
        <f t="shared" ref="I2818:I2881" si="221">IF(ISNUMBER(SEARCH("-",H2818)),H2818,"")</f>
        <v/>
      </c>
      <c r="J2818" t="str">
        <f t="shared" ref="J2818:J2881" si="222">IF(I2818="","",LEFT(I2818,FIND("-",I2818)-1))</f>
        <v/>
      </c>
      <c r="K2818" t="str">
        <f t="shared" ref="K2818:K2881" si="223">IF(I2818="","",RIGHT(I2818,LEN(I2818)-FIND("-",I2818)))</f>
        <v/>
      </c>
      <c r="L2818" t="str">
        <f t="shared" ref="L2818:L2881" si="224">IF(I2818="","",IF(J2818&gt;K2818,F2818,IF(K2818&gt;J2818,G2818,"Draw")))</f>
        <v/>
      </c>
      <c r="M2818" t="str">
        <f>IF(COUNTIF($A$2:A2818,A2818)=1,
     VLOOKUP(A2818,Season_Winners!A:B,2,FALSE),
     "")</f>
        <v/>
      </c>
    </row>
    <row r="2819" spans="1:13" hidden="1" x14ac:dyDescent="0.3">
      <c r="A2819" t="s">
        <v>998</v>
      </c>
      <c r="B2819">
        <v>16</v>
      </c>
      <c r="C2819" t="s">
        <v>1056</v>
      </c>
      <c r="D2819" t="str">
        <f t="shared" si="220"/>
        <v>30.12.2020</v>
      </c>
      <c r="E2819" s="1">
        <v>0.89583333333333337</v>
      </c>
      <c r="F2819" t="s">
        <v>31</v>
      </c>
      <c r="G2819" t="s">
        <v>25</v>
      </c>
      <c r="H2819" s="2">
        <v>46023</v>
      </c>
      <c r="I2819" s="3" t="str">
        <f t="shared" si="221"/>
        <v/>
      </c>
      <c r="J2819" t="str">
        <f t="shared" si="222"/>
        <v/>
      </c>
      <c r="K2819" t="str">
        <f t="shared" si="223"/>
        <v/>
      </c>
      <c r="L2819" t="str">
        <f t="shared" si="224"/>
        <v/>
      </c>
      <c r="M2819" t="str">
        <f>IF(COUNTIF($A$2:A2819,A2819)=1,
     VLOOKUP(A2819,Season_Winners!A:B,2,FALSE),
     "")</f>
        <v/>
      </c>
    </row>
    <row r="2820" spans="1:13" x14ac:dyDescent="0.3">
      <c r="A2820" t="s">
        <v>998</v>
      </c>
      <c r="B2820">
        <v>16</v>
      </c>
      <c r="C2820" t="s">
        <v>1057</v>
      </c>
      <c r="D2820" t="str">
        <f t="shared" si="220"/>
        <v>31.12.2020</v>
      </c>
      <c r="E2820" s="1">
        <v>0.58333333333333337</v>
      </c>
      <c r="F2820" t="s">
        <v>15</v>
      </c>
      <c r="G2820" t="s">
        <v>10</v>
      </c>
      <c r="H2820" t="s">
        <v>42</v>
      </c>
      <c r="I2820" t="str">
        <f t="shared" si="221"/>
        <v>0-1</v>
      </c>
      <c r="J2820" t="str">
        <f t="shared" si="222"/>
        <v>0</v>
      </c>
      <c r="K2820" t="str">
        <f t="shared" si="223"/>
        <v>1</v>
      </c>
      <c r="L2820" t="str">
        <f t="shared" si="224"/>
        <v>Real Sociedad</v>
      </c>
      <c r="M2820" t="str">
        <f>IF(COUNTIF($A$2:A2820,A2820)=1,
     VLOOKUP(A2820,Season_Winners!A:B,2,FALSE),
     "")</f>
        <v/>
      </c>
    </row>
    <row r="2821" spans="1:13" hidden="1" x14ac:dyDescent="0.3">
      <c r="A2821" t="s">
        <v>998</v>
      </c>
      <c r="B2821">
        <v>16</v>
      </c>
      <c r="C2821" t="s">
        <v>1057</v>
      </c>
      <c r="D2821" t="str">
        <f t="shared" si="220"/>
        <v>31.12.2020</v>
      </c>
      <c r="E2821" s="1">
        <v>0.67708333333333337</v>
      </c>
      <c r="F2821" t="s">
        <v>23</v>
      </c>
      <c r="G2821" t="s">
        <v>464</v>
      </c>
      <c r="H2821" s="2">
        <v>46023</v>
      </c>
      <c r="I2821" s="3" t="str">
        <f t="shared" si="221"/>
        <v/>
      </c>
      <c r="J2821" t="str">
        <f t="shared" si="222"/>
        <v/>
      </c>
      <c r="K2821" t="str">
        <f t="shared" si="223"/>
        <v/>
      </c>
      <c r="L2821" t="str">
        <f t="shared" si="224"/>
        <v/>
      </c>
      <c r="M2821" t="str">
        <f>IF(COUNTIF($A$2:A2821,A2821)=1,
     VLOOKUP(A2821,Season_Winners!A:B,2,FALSE),
     "")</f>
        <v/>
      </c>
    </row>
    <row r="2822" spans="1:13" hidden="1" x14ac:dyDescent="0.3">
      <c r="A2822" t="s">
        <v>998</v>
      </c>
      <c r="B2822">
        <v>17</v>
      </c>
      <c r="C2822" t="s">
        <v>1058</v>
      </c>
      <c r="D2822" t="str">
        <f t="shared" si="220"/>
        <v>02.01.2021</v>
      </c>
      <c r="E2822" s="1">
        <v>0.58333333333333337</v>
      </c>
      <c r="F2822" t="s">
        <v>34</v>
      </c>
      <c r="G2822" t="s">
        <v>21</v>
      </c>
      <c r="H2822" s="2">
        <v>46024</v>
      </c>
      <c r="I2822" s="3" t="str">
        <f t="shared" si="221"/>
        <v/>
      </c>
      <c r="J2822" t="str">
        <f t="shared" si="222"/>
        <v/>
      </c>
      <c r="K2822" t="str">
        <f t="shared" si="223"/>
        <v/>
      </c>
      <c r="L2822" t="str">
        <f t="shared" si="224"/>
        <v/>
      </c>
      <c r="M2822" t="str">
        <f>IF(COUNTIF($A$2:A2822,A2822)=1,
     VLOOKUP(A2822,Season_Winners!A:B,2,FALSE),
     "")</f>
        <v/>
      </c>
    </row>
    <row r="2823" spans="1:13" hidden="1" x14ac:dyDescent="0.3">
      <c r="A2823" t="s">
        <v>998</v>
      </c>
      <c r="B2823">
        <v>17</v>
      </c>
      <c r="C2823" t="s">
        <v>1058</v>
      </c>
      <c r="D2823" t="str">
        <f t="shared" si="220"/>
        <v>02.01.2021</v>
      </c>
      <c r="E2823" s="1">
        <v>0.67708333333333337</v>
      </c>
      <c r="F2823" t="s">
        <v>26</v>
      </c>
      <c r="G2823" t="s">
        <v>27</v>
      </c>
      <c r="H2823" s="2">
        <v>46023</v>
      </c>
      <c r="I2823" s="3" t="str">
        <f t="shared" si="221"/>
        <v/>
      </c>
      <c r="J2823" t="str">
        <f t="shared" si="222"/>
        <v/>
      </c>
      <c r="K2823" t="str">
        <f t="shared" si="223"/>
        <v/>
      </c>
      <c r="L2823" t="str">
        <f t="shared" si="224"/>
        <v/>
      </c>
      <c r="M2823" t="str">
        <f>IF(COUNTIF($A$2:A2823,A2823)=1,
     VLOOKUP(A2823,Season_Winners!A:B,2,FALSE),
     "")</f>
        <v/>
      </c>
    </row>
    <row r="2824" spans="1:13" x14ac:dyDescent="0.3">
      <c r="A2824" t="s">
        <v>998</v>
      </c>
      <c r="B2824">
        <v>17</v>
      </c>
      <c r="C2824" t="s">
        <v>1058</v>
      </c>
      <c r="D2824" t="str">
        <f t="shared" si="220"/>
        <v>02.01.2021</v>
      </c>
      <c r="E2824" s="1">
        <v>0.77083333333333337</v>
      </c>
      <c r="F2824" t="s">
        <v>11</v>
      </c>
      <c r="G2824" t="s">
        <v>14</v>
      </c>
      <c r="H2824" t="s">
        <v>42</v>
      </c>
      <c r="I2824" t="str">
        <f t="shared" si="221"/>
        <v>0-1</v>
      </c>
      <c r="J2824" t="str">
        <f t="shared" si="222"/>
        <v>0</v>
      </c>
      <c r="K2824" t="str">
        <f t="shared" si="223"/>
        <v>1</v>
      </c>
      <c r="L2824" t="str">
        <f t="shared" si="224"/>
        <v>Real Valladolid CF</v>
      </c>
      <c r="M2824" t="str">
        <f>IF(COUNTIF($A$2:A2824,A2824)=1,
     VLOOKUP(A2824,Season_Winners!A:B,2,FALSE),
     "")</f>
        <v/>
      </c>
    </row>
    <row r="2825" spans="1:13" x14ac:dyDescent="0.3">
      <c r="A2825" t="s">
        <v>998</v>
      </c>
      <c r="B2825">
        <v>17</v>
      </c>
      <c r="C2825" t="s">
        <v>1058</v>
      </c>
      <c r="D2825" t="str">
        <f t="shared" si="220"/>
        <v>02.01.2021</v>
      </c>
      <c r="E2825" s="1">
        <v>0.875</v>
      </c>
      <c r="F2825" t="s">
        <v>25</v>
      </c>
      <c r="G2825" t="s">
        <v>35</v>
      </c>
      <c r="H2825" t="s">
        <v>12</v>
      </c>
      <c r="I2825" t="str">
        <f t="shared" si="221"/>
        <v>2-0</v>
      </c>
      <c r="J2825" t="str">
        <f t="shared" si="222"/>
        <v>2</v>
      </c>
      <c r="K2825" t="str">
        <f t="shared" si="223"/>
        <v>0</v>
      </c>
      <c r="L2825" t="str">
        <f t="shared" si="224"/>
        <v>Real Madrid</v>
      </c>
      <c r="M2825" t="str">
        <f>IF(COUNTIF($A$2:A2825,A2825)=1,
     VLOOKUP(A2825,Season_Winners!A:B,2,FALSE),
     "")</f>
        <v/>
      </c>
    </row>
    <row r="2826" spans="1:13" x14ac:dyDescent="0.3">
      <c r="A2826" t="s">
        <v>998</v>
      </c>
      <c r="B2826">
        <v>17</v>
      </c>
      <c r="C2826" t="s">
        <v>1059</v>
      </c>
      <c r="D2826" t="str">
        <f t="shared" si="220"/>
        <v>03.01.2021</v>
      </c>
      <c r="E2826" s="1">
        <v>0.58333333333333337</v>
      </c>
      <c r="F2826" t="s">
        <v>15</v>
      </c>
      <c r="G2826" t="s">
        <v>31</v>
      </c>
      <c r="H2826" t="s">
        <v>18</v>
      </c>
      <c r="I2826" t="str">
        <f t="shared" si="221"/>
        <v>1-0</v>
      </c>
      <c r="J2826" t="str">
        <f t="shared" si="222"/>
        <v>1</v>
      </c>
      <c r="K2826" t="str">
        <f t="shared" si="223"/>
        <v>0</v>
      </c>
      <c r="L2826" t="str">
        <f t="shared" si="224"/>
        <v>Athletic Club</v>
      </c>
      <c r="M2826" t="str">
        <f>IF(COUNTIF($A$2:A2826,A2826)=1,
     VLOOKUP(A2826,Season_Winners!A:B,2,FALSE),
     "")</f>
        <v/>
      </c>
    </row>
    <row r="2827" spans="1:13" hidden="1" x14ac:dyDescent="0.3">
      <c r="A2827" t="s">
        <v>998</v>
      </c>
      <c r="B2827">
        <v>17</v>
      </c>
      <c r="C2827" t="s">
        <v>1059</v>
      </c>
      <c r="D2827" t="str">
        <f t="shared" si="220"/>
        <v>03.01.2021</v>
      </c>
      <c r="E2827" s="1">
        <v>0.67708333333333337</v>
      </c>
      <c r="F2827" t="s">
        <v>464</v>
      </c>
      <c r="G2827" t="s">
        <v>28</v>
      </c>
      <c r="H2827" s="2">
        <v>46054</v>
      </c>
      <c r="I2827" s="3" t="str">
        <f t="shared" si="221"/>
        <v/>
      </c>
      <c r="J2827" t="str">
        <f t="shared" si="222"/>
        <v/>
      </c>
      <c r="K2827" t="str">
        <f t="shared" si="223"/>
        <v/>
      </c>
      <c r="L2827" t="str">
        <f t="shared" si="224"/>
        <v/>
      </c>
      <c r="M2827" t="str">
        <f>IF(COUNTIF($A$2:A2827,A2827)=1,
     VLOOKUP(A2827,Season_Winners!A:B,2,FALSE),
     "")</f>
        <v/>
      </c>
    </row>
    <row r="2828" spans="1:13" x14ac:dyDescent="0.3">
      <c r="A2828" t="s">
        <v>998</v>
      </c>
      <c r="B2828">
        <v>17</v>
      </c>
      <c r="C2828" t="s">
        <v>1059</v>
      </c>
      <c r="D2828" t="str">
        <f t="shared" si="220"/>
        <v>03.01.2021</v>
      </c>
      <c r="E2828" s="1">
        <v>0.77083333333333337</v>
      </c>
      <c r="F2828" t="s">
        <v>187</v>
      </c>
      <c r="G2828" t="s">
        <v>24</v>
      </c>
      <c r="H2828" t="s">
        <v>12</v>
      </c>
      <c r="I2828" t="str">
        <f t="shared" si="221"/>
        <v>2-0</v>
      </c>
      <c r="J2828" t="str">
        <f t="shared" si="222"/>
        <v>2</v>
      </c>
      <c r="K2828" t="str">
        <f t="shared" si="223"/>
        <v>0</v>
      </c>
      <c r="L2828" t="str">
        <f t="shared" si="224"/>
        <v>SD Eibar</v>
      </c>
      <c r="M2828" t="str">
        <f>IF(COUNTIF($A$2:A2828,A2828)=1,
     VLOOKUP(A2828,Season_Winners!A:B,2,FALSE),
     "")</f>
        <v/>
      </c>
    </row>
    <row r="2829" spans="1:13" hidden="1" x14ac:dyDescent="0.3">
      <c r="A2829" t="s">
        <v>998</v>
      </c>
      <c r="B2829">
        <v>17</v>
      </c>
      <c r="C2829" t="s">
        <v>1059</v>
      </c>
      <c r="D2829" t="str">
        <f t="shared" si="220"/>
        <v>03.01.2021</v>
      </c>
      <c r="E2829" s="1">
        <v>0.77083333333333337</v>
      </c>
      <c r="F2829" t="s">
        <v>10</v>
      </c>
      <c r="G2829" t="s">
        <v>23</v>
      </c>
      <c r="H2829" s="2">
        <v>46023</v>
      </c>
      <c r="I2829" s="3" t="str">
        <f t="shared" si="221"/>
        <v/>
      </c>
      <c r="J2829" t="str">
        <f t="shared" si="222"/>
        <v/>
      </c>
      <c r="K2829" t="str">
        <f t="shared" si="223"/>
        <v/>
      </c>
      <c r="L2829" t="str">
        <f t="shared" si="224"/>
        <v/>
      </c>
      <c r="M2829" t="str">
        <f>IF(COUNTIF($A$2:A2829,A2829)=1,
     VLOOKUP(A2829,Season_Winners!A:B,2,FALSE),
     "")</f>
        <v/>
      </c>
    </row>
    <row r="2830" spans="1:13" x14ac:dyDescent="0.3">
      <c r="A2830" t="s">
        <v>998</v>
      </c>
      <c r="B2830">
        <v>17</v>
      </c>
      <c r="C2830" t="s">
        <v>1059</v>
      </c>
      <c r="D2830" t="str">
        <f t="shared" si="220"/>
        <v>03.01.2021</v>
      </c>
      <c r="E2830" s="1">
        <v>0.875</v>
      </c>
      <c r="F2830" t="s">
        <v>750</v>
      </c>
      <c r="G2830" t="s">
        <v>20</v>
      </c>
      <c r="H2830" t="s">
        <v>42</v>
      </c>
      <c r="I2830" t="str">
        <f t="shared" si="221"/>
        <v>0-1</v>
      </c>
      <c r="J2830" t="str">
        <f t="shared" si="222"/>
        <v>0</v>
      </c>
      <c r="K2830" t="str">
        <f t="shared" si="223"/>
        <v>1</v>
      </c>
      <c r="L2830" t="str">
        <f t="shared" si="224"/>
        <v>FC Barcelona</v>
      </c>
      <c r="M2830" t="str">
        <f>IF(COUNTIF($A$2:A2830,A2830)=1,
     VLOOKUP(A2830,Season_Winners!A:B,2,FALSE),
     "")</f>
        <v/>
      </c>
    </row>
    <row r="2831" spans="1:13" hidden="1" x14ac:dyDescent="0.3">
      <c r="A2831" t="s">
        <v>998</v>
      </c>
      <c r="B2831">
        <v>17</v>
      </c>
      <c r="C2831" t="s">
        <v>1060</v>
      </c>
      <c r="D2831" t="str">
        <f t="shared" si="220"/>
        <v>04.01.2021</v>
      </c>
      <c r="E2831" s="1">
        <v>0.875</v>
      </c>
      <c r="F2831" t="s">
        <v>16</v>
      </c>
      <c r="G2831" t="s">
        <v>1000</v>
      </c>
      <c r="H2831" s="2">
        <v>46023</v>
      </c>
      <c r="I2831" s="3" t="str">
        <f t="shared" si="221"/>
        <v/>
      </c>
      <c r="J2831" t="str">
        <f t="shared" si="222"/>
        <v/>
      </c>
      <c r="K2831" t="str">
        <f t="shared" si="223"/>
        <v/>
      </c>
      <c r="L2831" t="str">
        <f t="shared" si="224"/>
        <v/>
      </c>
      <c r="M2831" t="str">
        <f>IF(COUNTIF($A$2:A2831,A2831)=1,
     VLOOKUP(A2831,Season_Winners!A:B,2,FALSE),
     "")</f>
        <v/>
      </c>
    </row>
    <row r="2832" spans="1:13" x14ac:dyDescent="0.3">
      <c r="A2832" t="s">
        <v>998</v>
      </c>
      <c r="B2832">
        <v>18</v>
      </c>
      <c r="C2832" t="s">
        <v>1061</v>
      </c>
      <c r="D2832" t="str">
        <f t="shared" si="220"/>
        <v>08.01.2021</v>
      </c>
      <c r="E2832" s="1">
        <v>0.875</v>
      </c>
      <c r="F2832" t="s">
        <v>35</v>
      </c>
      <c r="G2832" t="s">
        <v>34</v>
      </c>
      <c r="H2832" t="s">
        <v>53</v>
      </c>
      <c r="I2832" t="str">
        <f t="shared" si="221"/>
        <v>0-4</v>
      </c>
      <c r="J2832" t="str">
        <f t="shared" si="222"/>
        <v>0</v>
      </c>
      <c r="K2832" t="str">
        <f t="shared" si="223"/>
        <v>4</v>
      </c>
      <c r="L2832" t="str">
        <f t="shared" si="224"/>
        <v>Villarreal CF</v>
      </c>
      <c r="M2832" t="str">
        <f>IF(COUNTIF($A$2:A2832,A2832)=1,
     VLOOKUP(A2832,Season_Winners!A:B,2,FALSE),
     "")</f>
        <v/>
      </c>
    </row>
    <row r="2833" spans="1:13" hidden="1" x14ac:dyDescent="0.3">
      <c r="A2833" t="s">
        <v>998</v>
      </c>
      <c r="B2833">
        <v>18</v>
      </c>
      <c r="C2833" t="s">
        <v>1062</v>
      </c>
      <c r="D2833" t="str">
        <f t="shared" si="220"/>
        <v>09.01.2021</v>
      </c>
      <c r="E2833" s="1">
        <v>0.58333333333333337</v>
      </c>
      <c r="F2833" t="s">
        <v>27</v>
      </c>
      <c r="G2833" t="s">
        <v>10</v>
      </c>
      <c r="H2833" s="2">
        <v>46056</v>
      </c>
      <c r="I2833" s="3" t="str">
        <f t="shared" si="221"/>
        <v/>
      </c>
      <c r="J2833" t="str">
        <f t="shared" si="222"/>
        <v/>
      </c>
      <c r="K2833" t="str">
        <f t="shared" si="223"/>
        <v/>
      </c>
      <c r="L2833" t="str">
        <f t="shared" si="224"/>
        <v/>
      </c>
      <c r="M2833" t="str">
        <f>IF(COUNTIF($A$2:A2833,A2833)=1,
     VLOOKUP(A2833,Season_Winners!A:B,2,FALSE),
     "")</f>
        <v/>
      </c>
    </row>
    <row r="2834" spans="1:13" x14ac:dyDescent="0.3">
      <c r="A2834" t="s">
        <v>998</v>
      </c>
      <c r="B2834">
        <v>18</v>
      </c>
      <c r="C2834" t="s">
        <v>1062</v>
      </c>
      <c r="D2834" t="str">
        <f t="shared" si="220"/>
        <v>09.01.2021</v>
      </c>
      <c r="E2834" s="1">
        <v>0.77083333333333337</v>
      </c>
      <c r="F2834" t="s">
        <v>24</v>
      </c>
      <c r="G2834" t="s">
        <v>20</v>
      </c>
      <c r="H2834" t="s">
        <v>53</v>
      </c>
      <c r="I2834" t="str">
        <f t="shared" si="221"/>
        <v>0-4</v>
      </c>
      <c r="J2834" t="str">
        <f t="shared" si="222"/>
        <v>0</v>
      </c>
      <c r="K2834" t="str">
        <f t="shared" si="223"/>
        <v>4</v>
      </c>
      <c r="L2834" t="str">
        <f t="shared" si="224"/>
        <v>FC Barcelona</v>
      </c>
      <c r="M2834" t="str">
        <f>IF(COUNTIF($A$2:A2834,A2834)=1,
     VLOOKUP(A2834,Season_Winners!A:B,2,FALSE),
     "")</f>
        <v/>
      </c>
    </row>
    <row r="2835" spans="1:13" x14ac:dyDescent="0.3">
      <c r="A2835" t="s">
        <v>998</v>
      </c>
      <c r="B2835">
        <v>18</v>
      </c>
      <c r="C2835" t="s">
        <v>1062</v>
      </c>
      <c r="D2835" t="str">
        <f t="shared" si="220"/>
        <v>09.01.2021</v>
      </c>
      <c r="E2835" s="1">
        <v>0.875</v>
      </c>
      <c r="F2835" t="s">
        <v>23</v>
      </c>
      <c r="G2835" t="s">
        <v>25</v>
      </c>
      <c r="H2835" t="s">
        <v>41</v>
      </c>
      <c r="I2835" t="str">
        <f t="shared" si="221"/>
        <v>0-0</v>
      </c>
      <c r="J2835" t="str">
        <f t="shared" si="222"/>
        <v>0</v>
      </c>
      <c r="K2835" t="str">
        <f t="shared" si="223"/>
        <v>0</v>
      </c>
      <c r="L2835" t="str">
        <f t="shared" si="224"/>
        <v>Draw</v>
      </c>
      <c r="M2835" t="str">
        <f>IF(COUNTIF($A$2:A2835,A2835)=1,
     VLOOKUP(A2835,Season_Winners!A:B,2,FALSE),
     "")</f>
        <v/>
      </c>
    </row>
    <row r="2836" spans="1:13" hidden="1" x14ac:dyDescent="0.3">
      <c r="A2836" t="s">
        <v>998</v>
      </c>
      <c r="B2836">
        <v>18</v>
      </c>
      <c r="C2836" t="s">
        <v>1063</v>
      </c>
      <c r="D2836" t="str">
        <f t="shared" si="220"/>
        <v>10.01.2021</v>
      </c>
      <c r="E2836" s="1">
        <v>0.58333333333333337</v>
      </c>
      <c r="F2836" t="s">
        <v>21</v>
      </c>
      <c r="G2836" t="s">
        <v>187</v>
      </c>
      <c r="H2836" s="2">
        <v>46024</v>
      </c>
      <c r="I2836" s="3" t="str">
        <f t="shared" si="221"/>
        <v/>
      </c>
      <c r="J2836" t="str">
        <f t="shared" si="222"/>
        <v/>
      </c>
      <c r="K2836" t="str">
        <f t="shared" si="223"/>
        <v/>
      </c>
      <c r="L2836" t="str">
        <f t="shared" si="224"/>
        <v/>
      </c>
      <c r="M2836" t="str">
        <f>IF(COUNTIF($A$2:A2836,A2836)=1,
     VLOOKUP(A2836,Season_Winners!A:B,2,FALSE),
     "")</f>
        <v/>
      </c>
    </row>
    <row r="2837" spans="1:13" hidden="1" x14ac:dyDescent="0.3">
      <c r="A2837" t="s">
        <v>998</v>
      </c>
      <c r="B2837">
        <v>18</v>
      </c>
      <c r="C2837" t="s">
        <v>1063</v>
      </c>
      <c r="D2837" t="str">
        <f t="shared" si="220"/>
        <v>10.01.2021</v>
      </c>
      <c r="E2837" s="1">
        <v>0.67708333333333337</v>
      </c>
      <c r="F2837" t="s">
        <v>1000</v>
      </c>
      <c r="G2837" t="s">
        <v>464</v>
      </c>
      <c r="H2837" s="2">
        <v>46025</v>
      </c>
      <c r="I2837" s="3" t="str">
        <f t="shared" si="221"/>
        <v/>
      </c>
      <c r="J2837" t="str">
        <f t="shared" si="222"/>
        <v/>
      </c>
      <c r="K2837" t="str">
        <f t="shared" si="223"/>
        <v/>
      </c>
      <c r="L2837" t="str">
        <f t="shared" si="224"/>
        <v/>
      </c>
      <c r="M2837" t="str">
        <f>IF(COUNTIF($A$2:A2837,A2837)=1,
     VLOOKUP(A2837,Season_Winners!A:B,2,FALSE),
     "")</f>
        <v/>
      </c>
    </row>
    <row r="2838" spans="1:13" x14ac:dyDescent="0.3">
      <c r="A2838" t="s">
        <v>998</v>
      </c>
      <c r="B2838">
        <v>18</v>
      </c>
      <c r="C2838" t="s">
        <v>1063</v>
      </c>
      <c r="D2838" t="str">
        <f t="shared" si="220"/>
        <v>10.01.2021</v>
      </c>
      <c r="E2838" s="1">
        <v>0.875</v>
      </c>
      <c r="F2838" t="s">
        <v>14</v>
      </c>
      <c r="G2838" t="s">
        <v>16</v>
      </c>
      <c r="H2838" t="s">
        <v>42</v>
      </c>
      <c r="I2838" t="str">
        <f t="shared" si="221"/>
        <v>0-1</v>
      </c>
      <c r="J2838" t="str">
        <f t="shared" si="222"/>
        <v>0</v>
      </c>
      <c r="K2838" t="str">
        <f t="shared" si="223"/>
        <v>1</v>
      </c>
      <c r="L2838" t="str">
        <f t="shared" si="224"/>
        <v>Valencia CF</v>
      </c>
      <c r="M2838" t="str">
        <f>IF(COUNTIF($A$2:A2838,A2838)=1,
     VLOOKUP(A2838,Season_Winners!A:B,2,FALSE),
     "")</f>
        <v/>
      </c>
    </row>
    <row r="2839" spans="1:13" hidden="1" x14ac:dyDescent="0.3">
      <c r="A2839" t="s">
        <v>998</v>
      </c>
      <c r="B2839">
        <v>18</v>
      </c>
      <c r="C2839" t="s">
        <v>1064</v>
      </c>
      <c r="D2839" t="str">
        <f t="shared" si="220"/>
        <v>11.01.2021</v>
      </c>
      <c r="E2839" s="1">
        <v>0.79166666666666663</v>
      </c>
      <c r="F2839" t="s">
        <v>31</v>
      </c>
      <c r="G2839" t="s">
        <v>11</v>
      </c>
      <c r="H2839" s="2">
        <v>46082</v>
      </c>
      <c r="I2839" s="3" t="str">
        <f t="shared" si="221"/>
        <v/>
      </c>
      <c r="J2839" t="str">
        <f t="shared" si="222"/>
        <v/>
      </c>
      <c r="K2839" t="str">
        <f t="shared" si="223"/>
        <v/>
      </c>
      <c r="L2839" t="str">
        <f t="shared" si="224"/>
        <v/>
      </c>
      <c r="M2839" t="str">
        <f>IF(COUNTIF($A$2:A2839,A2839)=1,
     VLOOKUP(A2839,Season_Winners!A:B,2,FALSE),
     "")</f>
        <v/>
      </c>
    </row>
    <row r="2840" spans="1:13" x14ac:dyDescent="0.3">
      <c r="A2840" t="s">
        <v>998</v>
      </c>
      <c r="B2840">
        <v>18</v>
      </c>
      <c r="C2840" t="s">
        <v>1064</v>
      </c>
      <c r="D2840" t="str">
        <f t="shared" si="220"/>
        <v>11.01.2021</v>
      </c>
      <c r="E2840" s="1">
        <v>0.875</v>
      </c>
      <c r="F2840" t="s">
        <v>750</v>
      </c>
      <c r="G2840" t="s">
        <v>26</v>
      </c>
      <c r="H2840" t="s">
        <v>54</v>
      </c>
      <c r="I2840" t="str">
        <f t="shared" si="221"/>
        <v>0-2</v>
      </c>
      <c r="J2840" t="str">
        <f t="shared" si="222"/>
        <v>0</v>
      </c>
      <c r="K2840" t="str">
        <f t="shared" si="223"/>
        <v>2</v>
      </c>
      <c r="L2840" t="str">
        <f t="shared" si="224"/>
        <v>Real Betis</v>
      </c>
      <c r="M2840" t="str">
        <f>IF(COUNTIF($A$2:A2840,A2840)=1,
     VLOOKUP(A2840,Season_Winners!A:B,2,FALSE),
     "")</f>
        <v/>
      </c>
    </row>
    <row r="2841" spans="1:13" hidden="1" x14ac:dyDescent="0.3">
      <c r="A2841" t="s">
        <v>998</v>
      </c>
      <c r="B2841">
        <v>18</v>
      </c>
      <c r="C2841" t="s">
        <v>1065</v>
      </c>
      <c r="D2841" t="str">
        <f t="shared" si="220"/>
        <v>10.03.2021</v>
      </c>
      <c r="E2841" s="1">
        <v>0.79166666666666663</v>
      </c>
      <c r="F2841" t="s">
        <v>28</v>
      </c>
      <c r="G2841" t="s">
        <v>15</v>
      </c>
      <c r="H2841" s="2">
        <v>46024</v>
      </c>
      <c r="I2841" s="3" t="str">
        <f t="shared" si="221"/>
        <v/>
      </c>
      <c r="J2841" t="str">
        <f t="shared" si="222"/>
        <v/>
      </c>
      <c r="K2841" t="str">
        <f t="shared" si="223"/>
        <v/>
      </c>
      <c r="L2841" t="str">
        <f t="shared" si="224"/>
        <v/>
      </c>
      <c r="M2841" t="str">
        <f>IF(COUNTIF($A$2:A2841,A2841)=1,
     VLOOKUP(A2841,Season_Winners!A:B,2,FALSE),
     "")</f>
        <v/>
      </c>
    </row>
    <row r="2842" spans="1:13" hidden="1" x14ac:dyDescent="0.3">
      <c r="A2842" t="s">
        <v>998</v>
      </c>
      <c r="B2842">
        <v>19</v>
      </c>
      <c r="C2842" t="s">
        <v>1066</v>
      </c>
      <c r="D2842" t="str">
        <f t="shared" si="220"/>
        <v>15.12.2020</v>
      </c>
      <c r="E2842" s="1">
        <v>0.91666666666666663</v>
      </c>
      <c r="F2842" t="s">
        <v>25</v>
      </c>
      <c r="G2842" t="s">
        <v>15</v>
      </c>
      <c r="H2842" s="2">
        <v>46025</v>
      </c>
      <c r="I2842" s="3" t="str">
        <f t="shared" si="221"/>
        <v/>
      </c>
      <c r="J2842" t="str">
        <f t="shared" si="222"/>
        <v/>
      </c>
      <c r="K2842" t="str">
        <f t="shared" si="223"/>
        <v/>
      </c>
      <c r="L2842" t="str">
        <f t="shared" si="224"/>
        <v/>
      </c>
      <c r="M2842" t="str">
        <f>IF(COUNTIF($A$2:A2842,A2842)=1,
     VLOOKUP(A2842,Season_Winners!A:B,2,FALSE),
     "")</f>
        <v/>
      </c>
    </row>
    <row r="2843" spans="1:13" hidden="1" x14ac:dyDescent="0.3">
      <c r="A2843" t="s">
        <v>998</v>
      </c>
      <c r="B2843">
        <v>19</v>
      </c>
      <c r="C2843" t="s">
        <v>1067</v>
      </c>
      <c r="D2843" t="str">
        <f t="shared" si="220"/>
        <v>16.12.2020</v>
      </c>
      <c r="E2843" s="1">
        <v>0.875</v>
      </c>
      <c r="F2843" t="s">
        <v>20</v>
      </c>
      <c r="G2843" t="s">
        <v>10</v>
      </c>
      <c r="H2843" s="2">
        <v>46024</v>
      </c>
      <c r="I2843" s="3" t="str">
        <f t="shared" si="221"/>
        <v/>
      </c>
      <c r="J2843" t="str">
        <f t="shared" si="222"/>
        <v/>
      </c>
      <c r="K2843" t="str">
        <f t="shared" si="223"/>
        <v/>
      </c>
      <c r="L2843" t="str">
        <f t="shared" si="224"/>
        <v/>
      </c>
      <c r="M2843" t="str">
        <f>IF(COUNTIF($A$2:A2843,A2843)=1,
     VLOOKUP(A2843,Season_Winners!A:B,2,FALSE),
     "")</f>
        <v/>
      </c>
    </row>
    <row r="2844" spans="1:13" hidden="1" x14ac:dyDescent="0.3">
      <c r="A2844" t="s">
        <v>998</v>
      </c>
      <c r="B2844">
        <v>19</v>
      </c>
      <c r="C2844" t="s">
        <v>1068</v>
      </c>
      <c r="D2844" t="str">
        <f t="shared" si="220"/>
        <v>19.01.2021</v>
      </c>
      <c r="E2844" s="1">
        <v>0.79166666666666663</v>
      </c>
      <c r="F2844" t="s">
        <v>1000</v>
      </c>
      <c r="G2844" t="s">
        <v>21</v>
      </c>
      <c r="H2844" s="2">
        <v>46055</v>
      </c>
      <c r="I2844" s="3" t="str">
        <f t="shared" si="221"/>
        <v/>
      </c>
      <c r="J2844" t="str">
        <f t="shared" si="222"/>
        <v/>
      </c>
      <c r="K2844" t="str">
        <f t="shared" si="223"/>
        <v/>
      </c>
      <c r="L2844" t="str">
        <f t="shared" si="224"/>
        <v/>
      </c>
      <c r="M2844" t="str">
        <f>IF(COUNTIF($A$2:A2844,A2844)=1,
     VLOOKUP(A2844,Season_Winners!A:B,2,FALSE),
     "")</f>
        <v/>
      </c>
    </row>
    <row r="2845" spans="1:13" hidden="1" x14ac:dyDescent="0.3">
      <c r="A2845" t="s">
        <v>998</v>
      </c>
      <c r="B2845">
        <v>19</v>
      </c>
      <c r="C2845" t="s">
        <v>1068</v>
      </c>
      <c r="D2845" t="str">
        <f t="shared" si="220"/>
        <v>19.01.2021</v>
      </c>
      <c r="E2845" s="1">
        <v>0.79166666666666663</v>
      </c>
      <c r="F2845" t="s">
        <v>14</v>
      </c>
      <c r="G2845" t="s">
        <v>31</v>
      </c>
      <c r="H2845" s="2">
        <v>46055</v>
      </c>
      <c r="I2845" s="3" t="str">
        <f t="shared" si="221"/>
        <v/>
      </c>
      <c r="J2845" t="str">
        <f t="shared" si="222"/>
        <v/>
      </c>
      <c r="K2845" t="str">
        <f t="shared" si="223"/>
        <v/>
      </c>
      <c r="L2845" t="str">
        <f t="shared" si="224"/>
        <v/>
      </c>
      <c r="M2845" t="str">
        <f>IF(COUNTIF($A$2:A2845,A2845)=1,
     VLOOKUP(A2845,Season_Winners!A:B,2,FALSE),
     "")</f>
        <v/>
      </c>
    </row>
    <row r="2846" spans="1:13" hidden="1" x14ac:dyDescent="0.3">
      <c r="A2846" t="s">
        <v>998</v>
      </c>
      <c r="B2846">
        <v>19</v>
      </c>
      <c r="C2846" t="s">
        <v>1068</v>
      </c>
      <c r="D2846" t="str">
        <f t="shared" si="220"/>
        <v>19.01.2021</v>
      </c>
      <c r="E2846" s="1">
        <v>0.89583333333333337</v>
      </c>
      <c r="F2846" t="s">
        <v>464</v>
      </c>
      <c r="G2846" t="s">
        <v>27</v>
      </c>
      <c r="H2846" s="2">
        <v>46054</v>
      </c>
      <c r="I2846" s="3" t="str">
        <f t="shared" si="221"/>
        <v/>
      </c>
      <c r="J2846" t="str">
        <f t="shared" si="222"/>
        <v/>
      </c>
      <c r="K2846" t="str">
        <f t="shared" si="223"/>
        <v/>
      </c>
      <c r="L2846" t="str">
        <f t="shared" si="224"/>
        <v/>
      </c>
      <c r="M2846" t="str">
        <f>IF(COUNTIF($A$2:A2846,A2846)=1,
     VLOOKUP(A2846,Season_Winners!A:B,2,FALSE),
     "")</f>
        <v/>
      </c>
    </row>
    <row r="2847" spans="1:13" x14ac:dyDescent="0.3">
      <c r="A2847" t="s">
        <v>998</v>
      </c>
      <c r="B2847">
        <v>19</v>
      </c>
      <c r="C2847" t="s">
        <v>1069</v>
      </c>
      <c r="D2847" t="str">
        <f t="shared" si="220"/>
        <v>20.01.2021</v>
      </c>
      <c r="E2847" s="1">
        <v>0.79166666666666663</v>
      </c>
      <c r="F2847" t="s">
        <v>11</v>
      </c>
      <c r="G2847" t="s">
        <v>750</v>
      </c>
      <c r="H2847" t="s">
        <v>18</v>
      </c>
      <c r="I2847" t="str">
        <f t="shared" si="221"/>
        <v>1-0</v>
      </c>
      <c r="J2847" t="str">
        <f t="shared" si="222"/>
        <v>1</v>
      </c>
      <c r="K2847" t="str">
        <f t="shared" si="223"/>
        <v>0</v>
      </c>
      <c r="L2847" t="str">
        <f t="shared" si="224"/>
        <v>Getafe CF</v>
      </c>
      <c r="M2847" t="str">
        <f>IF(COUNTIF($A$2:A2847,A2847)=1,
     VLOOKUP(A2847,Season_Winners!A:B,2,FALSE),
     "")</f>
        <v/>
      </c>
    </row>
    <row r="2848" spans="1:13" hidden="1" x14ac:dyDescent="0.3">
      <c r="A2848" t="s">
        <v>998</v>
      </c>
      <c r="B2848">
        <v>19</v>
      </c>
      <c r="C2848" t="s">
        <v>1069</v>
      </c>
      <c r="D2848" t="str">
        <f t="shared" si="220"/>
        <v>20.01.2021</v>
      </c>
      <c r="E2848" s="1">
        <v>0.875</v>
      </c>
      <c r="F2848" t="s">
        <v>26</v>
      </c>
      <c r="G2848" t="s">
        <v>35</v>
      </c>
      <c r="H2848" s="2">
        <v>46024</v>
      </c>
      <c r="I2848" s="3" t="str">
        <f t="shared" si="221"/>
        <v/>
      </c>
      <c r="J2848" t="str">
        <f t="shared" si="222"/>
        <v/>
      </c>
      <c r="K2848" t="str">
        <f t="shared" si="223"/>
        <v/>
      </c>
      <c r="L2848" t="str">
        <f t="shared" si="224"/>
        <v/>
      </c>
      <c r="M2848" t="str">
        <f>IF(COUNTIF($A$2:A2848,A2848)=1,
     VLOOKUP(A2848,Season_Winners!A:B,2,FALSE),
     "")</f>
        <v/>
      </c>
    </row>
    <row r="2849" spans="1:13" hidden="1" x14ac:dyDescent="0.3">
      <c r="A2849" t="s">
        <v>998</v>
      </c>
      <c r="B2849">
        <v>19</v>
      </c>
      <c r="C2849" t="s">
        <v>1069</v>
      </c>
      <c r="D2849" t="str">
        <f t="shared" si="220"/>
        <v>20.01.2021</v>
      </c>
      <c r="E2849" s="1">
        <v>0.89583333333333337</v>
      </c>
      <c r="F2849" t="s">
        <v>34</v>
      </c>
      <c r="G2849" t="s">
        <v>24</v>
      </c>
      <c r="H2849" s="2">
        <v>46055</v>
      </c>
      <c r="I2849" s="3" t="str">
        <f t="shared" si="221"/>
        <v/>
      </c>
      <c r="J2849" t="str">
        <f t="shared" si="222"/>
        <v/>
      </c>
      <c r="K2849" t="str">
        <f t="shared" si="223"/>
        <v/>
      </c>
      <c r="L2849" t="str">
        <f t="shared" si="224"/>
        <v/>
      </c>
      <c r="M2849" t="str">
        <f>IF(COUNTIF($A$2:A2849,A2849)=1,
     VLOOKUP(A2849,Season_Winners!A:B,2,FALSE),
     "")</f>
        <v/>
      </c>
    </row>
    <row r="2850" spans="1:13" hidden="1" x14ac:dyDescent="0.3">
      <c r="A2850" t="s">
        <v>998</v>
      </c>
      <c r="B2850">
        <v>19</v>
      </c>
      <c r="C2850" t="s">
        <v>1070</v>
      </c>
      <c r="D2850" t="str">
        <f t="shared" si="220"/>
        <v>21.01.2021</v>
      </c>
      <c r="E2850" s="1">
        <v>0.79166666666666663</v>
      </c>
      <c r="F2850" t="s">
        <v>16</v>
      </c>
      <c r="G2850" t="s">
        <v>23</v>
      </c>
      <c r="H2850" s="2">
        <v>46023</v>
      </c>
      <c r="I2850" s="3" t="str">
        <f t="shared" si="221"/>
        <v/>
      </c>
      <c r="J2850" t="str">
        <f t="shared" si="222"/>
        <v/>
      </c>
      <c r="K2850" t="str">
        <f t="shared" si="223"/>
        <v/>
      </c>
      <c r="L2850" t="str">
        <f t="shared" si="224"/>
        <v/>
      </c>
      <c r="M2850" t="str">
        <f>IF(COUNTIF($A$2:A2850,A2850)=1,
     VLOOKUP(A2850,Season_Winners!A:B,2,FALSE),
     "")</f>
        <v/>
      </c>
    </row>
    <row r="2851" spans="1:13" hidden="1" x14ac:dyDescent="0.3">
      <c r="A2851" t="s">
        <v>998</v>
      </c>
      <c r="B2851">
        <v>19</v>
      </c>
      <c r="C2851" t="s">
        <v>1070</v>
      </c>
      <c r="D2851" t="str">
        <f t="shared" si="220"/>
        <v>21.01.2021</v>
      </c>
      <c r="E2851" s="1">
        <v>0.89583333333333337</v>
      </c>
      <c r="F2851" t="s">
        <v>187</v>
      </c>
      <c r="G2851" t="s">
        <v>28</v>
      </c>
      <c r="H2851" s="2">
        <v>46054</v>
      </c>
      <c r="I2851" s="3" t="str">
        <f t="shared" si="221"/>
        <v/>
      </c>
      <c r="J2851" t="str">
        <f t="shared" si="222"/>
        <v/>
      </c>
      <c r="K2851" t="str">
        <f t="shared" si="223"/>
        <v/>
      </c>
      <c r="L2851" t="str">
        <f t="shared" si="224"/>
        <v/>
      </c>
      <c r="M2851" t="str">
        <f>IF(COUNTIF($A$2:A2851,A2851)=1,
     VLOOKUP(A2851,Season_Winners!A:B,2,FALSE),
     "")</f>
        <v/>
      </c>
    </row>
    <row r="2852" spans="1:13" hidden="1" x14ac:dyDescent="0.3">
      <c r="A2852" t="s">
        <v>998</v>
      </c>
      <c r="B2852">
        <v>20</v>
      </c>
      <c r="C2852" t="s">
        <v>1071</v>
      </c>
      <c r="D2852" t="str">
        <f t="shared" si="220"/>
        <v>22.01.2021</v>
      </c>
      <c r="E2852" s="1">
        <v>0.875</v>
      </c>
      <c r="F2852" t="s">
        <v>21</v>
      </c>
      <c r="G2852" t="s">
        <v>14</v>
      </c>
      <c r="H2852" s="2">
        <v>46055</v>
      </c>
      <c r="I2852" s="3" t="str">
        <f t="shared" si="221"/>
        <v/>
      </c>
      <c r="J2852" t="str">
        <f t="shared" si="222"/>
        <v/>
      </c>
      <c r="K2852" t="str">
        <f t="shared" si="223"/>
        <v/>
      </c>
      <c r="L2852" t="str">
        <f t="shared" si="224"/>
        <v/>
      </c>
      <c r="M2852" t="str">
        <f>IF(COUNTIF($A$2:A2852,A2852)=1,
     VLOOKUP(A2852,Season_Winners!A:B,2,FALSE),
     "")</f>
        <v/>
      </c>
    </row>
    <row r="2853" spans="1:13" x14ac:dyDescent="0.3">
      <c r="A2853" t="s">
        <v>998</v>
      </c>
      <c r="B2853">
        <v>20</v>
      </c>
      <c r="C2853" t="s">
        <v>1072</v>
      </c>
      <c r="D2853" t="str">
        <f t="shared" si="220"/>
        <v>23.01.2021</v>
      </c>
      <c r="E2853" s="1">
        <v>0.58333333333333337</v>
      </c>
      <c r="F2853" t="s">
        <v>750</v>
      </c>
      <c r="G2853" t="s">
        <v>34</v>
      </c>
      <c r="H2853" t="s">
        <v>41</v>
      </c>
      <c r="I2853" t="str">
        <f t="shared" si="221"/>
        <v>0-0</v>
      </c>
      <c r="J2853" t="str">
        <f t="shared" si="222"/>
        <v>0</v>
      </c>
      <c r="K2853" t="str">
        <f t="shared" si="223"/>
        <v>0</v>
      </c>
      <c r="L2853" t="str">
        <f t="shared" si="224"/>
        <v>Draw</v>
      </c>
      <c r="M2853" t="str">
        <f>IF(COUNTIF($A$2:A2853,A2853)=1,
     VLOOKUP(A2853,Season_Winners!A:B,2,FALSE),
     "")</f>
        <v/>
      </c>
    </row>
    <row r="2854" spans="1:13" x14ac:dyDescent="0.3">
      <c r="A2854" t="s">
        <v>998</v>
      </c>
      <c r="B2854">
        <v>20</v>
      </c>
      <c r="C2854" t="s">
        <v>1072</v>
      </c>
      <c r="D2854" t="str">
        <f t="shared" si="220"/>
        <v>23.01.2021</v>
      </c>
      <c r="E2854" s="1">
        <v>0.67708333333333337</v>
      </c>
      <c r="F2854" t="s">
        <v>27</v>
      </c>
      <c r="G2854" t="s">
        <v>1000</v>
      </c>
      <c r="H2854" t="s">
        <v>32</v>
      </c>
      <c r="I2854" t="str">
        <f t="shared" si="221"/>
        <v>3-0</v>
      </c>
      <c r="J2854" t="str">
        <f t="shared" si="222"/>
        <v>3</v>
      </c>
      <c r="K2854" t="str">
        <f t="shared" si="223"/>
        <v>0</v>
      </c>
      <c r="L2854" t="str">
        <f t="shared" si="224"/>
        <v>Sevilla FC</v>
      </c>
      <c r="M2854" t="str">
        <f>IF(COUNTIF($A$2:A2854,A2854)=1,
     VLOOKUP(A2854,Season_Winners!A:B,2,FALSE),
     "")</f>
        <v/>
      </c>
    </row>
    <row r="2855" spans="1:13" hidden="1" x14ac:dyDescent="0.3">
      <c r="A2855" t="s">
        <v>998</v>
      </c>
      <c r="B2855">
        <v>20</v>
      </c>
      <c r="C2855" t="s">
        <v>1072</v>
      </c>
      <c r="D2855" t="str">
        <f t="shared" si="220"/>
        <v>23.01.2021</v>
      </c>
      <c r="E2855" s="1">
        <v>0.77083333333333337</v>
      </c>
      <c r="F2855" t="s">
        <v>10</v>
      </c>
      <c r="G2855" t="s">
        <v>26</v>
      </c>
      <c r="H2855" s="2">
        <v>46055</v>
      </c>
      <c r="I2855" s="3" t="str">
        <f t="shared" si="221"/>
        <v/>
      </c>
      <c r="J2855" t="str">
        <f t="shared" si="222"/>
        <v/>
      </c>
      <c r="K2855" t="str">
        <f t="shared" si="223"/>
        <v/>
      </c>
      <c r="L2855" t="str">
        <f t="shared" si="224"/>
        <v/>
      </c>
      <c r="M2855" t="str">
        <f>IF(COUNTIF($A$2:A2855,A2855)=1,
     VLOOKUP(A2855,Season_Winners!A:B,2,FALSE),
     "")</f>
        <v/>
      </c>
    </row>
    <row r="2856" spans="1:13" hidden="1" x14ac:dyDescent="0.3">
      <c r="A2856" t="s">
        <v>998</v>
      </c>
      <c r="B2856">
        <v>20</v>
      </c>
      <c r="C2856" t="s">
        <v>1072</v>
      </c>
      <c r="D2856" t="str">
        <f t="shared" si="220"/>
        <v>23.01.2021</v>
      </c>
      <c r="E2856" s="1">
        <v>0.875</v>
      </c>
      <c r="F2856" t="s">
        <v>464</v>
      </c>
      <c r="G2856" t="s">
        <v>25</v>
      </c>
      <c r="H2856" s="2">
        <v>46113</v>
      </c>
      <c r="I2856" s="3" t="str">
        <f t="shared" si="221"/>
        <v/>
      </c>
      <c r="J2856" t="str">
        <f t="shared" si="222"/>
        <v/>
      </c>
      <c r="K2856" t="str">
        <f t="shared" si="223"/>
        <v/>
      </c>
      <c r="L2856" t="str">
        <f t="shared" si="224"/>
        <v/>
      </c>
      <c r="M2856" t="str">
        <f>IF(COUNTIF($A$2:A2856,A2856)=1,
     VLOOKUP(A2856,Season_Winners!A:B,2,FALSE),
     "")</f>
        <v/>
      </c>
    </row>
    <row r="2857" spans="1:13" hidden="1" x14ac:dyDescent="0.3">
      <c r="A2857" t="s">
        <v>998</v>
      </c>
      <c r="B2857">
        <v>20</v>
      </c>
      <c r="C2857" t="s">
        <v>1073</v>
      </c>
      <c r="D2857" t="str">
        <f t="shared" si="220"/>
        <v>24.01.2021</v>
      </c>
      <c r="E2857" s="1">
        <v>0.58333333333333337</v>
      </c>
      <c r="F2857" t="s">
        <v>23</v>
      </c>
      <c r="G2857" t="s">
        <v>24</v>
      </c>
      <c r="H2857" s="2">
        <v>46025</v>
      </c>
      <c r="I2857" s="3" t="str">
        <f t="shared" si="221"/>
        <v/>
      </c>
      <c r="J2857" t="str">
        <f t="shared" si="222"/>
        <v/>
      </c>
      <c r="K2857" t="str">
        <f t="shared" si="223"/>
        <v/>
      </c>
      <c r="L2857" t="str">
        <f t="shared" si="224"/>
        <v/>
      </c>
      <c r="M2857" t="str">
        <f>IF(COUNTIF($A$2:A2857,A2857)=1,
     VLOOKUP(A2857,Season_Winners!A:B,2,FALSE),
     "")</f>
        <v/>
      </c>
    </row>
    <row r="2858" spans="1:13" x14ac:dyDescent="0.3">
      <c r="A2858" t="s">
        <v>998</v>
      </c>
      <c r="B2858">
        <v>20</v>
      </c>
      <c r="C2858" t="s">
        <v>1073</v>
      </c>
      <c r="D2858" t="str">
        <f t="shared" si="220"/>
        <v>24.01.2021</v>
      </c>
      <c r="E2858" s="1">
        <v>0.67708333333333337</v>
      </c>
      <c r="F2858" t="s">
        <v>31</v>
      </c>
      <c r="G2858" t="s">
        <v>20</v>
      </c>
      <c r="H2858" t="s">
        <v>54</v>
      </c>
      <c r="I2858" t="str">
        <f t="shared" si="221"/>
        <v>0-2</v>
      </c>
      <c r="J2858" t="str">
        <f t="shared" si="222"/>
        <v>0</v>
      </c>
      <c r="K2858" t="str">
        <f t="shared" si="223"/>
        <v>2</v>
      </c>
      <c r="L2858" t="str">
        <f t="shared" si="224"/>
        <v>FC Barcelona</v>
      </c>
      <c r="M2858" t="str">
        <f>IF(COUNTIF($A$2:A2858,A2858)=1,
     VLOOKUP(A2858,Season_Winners!A:B,2,FALSE),
     "")</f>
        <v/>
      </c>
    </row>
    <row r="2859" spans="1:13" hidden="1" x14ac:dyDescent="0.3">
      <c r="A2859" t="s">
        <v>998</v>
      </c>
      <c r="B2859">
        <v>20</v>
      </c>
      <c r="C2859" t="s">
        <v>1073</v>
      </c>
      <c r="D2859" t="str">
        <f t="shared" si="220"/>
        <v>24.01.2021</v>
      </c>
      <c r="E2859" s="1">
        <v>0.77083333333333337</v>
      </c>
      <c r="F2859" t="s">
        <v>35</v>
      </c>
      <c r="G2859" t="s">
        <v>187</v>
      </c>
      <c r="H2859" s="2">
        <v>46023</v>
      </c>
      <c r="I2859" s="3" t="str">
        <f t="shared" si="221"/>
        <v/>
      </c>
      <c r="J2859" t="str">
        <f t="shared" si="222"/>
        <v/>
      </c>
      <c r="K2859" t="str">
        <f t="shared" si="223"/>
        <v/>
      </c>
      <c r="L2859" t="str">
        <f t="shared" si="224"/>
        <v/>
      </c>
      <c r="M2859" t="str">
        <f>IF(COUNTIF($A$2:A2859,A2859)=1,
     VLOOKUP(A2859,Season_Winners!A:B,2,FALSE),
     "")</f>
        <v/>
      </c>
    </row>
    <row r="2860" spans="1:13" hidden="1" x14ac:dyDescent="0.3">
      <c r="A2860" t="s">
        <v>998</v>
      </c>
      <c r="B2860">
        <v>20</v>
      </c>
      <c r="C2860" t="s">
        <v>1073</v>
      </c>
      <c r="D2860" t="str">
        <f t="shared" si="220"/>
        <v>24.01.2021</v>
      </c>
      <c r="E2860" s="1">
        <v>0.875</v>
      </c>
      <c r="F2860" t="s">
        <v>28</v>
      </c>
      <c r="G2860" t="s">
        <v>16</v>
      </c>
      <c r="H2860" s="2">
        <v>46025</v>
      </c>
      <c r="I2860" s="3" t="str">
        <f t="shared" si="221"/>
        <v/>
      </c>
      <c r="J2860" t="str">
        <f t="shared" si="222"/>
        <v/>
      </c>
      <c r="K2860" t="str">
        <f t="shared" si="223"/>
        <v/>
      </c>
      <c r="L2860" t="str">
        <f t="shared" si="224"/>
        <v/>
      </c>
      <c r="M2860" t="str">
        <f>IF(COUNTIF($A$2:A2860,A2860)=1,
     VLOOKUP(A2860,Season_Winners!A:B,2,FALSE),
     "")</f>
        <v/>
      </c>
    </row>
    <row r="2861" spans="1:13" hidden="1" x14ac:dyDescent="0.3">
      <c r="A2861" t="s">
        <v>998</v>
      </c>
      <c r="B2861">
        <v>20</v>
      </c>
      <c r="C2861" t="s">
        <v>1074</v>
      </c>
      <c r="D2861" t="str">
        <f t="shared" si="220"/>
        <v>25.01.2021</v>
      </c>
      <c r="E2861" s="1">
        <v>0.875</v>
      </c>
      <c r="F2861" t="s">
        <v>15</v>
      </c>
      <c r="G2861" t="s">
        <v>11</v>
      </c>
      <c r="H2861" s="2">
        <v>46027</v>
      </c>
      <c r="I2861" s="3" t="str">
        <f t="shared" si="221"/>
        <v/>
      </c>
      <c r="J2861" t="str">
        <f t="shared" si="222"/>
        <v/>
      </c>
      <c r="K2861" t="str">
        <f t="shared" si="223"/>
        <v/>
      </c>
      <c r="L2861" t="str">
        <f t="shared" si="224"/>
        <v/>
      </c>
      <c r="M2861" t="str">
        <f>IF(COUNTIF($A$2:A2861,A2861)=1,
     VLOOKUP(A2861,Season_Winners!A:B,2,FALSE),
     "")</f>
        <v/>
      </c>
    </row>
    <row r="2862" spans="1:13" hidden="1" x14ac:dyDescent="0.3">
      <c r="A2862" t="s">
        <v>998</v>
      </c>
      <c r="B2862">
        <v>21</v>
      </c>
      <c r="C2862" t="s">
        <v>1075</v>
      </c>
      <c r="D2862" t="str">
        <f t="shared" si="220"/>
        <v>29.01.2021</v>
      </c>
      <c r="E2862" s="1">
        <v>0.875</v>
      </c>
      <c r="F2862" t="s">
        <v>14</v>
      </c>
      <c r="G2862" t="s">
        <v>750</v>
      </c>
      <c r="H2862" s="2">
        <v>46082</v>
      </c>
      <c r="I2862" s="3" t="str">
        <f t="shared" si="221"/>
        <v/>
      </c>
      <c r="J2862" t="str">
        <f t="shared" si="222"/>
        <v/>
      </c>
      <c r="K2862" t="str">
        <f t="shared" si="223"/>
        <v/>
      </c>
      <c r="L2862" t="str">
        <f t="shared" si="224"/>
        <v/>
      </c>
      <c r="M2862" t="str">
        <f>IF(COUNTIF($A$2:A2862,A2862)=1,
     VLOOKUP(A2862,Season_Winners!A:B,2,FALSE),
     "")</f>
        <v/>
      </c>
    </row>
    <row r="2863" spans="1:13" x14ac:dyDescent="0.3">
      <c r="A2863" t="s">
        <v>998</v>
      </c>
      <c r="B2863">
        <v>21</v>
      </c>
      <c r="C2863" t="s">
        <v>1076</v>
      </c>
      <c r="D2863" t="str">
        <f t="shared" si="220"/>
        <v>30.01.2021</v>
      </c>
      <c r="E2863" s="1">
        <v>0.58333333333333337</v>
      </c>
      <c r="F2863" t="s">
        <v>187</v>
      </c>
      <c r="G2863" t="s">
        <v>27</v>
      </c>
      <c r="H2863" t="s">
        <v>54</v>
      </c>
      <c r="I2863" t="str">
        <f t="shared" si="221"/>
        <v>0-2</v>
      </c>
      <c r="J2863" t="str">
        <f t="shared" si="222"/>
        <v>0</v>
      </c>
      <c r="K2863" t="str">
        <f t="shared" si="223"/>
        <v>2</v>
      </c>
      <c r="L2863" t="str">
        <f t="shared" si="224"/>
        <v>Sevilla FC</v>
      </c>
      <c r="M2863" t="str">
        <f>IF(COUNTIF($A$2:A2863,A2863)=1,
     VLOOKUP(A2863,Season_Winners!A:B,2,FALSE),
     "")</f>
        <v/>
      </c>
    </row>
    <row r="2864" spans="1:13" hidden="1" x14ac:dyDescent="0.3">
      <c r="A2864" t="s">
        <v>998</v>
      </c>
      <c r="B2864">
        <v>21</v>
      </c>
      <c r="C2864" t="s">
        <v>1076</v>
      </c>
      <c r="D2864" t="str">
        <f t="shared" si="220"/>
        <v>30.01.2021</v>
      </c>
      <c r="E2864" s="1">
        <v>0.67708333333333337</v>
      </c>
      <c r="F2864" t="s">
        <v>25</v>
      </c>
      <c r="G2864" t="s">
        <v>21</v>
      </c>
      <c r="H2864" s="2">
        <v>46054</v>
      </c>
      <c r="I2864" s="3" t="str">
        <f t="shared" si="221"/>
        <v/>
      </c>
      <c r="J2864" t="str">
        <f t="shared" si="222"/>
        <v/>
      </c>
      <c r="K2864" t="str">
        <f t="shared" si="223"/>
        <v/>
      </c>
      <c r="L2864" t="str">
        <f t="shared" si="224"/>
        <v/>
      </c>
      <c r="M2864" t="str">
        <f>IF(COUNTIF($A$2:A2864,A2864)=1,
     VLOOKUP(A2864,Season_Winners!A:B,2,FALSE),
     "")</f>
        <v/>
      </c>
    </row>
    <row r="2865" spans="1:13" x14ac:dyDescent="0.3">
      <c r="A2865" t="s">
        <v>998</v>
      </c>
      <c r="B2865">
        <v>21</v>
      </c>
      <c r="C2865" t="s">
        <v>1076</v>
      </c>
      <c r="D2865" t="str">
        <f t="shared" si="220"/>
        <v>30.01.2021</v>
      </c>
      <c r="E2865" s="1">
        <v>0.77083333333333337</v>
      </c>
      <c r="F2865" t="s">
        <v>16</v>
      </c>
      <c r="G2865" t="s">
        <v>31</v>
      </c>
      <c r="H2865" t="s">
        <v>18</v>
      </c>
      <c r="I2865" t="str">
        <f t="shared" si="221"/>
        <v>1-0</v>
      </c>
      <c r="J2865" t="str">
        <f t="shared" si="222"/>
        <v>1</v>
      </c>
      <c r="K2865" t="str">
        <f t="shared" si="223"/>
        <v>0</v>
      </c>
      <c r="L2865" t="str">
        <f t="shared" si="224"/>
        <v>Valencia CF</v>
      </c>
      <c r="M2865" t="str">
        <f>IF(COUNTIF($A$2:A2865,A2865)=1,
     VLOOKUP(A2865,Season_Winners!A:B,2,FALSE),
     "")</f>
        <v/>
      </c>
    </row>
    <row r="2866" spans="1:13" hidden="1" x14ac:dyDescent="0.3">
      <c r="A2866" t="s">
        <v>998</v>
      </c>
      <c r="B2866">
        <v>21</v>
      </c>
      <c r="C2866" t="s">
        <v>1076</v>
      </c>
      <c r="D2866" t="str">
        <f t="shared" si="220"/>
        <v>30.01.2021</v>
      </c>
      <c r="E2866" s="1">
        <v>0.875</v>
      </c>
      <c r="F2866" t="s">
        <v>34</v>
      </c>
      <c r="G2866" t="s">
        <v>10</v>
      </c>
      <c r="H2866" s="2">
        <v>46023</v>
      </c>
      <c r="I2866" s="3" t="str">
        <f t="shared" si="221"/>
        <v/>
      </c>
      <c r="J2866" t="str">
        <f t="shared" si="222"/>
        <v/>
      </c>
      <c r="K2866" t="str">
        <f t="shared" si="223"/>
        <v/>
      </c>
      <c r="L2866" t="str">
        <f t="shared" si="224"/>
        <v/>
      </c>
      <c r="M2866" t="str">
        <f>IF(COUNTIF($A$2:A2866,A2866)=1,
     VLOOKUP(A2866,Season_Winners!A:B,2,FALSE),
     "")</f>
        <v/>
      </c>
    </row>
    <row r="2867" spans="1:13" x14ac:dyDescent="0.3">
      <c r="A2867" t="s">
        <v>998</v>
      </c>
      <c r="B2867">
        <v>21</v>
      </c>
      <c r="C2867" t="s">
        <v>1077</v>
      </c>
      <c r="D2867" t="str">
        <f t="shared" si="220"/>
        <v>31.01.2021</v>
      </c>
      <c r="E2867" s="1">
        <v>0.58333333333333337</v>
      </c>
      <c r="F2867" t="s">
        <v>11</v>
      </c>
      <c r="G2867" t="s">
        <v>464</v>
      </c>
      <c r="H2867" t="s">
        <v>41</v>
      </c>
      <c r="I2867" t="str">
        <f t="shared" si="221"/>
        <v>0-0</v>
      </c>
      <c r="J2867" t="str">
        <f t="shared" si="222"/>
        <v>0</v>
      </c>
      <c r="K2867" t="str">
        <f t="shared" si="223"/>
        <v>0</v>
      </c>
      <c r="L2867" t="str">
        <f t="shared" si="224"/>
        <v>Draw</v>
      </c>
      <c r="M2867" t="str">
        <f>IF(COUNTIF($A$2:A2867,A2867)=1,
     VLOOKUP(A2867,Season_Winners!A:B,2,FALSE),
     "")</f>
        <v/>
      </c>
    </row>
    <row r="2868" spans="1:13" hidden="1" x14ac:dyDescent="0.3">
      <c r="A2868" t="s">
        <v>998</v>
      </c>
      <c r="B2868">
        <v>21</v>
      </c>
      <c r="C2868" t="s">
        <v>1077</v>
      </c>
      <c r="D2868" t="str">
        <f t="shared" si="220"/>
        <v>31.01.2021</v>
      </c>
      <c r="E2868" s="1">
        <v>0.67708333333333337</v>
      </c>
      <c r="F2868" t="s">
        <v>1000</v>
      </c>
      <c r="G2868" t="s">
        <v>28</v>
      </c>
      <c r="H2868" s="2">
        <v>46114</v>
      </c>
      <c r="I2868" s="3" t="str">
        <f t="shared" si="221"/>
        <v/>
      </c>
      <c r="J2868" t="str">
        <f t="shared" si="222"/>
        <v/>
      </c>
      <c r="K2868" t="str">
        <f t="shared" si="223"/>
        <v/>
      </c>
      <c r="L2868" t="str">
        <f t="shared" si="224"/>
        <v/>
      </c>
      <c r="M2868" t="str">
        <f>IF(COUNTIF($A$2:A2868,A2868)=1,
     VLOOKUP(A2868,Season_Winners!A:B,2,FALSE),
     "")</f>
        <v/>
      </c>
    </row>
    <row r="2869" spans="1:13" x14ac:dyDescent="0.3">
      <c r="A2869" t="s">
        <v>998</v>
      </c>
      <c r="B2869">
        <v>21</v>
      </c>
      <c r="C2869" t="s">
        <v>1077</v>
      </c>
      <c r="D2869" t="str">
        <f t="shared" si="220"/>
        <v>31.01.2021</v>
      </c>
      <c r="E2869" s="1">
        <v>0.77083333333333337</v>
      </c>
      <c r="F2869" t="s">
        <v>24</v>
      </c>
      <c r="G2869" t="s">
        <v>35</v>
      </c>
      <c r="H2869" t="s">
        <v>41</v>
      </c>
      <c r="I2869" t="str">
        <f t="shared" si="221"/>
        <v>0-0</v>
      </c>
      <c r="J2869" t="str">
        <f t="shared" si="222"/>
        <v>0</v>
      </c>
      <c r="K2869" t="str">
        <f t="shared" si="223"/>
        <v>0</v>
      </c>
      <c r="L2869" t="str">
        <f t="shared" si="224"/>
        <v>Draw</v>
      </c>
      <c r="M2869" t="str">
        <f>IF(COUNTIF($A$2:A2869,A2869)=1,
     VLOOKUP(A2869,Season_Winners!A:B,2,FALSE),
     "")</f>
        <v/>
      </c>
    </row>
    <row r="2870" spans="1:13" hidden="1" x14ac:dyDescent="0.3">
      <c r="A2870" t="s">
        <v>998</v>
      </c>
      <c r="B2870">
        <v>21</v>
      </c>
      <c r="C2870" t="s">
        <v>1077</v>
      </c>
      <c r="D2870" t="str">
        <f t="shared" si="220"/>
        <v>31.01.2021</v>
      </c>
      <c r="E2870" s="1">
        <v>0.875</v>
      </c>
      <c r="F2870" t="s">
        <v>20</v>
      </c>
      <c r="G2870" t="s">
        <v>15</v>
      </c>
      <c r="H2870" s="2">
        <v>46024</v>
      </c>
      <c r="I2870" s="3" t="str">
        <f t="shared" si="221"/>
        <v/>
      </c>
      <c r="J2870" t="str">
        <f t="shared" si="222"/>
        <v/>
      </c>
      <c r="K2870" t="str">
        <f t="shared" si="223"/>
        <v/>
      </c>
      <c r="L2870" t="str">
        <f t="shared" si="224"/>
        <v/>
      </c>
      <c r="M2870" t="str">
        <f>IF(COUNTIF($A$2:A2870,A2870)=1,
     VLOOKUP(A2870,Season_Winners!A:B,2,FALSE),
     "")</f>
        <v/>
      </c>
    </row>
    <row r="2871" spans="1:13" x14ac:dyDescent="0.3">
      <c r="A2871" t="s">
        <v>998</v>
      </c>
      <c r="B2871">
        <v>21</v>
      </c>
      <c r="C2871" t="s">
        <v>1078</v>
      </c>
      <c r="D2871" t="str">
        <f t="shared" si="220"/>
        <v>01.02.2021</v>
      </c>
      <c r="E2871" s="1">
        <v>0.875</v>
      </c>
      <c r="F2871" t="s">
        <v>26</v>
      </c>
      <c r="G2871" t="s">
        <v>23</v>
      </c>
      <c r="H2871" t="s">
        <v>18</v>
      </c>
      <c r="I2871" t="str">
        <f t="shared" si="221"/>
        <v>1-0</v>
      </c>
      <c r="J2871" t="str">
        <f t="shared" si="222"/>
        <v>1</v>
      </c>
      <c r="K2871" t="str">
        <f t="shared" si="223"/>
        <v>0</v>
      </c>
      <c r="L2871" t="str">
        <f t="shared" si="224"/>
        <v>Real Betis</v>
      </c>
      <c r="M2871" t="str">
        <f>IF(COUNTIF($A$2:A2871,A2871)=1,
     VLOOKUP(A2871,Season_Winners!A:B,2,FALSE),
     "")</f>
        <v/>
      </c>
    </row>
    <row r="2872" spans="1:13" x14ac:dyDescent="0.3">
      <c r="A2872" t="s">
        <v>998</v>
      </c>
      <c r="B2872">
        <v>22</v>
      </c>
      <c r="C2872" t="s">
        <v>1079</v>
      </c>
      <c r="D2872" t="str">
        <f t="shared" si="220"/>
        <v>05.02.2021</v>
      </c>
      <c r="E2872" s="1">
        <v>0.875</v>
      </c>
      <c r="F2872" t="s">
        <v>464</v>
      </c>
      <c r="G2872" t="s">
        <v>14</v>
      </c>
      <c r="H2872" t="s">
        <v>18</v>
      </c>
      <c r="I2872" t="str">
        <f t="shared" si="221"/>
        <v>1-0</v>
      </c>
      <c r="J2872" t="str">
        <f t="shared" si="222"/>
        <v>1</v>
      </c>
      <c r="K2872" t="str">
        <f t="shared" si="223"/>
        <v>0</v>
      </c>
      <c r="L2872" t="str">
        <f t="shared" si="224"/>
        <v>Deportivo AlavÃ©s</v>
      </c>
      <c r="M2872" t="str">
        <f>IF(COUNTIF($A$2:A2872,A2872)=1,
     VLOOKUP(A2872,Season_Winners!A:B,2,FALSE),
     "")</f>
        <v/>
      </c>
    </row>
    <row r="2873" spans="1:13" hidden="1" x14ac:dyDescent="0.3">
      <c r="A2873" t="s">
        <v>998</v>
      </c>
      <c r="B2873">
        <v>22</v>
      </c>
      <c r="C2873" t="s">
        <v>1080</v>
      </c>
      <c r="D2873" t="str">
        <f t="shared" si="220"/>
        <v>06.02.2021</v>
      </c>
      <c r="E2873" s="1">
        <v>0.58333333333333337</v>
      </c>
      <c r="F2873" t="s">
        <v>21</v>
      </c>
      <c r="G2873" t="s">
        <v>24</v>
      </c>
      <c r="H2873" s="2">
        <v>46055</v>
      </c>
      <c r="I2873" s="3" t="str">
        <f t="shared" si="221"/>
        <v/>
      </c>
      <c r="J2873" t="str">
        <f t="shared" si="222"/>
        <v/>
      </c>
      <c r="K2873" t="str">
        <f t="shared" si="223"/>
        <v/>
      </c>
      <c r="L2873" t="str">
        <f t="shared" si="224"/>
        <v/>
      </c>
      <c r="M2873" t="str">
        <f>IF(COUNTIF($A$2:A2873,A2873)=1,
     VLOOKUP(A2873,Season_Winners!A:B,2,FALSE),
     "")</f>
        <v/>
      </c>
    </row>
    <row r="2874" spans="1:13" hidden="1" x14ac:dyDescent="0.3">
      <c r="A2874" t="s">
        <v>998</v>
      </c>
      <c r="B2874">
        <v>22</v>
      </c>
      <c r="C2874" t="s">
        <v>1080</v>
      </c>
      <c r="D2874" t="str">
        <f t="shared" si="220"/>
        <v>06.02.2021</v>
      </c>
      <c r="E2874" s="1">
        <v>0.67708333333333337</v>
      </c>
      <c r="F2874" t="s">
        <v>750</v>
      </c>
      <c r="G2874" t="s">
        <v>25</v>
      </c>
      <c r="H2874" s="2">
        <v>46054</v>
      </c>
      <c r="I2874" s="3" t="str">
        <f t="shared" si="221"/>
        <v/>
      </c>
      <c r="J2874" t="str">
        <f t="shared" si="222"/>
        <v/>
      </c>
      <c r="K2874" t="str">
        <f t="shared" si="223"/>
        <v/>
      </c>
      <c r="L2874" t="str">
        <f t="shared" si="224"/>
        <v/>
      </c>
      <c r="M2874" t="str">
        <f>IF(COUNTIF($A$2:A2874,A2874)=1,
     VLOOKUP(A2874,Season_Winners!A:B,2,FALSE),
     "")</f>
        <v/>
      </c>
    </row>
    <row r="2875" spans="1:13" hidden="1" x14ac:dyDescent="0.3">
      <c r="A2875" t="s">
        <v>998</v>
      </c>
      <c r="B2875">
        <v>22</v>
      </c>
      <c r="C2875" t="s">
        <v>1080</v>
      </c>
      <c r="D2875" t="str">
        <f t="shared" si="220"/>
        <v>06.02.2021</v>
      </c>
      <c r="E2875" s="1">
        <v>0.77083333333333337</v>
      </c>
      <c r="F2875" t="s">
        <v>31</v>
      </c>
      <c r="G2875" t="s">
        <v>34</v>
      </c>
      <c r="H2875" s="2">
        <v>46055</v>
      </c>
      <c r="I2875" s="3" t="str">
        <f t="shared" si="221"/>
        <v/>
      </c>
      <c r="J2875" t="str">
        <f t="shared" si="222"/>
        <v/>
      </c>
      <c r="K2875" t="str">
        <f t="shared" si="223"/>
        <v/>
      </c>
      <c r="L2875" t="str">
        <f t="shared" si="224"/>
        <v/>
      </c>
      <c r="M2875" t="str">
        <f>IF(COUNTIF($A$2:A2875,A2875)=1,
     VLOOKUP(A2875,Season_Winners!A:B,2,FALSE),
     "")</f>
        <v/>
      </c>
    </row>
    <row r="2876" spans="1:13" x14ac:dyDescent="0.3">
      <c r="A2876" t="s">
        <v>998</v>
      </c>
      <c r="B2876">
        <v>22</v>
      </c>
      <c r="C2876" t="s">
        <v>1080</v>
      </c>
      <c r="D2876" t="str">
        <f t="shared" si="220"/>
        <v>06.02.2021</v>
      </c>
      <c r="E2876" s="1">
        <v>0.875</v>
      </c>
      <c r="F2876" t="s">
        <v>27</v>
      </c>
      <c r="G2876" t="s">
        <v>11</v>
      </c>
      <c r="H2876" t="s">
        <v>32</v>
      </c>
      <c r="I2876" t="str">
        <f t="shared" si="221"/>
        <v>3-0</v>
      </c>
      <c r="J2876" t="str">
        <f t="shared" si="222"/>
        <v>3</v>
      </c>
      <c r="K2876" t="str">
        <f t="shared" si="223"/>
        <v>0</v>
      </c>
      <c r="L2876" t="str">
        <f t="shared" si="224"/>
        <v>Sevilla FC</v>
      </c>
      <c r="M2876" t="str">
        <f>IF(COUNTIF($A$2:A2876,A2876)=1,
     VLOOKUP(A2876,Season_Winners!A:B,2,FALSE),
     "")</f>
        <v/>
      </c>
    </row>
    <row r="2877" spans="1:13" hidden="1" x14ac:dyDescent="0.3">
      <c r="A2877" t="s">
        <v>998</v>
      </c>
      <c r="B2877">
        <v>22</v>
      </c>
      <c r="C2877" t="s">
        <v>1081</v>
      </c>
      <c r="D2877" t="str">
        <f t="shared" si="220"/>
        <v>07.02.2021</v>
      </c>
      <c r="E2877" s="1">
        <v>0.58333333333333337</v>
      </c>
      <c r="F2877" t="s">
        <v>10</v>
      </c>
      <c r="G2877" t="s">
        <v>1000</v>
      </c>
      <c r="H2877" s="2">
        <v>46026</v>
      </c>
      <c r="I2877" s="3" t="str">
        <f t="shared" si="221"/>
        <v/>
      </c>
      <c r="J2877" t="str">
        <f t="shared" si="222"/>
        <v/>
      </c>
      <c r="K2877" t="str">
        <f t="shared" si="223"/>
        <v/>
      </c>
      <c r="L2877" t="str">
        <f t="shared" si="224"/>
        <v/>
      </c>
      <c r="M2877" t="str">
        <f>IF(COUNTIF($A$2:A2877,A2877)=1,
     VLOOKUP(A2877,Season_Winners!A:B,2,FALSE),
     "")</f>
        <v/>
      </c>
    </row>
    <row r="2878" spans="1:13" hidden="1" x14ac:dyDescent="0.3">
      <c r="A2878" t="s">
        <v>998</v>
      </c>
      <c r="B2878">
        <v>22</v>
      </c>
      <c r="C2878" t="s">
        <v>1081</v>
      </c>
      <c r="D2878" t="str">
        <f t="shared" si="220"/>
        <v>07.02.2021</v>
      </c>
      <c r="E2878" s="1">
        <v>0.67708333333333337</v>
      </c>
      <c r="F2878" t="s">
        <v>15</v>
      </c>
      <c r="G2878" t="s">
        <v>16</v>
      </c>
      <c r="H2878" s="2">
        <v>46023</v>
      </c>
      <c r="I2878" s="3" t="str">
        <f t="shared" si="221"/>
        <v/>
      </c>
      <c r="J2878" t="str">
        <f t="shared" si="222"/>
        <v/>
      </c>
      <c r="K2878" t="str">
        <f t="shared" si="223"/>
        <v/>
      </c>
      <c r="L2878" t="str">
        <f t="shared" si="224"/>
        <v/>
      </c>
      <c r="M2878" t="str">
        <f>IF(COUNTIF($A$2:A2878,A2878)=1,
     VLOOKUP(A2878,Season_Winners!A:B,2,FALSE),
     "")</f>
        <v/>
      </c>
    </row>
    <row r="2879" spans="1:13" hidden="1" x14ac:dyDescent="0.3">
      <c r="A2879" t="s">
        <v>998</v>
      </c>
      <c r="B2879">
        <v>22</v>
      </c>
      <c r="C2879" t="s">
        <v>1081</v>
      </c>
      <c r="D2879" t="str">
        <f t="shared" si="220"/>
        <v>07.02.2021</v>
      </c>
      <c r="E2879" s="1">
        <v>0.77083333333333337</v>
      </c>
      <c r="F2879" t="s">
        <v>23</v>
      </c>
      <c r="G2879" t="s">
        <v>187</v>
      </c>
      <c r="H2879" s="2">
        <v>46024</v>
      </c>
      <c r="I2879" s="3" t="str">
        <f t="shared" si="221"/>
        <v/>
      </c>
      <c r="J2879" t="str">
        <f t="shared" si="222"/>
        <v/>
      </c>
      <c r="K2879" t="str">
        <f t="shared" si="223"/>
        <v/>
      </c>
      <c r="L2879" t="str">
        <f t="shared" si="224"/>
        <v/>
      </c>
      <c r="M2879" t="str">
        <f>IF(COUNTIF($A$2:A2879,A2879)=1,
     VLOOKUP(A2879,Season_Winners!A:B,2,FALSE),
     "")</f>
        <v/>
      </c>
    </row>
    <row r="2880" spans="1:13" hidden="1" x14ac:dyDescent="0.3">
      <c r="A2880" t="s">
        <v>998</v>
      </c>
      <c r="B2880">
        <v>22</v>
      </c>
      <c r="C2880" t="s">
        <v>1081</v>
      </c>
      <c r="D2880" t="str">
        <f t="shared" si="220"/>
        <v>07.02.2021</v>
      </c>
      <c r="E2880" s="1">
        <v>0.875</v>
      </c>
      <c r="F2880" t="s">
        <v>26</v>
      </c>
      <c r="G2880" t="s">
        <v>20</v>
      </c>
      <c r="H2880" s="2">
        <v>46083</v>
      </c>
      <c r="I2880" s="3" t="str">
        <f t="shared" si="221"/>
        <v/>
      </c>
      <c r="J2880" t="str">
        <f t="shared" si="222"/>
        <v/>
      </c>
      <c r="K2880" t="str">
        <f t="shared" si="223"/>
        <v/>
      </c>
      <c r="L2880" t="str">
        <f t="shared" si="224"/>
        <v/>
      </c>
      <c r="M2880" t="str">
        <f>IF(COUNTIF($A$2:A2880,A2880)=1,
     VLOOKUP(A2880,Season_Winners!A:B,2,FALSE),
     "")</f>
        <v/>
      </c>
    </row>
    <row r="2881" spans="1:13" hidden="1" x14ac:dyDescent="0.3">
      <c r="A2881" t="s">
        <v>998</v>
      </c>
      <c r="B2881">
        <v>22</v>
      </c>
      <c r="C2881" t="s">
        <v>1082</v>
      </c>
      <c r="D2881" t="str">
        <f t="shared" si="220"/>
        <v>08.02.2021</v>
      </c>
      <c r="E2881" s="1">
        <v>0.875</v>
      </c>
      <c r="F2881" t="s">
        <v>28</v>
      </c>
      <c r="G2881" t="s">
        <v>35</v>
      </c>
      <c r="H2881" s="2">
        <v>46055</v>
      </c>
      <c r="I2881" s="3" t="str">
        <f t="shared" si="221"/>
        <v/>
      </c>
      <c r="J2881" t="str">
        <f t="shared" si="222"/>
        <v/>
      </c>
      <c r="K2881" t="str">
        <f t="shared" si="223"/>
        <v/>
      </c>
      <c r="L2881" t="str">
        <f t="shared" si="224"/>
        <v/>
      </c>
      <c r="M2881" t="str">
        <f>IF(COUNTIF($A$2:A2881,A2881)=1,
     VLOOKUP(A2881,Season_Winners!A:B,2,FALSE),
     "")</f>
        <v/>
      </c>
    </row>
    <row r="2882" spans="1:13" hidden="1" x14ac:dyDescent="0.3">
      <c r="A2882" t="s">
        <v>998</v>
      </c>
      <c r="B2882">
        <v>23</v>
      </c>
      <c r="C2882" t="s">
        <v>1083</v>
      </c>
      <c r="D2882" t="str">
        <f t="shared" ref="D2882:D2945" si="225">RIGHT(C2882,10)</f>
        <v>12.02.2021</v>
      </c>
      <c r="E2882" s="1">
        <v>0.875</v>
      </c>
      <c r="F2882" t="s">
        <v>35</v>
      </c>
      <c r="G2882" t="s">
        <v>31</v>
      </c>
      <c r="H2882" s="2">
        <v>46025</v>
      </c>
      <c r="I2882" s="3" t="str">
        <f t="shared" ref="I2882:I2945" si="226">IF(ISNUMBER(SEARCH("-",H2882)),H2882,"")</f>
        <v/>
      </c>
      <c r="J2882" t="str">
        <f t="shared" ref="J2882:J2945" si="227">IF(I2882="","",LEFT(I2882,FIND("-",I2882)-1))</f>
        <v/>
      </c>
      <c r="K2882" t="str">
        <f t="shared" ref="K2882:K2945" si="228">IF(I2882="","",RIGHT(I2882,LEN(I2882)-FIND("-",I2882)))</f>
        <v/>
      </c>
      <c r="L2882" t="str">
        <f t="shared" ref="L2882:L2945" si="229">IF(I2882="","",IF(J2882&gt;K2882,F2882,IF(K2882&gt;J2882,G2882,"Draw")))</f>
        <v/>
      </c>
      <c r="M2882" t="str">
        <f>IF(COUNTIF($A$2:A2882,A2882)=1,
     VLOOKUP(A2882,Season_Winners!A:B,2,FALSE),
     "")</f>
        <v/>
      </c>
    </row>
    <row r="2883" spans="1:13" hidden="1" x14ac:dyDescent="0.3">
      <c r="A2883" t="s">
        <v>998</v>
      </c>
      <c r="B2883">
        <v>23</v>
      </c>
      <c r="C2883" t="s">
        <v>1084</v>
      </c>
      <c r="D2883" t="str">
        <f t="shared" si="225"/>
        <v>13.02.2021</v>
      </c>
      <c r="E2883" s="1">
        <v>0.58333333333333337</v>
      </c>
      <c r="F2883" t="s">
        <v>24</v>
      </c>
      <c r="G2883" t="s">
        <v>28</v>
      </c>
      <c r="H2883" s="2">
        <v>46054</v>
      </c>
      <c r="I2883" s="3" t="str">
        <f t="shared" si="226"/>
        <v/>
      </c>
      <c r="J2883" t="str">
        <f t="shared" si="227"/>
        <v/>
      </c>
      <c r="K2883" t="str">
        <f t="shared" si="228"/>
        <v/>
      </c>
      <c r="L2883" t="str">
        <f t="shared" si="229"/>
        <v/>
      </c>
      <c r="M2883" t="str">
        <f>IF(COUNTIF($A$2:A2883,A2883)=1,
     VLOOKUP(A2883,Season_Winners!A:B,2,FALSE),
     "")</f>
        <v/>
      </c>
    </row>
    <row r="2884" spans="1:13" x14ac:dyDescent="0.3">
      <c r="A2884" t="s">
        <v>998</v>
      </c>
      <c r="B2884">
        <v>23</v>
      </c>
      <c r="C2884" t="s">
        <v>1084</v>
      </c>
      <c r="D2884" t="str">
        <f t="shared" si="225"/>
        <v>13.02.2021</v>
      </c>
      <c r="E2884" s="1">
        <v>0.67708333333333337</v>
      </c>
      <c r="F2884" t="s">
        <v>27</v>
      </c>
      <c r="G2884" t="s">
        <v>750</v>
      </c>
      <c r="H2884" t="s">
        <v>18</v>
      </c>
      <c r="I2884" t="str">
        <f t="shared" si="226"/>
        <v>1-0</v>
      </c>
      <c r="J2884" t="str">
        <f t="shared" si="227"/>
        <v>1</v>
      </c>
      <c r="K2884" t="str">
        <f t="shared" si="228"/>
        <v>0</v>
      </c>
      <c r="L2884" t="str">
        <f t="shared" si="229"/>
        <v>Sevilla FC</v>
      </c>
      <c r="M2884" t="str">
        <f>IF(COUNTIF($A$2:A2884,A2884)=1,
     VLOOKUP(A2884,Season_Winners!A:B,2,FALSE),
     "")</f>
        <v/>
      </c>
    </row>
    <row r="2885" spans="1:13" hidden="1" x14ac:dyDescent="0.3">
      <c r="A2885" t="s">
        <v>998</v>
      </c>
      <c r="B2885">
        <v>23</v>
      </c>
      <c r="C2885" t="s">
        <v>1084</v>
      </c>
      <c r="D2885" t="str">
        <f t="shared" si="225"/>
        <v>13.02.2021</v>
      </c>
      <c r="E2885" s="1">
        <v>0.77083333333333337</v>
      </c>
      <c r="F2885" t="s">
        <v>187</v>
      </c>
      <c r="G2885" t="s">
        <v>14</v>
      </c>
      <c r="H2885" s="2">
        <v>46023</v>
      </c>
      <c r="I2885" s="3" t="str">
        <f t="shared" si="226"/>
        <v/>
      </c>
      <c r="J2885" t="str">
        <f t="shared" si="227"/>
        <v/>
      </c>
      <c r="K2885" t="str">
        <f t="shared" si="228"/>
        <v/>
      </c>
      <c r="L2885" t="str">
        <f t="shared" si="229"/>
        <v/>
      </c>
      <c r="M2885" t="str">
        <f>IF(COUNTIF($A$2:A2885,A2885)=1,
     VLOOKUP(A2885,Season_Winners!A:B,2,FALSE),
     "")</f>
        <v/>
      </c>
    </row>
    <row r="2886" spans="1:13" hidden="1" x14ac:dyDescent="0.3">
      <c r="A2886" t="s">
        <v>998</v>
      </c>
      <c r="B2886">
        <v>23</v>
      </c>
      <c r="C2886" t="s">
        <v>1084</v>
      </c>
      <c r="D2886" t="str">
        <f t="shared" si="225"/>
        <v>13.02.2021</v>
      </c>
      <c r="E2886" s="1">
        <v>0.875</v>
      </c>
      <c r="F2886" t="s">
        <v>20</v>
      </c>
      <c r="G2886" t="s">
        <v>464</v>
      </c>
      <c r="H2886" s="2">
        <v>46027</v>
      </c>
      <c r="I2886" s="3" t="str">
        <f t="shared" si="226"/>
        <v/>
      </c>
      <c r="J2886" t="str">
        <f t="shared" si="227"/>
        <v/>
      </c>
      <c r="K2886" t="str">
        <f t="shared" si="228"/>
        <v/>
      </c>
      <c r="L2886" t="str">
        <f t="shared" si="229"/>
        <v/>
      </c>
      <c r="M2886" t="str">
        <f>IF(COUNTIF($A$2:A2886,A2886)=1,
     VLOOKUP(A2886,Season_Winners!A:B,2,FALSE),
     "")</f>
        <v/>
      </c>
    </row>
    <row r="2887" spans="1:13" x14ac:dyDescent="0.3">
      <c r="A2887" t="s">
        <v>998</v>
      </c>
      <c r="B2887">
        <v>23</v>
      </c>
      <c r="C2887" t="s">
        <v>1085</v>
      </c>
      <c r="D2887" t="str">
        <f t="shared" si="225"/>
        <v>14.02.2021</v>
      </c>
      <c r="E2887" s="1">
        <v>0.58333333333333337</v>
      </c>
      <c r="F2887" t="s">
        <v>11</v>
      </c>
      <c r="G2887" t="s">
        <v>10</v>
      </c>
      <c r="H2887" t="s">
        <v>42</v>
      </c>
      <c r="I2887" t="str">
        <f t="shared" si="226"/>
        <v>0-1</v>
      </c>
      <c r="J2887" t="str">
        <f t="shared" si="227"/>
        <v>0</v>
      </c>
      <c r="K2887" t="str">
        <f t="shared" si="228"/>
        <v>1</v>
      </c>
      <c r="L2887" t="str">
        <f t="shared" si="229"/>
        <v>Real Sociedad</v>
      </c>
      <c r="M2887" t="str">
        <f>IF(COUNTIF($A$2:A2887,A2887)=1,
     VLOOKUP(A2887,Season_Winners!A:B,2,FALSE),
     "")</f>
        <v/>
      </c>
    </row>
    <row r="2888" spans="1:13" x14ac:dyDescent="0.3">
      <c r="A2888" t="s">
        <v>998</v>
      </c>
      <c r="B2888">
        <v>23</v>
      </c>
      <c r="C2888" t="s">
        <v>1085</v>
      </c>
      <c r="D2888" t="str">
        <f t="shared" si="225"/>
        <v>14.02.2021</v>
      </c>
      <c r="E2888" s="1">
        <v>0.67708333333333337</v>
      </c>
      <c r="F2888" t="s">
        <v>25</v>
      </c>
      <c r="G2888" t="s">
        <v>16</v>
      </c>
      <c r="H2888" t="s">
        <v>12</v>
      </c>
      <c r="I2888" t="str">
        <f t="shared" si="226"/>
        <v>2-0</v>
      </c>
      <c r="J2888" t="str">
        <f t="shared" si="227"/>
        <v>2</v>
      </c>
      <c r="K2888" t="str">
        <f t="shared" si="228"/>
        <v>0</v>
      </c>
      <c r="L2888" t="str">
        <f t="shared" si="229"/>
        <v>Real Madrid</v>
      </c>
      <c r="M2888" t="str">
        <f>IF(COUNTIF($A$2:A2888,A2888)=1,
     VLOOKUP(A2888,Season_Winners!A:B,2,FALSE),
     "")</f>
        <v/>
      </c>
    </row>
    <row r="2889" spans="1:13" x14ac:dyDescent="0.3">
      <c r="A2889" t="s">
        <v>998</v>
      </c>
      <c r="B2889">
        <v>23</v>
      </c>
      <c r="C2889" t="s">
        <v>1085</v>
      </c>
      <c r="D2889" t="str">
        <f t="shared" si="225"/>
        <v>14.02.2021</v>
      </c>
      <c r="E2889" s="1">
        <v>0.77083333333333337</v>
      </c>
      <c r="F2889" t="s">
        <v>21</v>
      </c>
      <c r="G2889" t="s">
        <v>23</v>
      </c>
      <c r="H2889" t="s">
        <v>42</v>
      </c>
      <c r="I2889" t="str">
        <f t="shared" si="226"/>
        <v>0-1</v>
      </c>
      <c r="J2889" t="str">
        <f t="shared" si="227"/>
        <v>0</v>
      </c>
      <c r="K2889" t="str">
        <f t="shared" si="228"/>
        <v>1</v>
      </c>
      <c r="L2889" t="str">
        <f t="shared" si="229"/>
        <v>CA Osasuna</v>
      </c>
      <c r="M2889" t="str">
        <f>IF(COUNTIF($A$2:A2889,A2889)=1,
     VLOOKUP(A2889,Season_Winners!A:B,2,FALSE),
     "")</f>
        <v/>
      </c>
    </row>
    <row r="2890" spans="1:13" hidden="1" x14ac:dyDescent="0.3">
      <c r="A2890" t="s">
        <v>998</v>
      </c>
      <c r="B2890">
        <v>23</v>
      </c>
      <c r="C2890" t="s">
        <v>1085</v>
      </c>
      <c r="D2890" t="str">
        <f t="shared" si="225"/>
        <v>14.02.2021</v>
      </c>
      <c r="E2890" s="1">
        <v>0.875</v>
      </c>
      <c r="F2890" t="s">
        <v>34</v>
      </c>
      <c r="G2890" t="s">
        <v>26</v>
      </c>
      <c r="H2890" s="2">
        <v>46054</v>
      </c>
      <c r="I2890" s="3" t="str">
        <f t="shared" si="226"/>
        <v/>
      </c>
      <c r="J2890" t="str">
        <f t="shared" si="227"/>
        <v/>
      </c>
      <c r="K2890" t="str">
        <f t="shared" si="228"/>
        <v/>
      </c>
      <c r="L2890" t="str">
        <f t="shared" si="229"/>
        <v/>
      </c>
      <c r="M2890" t="str">
        <f>IF(COUNTIF($A$2:A2890,A2890)=1,
     VLOOKUP(A2890,Season_Winners!A:B,2,FALSE),
     "")</f>
        <v/>
      </c>
    </row>
    <row r="2891" spans="1:13" x14ac:dyDescent="0.3">
      <c r="A2891" t="s">
        <v>998</v>
      </c>
      <c r="B2891">
        <v>23</v>
      </c>
      <c r="C2891" t="s">
        <v>1086</v>
      </c>
      <c r="D2891" t="str">
        <f t="shared" si="225"/>
        <v>15.02.2021</v>
      </c>
      <c r="E2891" s="1">
        <v>0.875</v>
      </c>
      <c r="F2891" t="s">
        <v>1000</v>
      </c>
      <c r="G2891" t="s">
        <v>15</v>
      </c>
      <c r="H2891" t="s">
        <v>53</v>
      </c>
      <c r="I2891" t="str">
        <f t="shared" si="226"/>
        <v>0-4</v>
      </c>
      <c r="J2891" t="str">
        <f t="shared" si="227"/>
        <v>0</v>
      </c>
      <c r="K2891" t="str">
        <f t="shared" si="228"/>
        <v>4</v>
      </c>
      <c r="L2891" t="str">
        <f t="shared" si="229"/>
        <v>Athletic Club</v>
      </c>
      <c r="M2891" t="str">
        <f>IF(COUNTIF($A$2:A2891,A2891)=1,
     VLOOKUP(A2891,Season_Winners!A:B,2,FALSE),
     "")</f>
        <v/>
      </c>
    </row>
    <row r="2892" spans="1:13" x14ac:dyDescent="0.3">
      <c r="A2892" t="s">
        <v>998</v>
      </c>
      <c r="B2892">
        <v>24</v>
      </c>
      <c r="C2892" t="s">
        <v>1087</v>
      </c>
      <c r="D2892" t="str">
        <f t="shared" si="225"/>
        <v>19.02.2021</v>
      </c>
      <c r="E2892" s="1">
        <v>0.875</v>
      </c>
      <c r="F2892" t="s">
        <v>26</v>
      </c>
      <c r="G2892" t="s">
        <v>11</v>
      </c>
      <c r="H2892" t="s">
        <v>18</v>
      </c>
      <c r="I2892" t="str">
        <f t="shared" si="226"/>
        <v>1-0</v>
      </c>
      <c r="J2892" t="str">
        <f t="shared" si="227"/>
        <v>1</v>
      </c>
      <c r="K2892" t="str">
        <f t="shared" si="228"/>
        <v>0</v>
      </c>
      <c r="L2892" t="str">
        <f t="shared" si="229"/>
        <v>Real Betis</v>
      </c>
      <c r="M2892" t="str">
        <f>IF(COUNTIF($A$2:A2892,A2892)=1,
     VLOOKUP(A2892,Season_Winners!A:B,2,FALSE),
     "")</f>
        <v/>
      </c>
    </row>
    <row r="2893" spans="1:13" x14ac:dyDescent="0.3">
      <c r="A2893" t="s">
        <v>998</v>
      </c>
      <c r="B2893">
        <v>24</v>
      </c>
      <c r="C2893" t="s">
        <v>1088</v>
      </c>
      <c r="D2893" t="str">
        <f t="shared" si="225"/>
        <v>20.02.2021</v>
      </c>
      <c r="E2893" s="1">
        <v>0.58333333333333337</v>
      </c>
      <c r="F2893" t="s">
        <v>31</v>
      </c>
      <c r="G2893" t="s">
        <v>187</v>
      </c>
      <c r="H2893" t="s">
        <v>18</v>
      </c>
      <c r="I2893" t="str">
        <f t="shared" si="226"/>
        <v>1-0</v>
      </c>
      <c r="J2893" t="str">
        <f t="shared" si="227"/>
        <v>1</v>
      </c>
      <c r="K2893" t="str">
        <f t="shared" si="228"/>
        <v>0</v>
      </c>
      <c r="L2893" t="str">
        <f t="shared" si="229"/>
        <v>Elche CF</v>
      </c>
      <c r="M2893" t="str">
        <f>IF(COUNTIF($A$2:A2893,A2893)=1,
     VLOOKUP(A2893,Season_Winners!A:B,2,FALSE),
     "")</f>
        <v/>
      </c>
    </row>
    <row r="2894" spans="1:13" x14ac:dyDescent="0.3">
      <c r="A2894" t="s">
        <v>998</v>
      </c>
      <c r="B2894">
        <v>24</v>
      </c>
      <c r="C2894" t="s">
        <v>1088</v>
      </c>
      <c r="D2894" t="str">
        <f t="shared" si="225"/>
        <v>20.02.2021</v>
      </c>
      <c r="E2894" s="1">
        <v>0.67708333333333337</v>
      </c>
      <c r="F2894" t="s">
        <v>1425</v>
      </c>
      <c r="G2894" t="s">
        <v>21</v>
      </c>
      <c r="H2894" t="s">
        <v>54</v>
      </c>
      <c r="I2894" t="str">
        <f t="shared" si="226"/>
        <v>0-2</v>
      </c>
      <c r="J2894" t="str">
        <f t="shared" si="227"/>
        <v>0</v>
      </c>
      <c r="K2894" t="str">
        <f t="shared" si="228"/>
        <v>2</v>
      </c>
      <c r="L2894" t="str">
        <f t="shared" si="229"/>
        <v>Levante UD</v>
      </c>
      <c r="M2894" t="str">
        <f>IF(COUNTIF($A$2:A2894,A2894)=1,
     VLOOKUP(A2894,Season_Winners!A:B,2,FALSE),
     "")</f>
        <v/>
      </c>
    </row>
    <row r="2895" spans="1:13" x14ac:dyDescent="0.3">
      <c r="A2895" t="s">
        <v>998</v>
      </c>
      <c r="B2895">
        <v>24</v>
      </c>
      <c r="C2895" t="s">
        <v>1088</v>
      </c>
      <c r="D2895" t="str">
        <f t="shared" si="225"/>
        <v>20.02.2021</v>
      </c>
      <c r="E2895" s="1">
        <v>0.77083333333333337</v>
      </c>
      <c r="F2895" t="s">
        <v>16</v>
      </c>
      <c r="G2895" t="s">
        <v>35</v>
      </c>
      <c r="H2895" t="s">
        <v>12</v>
      </c>
      <c r="I2895" t="str">
        <f t="shared" si="226"/>
        <v>2-0</v>
      </c>
      <c r="J2895" t="str">
        <f t="shared" si="227"/>
        <v>2</v>
      </c>
      <c r="K2895" t="str">
        <f t="shared" si="228"/>
        <v>0</v>
      </c>
      <c r="L2895" t="str">
        <f t="shared" si="229"/>
        <v>Valencia CF</v>
      </c>
      <c r="M2895" t="str">
        <f>IF(COUNTIF($A$2:A2895,A2895)=1,
     VLOOKUP(A2895,Season_Winners!A:B,2,FALSE),
     "")</f>
        <v/>
      </c>
    </row>
    <row r="2896" spans="1:13" x14ac:dyDescent="0.3">
      <c r="A2896" t="s">
        <v>998</v>
      </c>
      <c r="B2896">
        <v>24</v>
      </c>
      <c r="C2896" t="s">
        <v>1088</v>
      </c>
      <c r="D2896" t="str">
        <f t="shared" si="225"/>
        <v>20.02.2021</v>
      </c>
      <c r="E2896" s="1">
        <v>0.875</v>
      </c>
      <c r="F2896" t="s">
        <v>14</v>
      </c>
      <c r="G2896" t="s">
        <v>25</v>
      </c>
      <c r="H2896" t="s">
        <v>42</v>
      </c>
      <c r="I2896" t="str">
        <f t="shared" si="226"/>
        <v>0-1</v>
      </c>
      <c r="J2896" t="str">
        <f t="shared" si="227"/>
        <v>0</v>
      </c>
      <c r="K2896" t="str">
        <f t="shared" si="228"/>
        <v>1</v>
      </c>
      <c r="L2896" t="str">
        <f t="shared" si="229"/>
        <v>Real Madrid</v>
      </c>
      <c r="M2896" t="str">
        <f>IF(COUNTIF($A$2:A2896,A2896)=1,
     VLOOKUP(A2896,Season_Winners!A:B,2,FALSE),
     "")</f>
        <v/>
      </c>
    </row>
    <row r="2897" spans="1:13" hidden="1" x14ac:dyDescent="0.3">
      <c r="A2897" t="s">
        <v>998</v>
      </c>
      <c r="B2897">
        <v>24</v>
      </c>
      <c r="C2897" t="s">
        <v>1089</v>
      </c>
      <c r="D2897" t="str">
        <f t="shared" si="225"/>
        <v>21.02.2021</v>
      </c>
      <c r="E2897" s="1">
        <v>0.58333333333333337</v>
      </c>
      <c r="F2897" t="s">
        <v>20</v>
      </c>
      <c r="G2897" t="s">
        <v>1000</v>
      </c>
      <c r="H2897" s="2">
        <v>46023</v>
      </c>
      <c r="I2897" s="3" t="str">
        <f t="shared" si="226"/>
        <v/>
      </c>
      <c r="J2897" t="str">
        <f t="shared" si="227"/>
        <v/>
      </c>
      <c r="K2897" t="str">
        <f t="shared" si="228"/>
        <v/>
      </c>
      <c r="L2897" t="str">
        <f t="shared" si="229"/>
        <v/>
      </c>
      <c r="M2897" t="str">
        <f>IF(COUNTIF($A$2:A2897,A2897)=1,
     VLOOKUP(A2897,Season_Winners!A:B,2,FALSE),
     "")</f>
        <v/>
      </c>
    </row>
    <row r="2898" spans="1:13" x14ac:dyDescent="0.3">
      <c r="A2898" t="s">
        <v>998</v>
      </c>
      <c r="B2898">
        <v>24</v>
      </c>
      <c r="C2898" t="s">
        <v>1089</v>
      </c>
      <c r="D2898" t="str">
        <f t="shared" si="225"/>
        <v>21.02.2021</v>
      </c>
      <c r="E2898" s="1">
        <v>0.67708333333333337</v>
      </c>
      <c r="F2898" t="s">
        <v>10</v>
      </c>
      <c r="G2898" t="s">
        <v>464</v>
      </c>
      <c r="H2898" t="s">
        <v>88</v>
      </c>
      <c r="I2898" t="str">
        <f t="shared" si="226"/>
        <v>4-0</v>
      </c>
      <c r="J2898" t="str">
        <f t="shared" si="227"/>
        <v>4</v>
      </c>
      <c r="K2898" t="str">
        <f t="shared" si="228"/>
        <v>0</v>
      </c>
      <c r="L2898" t="str">
        <f t="shared" si="229"/>
        <v>Real Sociedad</v>
      </c>
      <c r="M2898" t="str">
        <f>IF(COUNTIF($A$2:A2898,A2898)=1,
     VLOOKUP(A2898,Season_Winners!A:B,2,FALSE),
     "")</f>
        <v/>
      </c>
    </row>
    <row r="2899" spans="1:13" hidden="1" x14ac:dyDescent="0.3">
      <c r="A2899" t="s">
        <v>998</v>
      </c>
      <c r="B2899">
        <v>24</v>
      </c>
      <c r="C2899" t="s">
        <v>1089</v>
      </c>
      <c r="D2899" t="str">
        <f t="shared" si="225"/>
        <v>21.02.2021</v>
      </c>
      <c r="E2899" s="1">
        <v>0.77083333333333337</v>
      </c>
      <c r="F2899" t="s">
        <v>750</v>
      </c>
      <c r="G2899" t="s">
        <v>24</v>
      </c>
      <c r="H2899" s="2">
        <v>46056</v>
      </c>
      <c r="I2899" s="3" t="str">
        <f t="shared" si="226"/>
        <v/>
      </c>
      <c r="J2899" t="str">
        <f t="shared" si="227"/>
        <v/>
      </c>
      <c r="K2899" t="str">
        <f t="shared" si="228"/>
        <v/>
      </c>
      <c r="L2899" t="str">
        <f t="shared" si="229"/>
        <v/>
      </c>
      <c r="M2899" t="str">
        <f>IF(COUNTIF($A$2:A2899,A2899)=1,
     VLOOKUP(A2899,Season_Winners!A:B,2,FALSE),
     "")</f>
        <v/>
      </c>
    </row>
    <row r="2900" spans="1:13" hidden="1" x14ac:dyDescent="0.3">
      <c r="A2900" t="s">
        <v>998</v>
      </c>
      <c r="B2900">
        <v>24</v>
      </c>
      <c r="C2900" t="s">
        <v>1089</v>
      </c>
      <c r="D2900" t="str">
        <f t="shared" si="225"/>
        <v>21.02.2021</v>
      </c>
      <c r="E2900" s="1">
        <v>0.875</v>
      </c>
      <c r="F2900" t="s">
        <v>15</v>
      </c>
      <c r="G2900" t="s">
        <v>34</v>
      </c>
      <c r="H2900" s="2">
        <v>46023</v>
      </c>
      <c r="I2900" s="3" t="str">
        <f t="shared" si="226"/>
        <v/>
      </c>
      <c r="J2900" t="str">
        <f t="shared" si="227"/>
        <v/>
      </c>
      <c r="K2900" t="str">
        <f t="shared" si="228"/>
        <v/>
      </c>
      <c r="L2900" t="str">
        <f t="shared" si="229"/>
        <v/>
      </c>
      <c r="M2900" t="str">
        <f>IF(COUNTIF($A$2:A2900,A2900)=1,
     VLOOKUP(A2900,Season_Winners!A:B,2,FALSE),
     "")</f>
        <v/>
      </c>
    </row>
    <row r="2901" spans="1:13" x14ac:dyDescent="0.3">
      <c r="A2901" t="s">
        <v>998</v>
      </c>
      <c r="B2901">
        <v>24</v>
      </c>
      <c r="C2901" t="s">
        <v>1090</v>
      </c>
      <c r="D2901" t="str">
        <f t="shared" si="225"/>
        <v>22.02.2021</v>
      </c>
      <c r="E2901" s="1">
        <v>0.875</v>
      </c>
      <c r="F2901" t="s">
        <v>23</v>
      </c>
      <c r="G2901" t="s">
        <v>27</v>
      </c>
      <c r="H2901" t="s">
        <v>54</v>
      </c>
      <c r="I2901" t="str">
        <f t="shared" si="226"/>
        <v>0-2</v>
      </c>
      <c r="J2901" t="str">
        <f t="shared" si="227"/>
        <v>0</v>
      </c>
      <c r="K2901" t="str">
        <f t="shared" si="228"/>
        <v>2</v>
      </c>
      <c r="L2901" t="str">
        <f t="shared" si="229"/>
        <v>Sevilla FC</v>
      </c>
      <c r="M2901" t="str">
        <f>IF(COUNTIF($A$2:A2901,A2901)=1,
     VLOOKUP(A2901,Season_Winners!A:B,2,FALSE),
     "")</f>
        <v/>
      </c>
    </row>
    <row r="2902" spans="1:13" hidden="1" x14ac:dyDescent="0.3">
      <c r="A2902" t="s">
        <v>998</v>
      </c>
      <c r="B2902">
        <v>25</v>
      </c>
      <c r="C2902" t="s">
        <v>1091</v>
      </c>
      <c r="D2902" t="str">
        <f t="shared" si="225"/>
        <v>26.02.2021</v>
      </c>
      <c r="E2902" s="1">
        <v>0.875</v>
      </c>
      <c r="F2902" t="s">
        <v>21</v>
      </c>
      <c r="G2902" t="s">
        <v>15</v>
      </c>
      <c r="H2902" s="2">
        <v>46023</v>
      </c>
      <c r="I2902" s="3" t="str">
        <f t="shared" si="226"/>
        <v/>
      </c>
      <c r="J2902" t="str">
        <f t="shared" si="227"/>
        <v/>
      </c>
      <c r="K2902" t="str">
        <f t="shared" si="228"/>
        <v/>
      </c>
      <c r="L2902" t="str">
        <f t="shared" si="229"/>
        <v/>
      </c>
      <c r="M2902" t="str">
        <f>IF(COUNTIF($A$2:A2902,A2902)=1,
     VLOOKUP(A2902,Season_Winners!A:B,2,FALSE),
     "")</f>
        <v/>
      </c>
    </row>
    <row r="2903" spans="1:13" hidden="1" x14ac:dyDescent="0.3">
      <c r="A2903" t="s">
        <v>998</v>
      </c>
      <c r="B2903">
        <v>25</v>
      </c>
      <c r="C2903" t="s">
        <v>1092</v>
      </c>
      <c r="D2903" t="str">
        <f t="shared" si="225"/>
        <v>27.02.2021</v>
      </c>
      <c r="E2903" s="1">
        <v>0.58333333333333337</v>
      </c>
      <c r="F2903" t="s">
        <v>187</v>
      </c>
      <c r="G2903" t="s">
        <v>750</v>
      </c>
      <c r="H2903" s="2">
        <v>46023</v>
      </c>
      <c r="I2903" s="3" t="str">
        <f t="shared" si="226"/>
        <v/>
      </c>
      <c r="J2903" t="str">
        <f t="shared" si="227"/>
        <v/>
      </c>
      <c r="K2903" t="str">
        <f t="shared" si="228"/>
        <v/>
      </c>
      <c r="L2903" t="str">
        <f t="shared" si="229"/>
        <v/>
      </c>
      <c r="M2903" t="str">
        <f>IF(COUNTIF($A$2:A2903,A2903)=1,
     VLOOKUP(A2903,Season_Winners!A:B,2,FALSE),
     "")</f>
        <v/>
      </c>
    </row>
    <row r="2904" spans="1:13" x14ac:dyDescent="0.3">
      <c r="A2904" t="s">
        <v>998</v>
      </c>
      <c r="B2904">
        <v>25</v>
      </c>
      <c r="C2904" t="s">
        <v>1092</v>
      </c>
      <c r="D2904" t="str">
        <f t="shared" si="225"/>
        <v>27.02.2021</v>
      </c>
      <c r="E2904" s="1">
        <v>0.67708333333333337</v>
      </c>
      <c r="F2904" t="s">
        <v>27</v>
      </c>
      <c r="G2904" t="s">
        <v>20</v>
      </c>
      <c r="H2904" t="s">
        <v>54</v>
      </c>
      <c r="I2904" t="str">
        <f t="shared" si="226"/>
        <v>0-2</v>
      </c>
      <c r="J2904" t="str">
        <f t="shared" si="227"/>
        <v>0</v>
      </c>
      <c r="K2904" t="str">
        <f t="shared" si="228"/>
        <v>2</v>
      </c>
      <c r="L2904" t="str">
        <f t="shared" si="229"/>
        <v>FC Barcelona</v>
      </c>
      <c r="M2904" t="str">
        <f>IF(COUNTIF($A$2:A2904,A2904)=1,
     VLOOKUP(A2904,Season_Winners!A:B,2,FALSE),
     "")</f>
        <v/>
      </c>
    </row>
    <row r="2905" spans="1:13" x14ac:dyDescent="0.3">
      <c r="A2905" t="s">
        <v>998</v>
      </c>
      <c r="B2905">
        <v>25</v>
      </c>
      <c r="C2905" t="s">
        <v>1092</v>
      </c>
      <c r="D2905" t="str">
        <f t="shared" si="225"/>
        <v>27.02.2021</v>
      </c>
      <c r="E2905" s="1">
        <v>0.77083333333333337</v>
      </c>
      <c r="F2905" t="s">
        <v>464</v>
      </c>
      <c r="G2905" t="s">
        <v>23</v>
      </c>
      <c r="H2905" t="s">
        <v>42</v>
      </c>
      <c r="I2905" t="str">
        <f t="shared" si="226"/>
        <v>0-1</v>
      </c>
      <c r="J2905" t="str">
        <f t="shared" si="227"/>
        <v>0</v>
      </c>
      <c r="K2905" t="str">
        <f t="shared" si="228"/>
        <v>1</v>
      </c>
      <c r="L2905" t="str">
        <f t="shared" si="229"/>
        <v>CA Osasuna</v>
      </c>
      <c r="M2905" t="str">
        <f>IF(COUNTIF($A$2:A2905,A2905)=1,
     VLOOKUP(A2905,Season_Winners!A:B,2,FALSE),
     "")</f>
        <v/>
      </c>
    </row>
    <row r="2906" spans="1:13" x14ac:dyDescent="0.3">
      <c r="A2906" t="s">
        <v>998</v>
      </c>
      <c r="B2906">
        <v>25</v>
      </c>
      <c r="C2906" t="s">
        <v>1092</v>
      </c>
      <c r="D2906" t="str">
        <f t="shared" si="225"/>
        <v>27.02.2021</v>
      </c>
      <c r="E2906" s="1">
        <v>0.875</v>
      </c>
      <c r="F2906" t="s">
        <v>11</v>
      </c>
      <c r="G2906" t="s">
        <v>16</v>
      </c>
      <c r="H2906" t="s">
        <v>32</v>
      </c>
      <c r="I2906" t="str">
        <f t="shared" si="226"/>
        <v>3-0</v>
      </c>
      <c r="J2906" t="str">
        <f t="shared" si="227"/>
        <v>3</v>
      </c>
      <c r="K2906" t="str">
        <f t="shared" si="228"/>
        <v>0</v>
      </c>
      <c r="L2906" t="str">
        <f t="shared" si="229"/>
        <v>Getafe CF</v>
      </c>
      <c r="M2906" t="str">
        <f>IF(COUNTIF($A$2:A2906,A2906)=1,
     VLOOKUP(A2906,Season_Winners!A:B,2,FALSE),
     "")</f>
        <v/>
      </c>
    </row>
    <row r="2907" spans="1:13" hidden="1" x14ac:dyDescent="0.3">
      <c r="A2907" t="s">
        <v>998</v>
      </c>
      <c r="B2907">
        <v>25</v>
      </c>
      <c r="C2907" t="s">
        <v>1093</v>
      </c>
      <c r="D2907" t="str">
        <f t="shared" si="225"/>
        <v>28.02.2021</v>
      </c>
      <c r="E2907" s="1">
        <v>0.58333333333333337</v>
      </c>
      <c r="F2907" t="s">
        <v>35</v>
      </c>
      <c r="G2907" t="s">
        <v>14</v>
      </c>
      <c r="H2907" s="2">
        <v>46023</v>
      </c>
      <c r="I2907" s="3" t="str">
        <f t="shared" si="226"/>
        <v/>
      </c>
      <c r="J2907" t="str">
        <f t="shared" si="227"/>
        <v/>
      </c>
      <c r="K2907" t="str">
        <f t="shared" si="228"/>
        <v/>
      </c>
      <c r="L2907" t="str">
        <f t="shared" si="229"/>
        <v/>
      </c>
      <c r="M2907" t="str">
        <f>IF(COUNTIF($A$2:A2907,A2907)=1,
     VLOOKUP(A2907,Season_Winners!A:B,2,FALSE),
     "")</f>
        <v/>
      </c>
    </row>
    <row r="2908" spans="1:13" x14ac:dyDescent="0.3">
      <c r="A2908" t="s">
        <v>998</v>
      </c>
      <c r="B2908">
        <v>25</v>
      </c>
      <c r="C2908" t="s">
        <v>1093</v>
      </c>
      <c r="D2908" t="str">
        <f t="shared" si="225"/>
        <v>28.02.2021</v>
      </c>
      <c r="E2908" s="1">
        <v>0.67708333333333337</v>
      </c>
      <c r="F2908" t="s">
        <v>1000</v>
      </c>
      <c r="G2908" t="s">
        <v>26</v>
      </c>
      <c r="H2908" t="s">
        <v>42</v>
      </c>
      <c r="I2908" t="str">
        <f t="shared" si="226"/>
        <v>0-1</v>
      </c>
      <c r="J2908" t="str">
        <f t="shared" si="227"/>
        <v>0</v>
      </c>
      <c r="K2908" t="str">
        <f t="shared" si="228"/>
        <v>1</v>
      </c>
      <c r="L2908" t="str">
        <f t="shared" si="229"/>
        <v>Real Betis</v>
      </c>
      <c r="M2908" t="str">
        <f>IF(COUNTIF($A$2:A2908,A2908)=1,
     VLOOKUP(A2908,Season_Winners!A:B,2,FALSE),
     "")</f>
        <v/>
      </c>
    </row>
    <row r="2909" spans="1:13" hidden="1" x14ac:dyDescent="0.3">
      <c r="A2909" t="s">
        <v>998</v>
      </c>
      <c r="B2909">
        <v>25</v>
      </c>
      <c r="C2909" t="s">
        <v>1093</v>
      </c>
      <c r="D2909" t="str">
        <f t="shared" si="225"/>
        <v>28.02.2021</v>
      </c>
      <c r="E2909" s="1">
        <v>0.77083333333333337</v>
      </c>
      <c r="F2909" t="s">
        <v>24</v>
      </c>
      <c r="G2909" t="s">
        <v>31</v>
      </c>
      <c r="H2909" s="2">
        <v>46024</v>
      </c>
      <c r="I2909" s="3" t="str">
        <f t="shared" si="226"/>
        <v/>
      </c>
      <c r="J2909" t="str">
        <f t="shared" si="227"/>
        <v/>
      </c>
      <c r="K2909" t="str">
        <f t="shared" si="228"/>
        <v/>
      </c>
      <c r="L2909" t="str">
        <f t="shared" si="229"/>
        <v/>
      </c>
      <c r="M2909" t="str">
        <f>IF(COUNTIF($A$2:A2909,A2909)=1,
     VLOOKUP(A2909,Season_Winners!A:B,2,FALSE),
     "")</f>
        <v/>
      </c>
    </row>
    <row r="2910" spans="1:13" x14ac:dyDescent="0.3">
      <c r="A2910" t="s">
        <v>998</v>
      </c>
      <c r="B2910">
        <v>25</v>
      </c>
      <c r="C2910" t="s">
        <v>1093</v>
      </c>
      <c r="D2910" t="str">
        <f t="shared" si="225"/>
        <v>28.02.2021</v>
      </c>
      <c r="E2910" s="1">
        <v>0.875</v>
      </c>
      <c r="F2910" t="s">
        <v>34</v>
      </c>
      <c r="G2910" t="s">
        <v>1425</v>
      </c>
      <c r="H2910" t="s">
        <v>54</v>
      </c>
      <c r="I2910" t="str">
        <f t="shared" si="226"/>
        <v>0-2</v>
      </c>
      <c r="J2910" t="str">
        <f t="shared" si="227"/>
        <v>0</v>
      </c>
      <c r="K2910" t="str">
        <f t="shared" si="228"/>
        <v>2</v>
      </c>
      <c r="L2910" t="str">
        <f t="shared" si="229"/>
        <v>Atlético de Madrid</v>
      </c>
      <c r="M2910" t="str">
        <f>IF(COUNTIF($A$2:A2910,A2910)=1,
     VLOOKUP(A2910,Season_Winners!A:B,2,FALSE),
     "")</f>
        <v/>
      </c>
    </row>
    <row r="2911" spans="1:13" hidden="1" x14ac:dyDescent="0.3">
      <c r="A2911" t="s">
        <v>998</v>
      </c>
      <c r="B2911">
        <v>25</v>
      </c>
      <c r="C2911" t="s">
        <v>1094</v>
      </c>
      <c r="D2911" t="str">
        <f t="shared" si="225"/>
        <v>01.03.2021</v>
      </c>
      <c r="E2911" s="1">
        <v>0.875</v>
      </c>
      <c r="F2911" t="s">
        <v>25</v>
      </c>
      <c r="G2911" t="s">
        <v>10</v>
      </c>
      <c r="H2911" s="2">
        <v>46023</v>
      </c>
      <c r="I2911" s="3" t="str">
        <f t="shared" si="226"/>
        <v/>
      </c>
      <c r="J2911" t="str">
        <f t="shared" si="227"/>
        <v/>
      </c>
      <c r="K2911" t="str">
        <f t="shared" si="228"/>
        <v/>
      </c>
      <c r="L2911" t="str">
        <f t="shared" si="229"/>
        <v/>
      </c>
      <c r="M2911" t="str">
        <f>IF(COUNTIF($A$2:A2911,A2911)=1,
     VLOOKUP(A2911,Season_Winners!A:B,2,FALSE),
     "")</f>
        <v/>
      </c>
    </row>
    <row r="2912" spans="1:13" hidden="1" x14ac:dyDescent="0.3">
      <c r="A2912" t="s">
        <v>998</v>
      </c>
      <c r="B2912">
        <v>26</v>
      </c>
      <c r="C2912" t="s">
        <v>1095</v>
      </c>
      <c r="D2912" t="str">
        <f t="shared" si="225"/>
        <v>05.03.2021</v>
      </c>
      <c r="E2912" s="1">
        <v>0.875</v>
      </c>
      <c r="F2912" t="s">
        <v>16</v>
      </c>
      <c r="G2912" t="s">
        <v>34</v>
      </c>
      <c r="H2912" s="2">
        <v>46024</v>
      </c>
      <c r="I2912" s="3" t="str">
        <f t="shared" si="226"/>
        <v/>
      </c>
      <c r="J2912" t="str">
        <f t="shared" si="227"/>
        <v/>
      </c>
      <c r="K2912" t="str">
        <f t="shared" si="228"/>
        <v/>
      </c>
      <c r="L2912" t="str">
        <f t="shared" si="229"/>
        <v/>
      </c>
      <c r="M2912" t="str">
        <f>IF(COUNTIF($A$2:A2912,A2912)=1,
     VLOOKUP(A2912,Season_Winners!A:B,2,FALSE),
     "")</f>
        <v/>
      </c>
    </row>
    <row r="2913" spans="1:13" hidden="1" x14ac:dyDescent="0.3">
      <c r="A2913" t="s">
        <v>998</v>
      </c>
      <c r="B2913">
        <v>26</v>
      </c>
      <c r="C2913" t="s">
        <v>1096</v>
      </c>
      <c r="D2913" t="str">
        <f t="shared" si="225"/>
        <v>06.03.2021</v>
      </c>
      <c r="E2913" s="1">
        <v>0.58333333333333337</v>
      </c>
      <c r="F2913" t="s">
        <v>14</v>
      </c>
      <c r="G2913" t="s">
        <v>11</v>
      </c>
      <c r="H2913" s="2">
        <v>46024</v>
      </c>
      <c r="I2913" s="3" t="str">
        <f t="shared" si="226"/>
        <v/>
      </c>
      <c r="J2913" t="str">
        <f t="shared" si="227"/>
        <v/>
      </c>
      <c r="K2913" t="str">
        <f t="shared" si="228"/>
        <v/>
      </c>
      <c r="L2913" t="str">
        <f t="shared" si="229"/>
        <v/>
      </c>
      <c r="M2913" t="str">
        <f>IF(COUNTIF($A$2:A2913,A2913)=1,
     VLOOKUP(A2913,Season_Winners!A:B,2,FALSE),
     "")</f>
        <v/>
      </c>
    </row>
    <row r="2914" spans="1:13" hidden="1" x14ac:dyDescent="0.3">
      <c r="A2914" t="s">
        <v>998</v>
      </c>
      <c r="B2914">
        <v>26</v>
      </c>
      <c r="C2914" t="s">
        <v>1096</v>
      </c>
      <c r="D2914" t="str">
        <f t="shared" si="225"/>
        <v>06.03.2021</v>
      </c>
      <c r="E2914" s="1">
        <v>0.67708333333333337</v>
      </c>
      <c r="F2914" t="s">
        <v>31</v>
      </c>
      <c r="G2914" t="s">
        <v>27</v>
      </c>
      <c r="H2914" s="2">
        <v>46024</v>
      </c>
      <c r="I2914" s="3" t="str">
        <f t="shared" si="226"/>
        <v/>
      </c>
      <c r="J2914" t="str">
        <f t="shared" si="227"/>
        <v/>
      </c>
      <c r="K2914" t="str">
        <f t="shared" si="228"/>
        <v/>
      </c>
      <c r="L2914" t="str">
        <f t="shared" si="229"/>
        <v/>
      </c>
      <c r="M2914" t="str">
        <f>IF(COUNTIF($A$2:A2914,A2914)=1,
     VLOOKUP(A2914,Season_Winners!A:B,2,FALSE),
     "")</f>
        <v/>
      </c>
    </row>
    <row r="2915" spans="1:13" x14ac:dyDescent="0.3">
      <c r="A2915" t="s">
        <v>998</v>
      </c>
      <c r="B2915">
        <v>26</v>
      </c>
      <c r="C2915" t="s">
        <v>1096</v>
      </c>
      <c r="D2915" t="str">
        <f t="shared" si="225"/>
        <v>06.03.2021</v>
      </c>
      <c r="E2915" s="1">
        <v>0.77083333333333337</v>
      </c>
      <c r="F2915" t="s">
        <v>1000</v>
      </c>
      <c r="G2915" t="s">
        <v>187</v>
      </c>
      <c r="H2915" t="s">
        <v>18</v>
      </c>
      <c r="I2915" t="str">
        <f t="shared" si="226"/>
        <v>1-0</v>
      </c>
      <c r="J2915" t="str">
        <f t="shared" si="227"/>
        <v>1</v>
      </c>
      <c r="K2915" t="str">
        <f t="shared" si="228"/>
        <v>0</v>
      </c>
      <c r="L2915" t="str">
        <f t="shared" si="229"/>
        <v>CÃ¡diz CF</v>
      </c>
      <c r="M2915" t="str">
        <f>IF(COUNTIF($A$2:A2915,A2915)=1,
     VLOOKUP(A2915,Season_Winners!A:B,2,FALSE),
     "")</f>
        <v/>
      </c>
    </row>
    <row r="2916" spans="1:13" x14ac:dyDescent="0.3">
      <c r="A2916" t="s">
        <v>998</v>
      </c>
      <c r="B2916">
        <v>26</v>
      </c>
      <c r="C2916" t="s">
        <v>1096</v>
      </c>
      <c r="D2916" t="str">
        <f t="shared" si="225"/>
        <v>06.03.2021</v>
      </c>
      <c r="E2916" s="1">
        <v>0.875</v>
      </c>
      <c r="F2916" t="s">
        <v>23</v>
      </c>
      <c r="G2916" t="s">
        <v>20</v>
      </c>
      <c r="H2916" t="s">
        <v>54</v>
      </c>
      <c r="I2916" t="str">
        <f t="shared" si="226"/>
        <v>0-2</v>
      </c>
      <c r="J2916" t="str">
        <f t="shared" si="227"/>
        <v>0</v>
      </c>
      <c r="K2916" t="str">
        <f t="shared" si="228"/>
        <v>2</v>
      </c>
      <c r="L2916" t="str">
        <f t="shared" si="229"/>
        <v>FC Barcelona</v>
      </c>
      <c r="M2916" t="str">
        <f>IF(COUNTIF($A$2:A2916,A2916)=1,
     VLOOKUP(A2916,Season_Winners!A:B,2,FALSE),
     "")</f>
        <v/>
      </c>
    </row>
    <row r="2917" spans="1:13" hidden="1" x14ac:dyDescent="0.3">
      <c r="A2917" t="s">
        <v>998</v>
      </c>
      <c r="B2917">
        <v>26</v>
      </c>
      <c r="C2917" t="s">
        <v>1097</v>
      </c>
      <c r="D2917" t="str">
        <f t="shared" si="225"/>
        <v>07.03.2021</v>
      </c>
      <c r="E2917" s="1">
        <v>0.58333333333333337</v>
      </c>
      <c r="F2917" t="s">
        <v>750</v>
      </c>
      <c r="G2917" t="s">
        <v>35</v>
      </c>
      <c r="H2917" s="2">
        <v>46115</v>
      </c>
      <c r="I2917" s="3" t="str">
        <f t="shared" si="226"/>
        <v/>
      </c>
      <c r="J2917" t="str">
        <f t="shared" si="227"/>
        <v/>
      </c>
      <c r="K2917" t="str">
        <f t="shared" si="228"/>
        <v/>
      </c>
      <c r="L2917" t="str">
        <f t="shared" si="229"/>
        <v/>
      </c>
      <c r="M2917" t="str">
        <f>IF(COUNTIF($A$2:A2917,A2917)=1,
     VLOOKUP(A2917,Season_Winners!A:B,2,FALSE),
     "")</f>
        <v/>
      </c>
    </row>
    <row r="2918" spans="1:13" hidden="1" x14ac:dyDescent="0.3">
      <c r="A2918" t="s">
        <v>998</v>
      </c>
      <c r="B2918">
        <v>26</v>
      </c>
      <c r="C2918" t="s">
        <v>1097</v>
      </c>
      <c r="D2918" t="str">
        <f t="shared" si="225"/>
        <v>07.03.2021</v>
      </c>
      <c r="E2918" s="1">
        <v>0.67708333333333337</v>
      </c>
      <c r="F2918" t="s">
        <v>28</v>
      </c>
      <c r="G2918" t="s">
        <v>25</v>
      </c>
      <c r="H2918" s="2">
        <v>46023</v>
      </c>
      <c r="I2918" s="3" t="str">
        <f t="shared" si="226"/>
        <v/>
      </c>
      <c r="J2918" t="str">
        <f t="shared" si="227"/>
        <v/>
      </c>
      <c r="K2918" t="str">
        <f t="shared" si="228"/>
        <v/>
      </c>
      <c r="L2918" t="str">
        <f t="shared" si="229"/>
        <v/>
      </c>
      <c r="M2918" t="str">
        <f>IF(COUNTIF($A$2:A2918,A2918)=1,
     VLOOKUP(A2918,Season_Winners!A:B,2,FALSE),
     "")</f>
        <v/>
      </c>
    </row>
    <row r="2919" spans="1:13" x14ac:dyDescent="0.3">
      <c r="A2919" t="s">
        <v>998</v>
      </c>
      <c r="B2919">
        <v>26</v>
      </c>
      <c r="C2919" t="s">
        <v>1097</v>
      </c>
      <c r="D2919" t="str">
        <f t="shared" si="225"/>
        <v>07.03.2021</v>
      </c>
      <c r="E2919" s="1">
        <v>0.77083333333333337</v>
      </c>
      <c r="F2919" t="s">
        <v>10</v>
      </c>
      <c r="G2919" t="s">
        <v>21</v>
      </c>
      <c r="H2919" t="s">
        <v>18</v>
      </c>
      <c r="I2919" t="str">
        <f t="shared" si="226"/>
        <v>1-0</v>
      </c>
      <c r="J2919" t="str">
        <f t="shared" si="227"/>
        <v>1</v>
      </c>
      <c r="K2919" t="str">
        <f t="shared" si="228"/>
        <v>0</v>
      </c>
      <c r="L2919" t="str">
        <f t="shared" si="229"/>
        <v>Real Sociedad</v>
      </c>
      <c r="M2919" t="str">
        <f>IF(COUNTIF($A$2:A2919,A2919)=1,
     VLOOKUP(A2919,Season_Winners!A:B,2,FALSE),
     "")</f>
        <v/>
      </c>
    </row>
    <row r="2920" spans="1:13" hidden="1" x14ac:dyDescent="0.3">
      <c r="A2920" t="s">
        <v>998</v>
      </c>
      <c r="B2920">
        <v>26</v>
      </c>
      <c r="C2920" t="s">
        <v>1097</v>
      </c>
      <c r="D2920" t="str">
        <f t="shared" si="225"/>
        <v>07.03.2021</v>
      </c>
      <c r="E2920" s="1">
        <v>0.875</v>
      </c>
      <c r="F2920" t="s">
        <v>15</v>
      </c>
      <c r="G2920" t="s">
        <v>24</v>
      </c>
      <c r="H2920" s="2">
        <v>46024</v>
      </c>
      <c r="I2920" s="3" t="str">
        <f t="shared" si="226"/>
        <v/>
      </c>
      <c r="J2920" t="str">
        <f t="shared" si="227"/>
        <v/>
      </c>
      <c r="K2920" t="str">
        <f t="shared" si="228"/>
        <v/>
      </c>
      <c r="L2920" t="str">
        <f t="shared" si="229"/>
        <v/>
      </c>
      <c r="M2920" t="str">
        <f>IF(COUNTIF($A$2:A2920,A2920)=1,
     VLOOKUP(A2920,Season_Winners!A:B,2,FALSE),
     "")</f>
        <v/>
      </c>
    </row>
    <row r="2921" spans="1:13" hidden="1" x14ac:dyDescent="0.3">
      <c r="A2921" t="s">
        <v>998</v>
      </c>
      <c r="B2921">
        <v>26</v>
      </c>
      <c r="C2921" t="s">
        <v>1098</v>
      </c>
      <c r="D2921" t="str">
        <f t="shared" si="225"/>
        <v>08.03.2021</v>
      </c>
      <c r="E2921" s="1">
        <v>0.875</v>
      </c>
      <c r="F2921" t="s">
        <v>26</v>
      </c>
      <c r="G2921" t="s">
        <v>464</v>
      </c>
      <c r="H2921" s="2">
        <v>46056</v>
      </c>
      <c r="I2921" s="3" t="str">
        <f t="shared" si="226"/>
        <v/>
      </c>
      <c r="J2921" t="str">
        <f t="shared" si="227"/>
        <v/>
      </c>
      <c r="K2921" t="str">
        <f t="shared" si="228"/>
        <v/>
      </c>
      <c r="L2921" t="str">
        <f t="shared" si="229"/>
        <v/>
      </c>
      <c r="M2921" t="str">
        <f>IF(COUNTIF($A$2:A2921,A2921)=1,
     VLOOKUP(A2921,Season_Winners!A:B,2,FALSE),
     "")</f>
        <v/>
      </c>
    </row>
    <row r="2922" spans="1:13" x14ac:dyDescent="0.3">
      <c r="A2922" t="s">
        <v>998</v>
      </c>
      <c r="B2922">
        <v>27</v>
      </c>
      <c r="C2922" t="s">
        <v>1099</v>
      </c>
      <c r="D2922" t="str">
        <f t="shared" si="225"/>
        <v>12.03.2021</v>
      </c>
      <c r="E2922" s="1">
        <v>0.875</v>
      </c>
      <c r="F2922" t="s">
        <v>21</v>
      </c>
      <c r="G2922" t="s">
        <v>16</v>
      </c>
      <c r="H2922" t="s">
        <v>18</v>
      </c>
      <c r="I2922" t="str">
        <f t="shared" si="226"/>
        <v>1-0</v>
      </c>
      <c r="J2922" t="str">
        <f t="shared" si="227"/>
        <v>1</v>
      </c>
      <c r="K2922" t="str">
        <f t="shared" si="228"/>
        <v>0</v>
      </c>
      <c r="L2922" t="str">
        <f t="shared" si="229"/>
        <v>Levante UD</v>
      </c>
      <c r="M2922" t="str">
        <f>IF(COUNTIF($A$2:A2922,A2922)=1,
     VLOOKUP(A2922,Season_Winners!A:B,2,FALSE),
     "")</f>
        <v/>
      </c>
    </row>
    <row r="2923" spans="1:13" hidden="1" x14ac:dyDescent="0.3">
      <c r="A2923" t="s">
        <v>998</v>
      </c>
      <c r="B2923">
        <v>27</v>
      </c>
      <c r="C2923" t="s">
        <v>1100</v>
      </c>
      <c r="D2923" t="str">
        <f t="shared" si="225"/>
        <v>13.03.2021</v>
      </c>
      <c r="E2923" s="1">
        <v>0.58333333333333337</v>
      </c>
      <c r="F2923" t="s">
        <v>464</v>
      </c>
      <c r="G2923" t="s">
        <v>1000</v>
      </c>
      <c r="H2923" s="2">
        <v>46023</v>
      </c>
      <c r="I2923" s="3" t="str">
        <f t="shared" si="226"/>
        <v/>
      </c>
      <c r="J2923" t="str">
        <f t="shared" si="227"/>
        <v/>
      </c>
      <c r="K2923" t="str">
        <f t="shared" si="228"/>
        <v/>
      </c>
      <c r="L2923" t="str">
        <f t="shared" si="229"/>
        <v/>
      </c>
      <c r="M2923" t="str">
        <f>IF(COUNTIF($A$2:A2923,A2923)=1,
     VLOOKUP(A2923,Season_Winners!A:B,2,FALSE),
     "")</f>
        <v/>
      </c>
    </row>
    <row r="2924" spans="1:13" hidden="1" x14ac:dyDescent="0.3">
      <c r="A2924" t="s">
        <v>998</v>
      </c>
      <c r="B2924">
        <v>27</v>
      </c>
      <c r="C2924" t="s">
        <v>1100</v>
      </c>
      <c r="D2924" t="str">
        <f t="shared" si="225"/>
        <v>13.03.2021</v>
      </c>
      <c r="E2924" s="1">
        <v>0.67708333333333337</v>
      </c>
      <c r="F2924" t="s">
        <v>25</v>
      </c>
      <c r="G2924" t="s">
        <v>31</v>
      </c>
      <c r="H2924" s="2">
        <v>46024</v>
      </c>
      <c r="I2924" s="3" t="str">
        <f t="shared" si="226"/>
        <v/>
      </c>
      <c r="J2924" t="str">
        <f t="shared" si="227"/>
        <v/>
      </c>
      <c r="K2924" t="str">
        <f t="shared" si="228"/>
        <v/>
      </c>
      <c r="L2924" t="str">
        <f t="shared" si="229"/>
        <v/>
      </c>
      <c r="M2924" t="str">
        <f>IF(COUNTIF($A$2:A2924,A2924)=1,
     VLOOKUP(A2924,Season_Winners!A:B,2,FALSE),
     "")</f>
        <v/>
      </c>
    </row>
    <row r="2925" spans="1:13" x14ac:dyDescent="0.3">
      <c r="A2925" t="s">
        <v>998</v>
      </c>
      <c r="B2925">
        <v>27</v>
      </c>
      <c r="C2925" t="s">
        <v>1100</v>
      </c>
      <c r="D2925" t="str">
        <f t="shared" si="225"/>
        <v>13.03.2021</v>
      </c>
      <c r="E2925" s="1">
        <v>0.77083333333333337</v>
      </c>
      <c r="F2925" t="s">
        <v>23</v>
      </c>
      <c r="G2925" t="s">
        <v>14</v>
      </c>
      <c r="H2925" t="s">
        <v>41</v>
      </c>
      <c r="I2925" t="str">
        <f t="shared" si="226"/>
        <v>0-0</v>
      </c>
      <c r="J2925" t="str">
        <f t="shared" si="227"/>
        <v>0</v>
      </c>
      <c r="K2925" t="str">
        <f t="shared" si="228"/>
        <v>0</v>
      </c>
      <c r="L2925" t="str">
        <f t="shared" si="229"/>
        <v>Draw</v>
      </c>
      <c r="M2925" t="str">
        <f>IF(COUNTIF($A$2:A2925,A2925)=1,
     VLOOKUP(A2925,Season_Winners!A:B,2,FALSE),
     "")</f>
        <v/>
      </c>
    </row>
    <row r="2926" spans="1:13" x14ac:dyDescent="0.3">
      <c r="A2926" t="s">
        <v>998</v>
      </c>
      <c r="B2926">
        <v>27</v>
      </c>
      <c r="C2926" t="s">
        <v>1100</v>
      </c>
      <c r="D2926" t="str">
        <f t="shared" si="225"/>
        <v>13.03.2021</v>
      </c>
      <c r="E2926" s="1">
        <v>0.875</v>
      </c>
      <c r="F2926" t="s">
        <v>11</v>
      </c>
      <c r="G2926" t="s">
        <v>1425</v>
      </c>
      <c r="H2926" t="s">
        <v>41</v>
      </c>
      <c r="I2926" t="str">
        <f t="shared" si="226"/>
        <v>0-0</v>
      </c>
      <c r="J2926" t="str">
        <f t="shared" si="227"/>
        <v>0</v>
      </c>
      <c r="K2926" t="str">
        <f t="shared" si="228"/>
        <v>0</v>
      </c>
      <c r="L2926" t="str">
        <f t="shared" si="229"/>
        <v>Draw</v>
      </c>
      <c r="M2926" t="str">
        <f>IF(COUNTIF($A$2:A2926,A2926)=1,
     VLOOKUP(A2926,Season_Winners!A:B,2,FALSE),
     "")</f>
        <v/>
      </c>
    </row>
    <row r="2927" spans="1:13" x14ac:dyDescent="0.3">
      <c r="A2927" t="s">
        <v>998</v>
      </c>
      <c r="B2927">
        <v>27</v>
      </c>
      <c r="C2927" t="s">
        <v>1101</v>
      </c>
      <c r="D2927" t="str">
        <f t="shared" si="225"/>
        <v>14.03.2021</v>
      </c>
      <c r="E2927" s="1">
        <v>0.58333333333333337</v>
      </c>
      <c r="F2927" t="s">
        <v>35</v>
      </c>
      <c r="G2927" t="s">
        <v>15</v>
      </c>
      <c r="H2927" t="s">
        <v>41</v>
      </c>
      <c r="I2927" t="str">
        <f t="shared" si="226"/>
        <v>0-0</v>
      </c>
      <c r="J2927" t="str">
        <f t="shared" si="227"/>
        <v>0</v>
      </c>
      <c r="K2927" t="str">
        <f t="shared" si="228"/>
        <v>0</v>
      </c>
      <c r="L2927" t="str">
        <f t="shared" si="229"/>
        <v>Draw</v>
      </c>
      <c r="M2927" t="str">
        <f>IF(COUNTIF($A$2:A2927,A2927)=1,
     VLOOKUP(A2927,Season_Winners!A:B,2,FALSE),
     "")</f>
        <v/>
      </c>
    </row>
    <row r="2928" spans="1:13" x14ac:dyDescent="0.3">
      <c r="A2928" t="s">
        <v>998</v>
      </c>
      <c r="B2928">
        <v>27</v>
      </c>
      <c r="C2928" t="s">
        <v>1101</v>
      </c>
      <c r="D2928" t="str">
        <f t="shared" si="225"/>
        <v>14.03.2021</v>
      </c>
      <c r="E2928" s="1">
        <v>0.67708333333333337</v>
      </c>
      <c r="F2928" t="s">
        <v>24</v>
      </c>
      <c r="G2928" t="s">
        <v>10</v>
      </c>
      <c r="H2928" t="s">
        <v>18</v>
      </c>
      <c r="I2928" t="str">
        <f t="shared" si="226"/>
        <v>1-0</v>
      </c>
      <c r="J2928" t="str">
        <f t="shared" si="227"/>
        <v>1</v>
      </c>
      <c r="K2928" t="str">
        <f t="shared" si="228"/>
        <v>0</v>
      </c>
      <c r="L2928" t="str">
        <f t="shared" si="229"/>
        <v>Granada CF</v>
      </c>
      <c r="M2928" t="str">
        <f>IF(COUNTIF($A$2:A2928,A2928)=1,
     VLOOKUP(A2928,Season_Winners!A:B,2,FALSE),
     "")</f>
        <v/>
      </c>
    </row>
    <row r="2929" spans="1:13" hidden="1" x14ac:dyDescent="0.3">
      <c r="A2929" t="s">
        <v>998</v>
      </c>
      <c r="B2929">
        <v>27</v>
      </c>
      <c r="C2929" t="s">
        <v>1101</v>
      </c>
      <c r="D2929" t="str">
        <f t="shared" si="225"/>
        <v>14.03.2021</v>
      </c>
      <c r="E2929" s="1">
        <v>0.77083333333333337</v>
      </c>
      <c r="F2929" t="s">
        <v>187</v>
      </c>
      <c r="G2929" t="s">
        <v>34</v>
      </c>
      <c r="H2929" s="2">
        <v>46082</v>
      </c>
      <c r="I2929" s="3" t="str">
        <f t="shared" si="226"/>
        <v/>
      </c>
      <c r="J2929" t="str">
        <f t="shared" si="227"/>
        <v/>
      </c>
      <c r="K2929" t="str">
        <f t="shared" si="228"/>
        <v/>
      </c>
      <c r="L2929" t="str">
        <f t="shared" si="229"/>
        <v/>
      </c>
      <c r="M2929" t="str">
        <f>IF(COUNTIF($A$2:A2929,A2929)=1,
     VLOOKUP(A2929,Season_Winners!A:B,2,FALSE),
     "")</f>
        <v/>
      </c>
    </row>
    <row r="2930" spans="1:13" x14ac:dyDescent="0.3">
      <c r="A2930" t="s">
        <v>998</v>
      </c>
      <c r="B2930">
        <v>27</v>
      </c>
      <c r="C2930" t="s">
        <v>1101</v>
      </c>
      <c r="D2930" t="str">
        <f t="shared" si="225"/>
        <v>14.03.2021</v>
      </c>
      <c r="E2930" s="1">
        <v>0.875</v>
      </c>
      <c r="F2930" t="s">
        <v>27</v>
      </c>
      <c r="G2930" t="s">
        <v>26</v>
      </c>
      <c r="H2930" t="s">
        <v>18</v>
      </c>
      <c r="I2930" t="str">
        <f t="shared" si="226"/>
        <v>1-0</v>
      </c>
      <c r="J2930" t="str">
        <f t="shared" si="227"/>
        <v>1</v>
      </c>
      <c r="K2930" t="str">
        <f t="shared" si="228"/>
        <v>0</v>
      </c>
      <c r="L2930" t="str">
        <f t="shared" si="229"/>
        <v>Sevilla FC</v>
      </c>
      <c r="M2930" t="str">
        <f>IF(COUNTIF($A$2:A2930,A2930)=1,
     VLOOKUP(A2930,Season_Winners!A:B,2,FALSE),
     "")</f>
        <v/>
      </c>
    </row>
    <row r="2931" spans="1:13" hidden="1" x14ac:dyDescent="0.3">
      <c r="A2931" t="s">
        <v>998</v>
      </c>
      <c r="B2931">
        <v>27</v>
      </c>
      <c r="C2931" t="s">
        <v>1102</v>
      </c>
      <c r="D2931" t="str">
        <f t="shared" si="225"/>
        <v>15.03.2021</v>
      </c>
      <c r="E2931" s="1">
        <v>0.875</v>
      </c>
      <c r="F2931" t="s">
        <v>20</v>
      </c>
      <c r="G2931" t="s">
        <v>750</v>
      </c>
      <c r="H2931" s="2">
        <v>46026</v>
      </c>
      <c r="I2931" s="3" t="str">
        <f t="shared" si="226"/>
        <v/>
      </c>
      <c r="J2931" t="str">
        <f t="shared" si="227"/>
        <v/>
      </c>
      <c r="K2931" t="str">
        <f t="shared" si="228"/>
        <v/>
      </c>
      <c r="L2931" t="str">
        <f t="shared" si="229"/>
        <v/>
      </c>
      <c r="M2931" t="str">
        <f>IF(COUNTIF($A$2:A2931,A2931)=1,
     VLOOKUP(A2931,Season_Winners!A:B,2,FALSE),
     "")</f>
        <v/>
      </c>
    </row>
    <row r="2932" spans="1:13" x14ac:dyDescent="0.3">
      <c r="A2932" t="s">
        <v>998</v>
      </c>
      <c r="B2932">
        <v>28</v>
      </c>
      <c r="C2932" t="s">
        <v>1103</v>
      </c>
      <c r="D2932" t="str">
        <f t="shared" si="225"/>
        <v>19.03.2021</v>
      </c>
      <c r="E2932" s="1">
        <v>0.875</v>
      </c>
      <c r="F2932" t="s">
        <v>26</v>
      </c>
      <c r="G2932" t="s">
        <v>21</v>
      </c>
      <c r="H2932" t="s">
        <v>12</v>
      </c>
      <c r="I2932" t="str">
        <f t="shared" si="226"/>
        <v>2-0</v>
      </c>
      <c r="J2932" t="str">
        <f t="shared" si="227"/>
        <v>2</v>
      </c>
      <c r="K2932" t="str">
        <f t="shared" si="228"/>
        <v>0</v>
      </c>
      <c r="L2932" t="str">
        <f t="shared" si="229"/>
        <v>Real Betis</v>
      </c>
      <c r="M2932" t="str">
        <f>IF(COUNTIF($A$2:A2932,A2932)=1,
     VLOOKUP(A2932,Season_Winners!A:B,2,FALSE),
     "")</f>
        <v/>
      </c>
    </row>
    <row r="2933" spans="1:13" hidden="1" x14ac:dyDescent="0.3">
      <c r="A2933" t="s">
        <v>998</v>
      </c>
      <c r="B2933">
        <v>28</v>
      </c>
      <c r="C2933" t="s">
        <v>1104</v>
      </c>
      <c r="D2933" t="str">
        <f t="shared" si="225"/>
        <v>20.03.2021</v>
      </c>
      <c r="E2933" s="1">
        <v>0.58333333333333337</v>
      </c>
      <c r="F2933" t="s">
        <v>15</v>
      </c>
      <c r="G2933" t="s">
        <v>187</v>
      </c>
      <c r="H2933" s="2">
        <v>46023</v>
      </c>
      <c r="I2933" s="3" t="str">
        <f t="shared" si="226"/>
        <v/>
      </c>
      <c r="J2933" t="str">
        <f t="shared" si="227"/>
        <v/>
      </c>
      <c r="K2933" t="str">
        <f t="shared" si="228"/>
        <v/>
      </c>
      <c r="L2933" t="str">
        <f t="shared" si="229"/>
        <v/>
      </c>
      <c r="M2933" t="str">
        <f>IF(COUNTIF($A$2:A2933,A2933)=1,
     VLOOKUP(A2933,Season_Winners!A:B,2,FALSE),
     "")</f>
        <v/>
      </c>
    </row>
    <row r="2934" spans="1:13" hidden="1" x14ac:dyDescent="0.3">
      <c r="A2934" t="s">
        <v>998</v>
      </c>
      <c r="B2934">
        <v>28</v>
      </c>
      <c r="C2934" t="s">
        <v>1104</v>
      </c>
      <c r="D2934" t="str">
        <f t="shared" si="225"/>
        <v>20.03.2021</v>
      </c>
      <c r="E2934" s="1">
        <v>0.67708333333333337</v>
      </c>
      <c r="F2934" t="s">
        <v>35</v>
      </c>
      <c r="G2934" t="s">
        <v>25</v>
      </c>
      <c r="H2934" s="2">
        <v>46082</v>
      </c>
      <c r="I2934" s="3" t="str">
        <f t="shared" si="226"/>
        <v/>
      </c>
      <c r="J2934" t="str">
        <f t="shared" si="227"/>
        <v/>
      </c>
      <c r="K2934" t="str">
        <f t="shared" si="228"/>
        <v/>
      </c>
      <c r="L2934" t="str">
        <f t="shared" si="229"/>
        <v/>
      </c>
      <c r="M2934" t="str">
        <f>IF(COUNTIF($A$2:A2934,A2934)=1,
     VLOOKUP(A2934,Season_Winners!A:B,2,FALSE),
     "")</f>
        <v/>
      </c>
    </row>
    <row r="2935" spans="1:13" x14ac:dyDescent="0.3">
      <c r="A2935" t="s">
        <v>998</v>
      </c>
      <c r="B2935">
        <v>28</v>
      </c>
      <c r="C2935" t="s">
        <v>1104</v>
      </c>
      <c r="D2935" t="str">
        <f t="shared" si="225"/>
        <v>20.03.2021</v>
      </c>
      <c r="E2935" s="1">
        <v>0.77083333333333337</v>
      </c>
      <c r="F2935" t="s">
        <v>750</v>
      </c>
      <c r="G2935" t="s">
        <v>23</v>
      </c>
      <c r="H2935" t="s">
        <v>41</v>
      </c>
      <c r="I2935" t="str">
        <f t="shared" si="226"/>
        <v>0-0</v>
      </c>
      <c r="J2935" t="str">
        <f t="shared" si="227"/>
        <v>0</v>
      </c>
      <c r="K2935" t="str">
        <f t="shared" si="228"/>
        <v>0</v>
      </c>
      <c r="L2935" t="str">
        <f t="shared" si="229"/>
        <v>Draw</v>
      </c>
      <c r="M2935" t="str">
        <f>IF(COUNTIF($A$2:A2935,A2935)=1,
     VLOOKUP(A2935,Season_Winners!A:B,2,FALSE),
     "")</f>
        <v/>
      </c>
    </row>
    <row r="2936" spans="1:13" hidden="1" x14ac:dyDescent="0.3">
      <c r="A2936" t="s">
        <v>998</v>
      </c>
      <c r="B2936">
        <v>28</v>
      </c>
      <c r="C2936" t="s">
        <v>1104</v>
      </c>
      <c r="D2936" t="str">
        <f t="shared" si="225"/>
        <v>20.03.2021</v>
      </c>
      <c r="E2936" s="1">
        <v>0.875</v>
      </c>
      <c r="F2936" t="s">
        <v>14</v>
      </c>
      <c r="G2936" t="s">
        <v>27</v>
      </c>
      <c r="H2936" s="2">
        <v>46023</v>
      </c>
      <c r="I2936" s="3" t="str">
        <f t="shared" si="226"/>
        <v/>
      </c>
      <c r="J2936" t="str">
        <f t="shared" si="227"/>
        <v/>
      </c>
      <c r="K2936" t="str">
        <f t="shared" si="228"/>
        <v/>
      </c>
      <c r="L2936" t="str">
        <f t="shared" si="229"/>
        <v/>
      </c>
      <c r="M2936" t="str">
        <f>IF(COUNTIF($A$2:A2936,A2936)=1,
     VLOOKUP(A2936,Season_Winners!A:B,2,FALSE),
     "")</f>
        <v/>
      </c>
    </row>
    <row r="2937" spans="1:13" hidden="1" x14ac:dyDescent="0.3">
      <c r="A2937" t="s">
        <v>998</v>
      </c>
      <c r="B2937">
        <v>28</v>
      </c>
      <c r="C2937" t="s">
        <v>1105</v>
      </c>
      <c r="D2937" t="str">
        <f t="shared" si="225"/>
        <v>21.03.2021</v>
      </c>
      <c r="E2937" s="1">
        <v>0.58333333333333337</v>
      </c>
      <c r="F2937" t="s">
        <v>11</v>
      </c>
      <c r="G2937" t="s">
        <v>31</v>
      </c>
      <c r="H2937" s="2">
        <v>46023</v>
      </c>
      <c r="I2937" s="3" t="str">
        <f t="shared" si="226"/>
        <v/>
      </c>
      <c r="J2937" t="str">
        <f t="shared" si="227"/>
        <v/>
      </c>
      <c r="K2937" t="str">
        <f t="shared" si="228"/>
        <v/>
      </c>
      <c r="L2937" t="str">
        <f t="shared" si="229"/>
        <v/>
      </c>
      <c r="M2937" t="str">
        <f>IF(COUNTIF($A$2:A2937,A2937)=1,
     VLOOKUP(A2937,Season_Winners!A:B,2,FALSE),
     "")</f>
        <v/>
      </c>
    </row>
    <row r="2938" spans="1:13" hidden="1" x14ac:dyDescent="0.3">
      <c r="A2938" t="s">
        <v>998</v>
      </c>
      <c r="B2938">
        <v>28</v>
      </c>
      <c r="C2938" t="s">
        <v>1105</v>
      </c>
      <c r="D2938" t="str">
        <f t="shared" si="225"/>
        <v>21.03.2021</v>
      </c>
      <c r="E2938" s="1">
        <v>0.67708333333333337</v>
      </c>
      <c r="F2938" t="s">
        <v>16</v>
      </c>
      <c r="G2938" t="s">
        <v>24</v>
      </c>
      <c r="H2938" s="2">
        <v>46024</v>
      </c>
      <c r="I2938" s="3" t="str">
        <f t="shared" si="226"/>
        <v/>
      </c>
      <c r="J2938" t="str">
        <f t="shared" si="227"/>
        <v/>
      </c>
      <c r="K2938" t="str">
        <f t="shared" si="228"/>
        <v/>
      </c>
      <c r="L2938" t="str">
        <f t="shared" si="229"/>
        <v/>
      </c>
      <c r="M2938" t="str">
        <f>IF(COUNTIF($A$2:A2938,A2938)=1,
     VLOOKUP(A2938,Season_Winners!A:B,2,FALSE),
     "")</f>
        <v/>
      </c>
    </row>
    <row r="2939" spans="1:13" hidden="1" x14ac:dyDescent="0.3">
      <c r="A2939" t="s">
        <v>998</v>
      </c>
      <c r="B2939">
        <v>28</v>
      </c>
      <c r="C2939" t="s">
        <v>1105</v>
      </c>
      <c r="D2939" t="str">
        <f t="shared" si="225"/>
        <v>21.03.2021</v>
      </c>
      <c r="E2939" s="1">
        <v>0.67708333333333337</v>
      </c>
      <c r="F2939" t="s">
        <v>34</v>
      </c>
      <c r="G2939" t="s">
        <v>1000</v>
      </c>
      <c r="H2939" s="2">
        <v>46024</v>
      </c>
      <c r="I2939" s="3" t="str">
        <f t="shared" si="226"/>
        <v/>
      </c>
      <c r="J2939" t="str">
        <f t="shared" si="227"/>
        <v/>
      </c>
      <c r="K2939" t="str">
        <f t="shared" si="228"/>
        <v/>
      </c>
      <c r="L2939" t="str">
        <f t="shared" si="229"/>
        <v/>
      </c>
      <c r="M2939" t="str">
        <f>IF(COUNTIF($A$2:A2939,A2939)=1,
     VLOOKUP(A2939,Season_Winners!A:B,2,FALSE),
     "")</f>
        <v/>
      </c>
    </row>
    <row r="2940" spans="1:13" x14ac:dyDescent="0.3">
      <c r="A2940" t="s">
        <v>998</v>
      </c>
      <c r="B2940">
        <v>28</v>
      </c>
      <c r="C2940" t="s">
        <v>1105</v>
      </c>
      <c r="D2940" t="str">
        <f t="shared" si="225"/>
        <v>21.03.2021</v>
      </c>
      <c r="E2940" s="1">
        <v>0.77083333333333337</v>
      </c>
      <c r="F2940" t="s">
        <v>1425</v>
      </c>
      <c r="G2940" t="s">
        <v>464</v>
      </c>
      <c r="H2940" t="s">
        <v>18</v>
      </c>
      <c r="I2940" t="str">
        <f t="shared" si="226"/>
        <v>1-0</v>
      </c>
      <c r="J2940" t="str">
        <f t="shared" si="227"/>
        <v>1</v>
      </c>
      <c r="K2940" t="str">
        <f t="shared" si="228"/>
        <v>0</v>
      </c>
      <c r="L2940" t="str">
        <f t="shared" si="229"/>
        <v>Atlético de Madrid</v>
      </c>
      <c r="M2940" t="str">
        <f>IF(COUNTIF($A$2:A2940,A2940)=1,
     VLOOKUP(A2940,Season_Winners!A:B,2,FALSE),
     "")</f>
        <v/>
      </c>
    </row>
    <row r="2941" spans="1:13" hidden="1" x14ac:dyDescent="0.3">
      <c r="A2941" t="s">
        <v>998</v>
      </c>
      <c r="B2941">
        <v>28</v>
      </c>
      <c r="C2941" t="s">
        <v>1105</v>
      </c>
      <c r="D2941" t="str">
        <f t="shared" si="225"/>
        <v>21.03.2021</v>
      </c>
      <c r="E2941" s="1">
        <v>0.875</v>
      </c>
      <c r="F2941" t="s">
        <v>10</v>
      </c>
      <c r="G2941" t="s">
        <v>20</v>
      </c>
      <c r="H2941" s="2">
        <v>46174</v>
      </c>
      <c r="I2941" s="3" t="str">
        <f t="shared" si="226"/>
        <v/>
      </c>
      <c r="J2941" t="str">
        <f t="shared" si="227"/>
        <v/>
      </c>
      <c r="K2941" t="str">
        <f t="shared" si="228"/>
        <v/>
      </c>
      <c r="L2941" t="str">
        <f t="shared" si="229"/>
        <v/>
      </c>
      <c r="M2941" t="str">
        <f>IF(COUNTIF($A$2:A2941,A2941)=1,
     VLOOKUP(A2941,Season_Winners!A:B,2,FALSE),
     "")</f>
        <v/>
      </c>
    </row>
    <row r="2942" spans="1:13" x14ac:dyDescent="0.3">
      <c r="A2942" t="s">
        <v>998</v>
      </c>
      <c r="B2942">
        <v>29</v>
      </c>
      <c r="C2942" t="s">
        <v>1106</v>
      </c>
      <c r="D2942" t="str">
        <f t="shared" si="225"/>
        <v>02.04.2021</v>
      </c>
      <c r="E2942" s="1">
        <v>0.875</v>
      </c>
      <c r="F2942" t="s">
        <v>21</v>
      </c>
      <c r="G2942" t="s">
        <v>750</v>
      </c>
      <c r="H2942" t="s">
        <v>54</v>
      </c>
      <c r="I2942" t="str">
        <f t="shared" si="226"/>
        <v>0-2</v>
      </c>
      <c r="J2942" t="str">
        <f t="shared" si="227"/>
        <v>0</v>
      </c>
      <c r="K2942" t="str">
        <f t="shared" si="228"/>
        <v>2</v>
      </c>
      <c r="L2942" t="str">
        <f t="shared" si="229"/>
        <v>SD Huesca</v>
      </c>
      <c r="M2942" t="str">
        <f>IF(COUNTIF($A$2:A2942,A2942)=1,
     VLOOKUP(A2942,Season_Winners!A:B,2,FALSE),
     "")</f>
        <v/>
      </c>
    </row>
    <row r="2943" spans="1:13" x14ac:dyDescent="0.3">
      <c r="A2943" t="s">
        <v>998</v>
      </c>
      <c r="B2943">
        <v>29</v>
      </c>
      <c r="C2943" t="s">
        <v>1107</v>
      </c>
      <c r="D2943" t="str">
        <f t="shared" si="225"/>
        <v>03.04.2021</v>
      </c>
      <c r="E2943" s="1">
        <v>0.58333333333333337</v>
      </c>
      <c r="F2943" t="s">
        <v>24</v>
      </c>
      <c r="G2943" t="s">
        <v>34</v>
      </c>
      <c r="H2943" t="s">
        <v>46</v>
      </c>
      <c r="I2943" t="str">
        <f t="shared" si="226"/>
        <v>0-3</v>
      </c>
      <c r="J2943" t="str">
        <f t="shared" si="227"/>
        <v>0</v>
      </c>
      <c r="K2943" t="str">
        <f t="shared" si="228"/>
        <v>3</v>
      </c>
      <c r="L2943" t="str">
        <f t="shared" si="229"/>
        <v>Villarreal CF</v>
      </c>
      <c r="M2943" t="str">
        <f>IF(COUNTIF($A$2:A2943,A2943)=1,
     VLOOKUP(A2943,Season_Winners!A:B,2,FALSE),
     "")</f>
        <v/>
      </c>
    </row>
    <row r="2944" spans="1:13" x14ac:dyDescent="0.3">
      <c r="A2944" t="s">
        <v>998</v>
      </c>
      <c r="B2944">
        <v>29</v>
      </c>
      <c r="C2944" t="s">
        <v>1107</v>
      </c>
      <c r="D2944" t="str">
        <f t="shared" si="225"/>
        <v>03.04.2021</v>
      </c>
      <c r="E2944" s="1">
        <v>0.67708333333333337</v>
      </c>
      <c r="F2944" t="s">
        <v>25</v>
      </c>
      <c r="G2944" t="s">
        <v>187</v>
      </c>
      <c r="H2944" t="s">
        <v>12</v>
      </c>
      <c r="I2944" t="str">
        <f t="shared" si="226"/>
        <v>2-0</v>
      </c>
      <c r="J2944" t="str">
        <f t="shared" si="227"/>
        <v>2</v>
      </c>
      <c r="K2944" t="str">
        <f t="shared" si="228"/>
        <v>0</v>
      </c>
      <c r="L2944" t="str">
        <f t="shared" si="229"/>
        <v>Real Madrid</v>
      </c>
      <c r="M2944" t="str">
        <f>IF(COUNTIF($A$2:A2944,A2944)=1,
     VLOOKUP(A2944,Season_Winners!A:B,2,FALSE),
     "")</f>
        <v/>
      </c>
    </row>
    <row r="2945" spans="1:13" x14ac:dyDescent="0.3">
      <c r="A2945" t="s">
        <v>998</v>
      </c>
      <c r="B2945">
        <v>29</v>
      </c>
      <c r="C2945" t="s">
        <v>1107</v>
      </c>
      <c r="D2945" t="str">
        <f t="shared" si="225"/>
        <v>03.04.2021</v>
      </c>
      <c r="E2945" s="1">
        <v>0.77083333333333337</v>
      </c>
      <c r="F2945" t="s">
        <v>23</v>
      </c>
      <c r="G2945" t="s">
        <v>11</v>
      </c>
      <c r="H2945" t="s">
        <v>41</v>
      </c>
      <c r="I2945" t="str">
        <f t="shared" si="226"/>
        <v>0-0</v>
      </c>
      <c r="J2945" t="str">
        <f t="shared" si="227"/>
        <v>0</v>
      </c>
      <c r="K2945" t="str">
        <f t="shared" si="228"/>
        <v>0</v>
      </c>
      <c r="L2945" t="str">
        <f t="shared" si="229"/>
        <v>Draw</v>
      </c>
      <c r="M2945" t="str">
        <f>IF(COUNTIF($A$2:A2945,A2945)=1,
     VLOOKUP(A2945,Season_Winners!A:B,2,FALSE),
     "")</f>
        <v/>
      </c>
    </row>
    <row r="2946" spans="1:13" hidden="1" x14ac:dyDescent="0.3">
      <c r="A2946" t="s">
        <v>998</v>
      </c>
      <c r="B2946">
        <v>29</v>
      </c>
      <c r="C2946" t="s">
        <v>1108</v>
      </c>
      <c r="D2946" t="str">
        <f t="shared" ref="D2946:D3009" si="230">RIGHT(C2946,10)</f>
        <v>04.04.2021</v>
      </c>
      <c r="E2946" s="1">
        <v>0.58333333333333337</v>
      </c>
      <c r="F2946" t="s">
        <v>464</v>
      </c>
      <c r="G2946" t="s">
        <v>35</v>
      </c>
      <c r="H2946" s="2">
        <v>46082</v>
      </c>
      <c r="I2946" s="3" t="str">
        <f t="shared" ref="I2946:I3009" si="231">IF(ISNUMBER(SEARCH("-",H2946)),H2946,"")</f>
        <v/>
      </c>
      <c r="J2946" t="str">
        <f t="shared" ref="J2946:J3009" si="232">IF(I2946="","",LEFT(I2946,FIND("-",I2946)-1))</f>
        <v/>
      </c>
      <c r="K2946" t="str">
        <f t="shared" ref="K2946:K3009" si="233">IF(I2946="","",RIGHT(I2946,LEN(I2946)-FIND("-",I2946)))</f>
        <v/>
      </c>
      <c r="L2946" t="str">
        <f t="shared" ref="L2946:L3009" si="234">IF(I2946="","",IF(J2946&gt;K2946,F2946,IF(K2946&gt;J2946,G2946,"Draw")))</f>
        <v/>
      </c>
      <c r="M2946" t="str">
        <f>IF(COUNTIF($A$2:A2946,A2946)=1,
     VLOOKUP(A2946,Season_Winners!A:B,2,FALSE),
     "")</f>
        <v/>
      </c>
    </row>
    <row r="2947" spans="1:13" hidden="1" x14ac:dyDescent="0.3">
      <c r="A2947" t="s">
        <v>998</v>
      </c>
      <c r="B2947">
        <v>29</v>
      </c>
      <c r="C2947" t="s">
        <v>1108</v>
      </c>
      <c r="D2947" t="str">
        <f t="shared" si="230"/>
        <v>04.04.2021</v>
      </c>
      <c r="E2947" s="1">
        <v>0.67708333333333337</v>
      </c>
      <c r="F2947" t="s">
        <v>31</v>
      </c>
      <c r="G2947" t="s">
        <v>26</v>
      </c>
      <c r="H2947" s="2">
        <v>46023</v>
      </c>
      <c r="I2947" s="3" t="str">
        <f t="shared" si="231"/>
        <v/>
      </c>
      <c r="J2947" t="str">
        <f t="shared" si="232"/>
        <v/>
      </c>
      <c r="K2947" t="str">
        <f t="shared" si="233"/>
        <v/>
      </c>
      <c r="L2947" t="str">
        <f t="shared" si="234"/>
        <v/>
      </c>
      <c r="M2947" t="str">
        <f>IF(COUNTIF($A$2:A2947,A2947)=1,
     VLOOKUP(A2947,Season_Winners!A:B,2,FALSE),
     "")</f>
        <v/>
      </c>
    </row>
    <row r="2948" spans="1:13" hidden="1" x14ac:dyDescent="0.3">
      <c r="A2948" t="s">
        <v>998</v>
      </c>
      <c r="B2948">
        <v>29</v>
      </c>
      <c r="C2948" t="s">
        <v>1108</v>
      </c>
      <c r="D2948" t="str">
        <f t="shared" si="230"/>
        <v>04.04.2021</v>
      </c>
      <c r="E2948" s="1">
        <v>0.77083333333333337</v>
      </c>
      <c r="F2948" t="s">
        <v>1000</v>
      </c>
      <c r="G2948" t="s">
        <v>16</v>
      </c>
      <c r="H2948" s="2">
        <v>46024</v>
      </c>
      <c r="I2948" s="3" t="str">
        <f t="shared" si="231"/>
        <v/>
      </c>
      <c r="J2948" t="str">
        <f t="shared" si="232"/>
        <v/>
      </c>
      <c r="K2948" t="str">
        <f t="shared" si="233"/>
        <v/>
      </c>
      <c r="L2948" t="str">
        <f t="shared" si="234"/>
        <v/>
      </c>
      <c r="M2948" t="str">
        <f>IF(COUNTIF($A$2:A2948,A2948)=1,
     VLOOKUP(A2948,Season_Winners!A:B,2,FALSE),
     "")</f>
        <v/>
      </c>
    </row>
    <row r="2949" spans="1:13" x14ac:dyDescent="0.3">
      <c r="A2949" t="s">
        <v>998</v>
      </c>
      <c r="B2949">
        <v>29</v>
      </c>
      <c r="C2949" t="s">
        <v>1108</v>
      </c>
      <c r="D2949" t="str">
        <f t="shared" si="230"/>
        <v>04.04.2021</v>
      </c>
      <c r="E2949" s="1">
        <v>0.875</v>
      </c>
      <c r="F2949" t="s">
        <v>27</v>
      </c>
      <c r="G2949" t="s">
        <v>1425</v>
      </c>
      <c r="H2949" t="s">
        <v>18</v>
      </c>
      <c r="I2949" t="str">
        <f t="shared" si="231"/>
        <v>1-0</v>
      </c>
      <c r="J2949" t="str">
        <f t="shared" si="232"/>
        <v>1</v>
      </c>
      <c r="K2949" t="str">
        <f t="shared" si="233"/>
        <v>0</v>
      </c>
      <c r="L2949" t="str">
        <f t="shared" si="234"/>
        <v>Sevilla FC</v>
      </c>
      <c r="M2949" t="str">
        <f>IF(COUNTIF($A$2:A2949,A2949)=1,
     VLOOKUP(A2949,Season_Winners!A:B,2,FALSE),
     "")</f>
        <v/>
      </c>
    </row>
    <row r="2950" spans="1:13" x14ac:dyDescent="0.3">
      <c r="A2950" t="s">
        <v>998</v>
      </c>
      <c r="B2950">
        <v>29</v>
      </c>
      <c r="C2950" t="s">
        <v>1109</v>
      </c>
      <c r="D2950" t="str">
        <f t="shared" si="230"/>
        <v>05.04.2021</v>
      </c>
      <c r="E2950" s="1">
        <v>0.875</v>
      </c>
      <c r="F2950" t="s">
        <v>20</v>
      </c>
      <c r="G2950" t="s">
        <v>14</v>
      </c>
      <c r="H2950" t="s">
        <v>18</v>
      </c>
      <c r="I2950" t="str">
        <f t="shared" si="231"/>
        <v>1-0</v>
      </c>
      <c r="J2950" t="str">
        <f t="shared" si="232"/>
        <v>1</v>
      </c>
      <c r="K2950" t="str">
        <f t="shared" si="233"/>
        <v>0</v>
      </c>
      <c r="L2950" t="str">
        <f t="shared" si="234"/>
        <v>FC Barcelona</v>
      </c>
      <c r="M2950" t="str">
        <f>IF(COUNTIF($A$2:A2950,A2950)=1,
     VLOOKUP(A2950,Season_Winners!A:B,2,FALSE),
     "")</f>
        <v/>
      </c>
    </row>
    <row r="2951" spans="1:13" hidden="1" x14ac:dyDescent="0.3">
      <c r="A2951" t="s">
        <v>998</v>
      </c>
      <c r="B2951">
        <v>29</v>
      </c>
      <c r="C2951" t="s">
        <v>1110</v>
      </c>
      <c r="D2951" t="str">
        <f t="shared" si="230"/>
        <v>07.04.2021</v>
      </c>
      <c r="E2951" s="1">
        <v>0.875</v>
      </c>
      <c r="F2951" t="s">
        <v>10</v>
      </c>
      <c r="G2951" t="s">
        <v>15</v>
      </c>
      <c r="H2951" s="2">
        <v>46023</v>
      </c>
      <c r="I2951" s="3" t="str">
        <f t="shared" si="231"/>
        <v/>
      </c>
      <c r="J2951" t="str">
        <f t="shared" si="232"/>
        <v/>
      </c>
      <c r="K2951" t="str">
        <f t="shared" si="233"/>
        <v/>
      </c>
      <c r="L2951" t="str">
        <f t="shared" si="234"/>
        <v/>
      </c>
      <c r="M2951" t="str">
        <f>IF(COUNTIF($A$2:A2951,A2951)=1,
     VLOOKUP(A2951,Season_Winners!A:B,2,FALSE),
     "")</f>
        <v/>
      </c>
    </row>
    <row r="2952" spans="1:13" hidden="1" x14ac:dyDescent="0.3">
      <c r="A2952" t="s">
        <v>998</v>
      </c>
      <c r="B2952">
        <v>30</v>
      </c>
      <c r="C2952" t="s">
        <v>1111</v>
      </c>
      <c r="D2952" t="str">
        <f t="shared" si="230"/>
        <v>09.04.2021</v>
      </c>
      <c r="E2952" s="1">
        <v>0.875</v>
      </c>
      <c r="F2952" t="s">
        <v>750</v>
      </c>
      <c r="G2952" t="s">
        <v>31</v>
      </c>
      <c r="H2952" s="2">
        <v>46025</v>
      </c>
      <c r="I2952" s="3" t="str">
        <f t="shared" si="231"/>
        <v/>
      </c>
      <c r="J2952" t="str">
        <f t="shared" si="232"/>
        <v/>
      </c>
      <c r="K2952" t="str">
        <f t="shared" si="233"/>
        <v/>
      </c>
      <c r="L2952" t="str">
        <f t="shared" si="234"/>
        <v/>
      </c>
      <c r="M2952" t="str">
        <f>IF(COUNTIF($A$2:A2952,A2952)=1,
     VLOOKUP(A2952,Season_Winners!A:B,2,FALSE),
     "")</f>
        <v/>
      </c>
    </row>
    <row r="2953" spans="1:13" x14ac:dyDescent="0.3">
      <c r="A2953" t="s">
        <v>998</v>
      </c>
      <c r="B2953">
        <v>30</v>
      </c>
      <c r="C2953" t="s">
        <v>1112</v>
      </c>
      <c r="D2953" t="str">
        <f t="shared" si="230"/>
        <v>10.04.2021</v>
      </c>
      <c r="E2953" s="1">
        <v>0.58333333333333337</v>
      </c>
      <c r="F2953" t="s">
        <v>11</v>
      </c>
      <c r="G2953" t="s">
        <v>1000</v>
      </c>
      <c r="H2953" t="s">
        <v>42</v>
      </c>
      <c r="I2953" t="str">
        <f t="shared" si="231"/>
        <v>0-1</v>
      </c>
      <c r="J2953" t="str">
        <f t="shared" si="232"/>
        <v>0</v>
      </c>
      <c r="K2953" t="str">
        <f t="shared" si="233"/>
        <v>1</v>
      </c>
      <c r="L2953" t="str">
        <f t="shared" si="234"/>
        <v>CÃ¡diz CF</v>
      </c>
      <c r="M2953" t="str">
        <f>IF(COUNTIF($A$2:A2953,A2953)=1,
     VLOOKUP(A2953,Season_Winners!A:B,2,FALSE),
     "")</f>
        <v/>
      </c>
    </row>
    <row r="2954" spans="1:13" x14ac:dyDescent="0.3">
      <c r="A2954" t="s">
        <v>998</v>
      </c>
      <c r="B2954">
        <v>30</v>
      </c>
      <c r="C2954" t="s">
        <v>1112</v>
      </c>
      <c r="D2954" t="str">
        <f t="shared" si="230"/>
        <v>10.04.2021</v>
      </c>
      <c r="E2954" s="1">
        <v>0.67708333333333337</v>
      </c>
      <c r="F2954" t="s">
        <v>15</v>
      </c>
      <c r="G2954" t="s">
        <v>464</v>
      </c>
      <c r="H2954" t="s">
        <v>41</v>
      </c>
      <c r="I2954" t="str">
        <f t="shared" si="231"/>
        <v>0-0</v>
      </c>
      <c r="J2954" t="str">
        <f t="shared" si="232"/>
        <v>0</v>
      </c>
      <c r="K2954" t="str">
        <f t="shared" si="233"/>
        <v>0</v>
      </c>
      <c r="L2954" t="str">
        <f t="shared" si="234"/>
        <v>Draw</v>
      </c>
      <c r="M2954" t="str">
        <f>IF(COUNTIF($A$2:A2954,A2954)=1,
     VLOOKUP(A2954,Season_Winners!A:B,2,FALSE),
     "")</f>
        <v/>
      </c>
    </row>
    <row r="2955" spans="1:13" x14ac:dyDescent="0.3">
      <c r="A2955" t="s">
        <v>998</v>
      </c>
      <c r="B2955">
        <v>30</v>
      </c>
      <c r="C2955" t="s">
        <v>1112</v>
      </c>
      <c r="D2955" t="str">
        <f t="shared" si="230"/>
        <v>10.04.2021</v>
      </c>
      <c r="E2955" s="1">
        <v>0.77083333333333337</v>
      </c>
      <c r="F2955" t="s">
        <v>187</v>
      </c>
      <c r="G2955" t="s">
        <v>21</v>
      </c>
      <c r="H2955" t="s">
        <v>42</v>
      </c>
      <c r="I2955" t="str">
        <f t="shared" si="231"/>
        <v>0-1</v>
      </c>
      <c r="J2955" t="str">
        <f t="shared" si="232"/>
        <v>0</v>
      </c>
      <c r="K2955" t="str">
        <f t="shared" si="233"/>
        <v>1</v>
      </c>
      <c r="L2955" t="str">
        <f t="shared" si="234"/>
        <v>Levante UD</v>
      </c>
      <c r="M2955" t="str">
        <f>IF(COUNTIF($A$2:A2955,A2955)=1,
     VLOOKUP(A2955,Season_Winners!A:B,2,FALSE),
     "")</f>
        <v/>
      </c>
    </row>
    <row r="2956" spans="1:13" hidden="1" x14ac:dyDescent="0.3">
      <c r="A2956" t="s">
        <v>998</v>
      </c>
      <c r="B2956">
        <v>30</v>
      </c>
      <c r="C2956" t="s">
        <v>1112</v>
      </c>
      <c r="D2956" t="str">
        <f t="shared" si="230"/>
        <v>10.04.2021</v>
      </c>
      <c r="E2956" s="1">
        <v>0.875</v>
      </c>
      <c r="F2956" t="s">
        <v>25</v>
      </c>
      <c r="G2956" t="s">
        <v>20</v>
      </c>
      <c r="H2956" s="2">
        <v>46024</v>
      </c>
      <c r="I2956" s="3" t="str">
        <f t="shared" si="231"/>
        <v/>
      </c>
      <c r="J2956" t="str">
        <f t="shared" si="232"/>
        <v/>
      </c>
      <c r="K2956" t="str">
        <f t="shared" si="233"/>
        <v/>
      </c>
      <c r="L2956" t="str">
        <f t="shared" si="234"/>
        <v/>
      </c>
      <c r="M2956" t="str">
        <f>IF(COUNTIF($A$2:A2956,A2956)=1,
     VLOOKUP(A2956,Season_Winners!A:B,2,FALSE),
     "")</f>
        <v/>
      </c>
    </row>
    <row r="2957" spans="1:13" hidden="1" x14ac:dyDescent="0.3">
      <c r="A2957" t="s">
        <v>998</v>
      </c>
      <c r="B2957">
        <v>30</v>
      </c>
      <c r="C2957" t="s">
        <v>1113</v>
      </c>
      <c r="D2957" t="str">
        <f t="shared" si="230"/>
        <v>11.04.2021</v>
      </c>
      <c r="E2957" s="1">
        <v>0.58333333333333337</v>
      </c>
      <c r="F2957" t="s">
        <v>34</v>
      </c>
      <c r="G2957" t="s">
        <v>23</v>
      </c>
      <c r="H2957" s="2">
        <v>46054</v>
      </c>
      <c r="I2957" s="3" t="str">
        <f t="shared" si="231"/>
        <v/>
      </c>
      <c r="J2957" t="str">
        <f t="shared" si="232"/>
        <v/>
      </c>
      <c r="K2957" t="str">
        <f t="shared" si="233"/>
        <v/>
      </c>
      <c r="L2957" t="str">
        <f t="shared" si="234"/>
        <v/>
      </c>
      <c r="M2957" t="str">
        <f>IF(COUNTIF($A$2:A2957,A2957)=1,
     VLOOKUP(A2957,Season_Winners!A:B,2,FALSE),
     "")</f>
        <v/>
      </c>
    </row>
    <row r="2958" spans="1:13" hidden="1" x14ac:dyDescent="0.3">
      <c r="A2958" t="s">
        <v>998</v>
      </c>
      <c r="B2958">
        <v>30</v>
      </c>
      <c r="C2958" t="s">
        <v>1113</v>
      </c>
      <c r="D2958" t="str">
        <f t="shared" si="230"/>
        <v>11.04.2021</v>
      </c>
      <c r="E2958" s="1">
        <v>0.67708333333333337</v>
      </c>
      <c r="F2958" t="s">
        <v>16</v>
      </c>
      <c r="G2958" t="s">
        <v>10</v>
      </c>
      <c r="H2958" s="2">
        <v>46055</v>
      </c>
      <c r="I2958" s="3" t="str">
        <f t="shared" si="231"/>
        <v/>
      </c>
      <c r="J2958" t="str">
        <f t="shared" si="232"/>
        <v/>
      </c>
      <c r="K2958" t="str">
        <f t="shared" si="233"/>
        <v/>
      </c>
      <c r="L2958" t="str">
        <f t="shared" si="234"/>
        <v/>
      </c>
      <c r="M2958" t="str">
        <f>IF(COUNTIF($A$2:A2958,A2958)=1,
     VLOOKUP(A2958,Season_Winners!A:B,2,FALSE),
     "")</f>
        <v/>
      </c>
    </row>
    <row r="2959" spans="1:13" hidden="1" x14ac:dyDescent="0.3">
      <c r="A2959" t="s">
        <v>998</v>
      </c>
      <c r="B2959">
        <v>30</v>
      </c>
      <c r="C2959" t="s">
        <v>1113</v>
      </c>
      <c r="D2959" t="str">
        <f t="shared" si="230"/>
        <v>11.04.2021</v>
      </c>
      <c r="E2959" s="1">
        <v>0.77083333333333337</v>
      </c>
      <c r="F2959" t="s">
        <v>14</v>
      </c>
      <c r="G2959" t="s">
        <v>24</v>
      </c>
      <c r="H2959" s="2">
        <v>46054</v>
      </c>
      <c r="I2959" s="3" t="str">
        <f t="shared" si="231"/>
        <v/>
      </c>
      <c r="J2959" t="str">
        <f t="shared" si="232"/>
        <v/>
      </c>
      <c r="K2959" t="str">
        <f t="shared" si="233"/>
        <v/>
      </c>
      <c r="L2959" t="str">
        <f t="shared" si="234"/>
        <v/>
      </c>
      <c r="M2959" t="str">
        <f>IF(COUNTIF($A$2:A2959,A2959)=1,
     VLOOKUP(A2959,Season_Winners!A:B,2,FALSE),
     "")</f>
        <v/>
      </c>
    </row>
    <row r="2960" spans="1:13" hidden="1" x14ac:dyDescent="0.3">
      <c r="A2960" t="s">
        <v>998</v>
      </c>
      <c r="B2960">
        <v>30</v>
      </c>
      <c r="C2960" t="s">
        <v>1113</v>
      </c>
      <c r="D2960" t="str">
        <f t="shared" si="230"/>
        <v>11.04.2021</v>
      </c>
      <c r="E2960" s="1">
        <v>0.875</v>
      </c>
      <c r="F2960" t="s">
        <v>26</v>
      </c>
      <c r="G2960" t="s">
        <v>28</v>
      </c>
      <c r="H2960" s="2">
        <v>46023</v>
      </c>
      <c r="I2960" s="3" t="str">
        <f t="shared" si="231"/>
        <v/>
      </c>
      <c r="J2960" t="str">
        <f t="shared" si="232"/>
        <v/>
      </c>
      <c r="K2960" t="str">
        <f t="shared" si="233"/>
        <v/>
      </c>
      <c r="L2960" t="str">
        <f t="shared" si="234"/>
        <v/>
      </c>
      <c r="M2960" t="str">
        <f>IF(COUNTIF($A$2:A2960,A2960)=1,
     VLOOKUP(A2960,Season_Winners!A:B,2,FALSE),
     "")</f>
        <v/>
      </c>
    </row>
    <row r="2961" spans="1:13" hidden="1" x14ac:dyDescent="0.3">
      <c r="A2961" t="s">
        <v>998</v>
      </c>
      <c r="B2961">
        <v>30</v>
      </c>
      <c r="C2961" t="s">
        <v>1114</v>
      </c>
      <c r="D2961" t="str">
        <f t="shared" si="230"/>
        <v>12.04.2021</v>
      </c>
      <c r="E2961" s="1">
        <v>0.875</v>
      </c>
      <c r="F2961" t="s">
        <v>35</v>
      </c>
      <c r="G2961" t="s">
        <v>27</v>
      </c>
      <c r="H2961" s="2">
        <v>46115</v>
      </c>
      <c r="I2961" s="3" t="str">
        <f t="shared" si="231"/>
        <v/>
      </c>
      <c r="J2961" t="str">
        <f t="shared" si="232"/>
        <v/>
      </c>
      <c r="K2961" t="str">
        <f t="shared" si="233"/>
        <v/>
      </c>
      <c r="L2961" t="str">
        <f t="shared" si="234"/>
        <v/>
      </c>
      <c r="M2961" t="str">
        <f>IF(COUNTIF($A$2:A2961,A2961)=1,
     VLOOKUP(A2961,Season_Winners!A:B,2,FALSE),
     "")</f>
        <v/>
      </c>
    </row>
    <row r="2962" spans="1:13" x14ac:dyDescent="0.3">
      <c r="A2962" t="s">
        <v>998</v>
      </c>
      <c r="B2962">
        <v>31</v>
      </c>
      <c r="C2962" t="s">
        <v>1115</v>
      </c>
      <c r="D2962" t="str">
        <f t="shared" si="230"/>
        <v>21.04.2021</v>
      </c>
      <c r="E2962" s="1">
        <v>0.79166666666666663</v>
      </c>
      <c r="F2962" t="s">
        <v>21</v>
      </c>
      <c r="G2962" t="s">
        <v>27</v>
      </c>
      <c r="H2962" t="s">
        <v>42</v>
      </c>
      <c r="I2962" t="str">
        <f t="shared" si="231"/>
        <v>0-1</v>
      </c>
      <c r="J2962" t="str">
        <f t="shared" si="232"/>
        <v>0</v>
      </c>
      <c r="K2962" t="str">
        <f t="shared" si="233"/>
        <v>1</v>
      </c>
      <c r="L2962" t="str">
        <f t="shared" si="234"/>
        <v>Sevilla FC</v>
      </c>
      <c r="M2962" t="str">
        <f>IF(COUNTIF($A$2:A2962,A2962)=1,
     VLOOKUP(A2962,Season_Winners!A:B,2,FALSE),
     "")</f>
        <v/>
      </c>
    </row>
    <row r="2963" spans="1:13" hidden="1" x14ac:dyDescent="0.3">
      <c r="A2963" t="s">
        <v>998</v>
      </c>
      <c r="B2963">
        <v>31</v>
      </c>
      <c r="C2963" t="s">
        <v>1115</v>
      </c>
      <c r="D2963" t="str">
        <f t="shared" si="230"/>
        <v>21.04.2021</v>
      </c>
      <c r="E2963" s="1">
        <v>0.79166666666666663</v>
      </c>
      <c r="F2963" t="s">
        <v>23</v>
      </c>
      <c r="G2963" t="s">
        <v>16</v>
      </c>
      <c r="H2963" s="2">
        <v>46025</v>
      </c>
      <c r="I2963" s="3" t="str">
        <f t="shared" si="231"/>
        <v/>
      </c>
      <c r="J2963" t="str">
        <f t="shared" si="232"/>
        <v/>
      </c>
      <c r="K2963" t="str">
        <f t="shared" si="233"/>
        <v/>
      </c>
      <c r="L2963" t="str">
        <f t="shared" si="234"/>
        <v/>
      </c>
      <c r="M2963" t="str">
        <f>IF(COUNTIF($A$2:A2963,A2963)=1,
     VLOOKUP(A2963,Season_Winners!A:B,2,FALSE),
     "")</f>
        <v/>
      </c>
    </row>
    <row r="2964" spans="1:13" x14ac:dyDescent="0.3">
      <c r="A2964" t="s">
        <v>998</v>
      </c>
      <c r="B2964">
        <v>31</v>
      </c>
      <c r="C2964" t="s">
        <v>1115</v>
      </c>
      <c r="D2964" t="str">
        <f t="shared" si="230"/>
        <v>21.04.2021</v>
      </c>
      <c r="E2964" s="1">
        <v>0.83333333333333337</v>
      </c>
      <c r="F2964" t="s">
        <v>26</v>
      </c>
      <c r="G2964" t="s">
        <v>15</v>
      </c>
      <c r="H2964" t="s">
        <v>41</v>
      </c>
      <c r="I2964" t="str">
        <f t="shared" si="231"/>
        <v>0-0</v>
      </c>
      <c r="J2964" t="str">
        <f t="shared" si="232"/>
        <v>0</v>
      </c>
      <c r="K2964" t="str">
        <f t="shared" si="233"/>
        <v>0</v>
      </c>
      <c r="L2964" t="str">
        <f t="shared" si="234"/>
        <v>Draw</v>
      </c>
      <c r="M2964" t="str">
        <f>IF(COUNTIF($A$2:A2964,A2964)=1,
     VLOOKUP(A2964,Season_Winners!A:B,2,FALSE),
     "")</f>
        <v/>
      </c>
    </row>
    <row r="2965" spans="1:13" hidden="1" x14ac:dyDescent="0.3">
      <c r="A2965" t="s">
        <v>998</v>
      </c>
      <c r="B2965">
        <v>31</v>
      </c>
      <c r="C2965" t="s">
        <v>1115</v>
      </c>
      <c r="D2965" t="str">
        <f t="shared" si="230"/>
        <v>21.04.2021</v>
      </c>
      <c r="E2965" s="1">
        <v>0.875</v>
      </c>
      <c r="F2965" t="s">
        <v>464</v>
      </c>
      <c r="G2965" t="s">
        <v>34</v>
      </c>
      <c r="H2965" s="2">
        <v>46024</v>
      </c>
      <c r="I2965" s="3" t="str">
        <f t="shared" si="231"/>
        <v/>
      </c>
      <c r="J2965" t="str">
        <f t="shared" si="232"/>
        <v/>
      </c>
      <c r="K2965" t="str">
        <f t="shared" si="233"/>
        <v/>
      </c>
      <c r="L2965" t="str">
        <f t="shared" si="234"/>
        <v/>
      </c>
      <c r="M2965" t="str">
        <f>IF(COUNTIF($A$2:A2965,A2965)=1,
     VLOOKUP(A2965,Season_Winners!A:B,2,FALSE),
     "")</f>
        <v/>
      </c>
    </row>
    <row r="2966" spans="1:13" hidden="1" x14ac:dyDescent="0.3">
      <c r="A2966" t="s">
        <v>998</v>
      </c>
      <c r="B2966">
        <v>31</v>
      </c>
      <c r="C2966" t="s">
        <v>1115</v>
      </c>
      <c r="D2966" t="str">
        <f t="shared" si="230"/>
        <v>21.04.2021</v>
      </c>
      <c r="E2966" s="1">
        <v>0.875</v>
      </c>
      <c r="F2966" t="s">
        <v>31</v>
      </c>
      <c r="G2966" t="s">
        <v>14</v>
      </c>
      <c r="H2966" s="2">
        <v>46023</v>
      </c>
      <c r="I2966" s="3" t="str">
        <f t="shared" si="231"/>
        <v/>
      </c>
      <c r="J2966" t="str">
        <f t="shared" si="232"/>
        <v/>
      </c>
      <c r="K2966" t="str">
        <f t="shared" si="233"/>
        <v/>
      </c>
      <c r="L2966" t="str">
        <f t="shared" si="234"/>
        <v/>
      </c>
      <c r="M2966" t="str">
        <f>IF(COUNTIF($A$2:A2966,A2966)=1,
     VLOOKUP(A2966,Season_Winners!A:B,2,FALSE),
     "")</f>
        <v/>
      </c>
    </row>
    <row r="2967" spans="1:13" x14ac:dyDescent="0.3">
      <c r="A2967" t="s">
        <v>998</v>
      </c>
      <c r="B2967">
        <v>31</v>
      </c>
      <c r="C2967" t="s">
        <v>1115</v>
      </c>
      <c r="D2967" t="str">
        <f t="shared" si="230"/>
        <v>21.04.2021</v>
      </c>
      <c r="E2967" s="1">
        <v>0.91666666666666663</v>
      </c>
      <c r="F2967" t="s">
        <v>1000</v>
      </c>
      <c r="G2967" t="s">
        <v>25</v>
      </c>
      <c r="H2967" t="s">
        <v>46</v>
      </c>
      <c r="I2967" t="str">
        <f t="shared" si="231"/>
        <v>0-3</v>
      </c>
      <c r="J2967" t="str">
        <f t="shared" si="232"/>
        <v>0</v>
      </c>
      <c r="K2967" t="str">
        <f t="shared" si="233"/>
        <v>3</v>
      </c>
      <c r="L2967" t="str">
        <f t="shared" si="234"/>
        <v>Real Madrid</v>
      </c>
      <c r="M2967" t="str">
        <f>IF(COUNTIF($A$2:A2967,A2967)=1,
     VLOOKUP(A2967,Season_Winners!A:B,2,FALSE),
     "")</f>
        <v/>
      </c>
    </row>
    <row r="2968" spans="1:13" x14ac:dyDescent="0.3">
      <c r="A2968" t="s">
        <v>998</v>
      </c>
      <c r="B2968">
        <v>31</v>
      </c>
      <c r="C2968" t="s">
        <v>1116</v>
      </c>
      <c r="D2968" t="str">
        <f t="shared" si="230"/>
        <v>22.04.2021</v>
      </c>
      <c r="E2968" s="1">
        <v>0.79166666666666663</v>
      </c>
      <c r="F2968" t="s">
        <v>1425</v>
      </c>
      <c r="G2968" t="s">
        <v>750</v>
      </c>
      <c r="H2968" t="s">
        <v>12</v>
      </c>
      <c r="I2968" t="str">
        <f t="shared" si="231"/>
        <v>2-0</v>
      </c>
      <c r="J2968" t="str">
        <f t="shared" si="232"/>
        <v>2</v>
      </c>
      <c r="K2968" t="str">
        <f t="shared" si="233"/>
        <v>0</v>
      </c>
      <c r="L2968" t="str">
        <f t="shared" si="234"/>
        <v>Atlético de Madrid</v>
      </c>
      <c r="M2968" t="str">
        <f>IF(COUNTIF($A$2:A2968,A2968)=1,
     VLOOKUP(A2968,Season_Winners!A:B,2,FALSE),
     "")</f>
        <v/>
      </c>
    </row>
    <row r="2969" spans="1:13" hidden="1" x14ac:dyDescent="0.3">
      <c r="A2969" t="s">
        <v>998</v>
      </c>
      <c r="B2969">
        <v>31</v>
      </c>
      <c r="C2969" t="s">
        <v>1116</v>
      </c>
      <c r="D2969" t="str">
        <f t="shared" si="230"/>
        <v>22.04.2021</v>
      </c>
      <c r="E2969" s="1">
        <v>0.875</v>
      </c>
      <c r="F2969" t="s">
        <v>24</v>
      </c>
      <c r="G2969" t="s">
        <v>187</v>
      </c>
      <c r="H2969" s="2">
        <v>46026</v>
      </c>
      <c r="I2969" s="3" t="str">
        <f t="shared" si="231"/>
        <v/>
      </c>
      <c r="J2969" t="str">
        <f t="shared" si="232"/>
        <v/>
      </c>
      <c r="K2969" t="str">
        <f t="shared" si="233"/>
        <v/>
      </c>
      <c r="L2969" t="str">
        <f t="shared" si="234"/>
        <v/>
      </c>
      <c r="M2969" t="str">
        <f>IF(COUNTIF($A$2:A2969,A2969)=1,
     VLOOKUP(A2969,Season_Winners!A:B,2,FALSE),
     "")</f>
        <v/>
      </c>
    </row>
    <row r="2970" spans="1:13" hidden="1" x14ac:dyDescent="0.3">
      <c r="A2970" t="s">
        <v>998</v>
      </c>
      <c r="B2970">
        <v>31</v>
      </c>
      <c r="C2970" t="s">
        <v>1116</v>
      </c>
      <c r="D2970" t="str">
        <f t="shared" si="230"/>
        <v>22.04.2021</v>
      </c>
      <c r="E2970" s="1">
        <v>0.875</v>
      </c>
      <c r="F2970" t="s">
        <v>10</v>
      </c>
      <c r="G2970" t="s">
        <v>35</v>
      </c>
      <c r="H2970" s="2">
        <v>46024</v>
      </c>
      <c r="I2970" s="3" t="str">
        <f t="shared" si="231"/>
        <v/>
      </c>
      <c r="J2970" t="str">
        <f t="shared" si="232"/>
        <v/>
      </c>
      <c r="K2970" t="str">
        <f t="shared" si="233"/>
        <v/>
      </c>
      <c r="L2970" t="str">
        <f t="shared" si="234"/>
        <v/>
      </c>
      <c r="M2970" t="str">
        <f>IF(COUNTIF($A$2:A2970,A2970)=1,
     VLOOKUP(A2970,Season_Winners!A:B,2,FALSE),
     "")</f>
        <v/>
      </c>
    </row>
    <row r="2971" spans="1:13" hidden="1" x14ac:dyDescent="0.3">
      <c r="A2971" t="s">
        <v>998</v>
      </c>
      <c r="B2971">
        <v>31</v>
      </c>
      <c r="C2971" t="s">
        <v>1116</v>
      </c>
      <c r="D2971" t="str">
        <f t="shared" si="230"/>
        <v>22.04.2021</v>
      </c>
      <c r="E2971" s="1">
        <v>0.91666666666666663</v>
      </c>
      <c r="F2971" t="s">
        <v>20</v>
      </c>
      <c r="G2971" t="s">
        <v>11</v>
      </c>
      <c r="H2971" s="2">
        <v>46058</v>
      </c>
      <c r="I2971" s="3" t="str">
        <f t="shared" si="231"/>
        <v/>
      </c>
      <c r="J2971" t="str">
        <f t="shared" si="232"/>
        <v/>
      </c>
      <c r="K2971" t="str">
        <f t="shared" si="233"/>
        <v/>
      </c>
      <c r="L2971" t="str">
        <f t="shared" si="234"/>
        <v/>
      </c>
      <c r="M2971" t="str">
        <f>IF(COUNTIF($A$2:A2971,A2971)=1,
     VLOOKUP(A2971,Season_Winners!A:B,2,FALSE),
     "")</f>
        <v/>
      </c>
    </row>
    <row r="2972" spans="1:13" x14ac:dyDescent="0.3">
      <c r="A2972" t="s">
        <v>998</v>
      </c>
      <c r="B2972">
        <v>32</v>
      </c>
      <c r="C2972" t="s">
        <v>1117</v>
      </c>
      <c r="D2972" t="str">
        <f t="shared" si="230"/>
        <v>24.04.2021</v>
      </c>
      <c r="E2972" s="1">
        <v>0.58333333333333337</v>
      </c>
      <c r="F2972" t="s">
        <v>31</v>
      </c>
      <c r="G2972" t="s">
        <v>21</v>
      </c>
      <c r="H2972" t="s">
        <v>18</v>
      </c>
      <c r="I2972" t="str">
        <f t="shared" si="231"/>
        <v>1-0</v>
      </c>
      <c r="J2972" t="str">
        <f t="shared" si="232"/>
        <v>1</v>
      </c>
      <c r="K2972" t="str">
        <f t="shared" si="233"/>
        <v>0</v>
      </c>
      <c r="L2972" t="str">
        <f t="shared" si="234"/>
        <v>Elche CF</v>
      </c>
      <c r="M2972" t="str">
        <f>IF(COUNTIF($A$2:A2972,A2972)=1,
     VLOOKUP(A2972,Season_Winners!A:B,2,FALSE),
     "")</f>
        <v/>
      </c>
    </row>
    <row r="2973" spans="1:13" hidden="1" x14ac:dyDescent="0.3">
      <c r="A2973" t="s">
        <v>998</v>
      </c>
      <c r="B2973">
        <v>32</v>
      </c>
      <c r="C2973" t="s">
        <v>1117</v>
      </c>
      <c r="D2973" t="str">
        <f t="shared" si="230"/>
        <v>24.04.2021</v>
      </c>
      <c r="E2973" s="1">
        <v>0.67708333333333337</v>
      </c>
      <c r="F2973" t="s">
        <v>14</v>
      </c>
      <c r="G2973" t="s">
        <v>1000</v>
      </c>
      <c r="H2973" s="2">
        <v>46023</v>
      </c>
      <c r="I2973" s="3" t="str">
        <f t="shared" si="231"/>
        <v/>
      </c>
      <c r="J2973" t="str">
        <f t="shared" si="232"/>
        <v/>
      </c>
      <c r="K2973" t="str">
        <f t="shared" si="233"/>
        <v/>
      </c>
      <c r="L2973" t="str">
        <f t="shared" si="234"/>
        <v/>
      </c>
      <c r="M2973" t="str">
        <f>IF(COUNTIF($A$2:A2973,A2973)=1,
     VLOOKUP(A2973,Season_Winners!A:B,2,FALSE),
     "")</f>
        <v/>
      </c>
    </row>
    <row r="2974" spans="1:13" hidden="1" x14ac:dyDescent="0.3">
      <c r="A2974" t="s">
        <v>998</v>
      </c>
      <c r="B2974">
        <v>32</v>
      </c>
      <c r="C2974" t="s">
        <v>1117</v>
      </c>
      <c r="D2974" t="str">
        <f t="shared" si="230"/>
        <v>24.04.2021</v>
      </c>
      <c r="E2974" s="1">
        <v>0.77083333333333337</v>
      </c>
      <c r="F2974" t="s">
        <v>16</v>
      </c>
      <c r="G2974" t="s">
        <v>464</v>
      </c>
      <c r="H2974" s="2">
        <v>46023</v>
      </c>
      <c r="I2974" s="3" t="str">
        <f t="shared" si="231"/>
        <v/>
      </c>
      <c r="J2974" t="str">
        <f t="shared" si="232"/>
        <v/>
      </c>
      <c r="K2974" t="str">
        <f t="shared" si="233"/>
        <v/>
      </c>
      <c r="L2974" t="str">
        <f t="shared" si="234"/>
        <v/>
      </c>
      <c r="M2974" t="str">
        <f>IF(COUNTIF($A$2:A2974,A2974)=1,
     VLOOKUP(A2974,Season_Winners!A:B,2,FALSE),
     "")</f>
        <v/>
      </c>
    </row>
    <row r="2975" spans="1:13" x14ac:dyDescent="0.3">
      <c r="A2975" t="s">
        <v>998</v>
      </c>
      <c r="B2975">
        <v>32</v>
      </c>
      <c r="C2975" t="s">
        <v>1117</v>
      </c>
      <c r="D2975" t="str">
        <f t="shared" si="230"/>
        <v>24.04.2021</v>
      </c>
      <c r="E2975" s="1">
        <v>0.875</v>
      </c>
      <c r="F2975" t="s">
        <v>25</v>
      </c>
      <c r="G2975" t="s">
        <v>26</v>
      </c>
      <c r="H2975" t="s">
        <v>41</v>
      </c>
      <c r="I2975" t="str">
        <f t="shared" si="231"/>
        <v>0-0</v>
      </c>
      <c r="J2975" t="str">
        <f t="shared" si="232"/>
        <v>0</v>
      </c>
      <c r="K2975" t="str">
        <f t="shared" si="233"/>
        <v>0</v>
      </c>
      <c r="L2975" t="str">
        <f t="shared" si="234"/>
        <v>Draw</v>
      </c>
      <c r="M2975" t="str">
        <f>IF(COUNTIF($A$2:A2975,A2975)=1,
     VLOOKUP(A2975,Season_Winners!A:B,2,FALSE),
     "")</f>
        <v/>
      </c>
    </row>
    <row r="2976" spans="1:13" x14ac:dyDescent="0.3">
      <c r="A2976" t="s">
        <v>998</v>
      </c>
      <c r="B2976">
        <v>32</v>
      </c>
      <c r="C2976" t="s">
        <v>1118</v>
      </c>
      <c r="D2976" t="str">
        <f t="shared" si="230"/>
        <v>25.04.2021</v>
      </c>
      <c r="E2976" s="1">
        <v>0.58333333333333337</v>
      </c>
      <c r="F2976" t="s">
        <v>750</v>
      </c>
      <c r="G2976" t="s">
        <v>11</v>
      </c>
      <c r="H2976" t="s">
        <v>54</v>
      </c>
      <c r="I2976" t="str">
        <f t="shared" si="231"/>
        <v>0-2</v>
      </c>
      <c r="J2976" t="str">
        <f t="shared" si="232"/>
        <v>0</v>
      </c>
      <c r="K2976" t="str">
        <f t="shared" si="233"/>
        <v>2</v>
      </c>
      <c r="L2976" t="str">
        <f t="shared" si="234"/>
        <v>Getafe CF</v>
      </c>
      <c r="M2976" t="str">
        <f>IF(COUNTIF($A$2:A2976,A2976)=1,
     VLOOKUP(A2976,Season_Winners!A:B,2,FALSE),
     "")</f>
        <v/>
      </c>
    </row>
    <row r="2977" spans="1:13" hidden="1" x14ac:dyDescent="0.3">
      <c r="A2977" t="s">
        <v>998</v>
      </c>
      <c r="B2977">
        <v>32</v>
      </c>
      <c r="C2977" t="s">
        <v>1118</v>
      </c>
      <c r="D2977" t="str">
        <f t="shared" si="230"/>
        <v>25.04.2021</v>
      </c>
      <c r="E2977" s="1">
        <v>0.67708333333333337</v>
      </c>
      <c r="F2977" t="s">
        <v>34</v>
      </c>
      <c r="G2977" t="s">
        <v>20</v>
      </c>
      <c r="H2977" s="2">
        <v>46054</v>
      </c>
      <c r="I2977" s="3" t="str">
        <f t="shared" si="231"/>
        <v/>
      </c>
      <c r="J2977" t="str">
        <f t="shared" si="232"/>
        <v/>
      </c>
      <c r="K2977" t="str">
        <f t="shared" si="233"/>
        <v/>
      </c>
      <c r="L2977" t="str">
        <f t="shared" si="234"/>
        <v/>
      </c>
      <c r="M2977" t="str">
        <f>IF(COUNTIF($A$2:A2977,A2977)=1,
     VLOOKUP(A2977,Season_Winners!A:B,2,FALSE),
     "")</f>
        <v/>
      </c>
    </row>
    <row r="2978" spans="1:13" hidden="1" x14ac:dyDescent="0.3">
      <c r="A2978" t="s">
        <v>998</v>
      </c>
      <c r="B2978">
        <v>32</v>
      </c>
      <c r="C2978" t="s">
        <v>1118</v>
      </c>
      <c r="D2978" t="str">
        <f t="shared" si="230"/>
        <v>25.04.2021</v>
      </c>
      <c r="E2978" s="1">
        <v>0.77083333333333337</v>
      </c>
      <c r="F2978" t="s">
        <v>35</v>
      </c>
      <c r="G2978" t="s">
        <v>23</v>
      </c>
      <c r="H2978" s="2">
        <v>46024</v>
      </c>
      <c r="I2978" s="3" t="str">
        <f t="shared" si="231"/>
        <v/>
      </c>
      <c r="J2978" t="str">
        <f t="shared" si="232"/>
        <v/>
      </c>
      <c r="K2978" t="str">
        <f t="shared" si="233"/>
        <v/>
      </c>
      <c r="L2978" t="str">
        <f t="shared" si="234"/>
        <v/>
      </c>
      <c r="M2978" t="str">
        <f>IF(COUNTIF($A$2:A2978,A2978)=1,
     VLOOKUP(A2978,Season_Winners!A:B,2,FALSE),
     "")</f>
        <v/>
      </c>
    </row>
    <row r="2979" spans="1:13" hidden="1" x14ac:dyDescent="0.3">
      <c r="A2979" t="s">
        <v>998</v>
      </c>
      <c r="B2979">
        <v>32</v>
      </c>
      <c r="C2979" t="s">
        <v>1118</v>
      </c>
      <c r="D2979" t="str">
        <f t="shared" si="230"/>
        <v>25.04.2021</v>
      </c>
      <c r="E2979" s="1">
        <v>0.77083333333333337</v>
      </c>
      <c r="F2979" t="s">
        <v>27</v>
      </c>
      <c r="G2979" t="s">
        <v>24</v>
      </c>
      <c r="H2979" s="2">
        <v>46024</v>
      </c>
      <c r="I2979" s="3" t="str">
        <f t="shared" si="231"/>
        <v/>
      </c>
      <c r="J2979" t="str">
        <f t="shared" si="232"/>
        <v/>
      </c>
      <c r="K2979" t="str">
        <f t="shared" si="233"/>
        <v/>
      </c>
      <c r="L2979" t="str">
        <f t="shared" si="234"/>
        <v/>
      </c>
      <c r="M2979" t="str">
        <f>IF(COUNTIF($A$2:A2979,A2979)=1,
     VLOOKUP(A2979,Season_Winners!A:B,2,FALSE),
     "")</f>
        <v/>
      </c>
    </row>
    <row r="2980" spans="1:13" hidden="1" x14ac:dyDescent="0.3">
      <c r="A2980" t="s">
        <v>998</v>
      </c>
      <c r="B2980">
        <v>32</v>
      </c>
      <c r="C2980" t="s">
        <v>1118</v>
      </c>
      <c r="D2980" t="str">
        <f t="shared" si="230"/>
        <v>25.04.2021</v>
      </c>
      <c r="E2980" s="1">
        <v>0.875</v>
      </c>
      <c r="F2980" t="s">
        <v>15</v>
      </c>
      <c r="G2980" t="s">
        <v>28</v>
      </c>
      <c r="H2980" s="2">
        <v>46024</v>
      </c>
      <c r="I2980" s="3" t="str">
        <f t="shared" si="231"/>
        <v/>
      </c>
      <c r="J2980" t="str">
        <f t="shared" si="232"/>
        <v/>
      </c>
      <c r="K2980" t="str">
        <f t="shared" si="233"/>
        <v/>
      </c>
      <c r="L2980" t="str">
        <f t="shared" si="234"/>
        <v/>
      </c>
      <c r="M2980" t="str">
        <f>IF(COUNTIF($A$2:A2980,A2980)=1,
     VLOOKUP(A2980,Season_Winners!A:B,2,FALSE),
     "")</f>
        <v/>
      </c>
    </row>
    <row r="2981" spans="1:13" x14ac:dyDescent="0.3">
      <c r="A2981" t="s">
        <v>998</v>
      </c>
      <c r="B2981">
        <v>32</v>
      </c>
      <c r="C2981" t="s">
        <v>1119</v>
      </c>
      <c r="D2981" t="str">
        <f t="shared" si="230"/>
        <v>26.04.2021</v>
      </c>
      <c r="E2981" s="1">
        <v>0.875</v>
      </c>
      <c r="F2981" t="s">
        <v>187</v>
      </c>
      <c r="G2981" t="s">
        <v>10</v>
      </c>
      <c r="H2981" t="s">
        <v>42</v>
      </c>
      <c r="I2981" t="str">
        <f t="shared" si="231"/>
        <v>0-1</v>
      </c>
      <c r="J2981" t="str">
        <f t="shared" si="232"/>
        <v>0</v>
      </c>
      <c r="K2981" t="str">
        <f t="shared" si="233"/>
        <v>1</v>
      </c>
      <c r="L2981" t="str">
        <f t="shared" si="234"/>
        <v>Real Sociedad</v>
      </c>
      <c r="M2981" t="str">
        <f>IF(COUNTIF($A$2:A2981,A2981)=1,
     VLOOKUP(A2981,Season_Winners!A:B,2,FALSE),
     "")</f>
        <v/>
      </c>
    </row>
    <row r="2982" spans="1:13" x14ac:dyDescent="0.3">
      <c r="A2982" t="s">
        <v>998</v>
      </c>
      <c r="B2982">
        <v>33</v>
      </c>
      <c r="C2982" t="s">
        <v>1120</v>
      </c>
      <c r="D2982" t="str">
        <f t="shared" si="230"/>
        <v>18.04.2021</v>
      </c>
      <c r="E2982" s="1">
        <v>0.58333333333333337</v>
      </c>
      <c r="F2982" t="s">
        <v>23</v>
      </c>
      <c r="G2982" t="s">
        <v>31</v>
      </c>
      <c r="H2982" t="s">
        <v>12</v>
      </c>
      <c r="I2982" t="str">
        <f t="shared" si="231"/>
        <v>2-0</v>
      </c>
      <c r="J2982" t="str">
        <f t="shared" si="232"/>
        <v>2</v>
      </c>
      <c r="K2982" t="str">
        <f t="shared" si="233"/>
        <v>0</v>
      </c>
      <c r="L2982" t="str">
        <f t="shared" si="234"/>
        <v>CA Osasuna</v>
      </c>
      <c r="M2982" t="str">
        <f>IF(COUNTIF($A$2:A2982,A2982)=1,
     VLOOKUP(A2982,Season_Winners!A:B,2,FALSE),
     "")</f>
        <v/>
      </c>
    </row>
    <row r="2983" spans="1:13" hidden="1" x14ac:dyDescent="0.3">
      <c r="A2983" t="s">
        <v>998</v>
      </c>
      <c r="B2983">
        <v>33</v>
      </c>
      <c r="C2983" t="s">
        <v>1120</v>
      </c>
      <c r="D2983" t="str">
        <f t="shared" si="230"/>
        <v>18.04.2021</v>
      </c>
      <c r="E2983" s="1">
        <v>0.58333333333333337</v>
      </c>
      <c r="F2983" t="s">
        <v>10</v>
      </c>
      <c r="G2983" t="s">
        <v>27</v>
      </c>
      <c r="H2983" s="2">
        <v>46054</v>
      </c>
      <c r="I2983" s="3" t="str">
        <f t="shared" si="231"/>
        <v/>
      </c>
      <c r="J2983" t="str">
        <f t="shared" si="232"/>
        <v/>
      </c>
      <c r="K2983" t="str">
        <f t="shared" si="233"/>
        <v/>
      </c>
      <c r="L2983" t="str">
        <f t="shared" si="234"/>
        <v/>
      </c>
      <c r="M2983" t="str">
        <f>IF(COUNTIF($A$2:A2983,A2983)=1,
     VLOOKUP(A2983,Season_Winners!A:B,2,FALSE),
     "")</f>
        <v/>
      </c>
    </row>
    <row r="2984" spans="1:13" x14ac:dyDescent="0.3">
      <c r="A2984" t="s">
        <v>998</v>
      </c>
      <c r="B2984">
        <v>33</v>
      </c>
      <c r="C2984" t="s">
        <v>1120</v>
      </c>
      <c r="D2984" t="str">
        <f t="shared" si="230"/>
        <v>18.04.2021</v>
      </c>
      <c r="E2984" s="1">
        <v>0.67708333333333337</v>
      </c>
      <c r="F2984" t="s">
        <v>464</v>
      </c>
      <c r="G2984" t="s">
        <v>750</v>
      </c>
      <c r="H2984" t="s">
        <v>18</v>
      </c>
      <c r="I2984" t="str">
        <f t="shared" si="231"/>
        <v>1-0</v>
      </c>
      <c r="J2984" t="str">
        <f t="shared" si="232"/>
        <v>1</v>
      </c>
      <c r="K2984" t="str">
        <f t="shared" si="233"/>
        <v>0</v>
      </c>
      <c r="L2984" t="str">
        <f t="shared" si="234"/>
        <v>Deportivo AlavÃ©s</v>
      </c>
      <c r="M2984" t="str">
        <f>IF(COUNTIF($A$2:A2984,A2984)=1,
     VLOOKUP(A2984,Season_Winners!A:B,2,FALSE),
     "")</f>
        <v/>
      </c>
    </row>
    <row r="2985" spans="1:13" x14ac:dyDescent="0.3">
      <c r="A2985" t="s">
        <v>998</v>
      </c>
      <c r="B2985">
        <v>33</v>
      </c>
      <c r="C2985" t="s">
        <v>1120</v>
      </c>
      <c r="D2985" t="str">
        <f t="shared" si="230"/>
        <v>18.04.2021</v>
      </c>
      <c r="E2985" s="1">
        <v>0.67708333333333337</v>
      </c>
      <c r="F2985" t="s">
        <v>1425</v>
      </c>
      <c r="G2985" t="s">
        <v>187</v>
      </c>
      <c r="H2985" t="s">
        <v>40</v>
      </c>
      <c r="I2985" t="str">
        <f t="shared" si="231"/>
        <v>5-0</v>
      </c>
      <c r="J2985" t="str">
        <f t="shared" si="232"/>
        <v>5</v>
      </c>
      <c r="K2985" t="str">
        <f t="shared" si="233"/>
        <v>0</v>
      </c>
      <c r="L2985" t="str">
        <f t="shared" si="234"/>
        <v>Atlético de Madrid</v>
      </c>
      <c r="M2985" t="str">
        <f>IF(COUNTIF($A$2:A2985,A2985)=1,
     VLOOKUP(A2985,Season_Winners!A:B,2,FALSE),
     "")</f>
        <v/>
      </c>
    </row>
    <row r="2986" spans="1:13" hidden="1" x14ac:dyDescent="0.3">
      <c r="A2986" t="s">
        <v>998</v>
      </c>
      <c r="B2986">
        <v>33</v>
      </c>
      <c r="C2986" t="s">
        <v>1120</v>
      </c>
      <c r="D2986" t="str">
        <f t="shared" si="230"/>
        <v>18.04.2021</v>
      </c>
      <c r="E2986" s="1">
        <v>0.77083333333333337</v>
      </c>
      <c r="F2986" t="s">
        <v>26</v>
      </c>
      <c r="G2986" t="s">
        <v>16</v>
      </c>
      <c r="H2986" s="2">
        <v>46055</v>
      </c>
      <c r="I2986" s="3" t="str">
        <f t="shared" si="231"/>
        <v/>
      </c>
      <c r="J2986" t="str">
        <f t="shared" si="232"/>
        <v/>
      </c>
      <c r="K2986" t="str">
        <f t="shared" si="233"/>
        <v/>
      </c>
      <c r="L2986" t="str">
        <f t="shared" si="234"/>
        <v/>
      </c>
      <c r="M2986" t="str">
        <f>IF(COUNTIF($A$2:A2986,A2986)=1,
     VLOOKUP(A2986,Season_Winners!A:B,2,FALSE),
     "")</f>
        <v/>
      </c>
    </row>
    <row r="2987" spans="1:13" x14ac:dyDescent="0.3">
      <c r="A2987" t="s">
        <v>998</v>
      </c>
      <c r="B2987">
        <v>33</v>
      </c>
      <c r="C2987" t="s">
        <v>1120</v>
      </c>
      <c r="D2987" t="str">
        <f t="shared" si="230"/>
        <v>18.04.2021</v>
      </c>
      <c r="E2987" s="1">
        <v>0.77083333333333337</v>
      </c>
      <c r="F2987" t="s">
        <v>1000</v>
      </c>
      <c r="G2987" t="s">
        <v>35</v>
      </c>
      <c r="H2987" t="s">
        <v>41</v>
      </c>
      <c r="I2987" t="str">
        <f t="shared" si="231"/>
        <v>0-0</v>
      </c>
      <c r="J2987" t="str">
        <f t="shared" si="232"/>
        <v>0</v>
      </c>
      <c r="K2987" t="str">
        <f t="shared" si="233"/>
        <v>0</v>
      </c>
      <c r="L2987" t="str">
        <f t="shared" si="234"/>
        <v>Draw</v>
      </c>
      <c r="M2987" t="str">
        <f>IF(COUNTIF($A$2:A2987,A2987)=1,
     VLOOKUP(A2987,Season_Winners!A:B,2,FALSE),
     "")</f>
        <v/>
      </c>
    </row>
    <row r="2988" spans="1:13" x14ac:dyDescent="0.3">
      <c r="A2988" t="s">
        <v>998</v>
      </c>
      <c r="B2988">
        <v>33</v>
      </c>
      <c r="C2988" t="s">
        <v>1120</v>
      </c>
      <c r="D2988" t="str">
        <f t="shared" si="230"/>
        <v>18.04.2021</v>
      </c>
      <c r="E2988" s="1">
        <v>0.875</v>
      </c>
      <c r="F2988" t="s">
        <v>11</v>
      </c>
      <c r="G2988" t="s">
        <v>25</v>
      </c>
      <c r="H2988" t="s">
        <v>41</v>
      </c>
      <c r="I2988" t="str">
        <f t="shared" si="231"/>
        <v>0-0</v>
      </c>
      <c r="J2988" t="str">
        <f t="shared" si="232"/>
        <v>0</v>
      </c>
      <c r="K2988" t="str">
        <f t="shared" si="233"/>
        <v>0</v>
      </c>
      <c r="L2988" t="str">
        <f t="shared" si="234"/>
        <v>Draw</v>
      </c>
      <c r="M2988" t="str">
        <f>IF(COUNTIF($A$2:A2988,A2988)=1,
     VLOOKUP(A2988,Season_Winners!A:B,2,FALSE),
     "")</f>
        <v/>
      </c>
    </row>
    <row r="2989" spans="1:13" hidden="1" x14ac:dyDescent="0.3">
      <c r="A2989" t="s">
        <v>998</v>
      </c>
      <c r="B2989">
        <v>33</v>
      </c>
      <c r="C2989" t="s">
        <v>1120</v>
      </c>
      <c r="D2989" t="str">
        <f t="shared" si="230"/>
        <v>18.04.2021</v>
      </c>
      <c r="E2989" s="1">
        <v>0.875</v>
      </c>
      <c r="F2989" t="s">
        <v>21</v>
      </c>
      <c r="G2989" t="s">
        <v>34</v>
      </c>
      <c r="H2989" s="2">
        <v>46143</v>
      </c>
      <c r="I2989" s="3" t="str">
        <f t="shared" si="231"/>
        <v/>
      </c>
      <c r="J2989" t="str">
        <f t="shared" si="232"/>
        <v/>
      </c>
      <c r="K2989" t="str">
        <f t="shared" si="233"/>
        <v/>
      </c>
      <c r="L2989" t="str">
        <f t="shared" si="234"/>
        <v/>
      </c>
      <c r="M2989" t="str">
        <f>IF(COUNTIF($A$2:A2989,A2989)=1,
     VLOOKUP(A2989,Season_Winners!A:B,2,FALSE),
     "")</f>
        <v/>
      </c>
    </row>
    <row r="2990" spans="1:13" hidden="1" x14ac:dyDescent="0.3">
      <c r="A2990" t="s">
        <v>998</v>
      </c>
      <c r="B2990">
        <v>33</v>
      </c>
      <c r="C2990" t="s">
        <v>1121</v>
      </c>
      <c r="D2990" t="str">
        <f t="shared" si="230"/>
        <v>28.04.2021</v>
      </c>
      <c r="E2990" s="1">
        <v>0.79166666666666663</v>
      </c>
      <c r="F2990" t="s">
        <v>15</v>
      </c>
      <c r="G2990" t="s">
        <v>14</v>
      </c>
      <c r="H2990" s="2">
        <v>46055</v>
      </c>
      <c r="I2990" s="3" t="str">
        <f t="shared" si="231"/>
        <v/>
      </c>
      <c r="J2990" t="str">
        <f t="shared" si="232"/>
        <v/>
      </c>
      <c r="K2990" t="str">
        <f t="shared" si="233"/>
        <v/>
      </c>
      <c r="L2990" t="str">
        <f t="shared" si="234"/>
        <v/>
      </c>
      <c r="M2990" t="str">
        <f>IF(COUNTIF($A$2:A2990,A2990)=1,
     VLOOKUP(A2990,Season_Winners!A:B,2,FALSE),
     "")</f>
        <v/>
      </c>
    </row>
    <row r="2991" spans="1:13" hidden="1" x14ac:dyDescent="0.3">
      <c r="A2991" t="s">
        <v>998</v>
      </c>
      <c r="B2991">
        <v>33</v>
      </c>
      <c r="C2991" t="s">
        <v>1122</v>
      </c>
      <c r="D2991" t="str">
        <f t="shared" si="230"/>
        <v>29.04.2021</v>
      </c>
      <c r="E2991" s="1">
        <v>0.79166666666666663</v>
      </c>
      <c r="F2991" t="s">
        <v>20</v>
      </c>
      <c r="G2991" t="s">
        <v>24</v>
      </c>
      <c r="H2991" s="2">
        <v>46054</v>
      </c>
      <c r="I2991" s="3" t="str">
        <f t="shared" si="231"/>
        <v/>
      </c>
      <c r="J2991" t="str">
        <f t="shared" si="232"/>
        <v/>
      </c>
      <c r="K2991" t="str">
        <f t="shared" si="233"/>
        <v/>
      </c>
      <c r="L2991" t="str">
        <f t="shared" si="234"/>
        <v/>
      </c>
      <c r="M2991" t="str">
        <f>IF(COUNTIF($A$2:A2991,A2991)=1,
     VLOOKUP(A2991,Season_Winners!A:B,2,FALSE),
     "")</f>
        <v/>
      </c>
    </row>
    <row r="2992" spans="1:13" x14ac:dyDescent="0.3">
      <c r="A2992" t="s">
        <v>998</v>
      </c>
      <c r="B2992">
        <v>34</v>
      </c>
      <c r="C2992" t="s">
        <v>1123</v>
      </c>
      <c r="D2992" t="str">
        <f t="shared" si="230"/>
        <v>30.04.2021</v>
      </c>
      <c r="E2992" s="1">
        <v>0.875</v>
      </c>
      <c r="F2992" t="s">
        <v>35</v>
      </c>
      <c r="G2992" t="s">
        <v>21</v>
      </c>
      <c r="H2992" t="s">
        <v>12</v>
      </c>
      <c r="I2992" t="str">
        <f t="shared" si="231"/>
        <v>2-0</v>
      </c>
      <c r="J2992" t="str">
        <f t="shared" si="232"/>
        <v>2</v>
      </c>
      <c r="K2992" t="str">
        <f t="shared" si="233"/>
        <v>0</v>
      </c>
      <c r="L2992" t="str">
        <f t="shared" si="234"/>
        <v>RC Celta</v>
      </c>
      <c r="M2992" t="str">
        <f>IF(COUNTIF($A$2:A2992,A2992)=1,
     VLOOKUP(A2992,Season_Winners!A:B,2,FALSE),
     "")</f>
        <v/>
      </c>
    </row>
    <row r="2993" spans="1:13" x14ac:dyDescent="0.3">
      <c r="A2993" t="s">
        <v>998</v>
      </c>
      <c r="B2993">
        <v>34</v>
      </c>
      <c r="C2993" t="s">
        <v>1124</v>
      </c>
      <c r="D2993" t="str">
        <f t="shared" si="230"/>
        <v>01.05.2021</v>
      </c>
      <c r="E2993" s="1">
        <v>0.58333333333333337</v>
      </c>
      <c r="F2993" t="s">
        <v>187</v>
      </c>
      <c r="G2993" t="s">
        <v>464</v>
      </c>
      <c r="H2993" t="s">
        <v>32</v>
      </c>
      <c r="I2993" t="str">
        <f t="shared" si="231"/>
        <v>3-0</v>
      </c>
      <c r="J2993" t="str">
        <f t="shared" si="232"/>
        <v>3</v>
      </c>
      <c r="K2993" t="str">
        <f t="shared" si="233"/>
        <v>0</v>
      </c>
      <c r="L2993" t="str">
        <f t="shared" si="234"/>
        <v>SD Eibar</v>
      </c>
      <c r="M2993" t="str">
        <f>IF(COUNTIF($A$2:A2993,A2993)=1,
     VLOOKUP(A2993,Season_Winners!A:B,2,FALSE),
     "")</f>
        <v/>
      </c>
    </row>
    <row r="2994" spans="1:13" x14ac:dyDescent="0.3">
      <c r="A2994" t="s">
        <v>998</v>
      </c>
      <c r="B2994">
        <v>34</v>
      </c>
      <c r="C2994" t="s">
        <v>1124</v>
      </c>
      <c r="D2994" t="str">
        <f t="shared" si="230"/>
        <v>01.05.2021</v>
      </c>
      <c r="E2994" s="1">
        <v>0.67708333333333337</v>
      </c>
      <c r="F2994" t="s">
        <v>31</v>
      </c>
      <c r="G2994" t="s">
        <v>1425</v>
      </c>
      <c r="H2994" t="s">
        <v>42</v>
      </c>
      <c r="I2994" t="str">
        <f t="shared" si="231"/>
        <v>0-1</v>
      </c>
      <c r="J2994" t="str">
        <f t="shared" si="232"/>
        <v>0</v>
      </c>
      <c r="K2994" t="str">
        <f t="shared" si="233"/>
        <v>1</v>
      </c>
      <c r="L2994" t="str">
        <f t="shared" si="234"/>
        <v>Atlético de Madrid</v>
      </c>
      <c r="M2994" t="str">
        <f>IF(COUNTIF($A$2:A2994,A2994)=1,
     VLOOKUP(A2994,Season_Winners!A:B,2,FALSE),
     "")</f>
        <v/>
      </c>
    </row>
    <row r="2995" spans="1:13" x14ac:dyDescent="0.3">
      <c r="A2995" t="s">
        <v>998</v>
      </c>
      <c r="B2995">
        <v>34</v>
      </c>
      <c r="C2995" t="s">
        <v>1124</v>
      </c>
      <c r="D2995" t="str">
        <f t="shared" si="230"/>
        <v>01.05.2021</v>
      </c>
      <c r="E2995" s="1">
        <v>0.77083333333333337</v>
      </c>
      <c r="F2995" t="s">
        <v>750</v>
      </c>
      <c r="G2995" t="s">
        <v>10</v>
      </c>
      <c r="H2995" t="s">
        <v>18</v>
      </c>
      <c r="I2995" t="str">
        <f t="shared" si="231"/>
        <v>1-0</v>
      </c>
      <c r="J2995" t="str">
        <f t="shared" si="232"/>
        <v>1</v>
      </c>
      <c r="K2995" t="str">
        <f t="shared" si="233"/>
        <v>0</v>
      </c>
      <c r="L2995" t="str">
        <f t="shared" si="234"/>
        <v>SD Huesca</v>
      </c>
      <c r="M2995" t="str">
        <f>IF(COUNTIF($A$2:A2995,A2995)=1,
     VLOOKUP(A2995,Season_Winners!A:B,2,FALSE),
     "")</f>
        <v/>
      </c>
    </row>
    <row r="2996" spans="1:13" x14ac:dyDescent="0.3">
      <c r="A2996" t="s">
        <v>998</v>
      </c>
      <c r="B2996">
        <v>34</v>
      </c>
      <c r="C2996" t="s">
        <v>1124</v>
      </c>
      <c r="D2996" t="str">
        <f t="shared" si="230"/>
        <v>01.05.2021</v>
      </c>
      <c r="E2996" s="1">
        <v>0.875</v>
      </c>
      <c r="F2996" t="s">
        <v>25</v>
      </c>
      <c r="G2996" t="s">
        <v>23</v>
      </c>
      <c r="H2996" t="s">
        <v>12</v>
      </c>
      <c r="I2996" t="str">
        <f t="shared" si="231"/>
        <v>2-0</v>
      </c>
      <c r="J2996" t="str">
        <f t="shared" si="232"/>
        <v>2</v>
      </c>
      <c r="K2996" t="str">
        <f t="shared" si="233"/>
        <v>0</v>
      </c>
      <c r="L2996" t="str">
        <f t="shared" si="234"/>
        <v>Real Madrid</v>
      </c>
      <c r="M2996" t="str">
        <f>IF(COUNTIF($A$2:A2996,A2996)=1,
     VLOOKUP(A2996,Season_Winners!A:B,2,FALSE),
     "")</f>
        <v/>
      </c>
    </row>
    <row r="2997" spans="1:13" hidden="1" x14ac:dyDescent="0.3">
      <c r="A2997" t="s">
        <v>998</v>
      </c>
      <c r="B2997">
        <v>34</v>
      </c>
      <c r="C2997" t="s">
        <v>1125</v>
      </c>
      <c r="D2997" t="str">
        <f t="shared" si="230"/>
        <v>02.05.2021</v>
      </c>
      <c r="E2997" s="1">
        <v>0.58333333333333337</v>
      </c>
      <c r="F2997" t="s">
        <v>14</v>
      </c>
      <c r="G2997" t="s">
        <v>26</v>
      </c>
      <c r="H2997" s="2">
        <v>46023</v>
      </c>
      <c r="I2997" s="3" t="str">
        <f t="shared" si="231"/>
        <v/>
      </c>
      <c r="J2997" t="str">
        <f t="shared" si="232"/>
        <v/>
      </c>
      <c r="K2997" t="str">
        <f t="shared" si="233"/>
        <v/>
      </c>
      <c r="L2997" t="str">
        <f t="shared" si="234"/>
        <v/>
      </c>
      <c r="M2997" t="str">
        <f>IF(COUNTIF($A$2:A2997,A2997)=1,
     VLOOKUP(A2997,Season_Winners!A:B,2,FALSE),
     "")</f>
        <v/>
      </c>
    </row>
    <row r="2998" spans="1:13" x14ac:dyDescent="0.3">
      <c r="A2998" t="s">
        <v>998</v>
      </c>
      <c r="B2998">
        <v>34</v>
      </c>
      <c r="C2998" t="s">
        <v>1125</v>
      </c>
      <c r="D2998" t="str">
        <f t="shared" si="230"/>
        <v>02.05.2021</v>
      </c>
      <c r="E2998" s="1">
        <v>0.67708333333333337</v>
      </c>
      <c r="F2998" t="s">
        <v>34</v>
      </c>
      <c r="G2998" t="s">
        <v>11</v>
      </c>
      <c r="H2998" t="s">
        <v>18</v>
      </c>
      <c r="I2998" t="str">
        <f t="shared" si="231"/>
        <v>1-0</v>
      </c>
      <c r="J2998" t="str">
        <f t="shared" si="232"/>
        <v>1</v>
      </c>
      <c r="K2998" t="str">
        <f t="shared" si="233"/>
        <v>0</v>
      </c>
      <c r="L2998" t="str">
        <f t="shared" si="234"/>
        <v>Villarreal CF</v>
      </c>
      <c r="M2998" t="str">
        <f>IF(COUNTIF($A$2:A2998,A2998)=1,
     VLOOKUP(A2998,Season_Winners!A:B,2,FALSE),
     "")</f>
        <v/>
      </c>
    </row>
    <row r="2999" spans="1:13" x14ac:dyDescent="0.3">
      <c r="A2999" t="s">
        <v>998</v>
      </c>
      <c r="B2999">
        <v>34</v>
      </c>
      <c r="C2999" t="s">
        <v>1125</v>
      </c>
      <c r="D2999" t="str">
        <f t="shared" si="230"/>
        <v>02.05.2021</v>
      </c>
      <c r="E2999" s="1">
        <v>0.77083333333333337</v>
      </c>
      <c r="F2999" t="s">
        <v>24</v>
      </c>
      <c r="G2999" t="s">
        <v>1000</v>
      </c>
      <c r="H2999" t="s">
        <v>42</v>
      </c>
      <c r="I2999" t="str">
        <f t="shared" si="231"/>
        <v>0-1</v>
      </c>
      <c r="J2999" t="str">
        <f t="shared" si="232"/>
        <v>0</v>
      </c>
      <c r="K2999" t="str">
        <f t="shared" si="233"/>
        <v>1</v>
      </c>
      <c r="L2999" t="str">
        <f t="shared" si="234"/>
        <v>CÃ¡diz CF</v>
      </c>
      <c r="M2999" t="str">
        <f>IF(COUNTIF($A$2:A2999,A2999)=1,
     VLOOKUP(A2999,Season_Winners!A:B,2,FALSE),
     "")</f>
        <v/>
      </c>
    </row>
    <row r="3000" spans="1:13" hidden="1" x14ac:dyDescent="0.3">
      <c r="A3000" t="s">
        <v>998</v>
      </c>
      <c r="B3000">
        <v>34</v>
      </c>
      <c r="C3000" t="s">
        <v>1125</v>
      </c>
      <c r="D3000" t="str">
        <f t="shared" si="230"/>
        <v>02.05.2021</v>
      </c>
      <c r="E3000" s="1">
        <v>0.875</v>
      </c>
      <c r="F3000" t="s">
        <v>16</v>
      </c>
      <c r="G3000" t="s">
        <v>20</v>
      </c>
      <c r="H3000" s="2">
        <v>46083</v>
      </c>
      <c r="I3000" s="3" t="str">
        <f t="shared" si="231"/>
        <v/>
      </c>
      <c r="J3000" t="str">
        <f t="shared" si="232"/>
        <v/>
      </c>
      <c r="K3000" t="str">
        <f t="shared" si="233"/>
        <v/>
      </c>
      <c r="L3000" t="str">
        <f t="shared" si="234"/>
        <v/>
      </c>
      <c r="M3000" t="str">
        <f>IF(COUNTIF($A$2:A3000,A3000)=1,
     VLOOKUP(A3000,Season_Winners!A:B,2,FALSE),
     "")</f>
        <v/>
      </c>
    </row>
    <row r="3001" spans="1:13" x14ac:dyDescent="0.3">
      <c r="A3001" t="s">
        <v>998</v>
      </c>
      <c r="B3001">
        <v>34</v>
      </c>
      <c r="C3001" t="s">
        <v>1126</v>
      </c>
      <c r="D3001" t="str">
        <f t="shared" si="230"/>
        <v>03.05.2021</v>
      </c>
      <c r="E3001" s="1">
        <v>0.875</v>
      </c>
      <c r="F3001" t="s">
        <v>27</v>
      </c>
      <c r="G3001" t="s">
        <v>15</v>
      </c>
      <c r="H3001" t="s">
        <v>42</v>
      </c>
      <c r="I3001" t="str">
        <f t="shared" si="231"/>
        <v>0-1</v>
      </c>
      <c r="J3001" t="str">
        <f t="shared" si="232"/>
        <v>0</v>
      </c>
      <c r="K3001" t="str">
        <f t="shared" si="233"/>
        <v>1</v>
      </c>
      <c r="L3001" t="str">
        <f t="shared" si="234"/>
        <v>Athletic Club</v>
      </c>
      <c r="M3001" t="str">
        <f>IF(COUNTIF($A$2:A3001,A3001)=1,
     VLOOKUP(A3001,Season_Winners!A:B,2,FALSE),
     "")</f>
        <v/>
      </c>
    </row>
    <row r="3002" spans="1:13" x14ac:dyDescent="0.3">
      <c r="A3002" t="s">
        <v>998</v>
      </c>
      <c r="B3002">
        <v>35</v>
      </c>
      <c r="C3002" t="s">
        <v>1127</v>
      </c>
      <c r="D3002" t="str">
        <f t="shared" si="230"/>
        <v>07.05.2021</v>
      </c>
      <c r="E3002" s="1">
        <v>0.875</v>
      </c>
      <c r="F3002" t="s">
        <v>10</v>
      </c>
      <c r="G3002" t="s">
        <v>31</v>
      </c>
      <c r="H3002" t="s">
        <v>12</v>
      </c>
      <c r="I3002" t="str">
        <f t="shared" si="231"/>
        <v>2-0</v>
      </c>
      <c r="J3002" t="str">
        <f t="shared" si="232"/>
        <v>2</v>
      </c>
      <c r="K3002" t="str">
        <f t="shared" si="233"/>
        <v>0</v>
      </c>
      <c r="L3002" t="str">
        <f t="shared" si="234"/>
        <v>Real Sociedad</v>
      </c>
      <c r="M3002" t="str">
        <f>IF(COUNTIF($A$2:A3002,A3002)=1,
     VLOOKUP(A3002,Season_Winners!A:B,2,FALSE),
     "")</f>
        <v/>
      </c>
    </row>
    <row r="3003" spans="1:13" hidden="1" x14ac:dyDescent="0.3">
      <c r="A3003" t="s">
        <v>998</v>
      </c>
      <c r="B3003">
        <v>35</v>
      </c>
      <c r="C3003" t="s">
        <v>1128</v>
      </c>
      <c r="D3003" t="str">
        <f t="shared" si="230"/>
        <v>08.05.2021</v>
      </c>
      <c r="E3003" s="1">
        <v>0.58333333333333337</v>
      </c>
      <c r="F3003" t="s">
        <v>464</v>
      </c>
      <c r="G3003" t="s">
        <v>21</v>
      </c>
      <c r="H3003" s="2">
        <v>46055</v>
      </c>
      <c r="I3003" s="3" t="str">
        <f t="shared" si="231"/>
        <v/>
      </c>
      <c r="J3003" t="str">
        <f t="shared" si="232"/>
        <v/>
      </c>
      <c r="K3003" t="str">
        <f t="shared" si="233"/>
        <v/>
      </c>
      <c r="L3003" t="str">
        <f t="shared" si="234"/>
        <v/>
      </c>
      <c r="M3003" t="str">
        <f>IF(COUNTIF($A$2:A3003,A3003)=1,
     VLOOKUP(A3003,Season_Winners!A:B,2,FALSE),
     "")</f>
        <v/>
      </c>
    </row>
    <row r="3004" spans="1:13" x14ac:dyDescent="0.3">
      <c r="A3004" t="s">
        <v>998</v>
      </c>
      <c r="B3004">
        <v>35</v>
      </c>
      <c r="C3004" t="s">
        <v>1128</v>
      </c>
      <c r="D3004" t="str">
        <f t="shared" si="230"/>
        <v>08.05.2021</v>
      </c>
      <c r="E3004" s="1">
        <v>0.67708333333333337</v>
      </c>
      <c r="F3004" t="s">
        <v>20</v>
      </c>
      <c r="G3004" t="s">
        <v>1425</v>
      </c>
      <c r="H3004" t="s">
        <v>41</v>
      </c>
      <c r="I3004" t="str">
        <f t="shared" si="231"/>
        <v>0-0</v>
      </c>
      <c r="J3004" t="str">
        <f t="shared" si="232"/>
        <v>0</v>
      </c>
      <c r="K3004" t="str">
        <f t="shared" si="233"/>
        <v>0</v>
      </c>
      <c r="L3004" t="str">
        <f t="shared" si="234"/>
        <v>Draw</v>
      </c>
      <c r="M3004" t="str">
        <f>IF(COUNTIF($A$2:A3004,A3004)=1,
     VLOOKUP(A3004,Season_Winners!A:B,2,FALSE),
     "")</f>
        <v/>
      </c>
    </row>
    <row r="3005" spans="1:13" hidden="1" x14ac:dyDescent="0.3">
      <c r="A3005" t="s">
        <v>998</v>
      </c>
      <c r="B3005">
        <v>35</v>
      </c>
      <c r="C3005" t="s">
        <v>1128</v>
      </c>
      <c r="D3005" t="str">
        <f t="shared" si="230"/>
        <v>08.05.2021</v>
      </c>
      <c r="E3005" s="1">
        <v>0.77083333333333337</v>
      </c>
      <c r="F3005" t="s">
        <v>1000</v>
      </c>
      <c r="G3005" t="s">
        <v>750</v>
      </c>
      <c r="H3005" s="2">
        <v>46024</v>
      </c>
      <c r="I3005" s="3" t="str">
        <f t="shared" si="231"/>
        <v/>
      </c>
      <c r="J3005" t="str">
        <f t="shared" si="232"/>
        <v/>
      </c>
      <c r="K3005" t="str">
        <f t="shared" si="233"/>
        <v/>
      </c>
      <c r="L3005" t="str">
        <f t="shared" si="234"/>
        <v/>
      </c>
      <c r="M3005" t="str">
        <f>IF(COUNTIF($A$2:A3005,A3005)=1,
     VLOOKUP(A3005,Season_Winners!A:B,2,FALSE),
     "")</f>
        <v/>
      </c>
    </row>
    <row r="3006" spans="1:13" hidden="1" x14ac:dyDescent="0.3">
      <c r="A3006" t="s">
        <v>998</v>
      </c>
      <c r="B3006">
        <v>35</v>
      </c>
      <c r="C3006" t="s">
        <v>1128</v>
      </c>
      <c r="D3006" t="str">
        <f t="shared" si="230"/>
        <v>08.05.2021</v>
      </c>
      <c r="E3006" s="1">
        <v>0.875</v>
      </c>
      <c r="F3006" t="s">
        <v>15</v>
      </c>
      <c r="G3006" t="s">
        <v>23</v>
      </c>
      <c r="H3006" s="2">
        <v>46055</v>
      </c>
      <c r="I3006" s="3" t="str">
        <f t="shared" si="231"/>
        <v/>
      </c>
      <c r="J3006" t="str">
        <f t="shared" si="232"/>
        <v/>
      </c>
      <c r="K3006" t="str">
        <f t="shared" si="233"/>
        <v/>
      </c>
      <c r="L3006" t="str">
        <f t="shared" si="234"/>
        <v/>
      </c>
      <c r="M3006" t="str">
        <f>IF(COUNTIF($A$2:A3006,A3006)=1,
     VLOOKUP(A3006,Season_Winners!A:B,2,FALSE),
     "")</f>
        <v/>
      </c>
    </row>
    <row r="3007" spans="1:13" x14ac:dyDescent="0.3">
      <c r="A3007" t="s">
        <v>998</v>
      </c>
      <c r="B3007">
        <v>35</v>
      </c>
      <c r="C3007" t="s">
        <v>1129</v>
      </c>
      <c r="D3007" t="str">
        <f t="shared" si="230"/>
        <v>09.05.2021</v>
      </c>
      <c r="E3007" s="1">
        <v>0.58333333333333337</v>
      </c>
      <c r="F3007" t="s">
        <v>11</v>
      </c>
      <c r="G3007" t="s">
        <v>187</v>
      </c>
      <c r="H3007" t="s">
        <v>42</v>
      </c>
      <c r="I3007" t="str">
        <f t="shared" si="231"/>
        <v>0-1</v>
      </c>
      <c r="J3007" t="str">
        <f t="shared" si="232"/>
        <v>0</v>
      </c>
      <c r="K3007" t="str">
        <f t="shared" si="233"/>
        <v>1</v>
      </c>
      <c r="L3007" t="str">
        <f t="shared" si="234"/>
        <v>SD Eibar</v>
      </c>
      <c r="M3007" t="str">
        <f>IF(COUNTIF($A$2:A3007,A3007)=1,
     VLOOKUP(A3007,Season_Winners!A:B,2,FALSE),
     "")</f>
        <v/>
      </c>
    </row>
    <row r="3008" spans="1:13" x14ac:dyDescent="0.3">
      <c r="A3008" t="s">
        <v>998</v>
      </c>
      <c r="B3008">
        <v>35</v>
      </c>
      <c r="C3008" t="s">
        <v>1129</v>
      </c>
      <c r="D3008" t="str">
        <f t="shared" si="230"/>
        <v>09.05.2021</v>
      </c>
      <c r="E3008" s="1">
        <v>0.67708333333333337</v>
      </c>
      <c r="F3008" t="s">
        <v>16</v>
      </c>
      <c r="G3008" t="s">
        <v>14</v>
      </c>
      <c r="H3008" t="s">
        <v>32</v>
      </c>
      <c r="I3008" t="str">
        <f t="shared" si="231"/>
        <v>3-0</v>
      </c>
      <c r="J3008" t="str">
        <f t="shared" si="232"/>
        <v>3</v>
      </c>
      <c r="K3008" t="str">
        <f t="shared" si="233"/>
        <v>0</v>
      </c>
      <c r="L3008" t="str">
        <f t="shared" si="234"/>
        <v>Valencia CF</v>
      </c>
      <c r="M3008" t="str">
        <f>IF(COUNTIF($A$2:A3008,A3008)=1,
     VLOOKUP(A3008,Season_Winners!A:B,2,FALSE),
     "")</f>
        <v/>
      </c>
    </row>
    <row r="3009" spans="1:13" hidden="1" x14ac:dyDescent="0.3">
      <c r="A3009" t="s">
        <v>998</v>
      </c>
      <c r="B3009">
        <v>35</v>
      </c>
      <c r="C3009" t="s">
        <v>1129</v>
      </c>
      <c r="D3009" t="str">
        <f t="shared" si="230"/>
        <v>09.05.2021</v>
      </c>
      <c r="E3009" s="1">
        <v>0.77083333333333337</v>
      </c>
      <c r="F3009" t="s">
        <v>34</v>
      </c>
      <c r="G3009" t="s">
        <v>35</v>
      </c>
      <c r="H3009" s="2">
        <v>46114</v>
      </c>
      <c r="I3009" s="3" t="str">
        <f t="shared" si="231"/>
        <v/>
      </c>
      <c r="J3009" t="str">
        <f t="shared" si="232"/>
        <v/>
      </c>
      <c r="K3009" t="str">
        <f t="shared" si="233"/>
        <v/>
      </c>
      <c r="L3009" t="str">
        <f t="shared" si="234"/>
        <v/>
      </c>
      <c r="M3009" t="str">
        <f>IF(COUNTIF($A$2:A3009,A3009)=1,
     VLOOKUP(A3009,Season_Winners!A:B,2,FALSE),
     "")</f>
        <v/>
      </c>
    </row>
    <row r="3010" spans="1:13" hidden="1" x14ac:dyDescent="0.3">
      <c r="A3010" t="s">
        <v>998</v>
      </c>
      <c r="B3010">
        <v>35</v>
      </c>
      <c r="C3010" t="s">
        <v>1129</v>
      </c>
      <c r="D3010" t="str">
        <f t="shared" ref="D3010:D3073" si="235">RIGHT(C3010,10)</f>
        <v>09.05.2021</v>
      </c>
      <c r="E3010" s="1">
        <v>0.875</v>
      </c>
      <c r="F3010" t="s">
        <v>25</v>
      </c>
      <c r="G3010" t="s">
        <v>27</v>
      </c>
      <c r="H3010" s="2">
        <v>46055</v>
      </c>
      <c r="I3010" s="3" t="str">
        <f t="shared" ref="I3010:I3073" si="236">IF(ISNUMBER(SEARCH("-",H3010)),H3010,"")</f>
        <v/>
      </c>
      <c r="J3010" t="str">
        <f t="shared" ref="J3010:J3073" si="237">IF(I3010="","",LEFT(I3010,FIND("-",I3010)-1))</f>
        <v/>
      </c>
      <c r="K3010" t="str">
        <f t="shared" ref="K3010:K3073" si="238">IF(I3010="","",RIGHT(I3010,LEN(I3010)-FIND("-",I3010)))</f>
        <v/>
      </c>
      <c r="L3010" t="str">
        <f t="shared" ref="L3010:L3073" si="239">IF(I3010="","",IF(J3010&gt;K3010,F3010,IF(K3010&gt;J3010,G3010,"Draw")))</f>
        <v/>
      </c>
      <c r="M3010" t="str">
        <f>IF(COUNTIF($A$2:A3010,A3010)=1,
     VLOOKUP(A3010,Season_Winners!A:B,2,FALSE),
     "")</f>
        <v/>
      </c>
    </row>
    <row r="3011" spans="1:13" hidden="1" x14ac:dyDescent="0.3">
      <c r="A3011" t="s">
        <v>998</v>
      </c>
      <c r="B3011">
        <v>35</v>
      </c>
      <c r="C3011" t="s">
        <v>1130</v>
      </c>
      <c r="D3011" t="str">
        <f t="shared" si="235"/>
        <v>10.05.2021</v>
      </c>
      <c r="E3011" s="1">
        <v>0.875</v>
      </c>
      <c r="F3011" t="s">
        <v>26</v>
      </c>
      <c r="G3011" t="s">
        <v>24</v>
      </c>
      <c r="H3011" s="2">
        <v>46024</v>
      </c>
      <c r="I3011" s="3" t="str">
        <f t="shared" si="236"/>
        <v/>
      </c>
      <c r="J3011" t="str">
        <f t="shared" si="237"/>
        <v/>
      </c>
      <c r="K3011" t="str">
        <f t="shared" si="238"/>
        <v/>
      </c>
      <c r="L3011" t="str">
        <f t="shared" si="239"/>
        <v/>
      </c>
      <c r="M3011" t="str">
        <f>IF(COUNTIF($A$2:A3011,A3011)=1,
     VLOOKUP(A3011,Season_Winners!A:B,2,FALSE),
     "")</f>
        <v/>
      </c>
    </row>
    <row r="3012" spans="1:13" hidden="1" x14ac:dyDescent="0.3">
      <c r="A3012" t="s">
        <v>998</v>
      </c>
      <c r="B3012">
        <v>36</v>
      </c>
      <c r="C3012" t="s">
        <v>1131</v>
      </c>
      <c r="D3012" t="str">
        <f t="shared" si="235"/>
        <v>11.05.2021</v>
      </c>
      <c r="E3012" s="1">
        <v>0.79166666666666663</v>
      </c>
      <c r="F3012" t="s">
        <v>23</v>
      </c>
      <c r="G3012" t="s">
        <v>1000</v>
      </c>
      <c r="H3012" s="2">
        <v>46056</v>
      </c>
      <c r="I3012" s="3" t="str">
        <f t="shared" si="236"/>
        <v/>
      </c>
      <c r="J3012" t="str">
        <f t="shared" si="237"/>
        <v/>
      </c>
      <c r="K3012" t="str">
        <f t="shared" si="238"/>
        <v/>
      </c>
      <c r="L3012" t="str">
        <f t="shared" si="239"/>
        <v/>
      </c>
      <c r="M3012" t="str">
        <f>IF(COUNTIF($A$2:A3012,A3012)=1,
     VLOOKUP(A3012,Season_Winners!A:B,2,FALSE),
     "")</f>
        <v/>
      </c>
    </row>
    <row r="3013" spans="1:13" x14ac:dyDescent="0.3">
      <c r="A3013" t="s">
        <v>998</v>
      </c>
      <c r="B3013">
        <v>36</v>
      </c>
      <c r="C3013" t="s">
        <v>1131</v>
      </c>
      <c r="D3013" t="str">
        <f t="shared" si="235"/>
        <v>11.05.2021</v>
      </c>
      <c r="E3013" s="1">
        <v>0.83333333333333337</v>
      </c>
      <c r="F3013" t="s">
        <v>31</v>
      </c>
      <c r="G3013" t="s">
        <v>464</v>
      </c>
      <c r="H3013" t="s">
        <v>54</v>
      </c>
      <c r="I3013" t="str">
        <f t="shared" si="236"/>
        <v>0-2</v>
      </c>
      <c r="J3013" t="str">
        <f t="shared" si="237"/>
        <v>0</v>
      </c>
      <c r="K3013" t="str">
        <f t="shared" si="238"/>
        <v>2</v>
      </c>
      <c r="L3013" t="str">
        <f t="shared" si="239"/>
        <v>Deportivo AlavÃ©s</v>
      </c>
      <c r="M3013" t="str">
        <f>IF(COUNTIF($A$2:A3013,A3013)=1,
     VLOOKUP(A3013,Season_Winners!A:B,2,FALSE),
     "")</f>
        <v/>
      </c>
    </row>
    <row r="3014" spans="1:13" hidden="1" x14ac:dyDescent="0.3">
      <c r="A3014" t="s">
        <v>998</v>
      </c>
      <c r="B3014">
        <v>36</v>
      </c>
      <c r="C3014" t="s">
        <v>1131</v>
      </c>
      <c r="D3014" t="str">
        <f t="shared" si="235"/>
        <v>11.05.2021</v>
      </c>
      <c r="E3014" s="1">
        <v>0.91666666666666663</v>
      </c>
      <c r="F3014" t="s">
        <v>21</v>
      </c>
      <c r="G3014" t="s">
        <v>20</v>
      </c>
      <c r="H3014" s="2">
        <v>46084</v>
      </c>
      <c r="I3014" s="3" t="str">
        <f t="shared" si="236"/>
        <v/>
      </c>
      <c r="J3014" t="str">
        <f t="shared" si="237"/>
        <v/>
      </c>
      <c r="K3014" t="str">
        <f t="shared" si="238"/>
        <v/>
      </c>
      <c r="L3014" t="str">
        <f t="shared" si="239"/>
        <v/>
      </c>
      <c r="M3014" t="str">
        <f>IF(COUNTIF($A$2:A3014,A3014)=1,
     VLOOKUP(A3014,Season_Winners!A:B,2,FALSE),
     "")</f>
        <v/>
      </c>
    </row>
    <row r="3015" spans="1:13" x14ac:dyDescent="0.3">
      <c r="A3015" t="s">
        <v>998</v>
      </c>
      <c r="B3015">
        <v>36</v>
      </c>
      <c r="C3015" t="s">
        <v>1132</v>
      </c>
      <c r="D3015" t="str">
        <f t="shared" si="235"/>
        <v>12.05.2021</v>
      </c>
      <c r="E3015" s="1">
        <v>0.79166666666666663</v>
      </c>
      <c r="F3015" t="s">
        <v>27</v>
      </c>
      <c r="G3015" t="s">
        <v>16</v>
      </c>
      <c r="H3015" t="s">
        <v>18</v>
      </c>
      <c r="I3015" t="str">
        <f t="shared" si="236"/>
        <v>1-0</v>
      </c>
      <c r="J3015" t="str">
        <f t="shared" si="237"/>
        <v>1</v>
      </c>
      <c r="K3015" t="str">
        <f t="shared" si="238"/>
        <v>0</v>
      </c>
      <c r="L3015" t="str">
        <f t="shared" si="239"/>
        <v>Sevilla FC</v>
      </c>
      <c r="M3015" t="str">
        <f>IF(COUNTIF($A$2:A3015,A3015)=1,
     VLOOKUP(A3015,Season_Winners!A:B,2,FALSE),
     "")</f>
        <v/>
      </c>
    </row>
    <row r="3016" spans="1:13" x14ac:dyDescent="0.3">
      <c r="A3016" t="s">
        <v>998</v>
      </c>
      <c r="B3016">
        <v>36</v>
      </c>
      <c r="C3016" t="s">
        <v>1132</v>
      </c>
      <c r="D3016" t="str">
        <f t="shared" si="235"/>
        <v>12.05.2021</v>
      </c>
      <c r="E3016" s="1">
        <v>0.83333333333333337</v>
      </c>
      <c r="F3016" t="s">
        <v>35</v>
      </c>
      <c r="G3016" t="s">
        <v>11</v>
      </c>
      <c r="H3016" t="s">
        <v>18</v>
      </c>
      <c r="I3016" t="str">
        <f t="shared" si="236"/>
        <v>1-0</v>
      </c>
      <c r="J3016" t="str">
        <f t="shared" si="237"/>
        <v>1</v>
      </c>
      <c r="K3016" t="str">
        <f t="shared" si="238"/>
        <v>0</v>
      </c>
      <c r="L3016" t="str">
        <f t="shared" si="239"/>
        <v>RC Celta</v>
      </c>
      <c r="M3016" t="str">
        <f>IF(COUNTIF($A$2:A3016,A3016)=1,
     VLOOKUP(A3016,Season_Winners!A:B,2,FALSE),
     "")</f>
        <v/>
      </c>
    </row>
    <row r="3017" spans="1:13" x14ac:dyDescent="0.3">
      <c r="A3017" t="s">
        <v>998</v>
      </c>
      <c r="B3017">
        <v>36</v>
      </c>
      <c r="C3017" t="s">
        <v>1132</v>
      </c>
      <c r="D3017" t="str">
        <f t="shared" si="235"/>
        <v>12.05.2021</v>
      </c>
      <c r="E3017" s="1">
        <v>0.83333333333333337</v>
      </c>
      <c r="F3017" t="s">
        <v>750</v>
      </c>
      <c r="G3017" t="s">
        <v>15</v>
      </c>
      <c r="H3017" t="s">
        <v>18</v>
      </c>
      <c r="I3017" t="str">
        <f t="shared" si="236"/>
        <v>1-0</v>
      </c>
      <c r="J3017" t="str">
        <f t="shared" si="237"/>
        <v>1</v>
      </c>
      <c r="K3017" t="str">
        <f t="shared" si="238"/>
        <v>0</v>
      </c>
      <c r="L3017" t="str">
        <f t="shared" si="239"/>
        <v>SD Huesca</v>
      </c>
      <c r="M3017" t="str">
        <f>IF(COUNTIF($A$2:A3017,A3017)=1,
     VLOOKUP(A3017,Season_Winners!A:B,2,FALSE),
     "")</f>
        <v/>
      </c>
    </row>
    <row r="3018" spans="1:13" hidden="1" x14ac:dyDescent="0.3">
      <c r="A3018" t="s">
        <v>998</v>
      </c>
      <c r="B3018">
        <v>36</v>
      </c>
      <c r="C3018" t="s">
        <v>1132</v>
      </c>
      <c r="D3018" t="str">
        <f t="shared" si="235"/>
        <v>12.05.2021</v>
      </c>
      <c r="E3018" s="1">
        <v>0.91666666666666663</v>
      </c>
      <c r="F3018" t="s">
        <v>28</v>
      </c>
      <c r="G3018" t="s">
        <v>10</v>
      </c>
      <c r="H3018" s="2">
        <v>46024</v>
      </c>
      <c r="I3018" s="3" t="str">
        <f t="shared" si="236"/>
        <v/>
      </c>
      <c r="J3018" t="str">
        <f t="shared" si="237"/>
        <v/>
      </c>
      <c r="K3018" t="str">
        <f t="shared" si="238"/>
        <v/>
      </c>
      <c r="L3018" t="str">
        <f t="shared" si="239"/>
        <v/>
      </c>
      <c r="M3018" t="str">
        <f>IF(COUNTIF($A$2:A3018,A3018)=1,
     VLOOKUP(A3018,Season_Winners!A:B,2,FALSE),
     "")</f>
        <v/>
      </c>
    </row>
    <row r="3019" spans="1:13" x14ac:dyDescent="0.3">
      <c r="A3019" t="s">
        <v>998</v>
      </c>
      <c r="B3019">
        <v>36</v>
      </c>
      <c r="C3019" t="s">
        <v>1133</v>
      </c>
      <c r="D3019" t="str">
        <f t="shared" si="235"/>
        <v>13.05.2021</v>
      </c>
      <c r="E3019" s="1">
        <v>0.79166666666666663</v>
      </c>
      <c r="F3019" t="s">
        <v>14</v>
      </c>
      <c r="G3019" t="s">
        <v>34</v>
      </c>
      <c r="H3019" t="s">
        <v>54</v>
      </c>
      <c r="I3019" t="str">
        <f t="shared" si="236"/>
        <v>0-2</v>
      </c>
      <c r="J3019" t="str">
        <f t="shared" si="237"/>
        <v>0</v>
      </c>
      <c r="K3019" t="str">
        <f t="shared" si="238"/>
        <v>2</v>
      </c>
      <c r="L3019" t="str">
        <f t="shared" si="239"/>
        <v>Villarreal CF</v>
      </c>
      <c r="M3019" t="str">
        <f>IF(COUNTIF($A$2:A3019,A3019)=1,
     VLOOKUP(A3019,Season_Winners!A:B,2,FALSE),
     "")</f>
        <v/>
      </c>
    </row>
    <row r="3020" spans="1:13" hidden="1" x14ac:dyDescent="0.3">
      <c r="A3020" t="s">
        <v>998</v>
      </c>
      <c r="B3020">
        <v>36</v>
      </c>
      <c r="C3020" t="s">
        <v>1133</v>
      </c>
      <c r="D3020" t="str">
        <f t="shared" si="235"/>
        <v>13.05.2021</v>
      </c>
      <c r="E3020" s="1">
        <v>0.83333333333333337</v>
      </c>
      <c r="F3020" t="s">
        <v>187</v>
      </c>
      <c r="G3020" t="s">
        <v>26</v>
      </c>
      <c r="H3020" s="2">
        <v>46023</v>
      </c>
      <c r="I3020" s="3" t="str">
        <f t="shared" si="236"/>
        <v/>
      </c>
      <c r="J3020" t="str">
        <f t="shared" si="237"/>
        <v/>
      </c>
      <c r="K3020" t="str">
        <f t="shared" si="238"/>
        <v/>
      </c>
      <c r="L3020" t="str">
        <f t="shared" si="239"/>
        <v/>
      </c>
      <c r="M3020" t="str">
        <f>IF(COUNTIF($A$2:A3020,A3020)=1,
     VLOOKUP(A3020,Season_Winners!A:B,2,FALSE),
     "")</f>
        <v/>
      </c>
    </row>
    <row r="3021" spans="1:13" hidden="1" x14ac:dyDescent="0.3">
      <c r="A3021" t="s">
        <v>998</v>
      </c>
      <c r="B3021">
        <v>36</v>
      </c>
      <c r="C3021" t="s">
        <v>1133</v>
      </c>
      <c r="D3021" t="str">
        <f t="shared" si="235"/>
        <v>13.05.2021</v>
      </c>
      <c r="E3021" s="1">
        <v>0.91666666666666663</v>
      </c>
      <c r="F3021" t="s">
        <v>24</v>
      </c>
      <c r="G3021" t="s">
        <v>25</v>
      </c>
      <c r="H3021" s="2">
        <v>46113</v>
      </c>
      <c r="I3021" s="3" t="str">
        <f t="shared" si="236"/>
        <v/>
      </c>
      <c r="J3021" t="str">
        <f t="shared" si="237"/>
        <v/>
      </c>
      <c r="K3021" t="str">
        <f t="shared" si="238"/>
        <v/>
      </c>
      <c r="L3021" t="str">
        <f t="shared" si="239"/>
        <v/>
      </c>
      <c r="M3021" t="str">
        <f>IF(COUNTIF($A$2:A3021,A3021)=1,
     VLOOKUP(A3021,Season_Winners!A:B,2,FALSE),
     "")</f>
        <v/>
      </c>
    </row>
    <row r="3022" spans="1:13" hidden="1" x14ac:dyDescent="0.3">
      <c r="A3022" t="s">
        <v>998</v>
      </c>
      <c r="B3022">
        <v>37</v>
      </c>
      <c r="C3022" t="s">
        <v>1134</v>
      </c>
      <c r="D3022" t="str">
        <f t="shared" si="235"/>
        <v>16.05.2021</v>
      </c>
      <c r="E3022" s="1">
        <v>0.77083333333333337</v>
      </c>
      <c r="F3022" t="s">
        <v>464</v>
      </c>
      <c r="G3022" t="s">
        <v>24</v>
      </c>
      <c r="H3022" s="2">
        <v>46057</v>
      </c>
      <c r="I3022" s="3" t="str">
        <f t="shared" si="236"/>
        <v/>
      </c>
      <c r="J3022" t="str">
        <f t="shared" si="237"/>
        <v/>
      </c>
      <c r="K3022" t="str">
        <f t="shared" si="238"/>
        <v/>
      </c>
      <c r="L3022" t="str">
        <f t="shared" si="239"/>
        <v/>
      </c>
      <c r="M3022" t="str">
        <f>IF(COUNTIF($A$2:A3022,A3022)=1,
     VLOOKUP(A3022,Season_Winners!A:B,2,FALSE),
     "")</f>
        <v/>
      </c>
    </row>
    <row r="3023" spans="1:13" x14ac:dyDescent="0.3">
      <c r="A3023" t="s">
        <v>998</v>
      </c>
      <c r="B3023">
        <v>37</v>
      </c>
      <c r="C3023" t="s">
        <v>1134</v>
      </c>
      <c r="D3023" t="str">
        <f t="shared" si="235"/>
        <v>16.05.2021</v>
      </c>
      <c r="E3023" s="1">
        <v>0.77083333333333337</v>
      </c>
      <c r="F3023" t="s">
        <v>15</v>
      </c>
      <c r="G3023" t="s">
        <v>25</v>
      </c>
      <c r="H3023" t="s">
        <v>42</v>
      </c>
      <c r="I3023" t="str">
        <f t="shared" si="236"/>
        <v>0-1</v>
      </c>
      <c r="J3023" t="str">
        <f t="shared" si="237"/>
        <v>0</v>
      </c>
      <c r="K3023" t="str">
        <f t="shared" si="238"/>
        <v>1</v>
      </c>
      <c r="L3023" t="str">
        <f t="shared" si="239"/>
        <v>Real Madrid</v>
      </c>
      <c r="M3023" t="str">
        <f>IF(COUNTIF($A$2:A3023,A3023)=1,
     VLOOKUP(A3023,Season_Winners!A:B,2,FALSE),
     "")</f>
        <v/>
      </c>
    </row>
    <row r="3024" spans="1:13" hidden="1" x14ac:dyDescent="0.3">
      <c r="A3024" t="s">
        <v>998</v>
      </c>
      <c r="B3024">
        <v>37</v>
      </c>
      <c r="C3024" t="s">
        <v>1134</v>
      </c>
      <c r="D3024" t="str">
        <f t="shared" si="235"/>
        <v>16.05.2021</v>
      </c>
      <c r="E3024" s="1">
        <v>0.77083333333333337</v>
      </c>
      <c r="F3024" t="s">
        <v>28</v>
      </c>
      <c r="G3024" t="s">
        <v>23</v>
      </c>
      <c r="H3024" s="2">
        <v>46024</v>
      </c>
      <c r="I3024" s="3" t="str">
        <f t="shared" si="236"/>
        <v/>
      </c>
      <c r="J3024" t="str">
        <f t="shared" si="237"/>
        <v/>
      </c>
      <c r="K3024" t="str">
        <f t="shared" si="238"/>
        <v/>
      </c>
      <c r="L3024" t="str">
        <f t="shared" si="239"/>
        <v/>
      </c>
      <c r="M3024" t="str">
        <f>IF(COUNTIF($A$2:A3024,A3024)=1,
     VLOOKUP(A3024,Season_Winners!A:B,2,FALSE),
     "")</f>
        <v/>
      </c>
    </row>
    <row r="3025" spans="1:13" hidden="1" x14ac:dyDescent="0.3">
      <c r="A3025" t="s">
        <v>998</v>
      </c>
      <c r="B3025">
        <v>37</v>
      </c>
      <c r="C3025" t="s">
        <v>1134</v>
      </c>
      <c r="D3025" t="str">
        <f t="shared" si="235"/>
        <v>16.05.2021</v>
      </c>
      <c r="E3025" s="1">
        <v>0.77083333333333337</v>
      </c>
      <c r="F3025" t="s">
        <v>20</v>
      </c>
      <c r="G3025" t="s">
        <v>35</v>
      </c>
      <c r="H3025" s="2">
        <v>46054</v>
      </c>
      <c r="I3025" s="3" t="str">
        <f t="shared" si="236"/>
        <v/>
      </c>
      <c r="J3025" t="str">
        <f t="shared" si="237"/>
        <v/>
      </c>
      <c r="K3025" t="str">
        <f t="shared" si="238"/>
        <v/>
      </c>
      <c r="L3025" t="str">
        <f t="shared" si="239"/>
        <v/>
      </c>
      <c r="M3025" t="str">
        <f>IF(COUNTIF($A$2:A3025,A3025)=1,
     VLOOKUP(A3025,Season_Winners!A:B,2,FALSE),
     "")</f>
        <v/>
      </c>
    </row>
    <row r="3026" spans="1:13" x14ac:dyDescent="0.3">
      <c r="A3026" t="s">
        <v>998</v>
      </c>
      <c r="B3026">
        <v>37</v>
      </c>
      <c r="C3026" t="s">
        <v>1134</v>
      </c>
      <c r="D3026" t="str">
        <f t="shared" si="235"/>
        <v>16.05.2021</v>
      </c>
      <c r="E3026" s="1">
        <v>0.77083333333333337</v>
      </c>
      <c r="F3026" t="s">
        <v>26</v>
      </c>
      <c r="G3026" t="s">
        <v>750</v>
      </c>
      <c r="H3026" t="s">
        <v>18</v>
      </c>
      <c r="I3026" t="str">
        <f t="shared" si="236"/>
        <v>1-0</v>
      </c>
      <c r="J3026" t="str">
        <f t="shared" si="237"/>
        <v>1</v>
      </c>
      <c r="K3026" t="str">
        <f t="shared" si="238"/>
        <v>0</v>
      </c>
      <c r="L3026" t="str">
        <f t="shared" si="239"/>
        <v>Real Betis</v>
      </c>
      <c r="M3026" t="str">
        <f>IF(COUNTIF($A$2:A3026,A3026)=1,
     VLOOKUP(A3026,Season_Winners!A:B,2,FALSE),
     "")</f>
        <v/>
      </c>
    </row>
    <row r="3027" spans="1:13" hidden="1" x14ac:dyDescent="0.3">
      <c r="A3027" t="s">
        <v>998</v>
      </c>
      <c r="B3027">
        <v>37</v>
      </c>
      <c r="C3027" t="s">
        <v>1134</v>
      </c>
      <c r="D3027" t="str">
        <f t="shared" si="235"/>
        <v>16.05.2021</v>
      </c>
      <c r="E3027" s="1">
        <v>0.77083333333333337</v>
      </c>
      <c r="F3027" t="s">
        <v>11</v>
      </c>
      <c r="G3027" t="s">
        <v>21</v>
      </c>
      <c r="H3027" s="2">
        <v>46024</v>
      </c>
      <c r="I3027" s="3" t="str">
        <f t="shared" si="236"/>
        <v/>
      </c>
      <c r="J3027" t="str">
        <f t="shared" si="237"/>
        <v/>
      </c>
      <c r="K3027" t="str">
        <f t="shared" si="238"/>
        <v/>
      </c>
      <c r="L3027" t="str">
        <f t="shared" si="239"/>
        <v/>
      </c>
      <c r="M3027" t="str">
        <f>IF(COUNTIF($A$2:A3027,A3027)=1,
     VLOOKUP(A3027,Season_Winners!A:B,2,FALSE),
     "")</f>
        <v/>
      </c>
    </row>
    <row r="3028" spans="1:13" hidden="1" x14ac:dyDescent="0.3">
      <c r="A3028" t="s">
        <v>998</v>
      </c>
      <c r="B3028">
        <v>37</v>
      </c>
      <c r="C3028" t="s">
        <v>1134</v>
      </c>
      <c r="D3028" t="str">
        <f t="shared" si="235"/>
        <v>16.05.2021</v>
      </c>
      <c r="E3028" s="1">
        <v>0.77083333333333337</v>
      </c>
      <c r="F3028" t="s">
        <v>1000</v>
      </c>
      <c r="G3028" t="s">
        <v>31</v>
      </c>
      <c r="H3028" s="2">
        <v>46082</v>
      </c>
      <c r="I3028" s="3" t="str">
        <f t="shared" si="236"/>
        <v/>
      </c>
      <c r="J3028" t="str">
        <f t="shared" si="237"/>
        <v/>
      </c>
      <c r="K3028" t="str">
        <f t="shared" si="238"/>
        <v/>
      </c>
      <c r="L3028" t="str">
        <f t="shared" si="239"/>
        <v/>
      </c>
      <c r="M3028" t="str">
        <f>IF(COUNTIF($A$2:A3028,A3028)=1,
     VLOOKUP(A3028,Season_Winners!A:B,2,FALSE),
     "")</f>
        <v/>
      </c>
    </row>
    <row r="3029" spans="1:13" hidden="1" x14ac:dyDescent="0.3">
      <c r="A3029" t="s">
        <v>998</v>
      </c>
      <c r="B3029">
        <v>37</v>
      </c>
      <c r="C3029" t="s">
        <v>1134</v>
      </c>
      <c r="D3029" t="str">
        <f t="shared" si="235"/>
        <v>16.05.2021</v>
      </c>
      <c r="E3029" s="1">
        <v>0.77083333333333337</v>
      </c>
      <c r="F3029" t="s">
        <v>10</v>
      </c>
      <c r="G3029" t="s">
        <v>14</v>
      </c>
      <c r="H3029" s="2">
        <v>46026</v>
      </c>
      <c r="I3029" s="3" t="str">
        <f t="shared" si="236"/>
        <v/>
      </c>
      <c r="J3029" t="str">
        <f t="shared" si="237"/>
        <v/>
      </c>
      <c r="K3029" t="str">
        <f t="shared" si="238"/>
        <v/>
      </c>
      <c r="L3029" t="str">
        <f t="shared" si="239"/>
        <v/>
      </c>
      <c r="M3029" t="str">
        <f>IF(COUNTIF($A$2:A3029,A3029)=1,
     VLOOKUP(A3029,Season_Winners!A:B,2,FALSE),
     "")</f>
        <v/>
      </c>
    </row>
    <row r="3030" spans="1:13" hidden="1" x14ac:dyDescent="0.3">
      <c r="A3030" t="s">
        <v>998</v>
      </c>
      <c r="B3030">
        <v>37</v>
      </c>
      <c r="C3030" t="s">
        <v>1134</v>
      </c>
      <c r="D3030" t="str">
        <f t="shared" si="235"/>
        <v>16.05.2021</v>
      </c>
      <c r="E3030" s="1">
        <v>0.77083333333333337</v>
      </c>
      <c r="F3030" t="s">
        <v>16</v>
      </c>
      <c r="G3030" t="s">
        <v>187</v>
      </c>
      <c r="H3030" s="2">
        <v>46026</v>
      </c>
      <c r="I3030" s="3" t="str">
        <f t="shared" si="236"/>
        <v/>
      </c>
      <c r="J3030" t="str">
        <f t="shared" si="237"/>
        <v/>
      </c>
      <c r="K3030" t="str">
        <f t="shared" si="238"/>
        <v/>
      </c>
      <c r="L3030" t="str">
        <f t="shared" si="239"/>
        <v/>
      </c>
      <c r="M3030" t="str">
        <f>IF(COUNTIF($A$2:A3030,A3030)=1,
     VLOOKUP(A3030,Season_Winners!A:B,2,FALSE),
     "")</f>
        <v/>
      </c>
    </row>
    <row r="3031" spans="1:13" x14ac:dyDescent="0.3">
      <c r="A3031" t="s">
        <v>998</v>
      </c>
      <c r="B3031">
        <v>37</v>
      </c>
      <c r="C3031" t="s">
        <v>1134</v>
      </c>
      <c r="D3031" t="str">
        <f t="shared" si="235"/>
        <v>16.05.2021</v>
      </c>
      <c r="E3031" s="1">
        <v>0.77083333333333337</v>
      </c>
      <c r="F3031" t="s">
        <v>34</v>
      </c>
      <c r="G3031" t="s">
        <v>27</v>
      </c>
      <c r="H3031" t="s">
        <v>88</v>
      </c>
      <c r="I3031" t="str">
        <f t="shared" si="236"/>
        <v>4-0</v>
      </c>
      <c r="J3031" t="str">
        <f t="shared" si="237"/>
        <v>4</v>
      </c>
      <c r="K3031" t="str">
        <f t="shared" si="238"/>
        <v>0</v>
      </c>
      <c r="L3031" t="str">
        <f t="shared" si="239"/>
        <v>Villarreal CF</v>
      </c>
      <c r="M3031" t="str">
        <f>IF(COUNTIF($A$2:A3031,A3031)=1,
     VLOOKUP(A3031,Season_Winners!A:B,2,FALSE),
     "")</f>
        <v/>
      </c>
    </row>
    <row r="3032" spans="1:13" hidden="1" x14ac:dyDescent="0.3">
      <c r="A3032" t="s">
        <v>998</v>
      </c>
      <c r="B3032">
        <v>38</v>
      </c>
      <c r="C3032" t="s">
        <v>1135</v>
      </c>
      <c r="D3032" t="str">
        <f t="shared" si="235"/>
        <v>21.05.2021</v>
      </c>
      <c r="E3032" s="1">
        <v>0.875</v>
      </c>
      <c r="F3032" t="s">
        <v>21</v>
      </c>
      <c r="G3032" t="s">
        <v>1000</v>
      </c>
      <c r="H3032" s="2">
        <v>46055</v>
      </c>
      <c r="I3032" s="3" t="str">
        <f t="shared" si="236"/>
        <v/>
      </c>
      <c r="J3032" t="str">
        <f t="shared" si="237"/>
        <v/>
      </c>
      <c r="K3032" t="str">
        <f t="shared" si="238"/>
        <v/>
      </c>
      <c r="L3032" t="str">
        <f t="shared" si="239"/>
        <v/>
      </c>
      <c r="M3032" t="str">
        <f>IF(COUNTIF($A$2:A3032,A3032)=1,
     VLOOKUP(A3032,Season_Winners!A:B,2,FALSE),
     "")</f>
        <v/>
      </c>
    </row>
    <row r="3033" spans="1:13" hidden="1" x14ac:dyDescent="0.3">
      <c r="A3033" t="s">
        <v>998</v>
      </c>
      <c r="B3033">
        <v>38</v>
      </c>
      <c r="C3033" t="s">
        <v>1136</v>
      </c>
      <c r="D3033" t="str">
        <f t="shared" si="235"/>
        <v>22.05.2021</v>
      </c>
      <c r="E3033" s="1">
        <v>0.75</v>
      </c>
      <c r="F3033" t="s">
        <v>35</v>
      </c>
      <c r="G3033" t="s">
        <v>26</v>
      </c>
      <c r="H3033" s="2">
        <v>46083</v>
      </c>
      <c r="I3033" s="3" t="str">
        <f t="shared" si="236"/>
        <v/>
      </c>
      <c r="J3033" t="str">
        <f t="shared" si="237"/>
        <v/>
      </c>
      <c r="K3033" t="str">
        <f t="shared" si="238"/>
        <v/>
      </c>
      <c r="L3033" t="str">
        <f t="shared" si="239"/>
        <v/>
      </c>
      <c r="M3033" t="str">
        <f>IF(COUNTIF($A$2:A3033,A3033)=1,
     VLOOKUP(A3033,Season_Winners!A:B,2,FALSE),
     "")</f>
        <v/>
      </c>
    </row>
    <row r="3034" spans="1:13" x14ac:dyDescent="0.3">
      <c r="A3034" t="s">
        <v>998</v>
      </c>
      <c r="B3034">
        <v>38</v>
      </c>
      <c r="C3034" t="s">
        <v>1136</v>
      </c>
      <c r="D3034" t="str">
        <f t="shared" si="235"/>
        <v>22.05.2021</v>
      </c>
      <c r="E3034" s="1">
        <v>0.75</v>
      </c>
      <c r="F3034" t="s">
        <v>187</v>
      </c>
      <c r="G3034" t="s">
        <v>20</v>
      </c>
      <c r="H3034" t="s">
        <v>42</v>
      </c>
      <c r="I3034" t="str">
        <f t="shared" si="236"/>
        <v>0-1</v>
      </c>
      <c r="J3034" t="str">
        <f t="shared" si="237"/>
        <v>0</v>
      </c>
      <c r="K3034" t="str">
        <f t="shared" si="238"/>
        <v>1</v>
      </c>
      <c r="L3034" t="str">
        <f t="shared" si="239"/>
        <v>FC Barcelona</v>
      </c>
      <c r="M3034" t="str">
        <f>IF(COUNTIF($A$2:A3034,A3034)=1,
     VLOOKUP(A3034,Season_Winners!A:B,2,FALSE),
     "")</f>
        <v/>
      </c>
    </row>
    <row r="3035" spans="1:13" x14ac:dyDescent="0.3">
      <c r="A3035" t="s">
        <v>998</v>
      </c>
      <c r="B3035">
        <v>38</v>
      </c>
      <c r="C3035" t="s">
        <v>1136</v>
      </c>
      <c r="D3035" t="str">
        <f t="shared" si="235"/>
        <v>22.05.2021</v>
      </c>
      <c r="E3035" s="1">
        <v>0.75</v>
      </c>
      <c r="F3035" t="s">
        <v>750</v>
      </c>
      <c r="G3035" t="s">
        <v>16</v>
      </c>
      <c r="H3035" t="s">
        <v>41</v>
      </c>
      <c r="I3035" t="str">
        <f t="shared" si="236"/>
        <v>0-0</v>
      </c>
      <c r="J3035" t="str">
        <f t="shared" si="237"/>
        <v>0</v>
      </c>
      <c r="K3035" t="str">
        <f t="shared" si="238"/>
        <v>0</v>
      </c>
      <c r="L3035" t="str">
        <f t="shared" si="239"/>
        <v>Draw</v>
      </c>
      <c r="M3035" t="str">
        <f>IF(COUNTIF($A$2:A3035,A3035)=1,
     VLOOKUP(A3035,Season_Winners!A:B,2,FALSE),
     "")</f>
        <v/>
      </c>
    </row>
    <row r="3036" spans="1:13" x14ac:dyDescent="0.3">
      <c r="A3036" t="s">
        <v>998</v>
      </c>
      <c r="B3036">
        <v>38</v>
      </c>
      <c r="C3036" t="s">
        <v>1136</v>
      </c>
      <c r="D3036" t="str">
        <f t="shared" si="235"/>
        <v>22.05.2021</v>
      </c>
      <c r="E3036" s="1">
        <v>0.75</v>
      </c>
      <c r="F3036" t="s">
        <v>23</v>
      </c>
      <c r="G3036" t="s">
        <v>10</v>
      </c>
      <c r="H3036" t="s">
        <v>42</v>
      </c>
      <c r="I3036" t="str">
        <f t="shared" si="236"/>
        <v>0-1</v>
      </c>
      <c r="J3036" t="str">
        <f t="shared" si="237"/>
        <v>0</v>
      </c>
      <c r="K3036" t="str">
        <f t="shared" si="238"/>
        <v>1</v>
      </c>
      <c r="L3036" t="str">
        <f t="shared" si="239"/>
        <v>Real Sociedad</v>
      </c>
      <c r="M3036" t="str">
        <f>IF(COUNTIF($A$2:A3036,A3036)=1,
     VLOOKUP(A3036,Season_Winners!A:B,2,FALSE),
     "")</f>
        <v/>
      </c>
    </row>
    <row r="3037" spans="1:13" hidden="1" x14ac:dyDescent="0.3">
      <c r="A3037" t="s">
        <v>998</v>
      </c>
      <c r="B3037">
        <v>38</v>
      </c>
      <c r="C3037" t="s">
        <v>1136</v>
      </c>
      <c r="D3037" t="str">
        <f t="shared" si="235"/>
        <v>22.05.2021</v>
      </c>
      <c r="E3037" s="1">
        <v>0.75</v>
      </c>
      <c r="F3037" t="s">
        <v>25</v>
      </c>
      <c r="G3037" t="s">
        <v>34</v>
      </c>
      <c r="H3037" s="2">
        <v>46024</v>
      </c>
      <c r="I3037" s="3" t="str">
        <f t="shared" si="236"/>
        <v/>
      </c>
      <c r="J3037" t="str">
        <f t="shared" si="237"/>
        <v/>
      </c>
      <c r="K3037" t="str">
        <f t="shared" si="238"/>
        <v/>
      </c>
      <c r="L3037" t="str">
        <f t="shared" si="239"/>
        <v/>
      </c>
      <c r="M3037" t="str">
        <f>IF(COUNTIF($A$2:A3037,A3037)=1,
     VLOOKUP(A3037,Season_Winners!A:B,2,FALSE),
     "")</f>
        <v/>
      </c>
    </row>
    <row r="3038" spans="1:13" hidden="1" x14ac:dyDescent="0.3">
      <c r="A3038" t="s">
        <v>998</v>
      </c>
      <c r="B3038">
        <v>38</v>
      </c>
      <c r="C3038" t="s">
        <v>1136</v>
      </c>
      <c r="D3038" t="str">
        <f t="shared" si="235"/>
        <v>22.05.2021</v>
      </c>
      <c r="E3038" s="1">
        <v>0.75</v>
      </c>
      <c r="F3038" t="s">
        <v>14</v>
      </c>
      <c r="G3038" t="s">
        <v>28</v>
      </c>
      <c r="H3038" s="2">
        <v>46054</v>
      </c>
      <c r="I3038" s="3" t="str">
        <f t="shared" si="236"/>
        <v/>
      </c>
      <c r="J3038" t="str">
        <f t="shared" si="237"/>
        <v/>
      </c>
      <c r="K3038" t="str">
        <f t="shared" si="238"/>
        <v/>
      </c>
      <c r="L3038" t="str">
        <f t="shared" si="239"/>
        <v/>
      </c>
      <c r="M3038" t="str">
        <f>IF(COUNTIF($A$2:A3038,A3038)=1,
     VLOOKUP(A3038,Season_Winners!A:B,2,FALSE),
     "")</f>
        <v/>
      </c>
    </row>
    <row r="3039" spans="1:13" x14ac:dyDescent="0.3">
      <c r="A3039" t="s">
        <v>998</v>
      </c>
      <c r="B3039">
        <v>38</v>
      </c>
      <c r="C3039" t="s">
        <v>1136</v>
      </c>
      <c r="D3039" t="str">
        <f t="shared" si="235"/>
        <v>22.05.2021</v>
      </c>
      <c r="E3039" s="1">
        <v>0.75</v>
      </c>
      <c r="F3039" t="s">
        <v>31</v>
      </c>
      <c r="G3039" t="s">
        <v>15</v>
      </c>
      <c r="H3039" t="s">
        <v>12</v>
      </c>
      <c r="I3039" t="str">
        <f t="shared" si="236"/>
        <v>2-0</v>
      </c>
      <c r="J3039" t="str">
        <f t="shared" si="237"/>
        <v>2</v>
      </c>
      <c r="K3039" t="str">
        <f t="shared" si="238"/>
        <v>0</v>
      </c>
      <c r="L3039" t="str">
        <f t="shared" si="239"/>
        <v>Elche CF</v>
      </c>
      <c r="M3039" t="str">
        <f>IF(COUNTIF($A$2:A3039,A3039)=1,
     VLOOKUP(A3039,Season_Winners!A:B,2,FALSE),
     "")</f>
        <v/>
      </c>
    </row>
    <row r="3040" spans="1:13" x14ac:dyDescent="0.3">
      <c r="A3040" t="s">
        <v>998</v>
      </c>
      <c r="B3040">
        <v>38</v>
      </c>
      <c r="C3040" t="s">
        <v>1137</v>
      </c>
      <c r="D3040" t="str">
        <f t="shared" si="235"/>
        <v>23.05.2021</v>
      </c>
      <c r="E3040" s="1">
        <v>0.77083333333333337</v>
      </c>
      <c r="F3040" t="s">
        <v>24</v>
      </c>
      <c r="G3040" t="s">
        <v>11</v>
      </c>
      <c r="H3040" t="s">
        <v>41</v>
      </c>
      <c r="I3040" t="str">
        <f t="shared" si="236"/>
        <v>0-0</v>
      </c>
      <c r="J3040" t="str">
        <f t="shared" si="237"/>
        <v>0</v>
      </c>
      <c r="K3040" t="str">
        <f t="shared" si="238"/>
        <v>0</v>
      </c>
      <c r="L3040" t="str">
        <f t="shared" si="239"/>
        <v>Draw</v>
      </c>
      <c r="M3040" t="str">
        <f>IF(COUNTIF($A$2:A3040,A3040)=1,
     VLOOKUP(A3040,Season_Winners!A:B,2,FALSE),
     "")</f>
        <v/>
      </c>
    </row>
    <row r="3041" spans="1:13" x14ac:dyDescent="0.3">
      <c r="A3041" t="s">
        <v>998</v>
      </c>
      <c r="B3041">
        <v>38</v>
      </c>
      <c r="C3041" t="s">
        <v>1137</v>
      </c>
      <c r="D3041" t="str">
        <f t="shared" si="235"/>
        <v>23.05.2021</v>
      </c>
      <c r="E3041" s="1">
        <v>0.875</v>
      </c>
      <c r="F3041" t="s">
        <v>27</v>
      </c>
      <c r="G3041" t="s">
        <v>464</v>
      </c>
      <c r="H3041" t="s">
        <v>18</v>
      </c>
      <c r="I3041" t="str">
        <f t="shared" si="236"/>
        <v>1-0</v>
      </c>
      <c r="J3041" t="str">
        <f t="shared" si="237"/>
        <v>1</v>
      </c>
      <c r="K3041" t="str">
        <f t="shared" si="238"/>
        <v>0</v>
      </c>
      <c r="L3041" t="str">
        <f t="shared" si="239"/>
        <v>Sevilla FC</v>
      </c>
      <c r="M3041" t="str">
        <f>IF(COUNTIF($A$2:A3041,A3041)=1,
     VLOOKUP(A3041,Season_Winners!A:B,2,FALSE),
     "")</f>
        <v/>
      </c>
    </row>
    <row r="3042" spans="1:13" x14ac:dyDescent="0.3">
      <c r="A3042" t="s">
        <v>1138</v>
      </c>
      <c r="B3042">
        <v>1</v>
      </c>
      <c r="C3042" t="s">
        <v>1139</v>
      </c>
      <c r="D3042" t="str">
        <f t="shared" si="235"/>
        <v>13.08.2021</v>
      </c>
      <c r="E3042" s="1">
        <v>0.875</v>
      </c>
      <c r="F3042" t="s">
        <v>16</v>
      </c>
      <c r="G3042" t="s">
        <v>11</v>
      </c>
      <c r="H3042" t="s">
        <v>18</v>
      </c>
      <c r="I3042" t="str">
        <f t="shared" si="236"/>
        <v>1-0</v>
      </c>
      <c r="J3042" t="str">
        <f t="shared" si="237"/>
        <v>1</v>
      </c>
      <c r="K3042" t="str">
        <f t="shared" si="238"/>
        <v>0</v>
      </c>
      <c r="L3042" t="str">
        <f t="shared" si="239"/>
        <v>Valencia CF</v>
      </c>
      <c r="M3042" t="str">
        <f>IF(COUNTIF($A$2:A3042,A3042)=1,
     VLOOKUP(A3042,Season_Winners!A:B,2,FALSE),
     "")</f>
        <v>Real Madrid</v>
      </c>
    </row>
    <row r="3043" spans="1:13" hidden="1" x14ac:dyDescent="0.3">
      <c r="A3043" t="s">
        <v>1138</v>
      </c>
      <c r="B3043">
        <v>1</v>
      </c>
      <c r="C3043" t="s">
        <v>1140</v>
      </c>
      <c r="D3043" t="str">
        <f t="shared" si="235"/>
        <v>14.08.2021</v>
      </c>
      <c r="E3043" s="1">
        <v>0.8125</v>
      </c>
      <c r="F3043" t="s">
        <v>881</v>
      </c>
      <c r="G3043" t="s">
        <v>26</v>
      </c>
      <c r="H3043" s="2">
        <v>46023</v>
      </c>
      <c r="I3043" s="3" t="str">
        <f t="shared" si="236"/>
        <v/>
      </c>
      <c r="J3043" t="str">
        <f t="shared" si="237"/>
        <v/>
      </c>
      <c r="K3043" t="str">
        <f t="shared" si="238"/>
        <v/>
      </c>
      <c r="L3043" t="str">
        <f t="shared" si="239"/>
        <v/>
      </c>
      <c r="M3043" t="str">
        <f>IF(COUNTIF($A$2:A3043,A3043)=1,
     VLOOKUP(A3043,Season_Winners!A:B,2,FALSE),
     "")</f>
        <v/>
      </c>
    </row>
    <row r="3044" spans="1:13" hidden="1" x14ac:dyDescent="0.3">
      <c r="A3044" t="s">
        <v>1138</v>
      </c>
      <c r="B3044">
        <v>1</v>
      </c>
      <c r="C3044" t="s">
        <v>1140</v>
      </c>
      <c r="D3044" t="str">
        <f t="shared" si="235"/>
        <v>14.08.2021</v>
      </c>
      <c r="E3044" s="1">
        <v>0.8125</v>
      </c>
      <c r="F3044" t="s">
        <v>1000</v>
      </c>
      <c r="G3044" t="s">
        <v>21</v>
      </c>
      <c r="H3044" s="2">
        <v>46023</v>
      </c>
      <c r="I3044" s="3" t="str">
        <f t="shared" si="236"/>
        <v/>
      </c>
      <c r="J3044" t="str">
        <f t="shared" si="237"/>
        <v/>
      </c>
      <c r="K3044" t="str">
        <f t="shared" si="238"/>
        <v/>
      </c>
      <c r="L3044" t="str">
        <f t="shared" si="239"/>
        <v/>
      </c>
      <c r="M3044" t="str">
        <f>IF(COUNTIF($A$2:A3044,A3044)=1,
     VLOOKUP(A3044,Season_Winners!A:B,2,FALSE),
     "")</f>
        <v/>
      </c>
    </row>
    <row r="3045" spans="1:13" hidden="1" x14ac:dyDescent="0.3">
      <c r="A3045" t="s">
        <v>1138</v>
      </c>
      <c r="B3045">
        <v>1</v>
      </c>
      <c r="C3045" t="s">
        <v>1140</v>
      </c>
      <c r="D3045" t="str">
        <f t="shared" si="235"/>
        <v>14.08.2021</v>
      </c>
      <c r="E3045" s="1">
        <v>0.91666666666666663</v>
      </c>
      <c r="F3045" t="s">
        <v>464</v>
      </c>
      <c r="G3045" t="s">
        <v>25</v>
      </c>
      <c r="H3045" s="2">
        <v>46113</v>
      </c>
      <c r="I3045" s="3" t="str">
        <f t="shared" si="236"/>
        <v/>
      </c>
      <c r="J3045" t="str">
        <f t="shared" si="237"/>
        <v/>
      </c>
      <c r="K3045" t="str">
        <f t="shared" si="238"/>
        <v/>
      </c>
      <c r="L3045" t="str">
        <f t="shared" si="239"/>
        <v/>
      </c>
      <c r="M3045" t="str">
        <f>IF(COUNTIF($A$2:A3045,A3045)=1,
     VLOOKUP(A3045,Season_Winners!A:B,2,FALSE),
     "")</f>
        <v/>
      </c>
    </row>
    <row r="3046" spans="1:13" x14ac:dyDescent="0.3">
      <c r="A3046" t="s">
        <v>1138</v>
      </c>
      <c r="B3046">
        <v>1</v>
      </c>
      <c r="C3046" t="s">
        <v>1140</v>
      </c>
      <c r="D3046" t="str">
        <f t="shared" si="235"/>
        <v>14.08.2021</v>
      </c>
      <c r="E3046" s="1">
        <v>0.91666666666666663</v>
      </c>
      <c r="F3046" t="s">
        <v>23</v>
      </c>
      <c r="G3046" t="s">
        <v>36</v>
      </c>
      <c r="H3046" t="s">
        <v>41</v>
      </c>
      <c r="I3046" t="str">
        <f t="shared" si="236"/>
        <v>0-0</v>
      </c>
      <c r="J3046" t="str">
        <f t="shared" si="237"/>
        <v>0</v>
      </c>
      <c r="K3046" t="str">
        <f t="shared" si="238"/>
        <v>0</v>
      </c>
      <c r="L3046" t="str">
        <f t="shared" si="239"/>
        <v>Draw</v>
      </c>
      <c r="M3046" t="str">
        <f>IF(COUNTIF($A$2:A3046,A3046)=1,
     VLOOKUP(A3046,Season_Winners!A:B,2,FALSE),
     "")</f>
        <v/>
      </c>
    </row>
    <row r="3047" spans="1:13" hidden="1" x14ac:dyDescent="0.3">
      <c r="A3047" t="s">
        <v>1138</v>
      </c>
      <c r="B3047">
        <v>1</v>
      </c>
      <c r="C3047" t="s">
        <v>1142</v>
      </c>
      <c r="D3047" t="str">
        <f t="shared" si="235"/>
        <v>15.08.2021</v>
      </c>
      <c r="E3047" s="1">
        <v>0.72916666666666663</v>
      </c>
      <c r="F3047" t="s">
        <v>35</v>
      </c>
      <c r="G3047" t="s">
        <v>28</v>
      </c>
      <c r="H3047" s="2">
        <v>46054</v>
      </c>
      <c r="I3047" s="3" t="str">
        <f t="shared" si="236"/>
        <v/>
      </c>
      <c r="J3047" t="str">
        <f t="shared" si="237"/>
        <v/>
      </c>
      <c r="K3047" t="str">
        <f t="shared" si="238"/>
        <v/>
      </c>
      <c r="L3047" t="str">
        <f t="shared" si="239"/>
        <v/>
      </c>
      <c r="M3047" t="str">
        <f>IF(COUNTIF($A$2:A3047,A3047)=1,
     VLOOKUP(A3047,Season_Winners!A:B,2,FALSE),
     "")</f>
        <v/>
      </c>
    </row>
    <row r="3048" spans="1:13" hidden="1" x14ac:dyDescent="0.3">
      <c r="A3048" t="s">
        <v>1138</v>
      </c>
      <c r="B3048">
        <v>1</v>
      </c>
      <c r="C3048" t="s">
        <v>1142</v>
      </c>
      <c r="D3048" t="str">
        <f t="shared" si="235"/>
        <v>15.08.2021</v>
      </c>
      <c r="E3048" s="1">
        <v>0.83333333333333337</v>
      </c>
      <c r="F3048" t="s">
        <v>20</v>
      </c>
      <c r="G3048" t="s">
        <v>10</v>
      </c>
      <c r="H3048" s="2">
        <v>46057</v>
      </c>
      <c r="I3048" s="3" t="str">
        <f t="shared" si="236"/>
        <v/>
      </c>
      <c r="J3048" t="str">
        <f t="shared" si="237"/>
        <v/>
      </c>
      <c r="K3048" t="str">
        <f t="shared" si="238"/>
        <v/>
      </c>
      <c r="L3048" t="str">
        <f t="shared" si="239"/>
        <v/>
      </c>
      <c r="M3048" t="str">
        <f>IF(COUNTIF($A$2:A3048,A3048)=1,
     VLOOKUP(A3048,Season_Winners!A:B,2,FALSE),
     "")</f>
        <v/>
      </c>
    </row>
    <row r="3049" spans="1:13" x14ac:dyDescent="0.3">
      <c r="A3049" t="s">
        <v>1138</v>
      </c>
      <c r="B3049">
        <v>1</v>
      </c>
      <c r="C3049" t="s">
        <v>1142</v>
      </c>
      <c r="D3049" t="str">
        <f t="shared" si="235"/>
        <v>15.08.2021</v>
      </c>
      <c r="E3049" s="1">
        <v>0.92708333333333337</v>
      </c>
      <c r="F3049" t="s">
        <v>27</v>
      </c>
      <c r="G3049" t="s">
        <v>30</v>
      </c>
      <c r="H3049" t="s">
        <v>32</v>
      </c>
      <c r="I3049" t="str">
        <f t="shared" si="236"/>
        <v>3-0</v>
      </c>
      <c r="J3049" t="str">
        <f t="shared" si="237"/>
        <v>3</v>
      </c>
      <c r="K3049" t="str">
        <f t="shared" si="238"/>
        <v>0</v>
      </c>
      <c r="L3049" t="str">
        <f t="shared" si="239"/>
        <v>Sevilla FC</v>
      </c>
      <c r="M3049" t="str">
        <f>IF(COUNTIF($A$2:A3049,A3049)=1,
     VLOOKUP(A3049,Season_Winners!A:B,2,FALSE),
     "")</f>
        <v/>
      </c>
    </row>
    <row r="3050" spans="1:13" x14ac:dyDescent="0.3">
      <c r="A3050" t="s">
        <v>1138</v>
      </c>
      <c r="B3050">
        <v>1</v>
      </c>
      <c r="C3050" t="s">
        <v>1143</v>
      </c>
      <c r="D3050" t="str">
        <f t="shared" si="235"/>
        <v>16.08.2021</v>
      </c>
      <c r="E3050" s="1">
        <v>0.83333333333333337</v>
      </c>
      <c r="F3050" t="s">
        <v>34</v>
      </c>
      <c r="G3050" t="s">
        <v>24</v>
      </c>
      <c r="H3050" t="s">
        <v>41</v>
      </c>
      <c r="I3050" t="str">
        <f t="shared" si="236"/>
        <v>0-0</v>
      </c>
      <c r="J3050" t="str">
        <f t="shared" si="237"/>
        <v>0</v>
      </c>
      <c r="K3050" t="str">
        <f t="shared" si="238"/>
        <v>0</v>
      </c>
      <c r="L3050" t="str">
        <f t="shared" si="239"/>
        <v>Draw</v>
      </c>
      <c r="M3050" t="str">
        <f>IF(COUNTIF($A$2:A3050,A3050)=1,
     VLOOKUP(A3050,Season_Winners!A:B,2,FALSE),
     "")</f>
        <v/>
      </c>
    </row>
    <row r="3051" spans="1:13" x14ac:dyDescent="0.3">
      <c r="A3051" t="s">
        <v>1138</v>
      </c>
      <c r="B3051">
        <v>1</v>
      </c>
      <c r="C3051" t="s">
        <v>1143</v>
      </c>
      <c r="D3051" t="str">
        <f t="shared" si="235"/>
        <v>16.08.2021</v>
      </c>
      <c r="E3051" s="1">
        <v>0.91666666666666663</v>
      </c>
      <c r="F3051" t="s">
        <v>31</v>
      </c>
      <c r="G3051" t="s">
        <v>15</v>
      </c>
      <c r="H3051" t="s">
        <v>41</v>
      </c>
      <c r="I3051" t="str">
        <f t="shared" si="236"/>
        <v>0-0</v>
      </c>
      <c r="J3051" t="str">
        <f t="shared" si="237"/>
        <v>0</v>
      </c>
      <c r="K3051" t="str">
        <f t="shared" si="238"/>
        <v>0</v>
      </c>
      <c r="L3051" t="str">
        <f t="shared" si="239"/>
        <v>Draw</v>
      </c>
      <c r="M3051" t="str">
        <f>IF(COUNTIF($A$2:A3051,A3051)=1,
     VLOOKUP(A3051,Season_Winners!A:B,2,FALSE),
     "")</f>
        <v/>
      </c>
    </row>
    <row r="3052" spans="1:13" hidden="1" x14ac:dyDescent="0.3">
      <c r="A3052" t="s">
        <v>1138</v>
      </c>
      <c r="B3052">
        <v>2</v>
      </c>
      <c r="C3052" t="s">
        <v>1144</v>
      </c>
      <c r="D3052" t="str">
        <f t="shared" si="235"/>
        <v>20.08.2021</v>
      </c>
      <c r="E3052" s="1">
        <v>0.875</v>
      </c>
      <c r="F3052" t="s">
        <v>26</v>
      </c>
      <c r="G3052" t="s">
        <v>1000</v>
      </c>
      <c r="H3052" s="2">
        <v>46023</v>
      </c>
      <c r="I3052" s="3" t="str">
        <f t="shared" si="236"/>
        <v/>
      </c>
      <c r="J3052" t="str">
        <f t="shared" si="237"/>
        <v/>
      </c>
      <c r="K3052" t="str">
        <f t="shared" si="238"/>
        <v/>
      </c>
      <c r="L3052" t="str">
        <f t="shared" si="239"/>
        <v/>
      </c>
      <c r="M3052" t="str">
        <f>IF(COUNTIF($A$2:A3052,A3052)=1,
     VLOOKUP(A3052,Season_Winners!A:B,2,FALSE),
     "")</f>
        <v/>
      </c>
    </row>
    <row r="3053" spans="1:13" x14ac:dyDescent="0.3">
      <c r="A3053" t="s">
        <v>1138</v>
      </c>
      <c r="B3053">
        <v>2</v>
      </c>
      <c r="C3053" t="s">
        <v>1145</v>
      </c>
      <c r="D3053" t="str">
        <f t="shared" si="235"/>
        <v>21.08.2021</v>
      </c>
      <c r="E3053" s="1">
        <v>0.70833333333333337</v>
      </c>
      <c r="F3053" t="s">
        <v>464</v>
      </c>
      <c r="G3053" t="s">
        <v>881</v>
      </c>
      <c r="H3053" t="s">
        <v>42</v>
      </c>
      <c r="I3053" t="str">
        <f t="shared" si="236"/>
        <v>0-1</v>
      </c>
      <c r="J3053" t="str">
        <f t="shared" si="237"/>
        <v>0</v>
      </c>
      <c r="K3053" t="str">
        <f t="shared" si="238"/>
        <v>1</v>
      </c>
      <c r="L3053" t="str">
        <f t="shared" si="239"/>
        <v>RCD Mallorca</v>
      </c>
      <c r="M3053" t="str">
        <f>IF(COUNTIF($A$2:A3053,A3053)=1,
     VLOOKUP(A3053,Season_Winners!A:B,2,FALSE),
     "")</f>
        <v/>
      </c>
    </row>
    <row r="3054" spans="1:13" hidden="1" x14ac:dyDescent="0.3">
      <c r="A3054" t="s">
        <v>1138</v>
      </c>
      <c r="B3054">
        <v>2</v>
      </c>
      <c r="C3054" t="s">
        <v>1145</v>
      </c>
      <c r="D3054" t="str">
        <f t="shared" si="235"/>
        <v>21.08.2021</v>
      </c>
      <c r="E3054" s="1">
        <v>0.8125</v>
      </c>
      <c r="F3054" t="s">
        <v>24</v>
      </c>
      <c r="G3054" t="s">
        <v>16</v>
      </c>
      <c r="H3054" s="2">
        <v>46023</v>
      </c>
      <c r="I3054" s="3" t="str">
        <f t="shared" si="236"/>
        <v/>
      </c>
      <c r="J3054" t="str">
        <f t="shared" si="237"/>
        <v/>
      </c>
      <c r="K3054" t="str">
        <f t="shared" si="238"/>
        <v/>
      </c>
      <c r="L3054" t="str">
        <f t="shared" si="239"/>
        <v/>
      </c>
      <c r="M3054" t="str">
        <f>IF(COUNTIF($A$2:A3054,A3054)=1,
     VLOOKUP(A3054,Season_Winners!A:B,2,FALSE),
     "")</f>
        <v/>
      </c>
    </row>
    <row r="3055" spans="1:13" x14ac:dyDescent="0.3">
      <c r="A3055" t="s">
        <v>1138</v>
      </c>
      <c r="B3055">
        <v>2</v>
      </c>
      <c r="C3055" t="s">
        <v>1145</v>
      </c>
      <c r="D3055" t="str">
        <f t="shared" si="235"/>
        <v>21.08.2021</v>
      </c>
      <c r="E3055" s="1">
        <v>0.8125</v>
      </c>
      <c r="F3055" t="s">
        <v>36</v>
      </c>
      <c r="G3055" t="s">
        <v>34</v>
      </c>
      <c r="H3055" t="s">
        <v>41</v>
      </c>
      <c r="I3055" t="str">
        <f t="shared" si="236"/>
        <v>0-0</v>
      </c>
      <c r="J3055" t="str">
        <f t="shared" si="237"/>
        <v>0</v>
      </c>
      <c r="K3055" t="str">
        <f t="shared" si="238"/>
        <v>0</v>
      </c>
      <c r="L3055" t="str">
        <f t="shared" si="239"/>
        <v>Draw</v>
      </c>
      <c r="M3055" t="str">
        <f>IF(COUNTIF($A$2:A3055,A3055)=1,
     VLOOKUP(A3055,Season_Winners!A:B,2,FALSE),
     "")</f>
        <v/>
      </c>
    </row>
    <row r="3056" spans="1:13" hidden="1" x14ac:dyDescent="0.3">
      <c r="A3056" t="s">
        <v>1138</v>
      </c>
      <c r="B3056">
        <v>2</v>
      </c>
      <c r="C3056" t="s">
        <v>1145</v>
      </c>
      <c r="D3056" t="str">
        <f t="shared" si="235"/>
        <v>21.08.2021</v>
      </c>
      <c r="E3056" s="1">
        <v>0.91666666666666663</v>
      </c>
      <c r="F3056" t="s">
        <v>15</v>
      </c>
      <c r="G3056" t="s">
        <v>20</v>
      </c>
      <c r="H3056" s="2">
        <v>46023</v>
      </c>
      <c r="I3056" s="3" t="str">
        <f t="shared" si="236"/>
        <v/>
      </c>
      <c r="J3056" t="str">
        <f t="shared" si="237"/>
        <v/>
      </c>
      <c r="K3056" t="str">
        <f t="shared" si="238"/>
        <v/>
      </c>
      <c r="L3056" t="str">
        <f t="shared" si="239"/>
        <v/>
      </c>
      <c r="M3056" t="str">
        <f>IF(COUNTIF($A$2:A3056,A3056)=1,
     VLOOKUP(A3056,Season_Winners!A:B,2,FALSE),
     "")</f>
        <v/>
      </c>
    </row>
    <row r="3057" spans="1:13" x14ac:dyDescent="0.3">
      <c r="A3057" t="s">
        <v>1138</v>
      </c>
      <c r="B3057">
        <v>2</v>
      </c>
      <c r="C3057" t="s">
        <v>1147</v>
      </c>
      <c r="D3057" t="str">
        <f t="shared" si="235"/>
        <v>22.08.2021</v>
      </c>
      <c r="E3057" s="1">
        <v>0.70833333333333337</v>
      </c>
      <c r="F3057" t="s">
        <v>10</v>
      </c>
      <c r="G3057" t="s">
        <v>30</v>
      </c>
      <c r="H3057" t="s">
        <v>18</v>
      </c>
      <c r="I3057" t="str">
        <f t="shared" si="236"/>
        <v>1-0</v>
      </c>
      <c r="J3057" t="str">
        <f t="shared" si="237"/>
        <v>1</v>
      </c>
      <c r="K3057" t="str">
        <f t="shared" si="238"/>
        <v>0</v>
      </c>
      <c r="L3057" t="str">
        <f t="shared" si="239"/>
        <v>Real Sociedad</v>
      </c>
      <c r="M3057" t="str">
        <f>IF(COUNTIF($A$2:A3057,A3057)=1,
     VLOOKUP(A3057,Season_Winners!A:B,2,FALSE),
     "")</f>
        <v/>
      </c>
    </row>
    <row r="3058" spans="1:13" x14ac:dyDescent="0.3">
      <c r="A3058" t="s">
        <v>1138</v>
      </c>
      <c r="B3058">
        <v>2</v>
      </c>
      <c r="C3058" t="s">
        <v>1147</v>
      </c>
      <c r="D3058" t="str">
        <f t="shared" si="235"/>
        <v>22.08.2021</v>
      </c>
      <c r="E3058" s="1">
        <v>0.8125</v>
      </c>
      <c r="F3058" t="s">
        <v>1425</v>
      </c>
      <c r="G3058" t="s">
        <v>31</v>
      </c>
      <c r="H3058" t="s">
        <v>18</v>
      </c>
      <c r="I3058" t="str">
        <f t="shared" si="236"/>
        <v>1-0</v>
      </c>
      <c r="J3058" t="str">
        <f t="shared" si="237"/>
        <v>1</v>
      </c>
      <c r="K3058" t="str">
        <f t="shared" si="238"/>
        <v>0</v>
      </c>
      <c r="L3058" t="str">
        <f t="shared" si="239"/>
        <v>Atlético de Madrid</v>
      </c>
      <c r="M3058" t="str">
        <f>IF(COUNTIF($A$2:A3058,A3058)=1,
     VLOOKUP(A3058,Season_Winners!A:B,2,FALSE),
     "")</f>
        <v/>
      </c>
    </row>
    <row r="3059" spans="1:13" hidden="1" x14ac:dyDescent="0.3">
      <c r="A3059" t="s">
        <v>1138</v>
      </c>
      <c r="B3059">
        <v>2</v>
      </c>
      <c r="C3059" t="s">
        <v>1147</v>
      </c>
      <c r="D3059" t="str">
        <f t="shared" si="235"/>
        <v>22.08.2021</v>
      </c>
      <c r="E3059" s="1">
        <v>0.91666666666666663</v>
      </c>
      <c r="F3059" t="s">
        <v>21</v>
      </c>
      <c r="G3059" t="s">
        <v>25</v>
      </c>
      <c r="H3059" s="2">
        <v>46084</v>
      </c>
      <c r="I3059" s="3" t="str">
        <f t="shared" si="236"/>
        <v/>
      </c>
      <c r="J3059" t="str">
        <f t="shared" si="237"/>
        <v/>
      </c>
      <c r="K3059" t="str">
        <f t="shared" si="238"/>
        <v/>
      </c>
      <c r="L3059" t="str">
        <f t="shared" si="239"/>
        <v/>
      </c>
      <c r="M3059" t="str">
        <f>IF(COUNTIF($A$2:A3059,A3059)=1,
     VLOOKUP(A3059,Season_Winners!A:B,2,FALSE),
     "")</f>
        <v/>
      </c>
    </row>
    <row r="3060" spans="1:13" x14ac:dyDescent="0.3">
      <c r="A3060" t="s">
        <v>1138</v>
      </c>
      <c r="B3060">
        <v>2</v>
      </c>
      <c r="C3060" t="s">
        <v>1148</v>
      </c>
      <c r="D3060" t="str">
        <f t="shared" si="235"/>
        <v>23.08.2021</v>
      </c>
      <c r="E3060" s="1">
        <v>0.83333333333333337</v>
      </c>
      <c r="F3060" t="s">
        <v>11</v>
      </c>
      <c r="G3060" t="s">
        <v>27</v>
      </c>
      <c r="H3060" t="s">
        <v>42</v>
      </c>
      <c r="I3060" t="str">
        <f t="shared" si="236"/>
        <v>0-1</v>
      </c>
      <c r="J3060" t="str">
        <f t="shared" si="237"/>
        <v>0</v>
      </c>
      <c r="K3060" t="str">
        <f t="shared" si="238"/>
        <v>1</v>
      </c>
      <c r="L3060" t="str">
        <f t="shared" si="239"/>
        <v>Sevilla FC</v>
      </c>
      <c r="M3060" t="str">
        <f>IF(COUNTIF($A$2:A3060,A3060)=1,
     VLOOKUP(A3060,Season_Winners!A:B,2,FALSE),
     "")</f>
        <v/>
      </c>
    </row>
    <row r="3061" spans="1:13" x14ac:dyDescent="0.3">
      <c r="A3061" t="s">
        <v>1138</v>
      </c>
      <c r="B3061">
        <v>2</v>
      </c>
      <c r="C3061" t="s">
        <v>1148</v>
      </c>
      <c r="D3061" t="str">
        <f t="shared" si="235"/>
        <v>23.08.2021</v>
      </c>
      <c r="E3061" s="1">
        <v>0.91666666666666663</v>
      </c>
      <c r="F3061" t="s">
        <v>23</v>
      </c>
      <c r="G3061" t="s">
        <v>35</v>
      </c>
      <c r="H3061" t="s">
        <v>41</v>
      </c>
      <c r="I3061" t="str">
        <f t="shared" si="236"/>
        <v>0-0</v>
      </c>
      <c r="J3061" t="str">
        <f t="shared" si="237"/>
        <v>0</v>
      </c>
      <c r="K3061" t="str">
        <f t="shared" si="238"/>
        <v>0</v>
      </c>
      <c r="L3061" t="str">
        <f t="shared" si="239"/>
        <v>Draw</v>
      </c>
      <c r="M3061" t="str">
        <f>IF(COUNTIF($A$2:A3061,A3061)=1,
     VLOOKUP(A3061,Season_Winners!A:B,2,FALSE),
     "")</f>
        <v/>
      </c>
    </row>
    <row r="3062" spans="1:13" x14ac:dyDescent="0.3">
      <c r="A3062" t="s">
        <v>1138</v>
      </c>
      <c r="B3062">
        <v>3</v>
      </c>
      <c r="C3062" t="s">
        <v>1149</v>
      </c>
      <c r="D3062" t="str">
        <f t="shared" si="235"/>
        <v>27.08.2021</v>
      </c>
      <c r="E3062" s="1">
        <v>0.83333333333333337</v>
      </c>
      <c r="F3062" t="s">
        <v>881</v>
      </c>
      <c r="G3062" t="s">
        <v>36</v>
      </c>
      <c r="H3062" t="s">
        <v>18</v>
      </c>
      <c r="I3062" t="str">
        <f t="shared" si="236"/>
        <v>1-0</v>
      </c>
      <c r="J3062" t="str">
        <f t="shared" si="237"/>
        <v>1</v>
      </c>
      <c r="K3062" t="str">
        <f t="shared" si="238"/>
        <v>0</v>
      </c>
      <c r="L3062" t="str">
        <f t="shared" si="239"/>
        <v>RCD Mallorca</v>
      </c>
      <c r="M3062" t="str">
        <f>IF(COUNTIF($A$2:A3062,A3062)=1,
     VLOOKUP(A3062,Season_Winners!A:B,2,FALSE),
     "")</f>
        <v/>
      </c>
    </row>
    <row r="3063" spans="1:13" x14ac:dyDescent="0.3">
      <c r="A3063" t="s">
        <v>1138</v>
      </c>
      <c r="B3063">
        <v>3</v>
      </c>
      <c r="C3063" t="s">
        <v>1149</v>
      </c>
      <c r="D3063" t="str">
        <f t="shared" si="235"/>
        <v>27.08.2021</v>
      </c>
      <c r="E3063" s="1">
        <v>0.92708333333333337</v>
      </c>
      <c r="F3063" t="s">
        <v>16</v>
      </c>
      <c r="G3063" t="s">
        <v>464</v>
      </c>
      <c r="H3063" t="s">
        <v>32</v>
      </c>
      <c r="I3063" t="str">
        <f t="shared" si="236"/>
        <v>3-0</v>
      </c>
      <c r="J3063" t="str">
        <f t="shared" si="237"/>
        <v>3</v>
      </c>
      <c r="K3063" t="str">
        <f t="shared" si="238"/>
        <v>0</v>
      </c>
      <c r="L3063" t="str">
        <f t="shared" si="239"/>
        <v>Valencia CF</v>
      </c>
      <c r="M3063" t="str">
        <f>IF(COUNTIF($A$2:A3063,A3063)=1,
     VLOOKUP(A3063,Season_Winners!A:B,2,FALSE),
     "")</f>
        <v/>
      </c>
    </row>
    <row r="3064" spans="1:13" x14ac:dyDescent="0.3">
      <c r="A3064" t="s">
        <v>1138</v>
      </c>
      <c r="B3064">
        <v>3</v>
      </c>
      <c r="C3064" t="s">
        <v>1150</v>
      </c>
      <c r="D3064" t="str">
        <f t="shared" si="235"/>
        <v>28.08.2021</v>
      </c>
      <c r="E3064" s="1">
        <v>0.70833333333333337</v>
      </c>
      <c r="F3064" t="s">
        <v>35</v>
      </c>
      <c r="G3064" t="s">
        <v>15</v>
      </c>
      <c r="H3064" t="s">
        <v>42</v>
      </c>
      <c r="I3064" t="str">
        <f t="shared" si="236"/>
        <v>0-1</v>
      </c>
      <c r="J3064" t="str">
        <f t="shared" si="237"/>
        <v>0</v>
      </c>
      <c r="K3064" t="str">
        <f t="shared" si="238"/>
        <v>1</v>
      </c>
      <c r="L3064" t="str">
        <f t="shared" si="239"/>
        <v>Athletic Club</v>
      </c>
      <c r="M3064" t="str">
        <f>IF(COUNTIF($A$2:A3064,A3064)=1,
     VLOOKUP(A3064,Season_Winners!A:B,2,FALSE),
     "")</f>
        <v/>
      </c>
    </row>
    <row r="3065" spans="1:13" x14ac:dyDescent="0.3">
      <c r="A3065" t="s">
        <v>1138</v>
      </c>
      <c r="B3065">
        <v>3</v>
      </c>
      <c r="C3065" t="s">
        <v>1150</v>
      </c>
      <c r="D3065" t="str">
        <f t="shared" si="235"/>
        <v>28.08.2021</v>
      </c>
      <c r="E3065" s="1">
        <v>0.8125</v>
      </c>
      <c r="F3065" t="s">
        <v>10</v>
      </c>
      <c r="G3065" t="s">
        <v>21</v>
      </c>
      <c r="H3065" t="s">
        <v>18</v>
      </c>
      <c r="I3065" t="str">
        <f t="shared" si="236"/>
        <v>1-0</v>
      </c>
      <c r="J3065" t="str">
        <f t="shared" si="237"/>
        <v>1</v>
      </c>
      <c r="K3065" t="str">
        <f t="shared" si="238"/>
        <v>0</v>
      </c>
      <c r="L3065" t="str">
        <f t="shared" si="239"/>
        <v>Real Sociedad</v>
      </c>
      <c r="M3065" t="str">
        <f>IF(COUNTIF($A$2:A3065,A3065)=1,
     VLOOKUP(A3065,Season_Winners!A:B,2,FALSE),
     "")</f>
        <v/>
      </c>
    </row>
    <row r="3066" spans="1:13" hidden="1" x14ac:dyDescent="0.3">
      <c r="A3066" t="s">
        <v>1138</v>
      </c>
      <c r="B3066">
        <v>3</v>
      </c>
      <c r="C3066" t="s">
        <v>1150</v>
      </c>
      <c r="D3066" t="str">
        <f t="shared" si="235"/>
        <v>28.08.2021</v>
      </c>
      <c r="E3066" s="1">
        <v>0.8125</v>
      </c>
      <c r="F3066" t="s">
        <v>31</v>
      </c>
      <c r="G3066" t="s">
        <v>27</v>
      </c>
      <c r="H3066" s="2">
        <v>46023</v>
      </c>
      <c r="I3066" s="3" t="str">
        <f t="shared" si="236"/>
        <v/>
      </c>
      <c r="J3066" t="str">
        <f t="shared" si="237"/>
        <v/>
      </c>
      <c r="K3066" t="str">
        <f t="shared" si="238"/>
        <v/>
      </c>
      <c r="L3066" t="str">
        <f t="shared" si="239"/>
        <v/>
      </c>
      <c r="M3066" t="str">
        <f>IF(COUNTIF($A$2:A3066,A3066)=1,
     VLOOKUP(A3066,Season_Winners!A:B,2,FALSE),
     "")</f>
        <v/>
      </c>
    </row>
    <row r="3067" spans="1:13" x14ac:dyDescent="0.3">
      <c r="A3067" t="s">
        <v>1138</v>
      </c>
      <c r="B3067">
        <v>3</v>
      </c>
      <c r="C3067" t="s">
        <v>1150</v>
      </c>
      <c r="D3067" t="str">
        <f t="shared" si="235"/>
        <v>28.08.2021</v>
      </c>
      <c r="E3067" s="1">
        <v>0.91666666666666663</v>
      </c>
      <c r="F3067" t="s">
        <v>26</v>
      </c>
      <c r="G3067" t="s">
        <v>25</v>
      </c>
      <c r="H3067" t="s">
        <v>42</v>
      </c>
      <c r="I3067" t="str">
        <f t="shared" si="236"/>
        <v>0-1</v>
      </c>
      <c r="J3067" t="str">
        <f t="shared" si="237"/>
        <v>0</v>
      </c>
      <c r="K3067" t="str">
        <f t="shared" si="238"/>
        <v>1</v>
      </c>
      <c r="L3067" t="str">
        <f t="shared" si="239"/>
        <v>Real Madrid</v>
      </c>
      <c r="M3067" t="str">
        <f>IF(COUNTIF($A$2:A3067,A3067)=1,
     VLOOKUP(A3067,Season_Winners!A:B,2,FALSE),
     "")</f>
        <v/>
      </c>
    </row>
    <row r="3068" spans="1:13" hidden="1" x14ac:dyDescent="0.3">
      <c r="A3068" t="s">
        <v>1138</v>
      </c>
      <c r="B3068">
        <v>3</v>
      </c>
      <c r="C3068" t="s">
        <v>1151</v>
      </c>
      <c r="D3068" t="str">
        <f t="shared" si="235"/>
        <v>29.08.2021</v>
      </c>
      <c r="E3068" s="1">
        <v>0.70833333333333337</v>
      </c>
      <c r="F3068" t="s">
        <v>20</v>
      </c>
      <c r="G3068" t="s">
        <v>11</v>
      </c>
      <c r="H3068" s="2">
        <v>46024</v>
      </c>
      <c r="I3068" s="3" t="str">
        <f t="shared" si="236"/>
        <v/>
      </c>
      <c r="J3068" t="str">
        <f t="shared" si="237"/>
        <v/>
      </c>
      <c r="K3068" t="str">
        <f t="shared" si="238"/>
        <v/>
      </c>
      <c r="L3068" t="str">
        <f t="shared" si="239"/>
        <v/>
      </c>
      <c r="M3068" t="str">
        <f>IF(COUNTIF($A$2:A3068,A3068)=1,
     VLOOKUP(A3068,Season_Winners!A:B,2,FALSE),
     "")</f>
        <v/>
      </c>
    </row>
    <row r="3069" spans="1:13" hidden="1" x14ac:dyDescent="0.3">
      <c r="A3069" t="s">
        <v>1138</v>
      </c>
      <c r="B3069">
        <v>3</v>
      </c>
      <c r="C3069" t="s">
        <v>1151</v>
      </c>
      <c r="D3069" t="str">
        <f t="shared" si="235"/>
        <v>29.08.2021</v>
      </c>
      <c r="E3069" s="1">
        <v>0.8125</v>
      </c>
      <c r="F3069" t="s">
        <v>1000</v>
      </c>
      <c r="G3069" t="s">
        <v>23</v>
      </c>
      <c r="H3069" s="2">
        <v>46083</v>
      </c>
      <c r="I3069" s="3" t="str">
        <f t="shared" si="236"/>
        <v/>
      </c>
      <c r="J3069" t="str">
        <f t="shared" si="237"/>
        <v/>
      </c>
      <c r="K3069" t="str">
        <f t="shared" si="238"/>
        <v/>
      </c>
      <c r="L3069" t="str">
        <f t="shared" si="239"/>
        <v/>
      </c>
      <c r="M3069" t="str">
        <f>IF(COUNTIF($A$2:A3069,A3069)=1,
     VLOOKUP(A3069,Season_Winners!A:B,2,FALSE),
     "")</f>
        <v/>
      </c>
    </row>
    <row r="3070" spans="1:13" x14ac:dyDescent="0.3">
      <c r="A3070" t="s">
        <v>1138</v>
      </c>
      <c r="B3070">
        <v>3</v>
      </c>
      <c r="C3070" t="s">
        <v>1151</v>
      </c>
      <c r="D3070" t="str">
        <f t="shared" si="235"/>
        <v>29.08.2021</v>
      </c>
      <c r="E3070" s="1">
        <v>0.8125</v>
      </c>
      <c r="F3070" t="s">
        <v>30</v>
      </c>
      <c r="G3070" t="s">
        <v>24</v>
      </c>
      <c r="H3070" t="s">
        <v>88</v>
      </c>
      <c r="I3070" t="str">
        <f t="shared" si="236"/>
        <v>4-0</v>
      </c>
      <c r="J3070" t="str">
        <f t="shared" si="237"/>
        <v>4</v>
      </c>
      <c r="K3070" t="str">
        <f t="shared" si="238"/>
        <v>0</v>
      </c>
      <c r="L3070" t="str">
        <f t="shared" si="239"/>
        <v>Rayo Vallecano</v>
      </c>
      <c r="M3070" t="str">
        <f>IF(COUNTIF($A$2:A3070,A3070)=1,
     VLOOKUP(A3070,Season_Winners!A:B,2,FALSE),
     "")</f>
        <v/>
      </c>
    </row>
    <row r="3071" spans="1:13" hidden="1" x14ac:dyDescent="0.3">
      <c r="A3071" t="s">
        <v>1138</v>
      </c>
      <c r="B3071">
        <v>3</v>
      </c>
      <c r="C3071" t="s">
        <v>1151</v>
      </c>
      <c r="D3071" t="str">
        <f t="shared" si="235"/>
        <v>29.08.2021</v>
      </c>
      <c r="E3071" s="1">
        <v>0.91666666666666663</v>
      </c>
      <c r="F3071" t="s">
        <v>28</v>
      </c>
      <c r="G3071" t="s">
        <v>34</v>
      </c>
      <c r="H3071" s="2">
        <v>46055</v>
      </c>
      <c r="I3071" s="3" t="str">
        <f t="shared" si="236"/>
        <v/>
      </c>
      <c r="J3071" t="str">
        <f t="shared" si="237"/>
        <v/>
      </c>
      <c r="K3071" t="str">
        <f t="shared" si="238"/>
        <v/>
      </c>
      <c r="L3071" t="str">
        <f t="shared" si="239"/>
        <v/>
      </c>
      <c r="M3071" t="str">
        <f>IF(COUNTIF($A$2:A3071,A3071)=1,
     VLOOKUP(A3071,Season_Winners!A:B,2,FALSE),
     "")</f>
        <v/>
      </c>
    </row>
    <row r="3072" spans="1:13" hidden="1" x14ac:dyDescent="0.3">
      <c r="A3072" t="s">
        <v>1138</v>
      </c>
      <c r="B3072">
        <v>4</v>
      </c>
      <c r="C3072" t="s">
        <v>1152</v>
      </c>
      <c r="D3072" t="str">
        <f t="shared" si="235"/>
        <v>11.09.2021</v>
      </c>
      <c r="E3072" s="1">
        <v>0.77083333333333337</v>
      </c>
      <c r="F3072" t="s">
        <v>21</v>
      </c>
      <c r="G3072" t="s">
        <v>30</v>
      </c>
      <c r="H3072" s="2">
        <v>46023</v>
      </c>
      <c r="I3072" s="3" t="str">
        <f t="shared" si="236"/>
        <v/>
      </c>
      <c r="J3072" t="str">
        <f t="shared" si="237"/>
        <v/>
      </c>
      <c r="K3072" t="str">
        <f t="shared" si="238"/>
        <v/>
      </c>
      <c r="L3072" t="str">
        <f t="shared" si="239"/>
        <v/>
      </c>
      <c r="M3072" t="str">
        <f>IF(COUNTIF($A$2:A3072,A3072)=1,
     VLOOKUP(A3072,Season_Winners!A:B,2,FALSE),
     "")</f>
        <v/>
      </c>
    </row>
    <row r="3073" spans="1:13" x14ac:dyDescent="0.3">
      <c r="A3073" t="s">
        <v>1138</v>
      </c>
      <c r="B3073">
        <v>4</v>
      </c>
      <c r="C3073" t="s">
        <v>1152</v>
      </c>
      <c r="D3073" t="str">
        <f t="shared" si="235"/>
        <v>11.09.2021</v>
      </c>
      <c r="E3073" s="1">
        <v>0.875</v>
      </c>
      <c r="F3073" t="s">
        <v>15</v>
      </c>
      <c r="G3073" t="s">
        <v>881</v>
      </c>
      <c r="H3073" t="s">
        <v>12</v>
      </c>
      <c r="I3073" t="str">
        <f t="shared" si="236"/>
        <v>2-0</v>
      </c>
      <c r="J3073" t="str">
        <f t="shared" si="237"/>
        <v>2</v>
      </c>
      <c r="K3073" t="str">
        <f t="shared" si="238"/>
        <v>0</v>
      </c>
      <c r="L3073" t="str">
        <f t="shared" si="239"/>
        <v>Athletic Club</v>
      </c>
      <c r="M3073" t="str">
        <f>IF(COUNTIF($A$2:A3073,A3073)=1,
     VLOOKUP(A3073,Season_Winners!A:B,2,FALSE),
     "")</f>
        <v/>
      </c>
    </row>
    <row r="3074" spans="1:13" hidden="1" x14ac:dyDescent="0.3">
      <c r="A3074" t="s">
        <v>1138</v>
      </c>
      <c r="B3074">
        <v>4</v>
      </c>
      <c r="C3074" t="s">
        <v>1153</v>
      </c>
      <c r="D3074" t="str">
        <f t="shared" ref="D3074:D3137" si="240">RIGHT(C3074,10)</f>
        <v>12.09.2021</v>
      </c>
      <c r="E3074" s="1">
        <v>0.58333333333333337</v>
      </c>
      <c r="F3074" t="s">
        <v>36</v>
      </c>
      <c r="G3074" t="s">
        <v>28</v>
      </c>
      <c r="H3074" s="2">
        <v>46054</v>
      </c>
      <c r="I3074" s="3" t="str">
        <f t="shared" ref="I3074:I3137" si="241">IF(ISNUMBER(SEARCH("-",H3074)),H3074,"")</f>
        <v/>
      </c>
      <c r="J3074" t="str">
        <f t="shared" ref="J3074:J3137" si="242">IF(I3074="","",LEFT(I3074,FIND("-",I3074)-1))</f>
        <v/>
      </c>
      <c r="K3074" t="str">
        <f t="shared" ref="K3074:K3137" si="243">IF(I3074="","",RIGHT(I3074,LEN(I3074)-FIND("-",I3074)))</f>
        <v/>
      </c>
      <c r="L3074" t="str">
        <f t="shared" ref="L3074:L3137" si="244">IF(I3074="","",IF(J3074&gt;K3074,F3074,IF(K3074&gt;J3074,G3074,"Draw")))</f>
        <v/>
      </c>
      <c r="M3074" t="str">
        <f>IF(COUNTIF($A$2:A3074,A3074)=1,
     VLOOKUP(A3074,Season_Winners!A:B,2,FALSE),
     "")</f>
        <v/>
      </c>
    </row>
    <row r="3075" spans="1:13" hidden="1" x14ac:dyDescent="0.3">
      <c r="A3075" t="s">
        <v>1138</v>
      </c>
      <c r="B3075">
        <v>4</v>
      </c>
      <c r="C3075" t="s">
        <v>1153</v>
      </c>
      <c r="D3075" t="str">
        <f t="shared" si="240"/>
        <v>12.09.2021</v>
      </c>
      <c r="E3075" s="1">
        <v>0.67708333333333337</v>
      </c>
      <c r="F3075" t="s">
        <v>23</v>
      </c>
      <c r="G3075" t="s">
        <v>16</v>
      </c>
      <c r="H3075" s="2">
        <v>46113</v>
      </c>
      <c r="I3075" s="3" t="str">
        <f t="shared" si="241"/>
        <v/>
      </c>
      <c r="J3075" t="str">
        <f t="shared" si="242"/>
        <v/>
      </c>
      <c r="K3075" t="str">
        <f t="shared" si="243"/>
        <v/>
      </c>
      <c r="L3075" t="str">
        <f t="shared" si="244"/>
        <v/>
      </c>
      <c r="M3075" t="str">
        <f>IF(COUNTIF($A$2:A3075,A3075)=1,
     VLOOKUP(A3075,Season_Winners!A:B,2,FALSE),
     "")</f>
        <v/>
      </c>
    </row>
    <row r="3076" spans="1:13" x14ac:dyDescent="0.3">
      <c r="A3076" t="s">
        <v>1138</v>
      </c>
      <c r="B3076">
        <v>4</v>
      </c>
      <c r="C3076" t="s">
        <v>1153</v>
      </c>
      <c r="D3076" t="str">
        <f t="shared" si="240"/>
        <v>12.09.2021</v>
      </c>
      <c r="E3076" s="1">
        <v>0.77083333333333337</v>
      </c>
      <c r="F3076" t="s">
        <v>1000</v>
      </c>
      <c r="G3076" t="s">
        <v>10</v>
      </c>
      <c r="H3076" t="s">
        <v>54</v>
      </c>
      <c r="I3076" t="str">
        <f t="shared" si="241"/>
        <v>0-2</v>
      </c>
      <c r="J3076" t="str">
        <f t="shared" si="242"/>
        <v>0</v>
      </c>
      <c r="K3076" t="str">
        <f t="shared" si="243"/>
        <v>2</v>
      </c>
      <c r="L3076" t="str">
        <f t="shared" si="244"/>
        <v>Real Sociedad</v>
      </c>
      <c r="M3076" t="str">
        <f>IF(COUNTIF($A$2:A3076,A3076)=1,
     VLOOKUP(A3076,Season_Winners!A:B,2,FALSE),
     "")</f>
        <v/>
      </c>
    </row>
    <row r="3077" spans="1:13" hidden="1" x14ac:dyDescent="0.3">
      <c r="A3077" t="s">
        <v>1138</v>
      </c>
      <c r="B3077">
        <v>4</v>
      </c>
      <c r="C3077" t="s">
        <v>1153</v>
      </c>
      <c r="D3077" t="str">
        <f t="shared" si="240"/>
        <v>12.09.2021</v>
      </c>
      <c r="E3077" s="1">
        <v>0.875</v>
      </c>
      <c r="F3077" t="s">
        <v>25</v>
      </c>
      <c r="G3077" t="s">
        <v>35</v>
      </c>
      <c r="H3077" s="2">
        <v>46058</v>
      </c>
      <c r="I3077" s="3" t="str">
        <f t="shared" si="241"/>
        <v/>
      </c>
      <c r="J3077" t="str">
        <f t="shared" si="242"/>
        <v/>
      </c>
      <c r="K3077" t="str">
        <f t="shared" si="243"/>
        <v/>
      </c>
      <c r="L3077" t="str">
        <f t="shared" si="244"/>
        <v/>
      </c>
      <c r="M3077" t="str">
        <f>IF(COUNTIF($A$2:A3077,A3077)=1,
     VLOOKUP(A3077,Season_Winners!A:B,2,FALSE),
     "")</f>
        <v/>
      </c>
    </row>
    <row r="3078" spans="1:13" x14ac:dyDescent="0.3">
      <c r="A3078" t="s">
        <v>1138</v>
      </c>
      <c r="B3078">
        <v>4</v>
      </c>
      <c r="C3078" t="s">
        <v>1154</v>
      </c>
      <c r="D3078" t="str">
        <f t="shared" si="240"/>
        <v>13.09.2021</v>
      </c>
      <c r="E3078" s="1">
        <v>0.83333333333333337</v>
      </c>
      <c r="F3078" t="s">
        <v>11</v>
      </c>
      <c r="G3078" t="s">
        <v>31</v>
      </c>
      <c r="H3078" t="s">
        <v>42</v>
      </c>
      <c r="I3078" t="str">
        <f t="shared" si="241"/>
        <v>0-1</v>
      </c>
      <c r="J3078" t="str">
        <f t="shared" si="242"/>
        <v>0</v>
      </c>
      <c r="K3078" t="str">
        <f t="shared" si="243"/>
        <v>1</v>
      </c>
      <c r="L3078" t="str">
        <f t="shared" si="244"/>
        <v>Elche CF</v>
      </c>
      <c r="M3078" t="str">
        <f>IF(COUNTIF($A$2:A3078,A3078)=1,
     VLOOKUP(A3078,Season_Winners!A:B,2,FALSE),
     "")</f>
        <v/>
      </c>
    </row>
    <row r="3079" spans="1:13" hidden="1" x14ac:dyDescent="0.3">
      <c r="A3079" t="s">
        <v>1138</v>
      </c>
      <c r="B3079">
        <v>4</v>
      </c>
      <c r="C3079" t="s">
        <v>1154</v>
      </c>
      <c r="D3079" t="str">
        <f t="shared" si="240"/>
        <v>13.09.2021</v>
      </c>
      <c r="E3079" s="1">
        <v>0.91666666666666663</v>
      </c>
      <c r="F3079" t="s">
        <v>24</v>
      </c>
      <c r="G3079" t="s">
        <v>26</v>
      </c>
      <c r="H3079" s="2">
        <v>46054</v>
      </c>
      <c r="I3079" s="3" t="str">
        <f t="shared" si="241"/>
        <v/>
      </c>
      <c r="J3079" t="str">
        <f t="shared" si="242"/>
        <v/>
      </c>
      <c r="K3079" t="str">
        <f t="shared" si="243"/>
        <v/>
      </c>
      <c r="L3079" t="str">
        <f t="shared" si="244"/>
        <v/>
      </c>
      <c r="M3079" t="str">
        <f>IF(COUNTIF($A$2:A3079,A3079)=1,
     VLOOKUP(A3079,Season_Winners!A:B,2,FALSE),
     "")</f>
        <v/>
      </c>
    </row>
    <row r="3080" spans="1:13" hidden="1" x14ac:dyDescent="0.3">
      <c r="A3080" t="s">
        <v>1138</v>
      </c>
      <c r="B3080">
        <v>4</v>
      </c>
      <c r="C3080" t="s">
        <v>1155</v>
      </c>
      <c r="D3080" t="str">
        <f t="shared" si="240"/>
        <v>21.12.2021</v>
      </c>
      <c r="E3080" s="1">
        <v>0.79166666666666663</v>
      </c>
      <c r="F3080" t="s">
        <v>34</v>
      </c>
      <c r="G3080" t="s">
        <v>464</v>
      </c>
      <c r="H3080" s="2">
        <v>46058</v>
      </c>
      <c r="I3080" s="3" t="str">
        <f t="shared" si="241"/>
        <v/>
      </c>
      <c r="J3080" t="str">
        <f t="shared" si="242"/>
        <v/>
      </c>
      <c r="K3080" t="str">
        <f t="shared" si="243"/>
        <v/>
      </c>
      <c r="L3080" t="str">
        <f t="shared" si="244"/>
        <v/>
      </c>
      <c r="M3080" t="str">
        <f>IF(COUNTIF($A$2:A3080,A3080)=1,
     VLOOKUP(A3080,Season_Winners!A:B,2,FALSE),
     "")</f>
        <v/>
      </c>
    </row>
    <row r="3081" spans="1:13" hidden="1" x14ac:dyDescent="0.3">
      <c r="A3081" t="s">
        <v>1138</v>
      </c>
      <c r="B3081">
        <v>4</v>
      </c>
      <c r="C3081" t="s">
        <v>1155</v>
      </c>
      <c r="D3081" t="str">
        <f t="shared" si="240"/>
        <v>21.12.2021</v>
      </c>
      <c r="E3081" s="1">
        <v>0.89583333333333337</v>
      </c>
      <c r="F3081" t="s">
        <v>27</v>
      </c>
      <c r="G3081" t="s">
        <v>20</v>
      </c>
      <c r="H3081" s="2">
        <v>46023</v>
      </c>
      <c r="I3081" s="3" t="str">
        <f t="shared" si="241"/>
        <v/>
      </c>
      <c r="J3081" t="str">
        <f t="shared" si="242"/>
        <v/>
      </c>
      <c r="K3081" t="str">
        <f t="shared" si="243"/>
        <v/>
      </c>
      <c r="L3081" t="str">
        <f t="shared" si="244"/>
        <v/>
      </c>
      <c r="M3081" t="str">
        <f>IF(COUNTIF($A$2:A3081,A3081)=1,
     VLOOKUP(A3081,Season_Winners!A:B,2,FALSE),
     "")</f>
        <v/>
      </c>
    </row>
    <row r="3082" spans="1:13" hidden="1" x14ac:dyDescent="0.3">
      <c r="A3082" t="s">
        <v>1138</v>
      </c>
      <c r="B3082">
        <v>5</v>
      </c>
      <c r="C3082" t="s">
        <v>1156</v>
      </c>
      <c r="D3082" t="str">
        <f t="shared" si="240"/>
        <v>17.09.2021</v>
      </c>
      <c r="E3082" s="1">
        <v>0.875</v>
      </c>
      <c r="F3082" t="s">
        <v>35</v>
      </c>
      <c r="G3082" t="s">
        <v>1000</v>
      </c>
      <c r="H3082" s="2">
        <v>46054</v>
      </c>
      <c r="I3082" s="3" t="str">
        <f t="shared" si="241"/>
        <v/>
      </c>
      <c r="J3082" t="str">
        <f t="shared" si="242"/>
        <v/>
      </c>
      <c r="K3082" t="str">
        <f t="shared" si="243"/>
        <v/>
      </c>
      <c r="L3082" t="str">
        <f t="shared" si="244"/>
        <v/>
      </c>
      <c r="M3082" t="str">
        <f>IF(COUNTIF($A$2:A3082,A3082)=1,
     VLOOKUP(A3082,Season_Winners!A:B,2,FALSE),
     "")</f>
        <v/>
      </c>
    </row>
    <row r="3083" spans="1:13" x14ac:dyDescent="0.3">
      <c r="A3083" t="s">
        <v>1138</v>
      </c>
      <c r="B3083">
        <v>5</v>
      </c>
      <c r="C3083" t="s">
        <v>1157</v>
      </c>
      <c r="D3083" t="str">
        <f t="shared" si="240"/>
        <v>18.09.2021</v>
      </c>
      <c r="E3083" s="1">
        <v>0.58333333333333337</v>
      </c>
      <c r="F3083" t="s">
        <v>30</v>
      </c>
      <c r="G3083" t="s">
        <v>11</v>
      </c>
      <c r="H3083" t="s">
        <v>32</v>
      </c>
      <c r="I3083" t="str">
        <f t="shared" si="241"/>
        <v>3-0</v>
      </c>
      <c r="J3083" t="str">
        <f t="shared" si="242"/>
        <v>3</v>
      </c>
      <c r="K3083" t="str">
        <f t="shared" si="243"/>
        <v>0</v>
      </c>
      <c r="L3083" t="str">
        <f t="shared" si="244"/>
        <v>Rayo Vallecano</v>
      </c>
      <c r="M3083" t="str">
        <f>IF(COUNTIF($A$2:A3083,A3083)=1,
     VLOOKUP(A3083,Season_Winners!A:B,2,FALSE),
     "")</f>
        <v/>
      </c>
    </row>
    <row r="3084" spans="1:13" x14ac:dyDescent="0.3">
      <c r="A3084" t="s">
        <v>1138</v>
      </c>
      <c r="B3084">
        <v>5</v>
      </c>
      <c r="C3084" t="s">
        <v>1157</v>
      </c>
      <c r="D3084" t="str">
        <f t="shared" si="240"/>
        <v>18.09.2021</v>
      </c>
      <c r="E3084" s="1">
        <v>0.67708333333333337</v>
      </c>
      <c r="F3084" t="s">
        <v>1425</v>
      </c>
      <c r="G3084" t="s">
        <v>15</v>
      </c>
      <c r="H3084" t="s">
        <v>41</v>
      </c>
      <c r="I3084" t="str">
        <f t="shared" si="241"/>
        <v>0-0</v>
      </c>
      <c r="J3084" t="str">
        <f t="shared" si="242"/>
        <v>0</v>
      </c>
      <c r="K3084" t="str">
        <f t="shared" si="243"/>
        <v>0</v>
      </c>
      <c r="L3084" t="str">
        <f t="shared" si="244"/>
        <v>Draw</v>
      </c>
      <c r="M3084" t="str">
        <f>IF(COUNTIF($A$2:A3084,A3084)=1,
     VLOOKUP(A3084,Season_Winners!A:B,2,FALSE),
     "")</f>
        <v/>
      </c>
    </row>
    <row r="3085" spans="1:13" hidden="1" x14ac:dyDescent="0.3">
      <c r="A3085" t="s">
        <v>1138</v>
      </c>
      <c r="B3085">
        <v>5</v>
      </c>
      <c r="C3085" t="s">
        <v>1157</v>
      </c>
      <c r="D3085" t="str">
        <f t="shared" si="240"/>
        <v>18.09.2021</v>
      </c>
      <c r="E3085" s="1">
        <v>0.77083333333333337</v>
      </c>
      <c r="F3085" t="s">
        <v>31</v>
      </c>
      <c r="G3085" t="s">
        <v>21</v>
      </c>
      <c r="H3085" s="2">
        <v>46023</v>
      </c>
      <c r="I3085" s="3" t="str">
        <f t="shared" si="241"/>
        <v/>
      </c>
      <c r="J3085" t="str">
        <f t="shared" si="242"/>
        <v/>
      </c>
      <c r="K3085" t="str">
        <f t="shared" si="243"/>
        <v/>
      </c>
      <c r="L3085" t="str">
        <f t="shared" si="244"/>
        <v/>
      </c>
      <c r="M3085" t="str">
        <f>IF(COUNTIF($A$2:A3085,A3085)=1,
     VLOOKUP(A3085,Season_Winners!A:B,2,FALSE),
     "")</f>
        <v/>
      </c>
    </row>
    <row r="3086" spans="1:13" x14ac:dyDescent="0.3">
      <c r="A3086" t="s">
        <v>1138</v>
      </c>
      <c r="B3086">
        <v>5</v>
      </c>
      <c r="C3086" t="s">
        <v>1157</v>
      </c>
      <c r="D3086" t="str">
        <f t="shared" si="240"/>
        <v>18.09.2021</v>
      </c>
      <c r="E3086" s="1">
        <v>0.875</v>
      </c>
      <c r="F3086" t="s">
        <v>464</v>
      </c>
      <c r="G3086" t="s">
        <v>23</v>
      </c>
      <c r="H3086" t="s">
        <v>54</v>
      </c>
      <c r="I3086" t="str">
        <f t="shared" si="241"/>
        <v>0-2</v>
      </c>
      <c r="J3086" t="str">
        <f t="shared" si="242"/>
        <v>0</v>
      </c>
      <c r="K3086" t="str">
        <f t="shared" si="243"/>
        <v>2</v>
      </c>
      <c r="L3086" t="str">
        <f t="shared" si="244"/>
        <v>CA Osasuna</v>
      </c>
      <c r="M3086" t="str">
        <f>IF(COUNTIF($A$2:A3086,A3086)=1,
     VLOOKUP(A3086,Season_Winners!A:B,2,FALSE),
     "")</f>
        <v/>
      </c>
    </row>
    <row r="3087" spans="1:13" x14ac:dyDescent="0.3">
      <c r="A3087" t="s">
        <v>1138</v>
      </c>
      <c r="B3087">
        <v>5</v>
      </c>
      <c r="C3087" t="s">
        <v>1158</v>
      </c>
      <c r="D3087" t="str">
        <f t="shared" si="240"/>
        <v>19.09.2021</v>
      </c>
      <c r="E3087" s="1">
        <v>0.58333333333333337</v>
      </c>
      <c r="F3087" t="s">
        <v>881</v>
      </c>
      <c r="G3087" t="s">
        <v>34</v>
      </c>
      <c r="H3087" t="s">
        <v>41</v>
      </c>
      <c r="I3087" t="str">
        <f t="shared" si="241"/>
        <v>0-0</v>
      </c>
      <c r="J3087" t="str">
        <f t="shared" si="242"/>
        <v>0</v>
      </c>
      <c r="K3087" t="str">
        <f t="shared" si="243"/>
        <v>0</v>
      </c>
      <c r="L3087" t="str">
        <f t="shared" si="244"/>
        <v>Draw</v>
      </c>
      <c r="M3087" t="str">
        <f>IF(COUNTIF($A$2:A3087,A3087)=1,
     VLOOKUP(A3087,Season_Winners!A:B,2,FALSE),
     "")</f>
        <v/>
      </c>
    </row>
    <row r="3088" spans="1:13" x14ac:dyDescent="0.3">
      <c r="A3088" t="s">
        <v>1138</v>
      </c>
      <c r="B3088">
        <v>5</v>
      </c>
      <c r="C3088" t="s">
        <v>1158</v>
      </c>
      <c r="D3088" t="str">
        <f t="shared" si="240"/>
        <v>19.09.2021</v>
      </c>
      <c r="E3088" s="1">
        <v>0.67708333333333337</v>
      </c>
      <c r="F3088" t="s">
        <v>10</v>
      </c>
      <c r="G3088" t="s">
        <v>27</v>
      </c>
      <c r="H3088" t="s">
        <v>41</v>
      </c>
      <c r="I3088" t="str">
        <f t="shared" si="241"/>
        <v>0-0</v>
      </c>
      <c r="J3088" t="str">
        <f t="shared" si="242"/>
        <v>0</v>
      </c>
      <c r="K3088" t="str">
        <f t="shared" si="243"/>
        <v>0</v>
      </c>
      <c r="L3088" t="str">
        <f t="shared" si="244"/>
        <v>Draw</v>
      </c>
      <c r="M3088" t="str">
        <f>IF(COUNTIF($A$2:A3088,A3088)=1,
     VLOOKUP(A3088,Season_Winners!A:B,2,FALSE),
     "")</f>
        <v/>
      </c>
    </row>
    <row r="3089" spans="1:13" hidden="1" x14ac:dyDescent="0.3">
      <c r="A3089" t="s">
        <v>1138</v>
      </c>
      <c r="B3089">
        <v>5</v>
      </c>
      <c r="C3089" t="s">
        <v>1158</v>
      </c>
      <c r="D3089" t="str">
        <f t="shared" si="240"/>
        <v>19.09.2021</v>
      </c>
      <c r="E3089" s="1">
        <v>0.77083333333333337</v>
      </c>
      <c r="F3089" t="s">
        <v>26</v>
      </c>
      <c r="G3089" t="s">
        <v>36</v>
      </c>
      <c r="H3089" s="2">
        <v>46055</v>
      </c>
      <c r="I3089" s="3" t="str">
        <f t="shared" si="241"/>
        <v/>
      </c>
      <c r="J3089" t="str">
        <f t="shared" si="242"/>
        <v/>
      </c>
      <c r="K3089" t="str">
        <f t="shared" si="243"/>
        <v/>
      </c>
      <c r="L3089" t="str">
        <f t="shared" si="244"/>
        <v/>
      </c>
      <c r="M3089" t="str">
        <f>IF(COUNTIF($A$2:A3089,A3089)=1,
     VLOOKUP(A3089,Season_Winners!A:B,2,FALSE),
     "")</f>
        <v/>
      </c>
    </row>
    <row r="3090" spans="1:13" hidden="1" x14ac:dyDescent="0.3">
      <c r="A3090" t="s">
        <v>1138</v>
      </c>
      <c r="B3090">
        <v>5</v>
      </c>
      <c r="C3090" t="s">
        <v>1158</v>
      </c>
      <c r="D3090" t="str">
        <f t="shared" si="240"/>
        <v>19.09.2021</v>
      </c>
      <c r="E3090" s="1">
        <v>0.875</v>
      </c>
      <c r="F3090" t="s">
        <v>16</v>
      </c>
      <c r="G3090" t="s">
        <v>25</v>
      </c>
      <c r="H3090" s="2">
        <v>46054</v>
      </c>
      <c r="I3090" s="3" t="str">
        <f t="shared" si="241"/>
        <v/>
      </c>
      <c r="J3090" t="str">
        <f t="shared" si="242"/>
        <v/>
      </c>
      <c r="K3090" t="str">
        <f t="shared" si="243"/>
        <v/>
      </c>
      <c r="L3090" t="str">
        <f t="shared" si="244"/>
        <v/>
      </c>
      <c r="M3090" t="str">
        <f>IF(COUNTIF($A$2:A3090,A3090)=1,
     VLOOKUP(A3090,Season_Winners!A:B,2,FALSE),
     "")</f>
        <v/>
      </c>
    </row>
    <row r="3091" spans="1:13" hidden="1" x14ac:dyDescent="0.3">
      <c r="A3091" t="s">
        <v>1138</v>
      </c>
      <c r="B3091">
        <v>5</v>
      </c>
      <c r="C3091" t="s">
        <v>1159</v>
      </c>
      <c r="D3091" t="str">
        <f t="shared" si="240"/>
        <v>20.09.2021</v>
      </c>
      <c r="E3091" s="1">
        <v>0.875</v>
      </c>
      <c r="F3091" t="s">
        <v>20</v>
      </c>
      <c r="G3091" t="s">
        <v>24</v>
      </c>
      <c r="H3091" s="2">
        <v>46023</v>
      </c>
      <c r="I3091" s="3" t="str">
        <f t="shared" si="241"/>
        <v/>
      </c>
      <c r="J3091" t="str">
        <f t="shared" si="242"/>
        <v/>
      </c>
      <c r="K3091" t="str">
        <f t="shared" si="243"/>
        <v/>
      </c>
      <c r="L3091" t="str">
        <f t="shared" si="244"/>
        <v/>
      </c>
      <c r="M3091" t="str">
        <f>IF(COUNTIF($A$2:A3091,A3091)=1,
     VLOOKUP(A3091,Season_Winners!A:B,2,FALSE),
     "")</f>
        <v/>
      </c>
    </row>
    <row r="3092" spans="1:13" hidden="1" x14ac:dyDescent="0.3">
      <c r="A3092" t="s">
        <v>1138</v>
      </c>
      <c r="B3092">
        <v>6</v>
      </c>
      <c r="C3092" t="s">
        <v>1160</v>
      </c>
      <c r="D3092" t="str">
        <f t="shared" si="240"/>
        <v>21.09.2021</v>
      </c>
      <c r="E3092" s="1">
        <v>0.8125</v>
      </c>
      <c r="F3092" t="s">
        <v>11</v>
      </c>
      <c r="G3092" t="s">
        <v>28</v>
      </c>
      <c r="H3092" s="2">
        <v>46054</v>
      </c>
      <c r="I3092" s="3" t="str">
        <f t="shared" si="241"/>
        <v/>
      </c>
      <c r="J3092" t="str">
        <f t="shared" si="242"/>
        <v/>
      </c>
      <c r="K3092" t="str">
        <f t="shared" si="243"/>
        <v/>
      </c>
      <c r="L3092" t="str">
        <f t="shared" si="244"/>
        <v/>
      </c>
      <c r="M3092" t="str">
        <f>IF(COUNTIF($A$2:A3092,A3092)=1,
     VLOOKUP(A3092,Season_Winners!A:B,2,FALSE),
     "")</f>
        <v/>
      </c>
    </row>
    <row r="3093" spans="1:13" hidden="1" x14ac:dyDescent="0.3">
      <c r="A3093" t="s">
        <v>1138</v>
      </c>
      <c r="B3093">
        <v>6</v>
      </c>
      <c r="C3093" t="s">
        <v>1160</v>
      </c>
      <c r="D3093" t="str">
        <f t="shared" si="240"/>
        <v>21.09.2021</v>
      </c>
      <c r="E3093" s="1">
        <v>0.91666666666666663</v>
      </c>
      <c r="F3093" t="s">
        <v>15</v>
      </c>
      <c r="G3093" t="s">
        <v>30</v>
      </c>
      <c r="H3093" s="2">
        <v>46054</v>
      </c>
      <c r="I3093" s="3" t="str">
        <f t="shared" si="241"/>
        <v/>
      </c>
      <c r="J3093" t="str">
        <f t="shared" si="242"/>
        <v/>
      </c>
      <c r="K3093" t="str">
        <f t="shared" si="243"/>
        <v/>
      </c>
      <c r="L3093" t="str">
        <f t="shared" si="244"/>
        <v/>
      </c>
      <c r="M3093" t="str">
        <f>IF(COUNTIF($A$2:A3093,A3093)=1,
     VLOOKUP(A3093,Season_Winners!A:B,2,FALSE),
     "")</f>
        <v/>
      </c>
    </row>
    <row r="3094" spans="1:13" x14ac:dyDescent="0.3">
      <c r="A3094" t="s">
        <v>1138</v>
      </c>
      <c r="B3094">
        <v>6</v>
      </c>
      <c r="C3094" t="s">
        <v>1160</v>
      </c>
      <c r="D3094" t="str">
        <f t="shared" si="240"/>
        <v>21.09.2021</v>
      </c>
      <c r="E3094" s="1">
        <v>0.91666666666666663</v>
      </c>
      <c r="F3094" t="s">
        <v>21</v>
      </c>
      <c r="G3094" t="s">
        <v>35</v>
      </c>
      <c r="H3094" t="s">
        <v>54</v>
      </c>
      <c r="I3094" t="str">
        <f t="shared" si="241"/>
        <v>0-2</v>
      </c>
      <c r="J3094" t="str">
        <f t="shared" si="242"/>
        <v>0</v>
      </c>
      <c r="K3094" t="str">
        <f t="shared" si="243"/>
        <v>2</v>
      </c>
      <c r="L3094" t="str">
        <f t="shared" si="244"/>
        <v>RC Celta</v>
      </c>
      <c r="M3094" t="str">
        <f>IF(COUNTIF($A$2:A3094,A3094)=1,
     VLOOKUP(A3094,Season_Winners!A:B,2,FALSE),
     "")</f>
        <v/>
      </c>
    </row>
    <row r="3095" spans="1:13" x14ac:dyDescent="0.3">
      <c r="A3095" t="s">
        <v>1138</v>
      </c>
      <c r="B3095">
        <v>6</v>
      </c>
      <c r="C3095" t="s">
        <v>1161</v>
      </c>
      <c r="D3095" t="str">
        <f t="shared" si="240"/>
        <v>22.09.2021</v>
      </c>
      <c r="E3095" s="1">
        <v>0.8125</v>
      </c>
      <c r="F3095" t="s">
        <v>36</v>
      </c>
      <c r="G3095" t="s">
        <v>464</v>
      </c>
      <c r="H3095" t="s">
        <v>18</v>
      </c>
      <c r="I3095" t="str">
        <f t="shared" si="241"/>
        <v>1-0</v>
      </c>
      <c r="J3095" t="str">
        <f t="shared" si="242"/>
        <v>1</v>
      </c>
      <c r="K3095" t="str">
        <f t="shared" si="243"/>
        <v>0</v>
      </c>
      <c r="L3095" t="str">
        <f t="shared" si="244"/>
        <v>RCD Espanyol de Barcelona</v>
      </c>
      <c r="M3095" t="str">
        <f>IF(COUNTIF($A$2:A3095,A3095)=1,
     VLOOKUP(A3095,Season_Winners!A:B,2,FALSE),
     "")</f>
        <v/>
      </c>
    </row>
    <row r="3096" spans="1:13" hidden="1" x14ac:dyDescent="0.3">
      <c r="A3096" t="s">
        <v>1138</v>
      </c>
      <c r="B3096">
        <v>6</v>
      </c>
      <c r="C3096" t="s">
        <v>1161</v>
      </c>
      <c r="D3096" t="str">
        <f t="shared" si="240"/>
        <v>22.09.2021</v>
      </c>
      <c r="E3096" s="1">
        <v>0.8125</v>
      </c>
      <c r="F3096" t="s">
        <v>27</v>
      </c>
      <c r="G3096" t="s">
        <v>16</v>
      </c>
      <c r="H3096" s="2">
        <v>46025</v>
      </c>
      <c r="I3096" s="3" t="str">
        <f t="shared" si="241"/>
        <v/>
      </c>
      <c r="J3096" t="str">
        <f t="shared" si="242"/>
        <v/>
      </c>
      <c r="K3096" t="str">
        <f t="shared" si="243"/>
        <v/>
      </c>
      <c r="L3096" t="str">
        <f t="shared" si="244"/>
        <v/>
      </c>
      <c r="M3096" t="str">
        <f>IF(COUNTIF($A$2:A3096,A3096)=1,
     VLOOKUP(A3096,Season_Winners!A:B,2,FALSE),
     "")</f>
        <v/>
      </c>
    </row>
    <row r="3097" spans="1:13" hidden="1" x14ac:dyDescent="0.3">
      <c r="A3097" t="s">
        <v>1138</v>
      </c>
      <c r="B3097">
        <v>6</v>
      </c>
      <c r="C3097" t="s">
        <v>1161</v>
      </c>
      <c r="D3097" t="str">
        <f t="shared" si="240"/>
        <v>22.09.2021</v>
      </c>
      <c r="E3097" s="1">
        <v>0.91666666666666663</v>
      </c>
      <c r="F3097" t="s">
        <v>25</v>
      </c>
      <c r="G3097" t="s">
        <v>881</v>
      </c>
      <c r="H3097" s="2">
        <v>46028</v>
      </c>
      <c r="I3097" s="3" t="str">
        <f t="shared" si="241"/>
        <v/>
      </c>
      <c r="J3097" t="str">
        <f t="shared" si="242"/>
        <v/>
      </c>
      <c r="K3097" t="str">
        <f t="shared" si="243"/>
        <v/>
      </c>
      <c r="L3097" t="str">
        <f t="shared" si="244"/>
        <v/>
      </c>
      <c r="M3097" t="str">
        <f>IF(COUNTIF($A$2:A3097,A3097)=1,
     VLOOKUP(A3097,Season_Winners!A:B,2,FALSE),
     "")</f>
        <v/>
      </c>
    </row>
    <row r="3098" spans="1:13" hidden="1" x14ac:dyDescent="0.3">
      <c r="A3098" t="s">
        <v>1138</v>
      </c>
      <c r="B3098">
        <v>6</v>
      </c>
      <c r="C3098" t="s">
        <v>1161</v>
      </c>
      <c r="D3098" t="str">
        <f t="shared" si="240"/>
        <v>22.09.2021</v>
      </c>
      <c r="E3098" s="1">
        <v>0.91666666666666663</v>
      </c>
      <c r="F3098" t="s">
        <v>34</v>
      </c>
      <c r="G3098" t="s">
        <v>31</v>
      </c>
      <c r="H3098" s="2">
        <v>46026</v>
      </c>
      <c r="I3098" s="3" t="str">
        <f t="shared" si="241"/>
        <v/>
      </c>
      <c r="J3098" t="str">
        <f t="shared" si="242"/>
        <v/>
      </c>
      <c r="K3098" t="str">
        <f t="shared" si="243"/>
        <v/>
      </c>
      <c r="L3098" t="str">
        <f t="shared" si="244"/>
        <v/>
      </c>
      <c r="M3098" t="str">
        <f>IF(COUNTIF($A$2:A3098,A3098)=1,
     VLOOKUP(A3098,Season_Winners!A:B,2,FALSE),
     "")</f>
        <v/>
      </c>
    </row>
    <row r="3099" spans="1:13" hidden="1" x14ac:dyDescent="0.3">
      <c r="A3099" t="s">
        <v>1138</v>
      </c>
      <c r="B3099">
        <v>6</v>
      </c>
      <c r="C3099" t="s">
        <v>1162</v>
      </c>
      <c r="D3099" t="str">
        <f t="shared" si="240"/>
        <v>23.09.2021</v>
      </c>
      <c r="E3099" s="1">
        <v>0.8125</v>
      </c>
      <c r="F3099" t="s">
        <v>24</v>
      </c>
      <c r="G3099" t="s">
        <v>10</v>
      </c>
      <c r="H3099" s="2">
        <v>46083</v>
      </c>
      <c r="I3099" s="3" t="str">
        <f t="shared" si="241"/>
        <v/>
      </c>
      <c r="J3099" t="str">
        <f t="shared" si="242"/>
        <v/>
      </c>
      <c r="K3099" t="str">
        <f t="shared" si="243"/>
        <v/>
      </c>
      <c r="L3099" t="str">
        <f t="shared" si="244"/>
        <v/>
      </c>
      <c r="M3099" t="str">
        <f>IF(COUNTIF($A$2:A3099,A3099)=1,
     VLOOKUP(A3099,Season_Winners!A:B,2,FALSE),
     "")</f>
        <v/>
      </c>
    </row>
    <row r="3100" spans="1:13" hidden="1" x14ac:dyDescent="0.3">
      <c r="A3100" t="s">
        <v>1138</v>
      </c>
      <c r="B3100">
        <v>6</v>
      </c>
      <c r="C3100" t="s">
        <v>1162</v>
      </c>
      <c r="D3100" t="str">
        <f t="shared" si="240"/>
        <v>23.09.2021</v>
      </c>
      <c r="E3100" s="1">
        <v>0.8125</v>
      </c>
      <c r="F3100" t="s">
        <v>23</v>
      </c>
      <c r="G3100" t="s">
        <v>26</v>
      </c>
      <c r="H3100" s="2">
        <v>46082</v>
      </c>
      <c r="I3100" s="3" t="str">
        <f t="shared" si="241"/>
        <v/>
      </c>
      <c r="J3100" t="str">
        <f t="shared" si="242"/>
        <v/>
      </c>
      <c r="K3100" t="str">
        <f t="shared" si="243"/>
        <v/>
      </c>
      <c r="L3100" t="str">
        <f t="shared" si="244"/>
        <v/>
      </c>
      <c r="M3100" t="str">
        <f>IF(COUNTIF($A$2:A3100,A3100)=1,
     VLOOKUP(A3100,Season_Winners!A:B,2,FALSE),
     "")</f>
        <v/>
      </c>
    </row>
    <row r="3101" spans="1:13" x14ac:dyDescent="0.3">
      <c r="A3101" t="s">
        <v>1138</v>
      </c>
      <c r="B3101">
        <v>6</v>
      </c>
      <c r="C3101" t="s">
        <v>1162</v>
      </c>
      <c r="D3101" t="str">
        <f t="shared" si="240"/>
        <v>23.09.2021</v>
      </c>
      <c r="E3101" s="1">
        <v>0.91666666666666663</v>
      </c>
      <c r="F3101" t="s">
        <v>1000</v>
      </c>
      <c r="G3101" t="s">
        <v>20</v>
      </c>
      <c r="H3101" t="s">
        <v>41</v>
      </c>
      <c r="I3101" t="str">
        <f t="shared" si="241"/>
        <v>0-0</v>
      </c>
      <c r="J3101" t="str">
        <f t="shared" si="242"/>
        <v>0</v>
      </c>
      <c r="K3101" t="str">
        <f t="shared" si="243"/>
        <v>0</v>
      </c>
      <c r="L3101" t="str">
        <f t="shared" si="244"/>
        <v>Draw</v>
      </c>
      <c r="M3101" t="str">
        <f>IF(COUNTIF($A$2:A3101,A3101)=1,
     VLOOKUP(A3101,Season_Winners!A:B,2,FALSE),
     "")</f>
        <v/>
      </c>
    </row>
    <row r="3102" spans="1:13" x14ac:dyDescent="0.3">
      <c r="A3102" t="s">
        <v>1138</v>
      </c>
      <c r="B3102">
        <v>7</v>
      </c>
      <c r="C3102" t="s">
        <v>1163</v>
      </c>
      <c r="D3102" t="str">
        <f t="shared" si="240"/>
        <v>25.09.2021</v>
      </c>
      <c r="E3102" s="1">
        <v>0.58333333333333337</v>
      </c>
      <c r="F3102" t="s">
        <v>464</v>
      </c>
      <c r="G3102" t="s">
        <v>1425</v>
      </c>
      <c r="H3102" t="s">
        <v>18</v>
      </c>
      <c r="I3102" t="str">
        <f t="shared" si="241"/>
        <v>1-0</v>
      </c>
      <c r="J3102" t="str">
        <f t="shared" si="242"/>
        <v>1</v>
      </c>
      <c r="K3102" t="str">
        <f t="shared" si="243"/>
        <v>0</v>
      </c>
      <c r="L3102" t="str">
        <f t="shared" si="244"/>
        <v>Deportivo AlavÃ©s</v>
      </c>
      <c r="M3102" t="str">
        <f>IF(COUNTIF($A$2:A3102,A3102)=1,
     VLOOKUP(A3102,Season_Winners!A:B,2,FALSE),
     "")</f>
        <v/>
      </c>
    </row>
    <row r="3103" spans="1:13" hidden="1" x14ac:dyDescent="0.3">
      <c r="A3103" t="s">
        <v>1138</v>
      </c>
      <c r="B3103">
        <v>7</v>
      </c>
      <c r="C3103" t="s">
        <v>1163</v>
      </c>
      <c r="D3103" t="str">
        <f t="shared" si="240"/>
        <v>25.09.2021</v>
      </c>
      <c r="E3103" s="1">
        <v>0.67708333333333337</v>
      </c>
      <c r="F3103" t="s">
        <v>16</v>
      </c>
      <c r="G3103" t="s">
        <v>15</v>
      </c>
      <c r="H3103" s="2">
        <v>46023</v>
      </c>
      <c r="I3103" s="3" t="str">
        <f t="shared" si="241"/>
        <v/>
      </c>
      <c r="J3103" t="str">
        <f t="shared" si="242"/>
        <v/>
      </c>
      <c r="K3103" t="str">
        <f t="shared" si="243"/>
        <v/>
      </c>
      <c r="L3103" t="str">
        <f t="shared" si="244"/>
        <v/>
      </c>
      <c r="M3103" t="str">
        <f>IF(COUNTIF($A$2:A3103,A3103)=1,
     VLOOKUP(A3103,Season_Winners!A:B,2,FALSE),
     "")</f>
        <v/>
      </c>
    </row>
    <row r="3104" spans="1:13" x14ac:dyDescent="0.3">
      <c r="A3104" t="s">
        <v>1138</v>
      </c>
      <c r="B3104">
        <v>7</v>
      </c>
      <c r="C3104" t="s">
        <v>1163</v>
      </c>
      <c r="D3104" t="str">
        <f t="shared" si="240"/>
        <v>25.09.2021</v>
      </c>
      <c r="E3104" s="1">
        <v>0.77083333333333337</v>
      </c>
      <c r="F3104" t="s">
        <v>27</v>
      </c>
      <c r="G3104" t="s">
        <v>36</v>
      </c>
      <c r="H3104" t="s">
        <v>12</v>
      </c>
      <c r="I3104" t="str">
        <f t="shared" si="241"/>
        <v>2-0</v>
      </c>
      <c r="J3104" t="str">
        <f t="shared" si="242"/>
        <v>2</v>
      </c>
      <c r="K3104" t="str">
        <f t="shared" si="243"/>
        <v>0</v>
      </c>
      <c r="L3104" t="str">
        <f t="shared" si="244"/>
        <v>Sevilla FC</v>
      </c>
      <c r="M3104" t="str">
        <f>IF(COUNTIF($A$2:A3104,A3104)=1,
     VLOOKUP(A3104,Season_Winners!A:B,2,FALSE),
     "")</f>
        <v/>
      </c>
    </row>
    <row r="3105" spans="1:13" x14ac:dyDescent="0.3">
      <c r="A3105" t="s">
        <v>1138</v>
      </c>
      <c r="B3105">
        <v>7</v>
      </c>
      <c r="C3105" t="s">
        <v>1163</v>
      </c>
      <c r="D3105" t="str">
        <f t="shared" si="240"/>
        <v>25.09.2021</v>
      </c>
      <c r="E3105" s="1">
        <v>0.875</v>
      </c>
      <c r="F3105" t="s">
        <v>25</v>
      </c>
      <c r="G3105" t="s">
        <v>34</v>
      </c>
      <c r="H3105" t="s">
        <v>41</v>
      </c>
      <c r="I3105" t="str">
        <f t="shared" si="241"/>
        <v>0-0</v>
      </c>
      <c r="J3105" t="str">
        <f t="shared" si="242"/>
        <v>0</v>
      </c>
      <c r="K3105" t="str">
        <f t="shared" si="243"/>
        <v>0</v>
      </c>
      <c r="L3105" t="str">
        <f t="shared" si="244"/>
        <v>Draw</v>
      </c>
      <c r="M3105" t="str">
        <f>IF(COUNTIF($A$2:A3105,A3105)=1,
     VLOOKUP(A3105,Season_Winners!A:B,2,FALSE),
     "")</f>
        <v/>
      </c>
    </row>
    <row r="3106" spans="1:13" hidden="1" x14ac:dyDescent="0.3">
      <c r="A3106" t="s">
        <v>1138</v>
      </c>
      <c r="B3106">
        <v>7</v>
      </c>
      <c r="C3106" t="s">
        <v>1164</v>
      </c>
      <c r="D3106" t="str">
        <f t="shared" si="240"/>
        <v>26.09.2021</v>
      </c>
      <c r="E3106" s="1">
        <v>0.58333333333333337</v>
      </c>
      <c r="F3106" t="s">
        <v>881</v>
      </c>
      <c r="G3106" t="s">
        <v>23</v>
      </c>
      <c r="H3106" s="2">
        <v>46083</v>
      </c>
      <c r="I3106" s="3" t="str">
        <f t="shared" si="241"/>
        <v/>
      </c>
      <c r="J3106" t="str">
        <f t="shared" si="242"/>
        <v/>
      </c>
      <c r="K3106" t="str">
        <f t="shared" si="243"/>
        <v/>
      </c>
      <c r="L3106" t="str">
        <f t="shared" si="244"/>
        <v/>
      </c>
      <c r="M3106" t="str">
        <f>IF(COUNTIF($A$2:A3106,A3106)=1,
     VLOOKUP(A3106,Season_Winners!A:B,2,FALSE),
     "")</f>
        <v/>
      </c>
    </row>
    <row r="3107" spans="1:13" x14ac:dyDescent="0.3">
      <c r="A3107" t="s">
        <v>1138</v>
      </c>
      <c r="B3107">
        <v>7</v>
      </c>
      <c r="C3107" t="s">
        <v>1164</v>
      </c>
      <c r="D3107" t="str">
        <f t="shared" si="240"/>
        <v>26.09.2021</v>
      </c>
      <c r="E3107" s="1">
        <v>0.67708333333333337</v>
      </c>
      <c r="F3107" t="s">
        <v>20</v>
      </c>
      <c r="G3107" t="s">
        <v>21</v>
      </c>
      <c r="H3107" t="s">
        <v>32</v>
      </c>
      <c r="I3107" t="str">
        <f t="shared" si="241"/>
        <v>3-0</v>
      </c>
      <c r="J3107" t="str">
        <f t="shared" si="242"/>
        <v>3</v>
      </c>
      <c r="K3107" t="str">
        <f t="shared" si="243"/>
        <v>0</v>
      </c>
      <c r="L3107" t="str">
        <f t="shared" si="244"/>
        <v>FC Barcelona</v>
      </c>
      <c r="M3107" t="str">
        <f>IF(COUNTIF($A$2:A3107,A3107)=1,
     VLOOKUP(A3107,Season_Winners!A:B,2,FALSE),
     "")</f>
        <v/>
      </c>
    </row>
    <row r="3108" spans="1:13" x14ac:dyDescent="0.3">
      <c r="A3108" t="s">
        <v>1138</v>
      </c>
      <c r="B3108">
        <v>7</v>
      </c>
      <c r="C3108" t="s">
        <v>1164</v>
      </c>
      <c r="D3108" t="str">
        <f t="shared" si="240"/>
        <v>26.09.2021</v>
      </c>
      <c r="E3108" s="1">
        <v>0.77083333333333337</v>
      </c>
      <c r="F3108" t="s">
        <v>10</v>
      </c>
      <c r="G3108" t="s">
        <v>31</v>
      </c>
      <c r="H3108" t="s">
        <v>18</v>
      </c>
      <c r="I3108" t="str">
        <f t="shared" si="241"/>
        <v>1-0</v>
      </c>
      <c r="J3108" t="str">
        <f t="shared" si="242"/>
        <v>1</v>
      </c>
      <c r="K3108" t="str">
        <f t="shared" si="243"/>
        <v>0</v>
      </c>
      <c r="L3108" t="str">
        <f t="shared" si="244"/>
        <v>Real Sociedad</v>
      </c>
      <c r="M3108" t="str">
        <f>IF(COUNTIF($A$2:A3108,A3108)=1,
     VLOOKUP(A3108,Season_Winners!A:B,2,FALSE),
     "")</f>
        <v/>
      </c>
    </row>
    <row r="3109" spans="1:13" hidden="1" x14ac:dyDescent="0.3">
      <c r="A3109" t="s">
        <v>1138</v>
      </c>
      <c r="B3109">
        <v>7</v>
      </c>
      <c r="C3109" t="s">
        <v>1164</v>
      </c>
      <c r="D3109" t="str">
        <f t="shared" si="240"/>
        <v>26.09.2021</v>
      </c>
      <c r="E3109" s="1">
        <v>0.77083333333333337</v>
      </c>
      <c r="F3109" t="s">
        <v>30</v>
      </c>
      <c r="G3109" t="s">
        <v>1000</v>
      </c>
      <c r="H3109" s="2">
        <v>46025</v>
      </c>
      <c r="I3109" s="3" t="str">
        <f t="shared" si="241"/>
        <v/>
      </c>
      <c r="J3109" t="str">
        <f t="shared" si="242"/>
        <v/>
      </c>
      <c r="K3109" t="str">
        <f t="shared" si="243"/>
        <v/>
      </c>
      <c r="L3109" t="str">
        <f t="shared" si="244"/>
        <v/>
      </c>
      <c r="M3109" t="str">
        <f>IF(COUNTIF($A$2:A3109,A3109)=1,
     VLOOKUP(A3109,Season_Winners!A:B,2,FALSE),
     "")</f>
        <v/>
      </c>
    </row>
    <row r="3110" spans="1:13" x14ac:dyDescent="0.3">
      <c r="A3110" t="s">
        <v>1138</v>
      </c>
      <c r="B3110">
        <v>7</v>
      </c>
      <c r="C3110" t="s">
        <v>1164</v>
      </c>
      <c r="D3110" t="str">
        <f t="shared" si="240"/>
        <v>26.09.2021</v>
      </c>
      <c r="E3110" s="1">
        <v>0.875</v>
      </c>
      <c r="F3110" t="s">
        <v>26</v>
      </c>
      <c r="G3110" t="s">
        <v>11</v>
      </c>
      <c r="H3110" t="s">
        <v>12</v>
      </c>
      <c r="I3110" t="str">
        <f t="shared" si="241"/>
        <v>2-0</v>
      </c>
      <c r="J3110" t="str">
        <f t="shared" si="242"/>
        <v>2</v>
      </c>
      <c r="K3110" t="str">
        <f t="shared" si="243"/>
        <v>0</v>
      </c>
      <c r="L3110" t="str">
        <f t="shared" si="244"/>
        <v>Real Betis</v>
      </c>
      <c r="M3110" t="str">
        <f>IF(COUNTIF($A$2:A3110,A3110)=1,
     VLOOKUP(A3110,Season_Winners!A:B,2,FALSE),
     "")</f>
        <v/>
      </c>
    </row>
    <row r="3111" spans="1:13" x14ac:dyDescent="0.3">
      <c r="A3111" t="s">
        <v>1138</v>
      </c>
      <c r="B3111">
        <v>7</v>
      </c>
      <c r="C3111" t="s">
        <v>1165</v>
      </c>
      <c r="D3111" t="str">
        <f t="shared" si="240"/>
        <v>27.09.2021</v>
      </c>
      <c r="E3111" s="1">
        <v>0.875</v>
      </c>
      <c r="F3111" t="s">
        <v>35</v>
      </c>
      <c r="G3111" t="s">
        <v>24</v>
      </c>
      <c r="H3111" t="s">
        <v>18</v>
      </c>
      <c r="I3111" t="str">
        <f t="shared" si="241"/>
        <v>1-0</v>
      </c>
      <c r="J3111" t="str">
        <f t="shared" si="242"/>
        <v>1</v>
      </c>
      <c r="K3111" t="str">
        <f t="shared" si="243"/>
        <v>0</v>
      </c>
      <c r="L3111" t="str">
        <f t="shared" si="244"/>
        <v>RC Celta</v>
      </c>
      <c r="M3111" t="str">
        <f>IF(COUNTIF($A$2:A3111,A3111)=1,
     VLOOKUP(A3111,Season_Winners!A:B,2,FALSE),
     "")</f>
        <v/>
      </c>
    </row>
    <row r="3112" spans="1:13" x14ac:dyDescent="0.3">
      <c r="A3112" t="s">
        <v>1138</v>
      </c>
      <c r="B3112">
        <v>8</v>
      </c>
      <c r="C3112" t="s">
        <v>1166</v>
      </c>
      <c r="D3112" t="str">
        <f t="shared" si="240"/>
        <v>01.10.2021</v>
      </c>
      <c r="E3112" s="1">
        <v>0.875</v>
      </c>
      <c r="F3112" t="s">
        <v>15</v>
      </c>
      <c r="G3112" t="s">
        <v>464</v>
      </c>
      <c r="H3112" t="s">
        <v>18</v>
      </c>
      <c r="I3112" t="str">
        <f t="shared" si="241"/>
        <v>1-0</v>
      </c>
      <c r="J3112" t="str">
        <f t="shared" si="242"/>
        <v>1</v>
      </c>
      <c r="K3112" t="str">
        <f t="shared" si="243"/>
        <v>0</v>
      </c>
      <c r="L3112" t="str">
        <f t="shared" si="244"/>
        <v>Athletic Club</v>
      </c>
      <c r="M3112" t="str">
        <f>IF(COUNTIF($A$2:A3112,A3112)=1,
     VLOOKUP(A3112,Season_Winners!A:B,2,FALSE),
     "")</f>
        <v/>
      </c>
    </row>
    <row r="3113" spans="1:13" x14ac:dyDescent="0.3">
      <c r="A3113" t="s">
        <v>1138</v>
      </c>
      <c r="B3113">
        <v>8</v>
      </c>
      <c r="C3113" t="s">
        <v>1167</v>
      </c>
      <c r="D3113" t="str">
        <f t="shared" si="240"/>
        <v>02.10.2021</v>
      </c>
      <c r="E3113" s="1">
        <v>0.58333333333333337</v>
      </c>
      <c r="F3113" t="s">
        <v>23</v>
      </c>
      <c r="G3113" t="s">
        <v>30</v>
      </c>
      <c r="H3113" t="s">
        <v>18</v>
      </c>
      <c r="I3113" t="str">
        <f t="shared" si="241"/>
        <v>1-0</v>
      </c>
      <c r="J3113" t="str">
        <f t="shared" si="242"/>
        <v>1</v>
      </c>
      <c r="K3113" t="str">
        <f t="shared" si="243"/>
        <v>0</v>
      </c>
      <c r="L3113" t="str">
        <f t="shared" si="244"/>
        <v>CA Osasuna</v>
      </c>
      <c r="M3113" t="str">
        <f>IF(COUNTIF($A$2:A3113,A3113)=1,
     VLOOKUP(A3113,Season_Winners!A:B,2,FALSE),
     "")</f>
        <v/>
      </c>
    </row>
    <row r="3114" spans="1:13" x14ac:dyDescent="0.3">
      <c r="A3114" t="s">
        <v>1138</v>
      </c>
      <c r="B3114">
        <v>8</v>
      </c>
      <c r="C3114" t="s">
        <v>1167</v>
      </c>
      <c r="D3114" t="str">
        <f t="shared" si="240"/>
        <v>02.10.2021</v>
      </c>
      <c r="E3114" s="1">
        <v>0.67708333333333337</v>
      </c>
      <c r="F3114" t="s">
        <v>881</v>
      </c>
      <c r="G3114" t="s">
        <v>21</v>
      </c>
      <c r="H3114" t="s">
        <v>18</v>
      </c>
      <c r="I3114" t="str">
        <f t="shared" si="241"/>
        <v>1-0</v>
      </c>
      <c r="J3114" t="str">
        <f t="shared" si="242"/>
        <v>1</v>
      </c>
      <c r="K3114" t="str">
        <f t="shared" si="243"/>
        <v>0</v>
      </c>
      <c r="L3114" t="str">
        <f t="shared" si="244"/>
        <v>RCD Mallorca</v>
      </c>
      <c r="M3114" t="str">
        <f>IF(COUNTIF($A$2:A3114,A3114)=1,
     VLOOKUP(A3114,Season_Winners!A:B,2,FALSE),
     "")</f>
        <v/>
      </c>
    </row>
    <row r="3115" spans="1:13" x14ac:dyDescent="0.3">
      <c r="A3115" t="s">
        <v>1138</v>
      </c>
      <c r="B3115">
        <v>8</v>
      </c>
      <c r="C3115" t="s">
        <v>1167</v>
      </c>
      <c r="D3115" t="str">
        <f t="shared" si="240"/>
        <v>02.10.2021</v>
      </c>
      <c r="E3115" s="1">
        <v>0.77083333333333337</v>
      </c>
      <c r="F3115" t="s">
        <v>1000</v>
      </c>
      <c r="G3115" t="s">
        <v>16</v>
      </c>
      <c r="H3115" t="s">
        <v>41</v>
      </c>
      <c r="I3115" t="str">
        <f t="shared" si="241"/>
        <v>0-0</v>
      </c>
      <c r="J3115" t="str">
        <f t="shared" si="242"/>
        <v>0</v>
      </c>
      <c r="K3115" t="str">
        <f t="shared" si="243"/>
        <v>0</v>
      </c>
      <c r="L3115" t="str">
        <f t="shared" si="244"/>
        <v>Draw</v>
      </c>
      <c r="M3115" t="str">
        <f>IF(COUNTIF($A$2:A3115,A3115)=1,
     VLOOKUP(A3115,Season_Winners!A:B,2,FALSE),
     "")</f>
        <v/>
      </c>
    </row>
    <row r="3116" spans="1:13" x14ac:dyDescent="0.3">
      <c r="A3116" t="s">
        <v>1138</v>
      </c>
      <c r="B3116">
        <v>8</v>
      </c>
      <c r="C3116" t="s">
        <v>1167</v>
      </c>
      <c r="D3116" t="str">
        <f t="shared" si="240"/>
        <v>02.10.2021</v>
      </c>
      <c r="E3116" s="1">
        <v>0.875</v>
      </c>
      <c r="F3116" t="s">
        <v>1425</v>
      </c>
      <c r="G3116" t="s">
        <v>20</v>
      </c>
      <c r="H3116" t="s">
        <v>12</v>
      </c>
      <c r="I3116" t="str">
        <f t="shared" si="241"/>
        <v>2-0</v>
      </c>
      <c r="J3116" t="str">
        <f t="shared" si="242"/>
        <v>2</v>
      </c>
      <c r="K3116" t="str">
        <f t="shared" si="243"/>
        <v>0</v>
      </c>
      <c r="L3116" t="str">
        <f t="shared" si="244"/>
        <v>Atlético de Madrid</v>
      </c>
      <c r="M3116" t="str">
        <f>IF(COUNTIF($A$2:A3116,A3116)=1,
     VLOOKUP(A3116,Season_Winners!A:B,2,FALSE),
     "")</f>
        <v/>
      </c>
    </row>
    <row r="3117" spans="1:13" x14ac:dyDescent="0.3">
      <c r="A3117" t="s">
        <v>1138</v>
      </c>
      <c r="B3117">
        <v>8</v>
      </c>
      <c r="C3117" t="s">
        <v>1168</v>
      </c>
      <c r="D3117" t="str">
        <f t="shared" si="240"/>
        <v>03.10.2021</v>
      </c>
      <c r="E3117" s="1">
        <v>0.58333333333333337</v>
      </c>
      <c r="F3117" t="s">
        <v>31</v>
      </c>
      <c r="G3117" t="s">
        <v>35</v>
      </c>
      <c r="H3117" t="s">
        <v>18</v>
      </c>
      <c r="I3117" t="str">
        <f t="shared" si="241"/>
        <v>1-0</v>
      </c>
      <c r="J3117" t="str">
        <f t="shared" si="242"/>
        <v>1</v>
      </c>
      <c r="K3117" t="str">
        <f t="shared" si="243"/>
        <v>0</v>
      </c>
      <c r="L3117" t="str">
        <f t="shared" si="244"/>
        <v>Elche CF</v>
      </c>
      <c r="M3117" t="str">
        <f>IF(COUNTIF($A$2:A3117,A3117)=1,
     VLOOKUP(A3117,Season_Winners!A:B,2,FALSE),
     "")</f>
        <v/>
      </c>
    </row>
    <row r="3118" spans="1:13" hidden="1" x14ac:dyDescent="0.3">
      <c r="A3118" t="s">
        <v>1138</v>
      </c>
      <c r="B3118">
        <v>8</v>
      </c>
      <c r="C3118" t="s">
        <v>1168</v>
      </c>
      <c r="D3118" t="str">
        <f t="shared" si="240"/>
        <v>03.10.2021</v>
      </c>
      <c r="E3118" s="1">
        <v>0.67708333333333337</v>
      </c>
      <c r="F3118" t="s">
        <v>36</v>
      </c>
      <c r="G3118" t="s">
        <v>25</v>
      </c>
      <c r="H3118" s="2">
        <v>46024</v>
      </c>
      <c r="I3118" s="3" t="str">
        <f t="shared" si="241"/>
        <v/>
      </c>
      <c r="J3118" t="str">
        <f t="shared" si="242"/>
        <v/>
      </c>
      <c r="K3118" t="str">
        <f t="shared" si="243"/>
        <v/>
      </c>
      <c r="L3118" t="str">
        <f t="shared" si="244"/>
        <v/>
      </c>
      <c r="M3118" t="str">
        <f>IF(COUNTIF($A$2:A3118,A3118)=1,
     VLOOKUP(A3118,Season_Winners!A:B,2,FALSE),
     "")</f>
        <v/>
      </c>
    </row>
    <row r="3119" spans="1:13" hidden="1" x14ac:dyDescent="0.3">
      <c r="A3119" t="s">
        <v>1138</v>
      </c>
      <c r="B3119">
        <v>8</v>
      </c>
      <c r="C3119" t="s">
        <v>1168</v>
      </c>
      <c r="D3119" t="str">
        <f t="shared" si="240"/>
        <v>03.10.2021</v>
      </c>
      <c r="E3119" s="1">
        <v>0.77083333333333337</v>
      </c>
      <c r="F3119" t="s">
        <v>11</v>
      </c>
      <c r="G3119" t="s">
        <v>10</v>
      </c>
      <c r="H3119" s="2">
        <v>46023</v>
      </c>
      <c r="I3119" s="3" t="str">
        <f t="shared" si="241"/>
        <v/>
      </c>
      <c r="J3119" t="str">
        <f t="shared" si="242"/>
        <v/>
      </c>
      <c r="K3119" t="str">
        <f t="shared" si="243"/>
        <v/>
      </c>
      <c r="L3119" t="str">
        <f t="shared" si="244"/>
        <v/>
      </c>
      <c r="M3119" t="str">
        <f>IF(COUNTIF($A$2:A3119,A3119)=1,
     VLOOKUP(A3119,Season_Winners!A:B,2,FALSE),
     "")</f>
        <v/>
      </c>
    </row>
    <row r="3120" spans="1:13" x14ac:dyDescent="0.3">
      <c r="A3120" t="s">
        <v>1138</v>
      </c>
      <c r="B3120">
        <v>8</v>
      </c>
      <c r="C3120" t="s">
        <v>1168</v>
      </c>
      <c r="D3120" t="str">
        <f t="shared" si="240"/>
        <v>03.10.2021</v>
      </c>
      <c r="E3120" s="1">
        <v>0.77083333333333337</v>
      </c>
      <c r="F3120" t="s">
        <v>34</v>
      </c>
      <c r="G3120" t="s">
        <v>26</v>
      </c>
      <c r="H3120" t="s">
        <v>12</v>
      </c>
      <c r="I3120" t="str">
        <f t="shared" si="241"/>
        <v>2-0</v>
      </c>
      <c r="J3120" t="str">
        <f t="shared" si="242"/>
        <v>2</v>
      </c>
      <c r="K3120" t="str">
        <f t="shared" si="243"/>
        <v>0</v>
      </c>
      <c r="L3120" t="str">
        <f t="shared" si="244"/>
        <v>Villarreal CF</v>
      </c>
      <c r="M3120" t="str">
        <f>IF(COUNTIF($A$2:A3120,A3120)=1,
     VLOOKUP(A3120,Season_Winners!A:B,2,FALSE),
     "")</f>
        <v/>
      </c>
    </row>
    <row r="3121" spans="1:13" x14ac:dyDescent="0.3">
      <c r="A3121" t="s">
        <v>1138</v>
      </c>
      <c r="B3121">
        <v>8</v>
      </c>
      <c r="C3121" t="s">
        <v>1168</v>
      </c>
      <c r="D3121" t="str">
        <f t="shared" si="240"/>
        <v>03.10.2021</v>
      </c>
      <c r="E3121" s="1">
        <v>0.875</v>
      </c>
      <c r="F3121" t="s">
        <v>24</v>
      </c>
      <c r="G3121" t="s">
        <v>27</v>
      </c>
      <c r="H3121" t="s">
        <v>18</v>
      </c>
      <c r="I3121" t="str">
        <f t="shared" si="241"/>
        <v>1-0</v>
      </c>
      <c r="J3121" t="str">
        <f t="shared" si="242"/>
        <v>1</v>
      </c>
      <c r="K3121" t="str">
        <f t="shared" si="243"/>
        <v>0</v>
      </c>
      <c r="L3121" t="str">
        <f t="shared" si="244"/>
        <v>Granada CF</v>
      </c>
      <c r="M3121" t="str">
        <f>IF(COUNTIF($A$2:A3121,A3121)=1,
     VLOOKUP(A3121,Season_Winners!A:B,2,FALSE),
     "")</f>
        <v/>
      </c>
    </row>
    <row r="3122" spans="1:13" x14ac:dyDescent="0.3">
      <c r="A3122" t="s">
        <v>1138</v>
      </c>
      <c r="B3122">
        <v>9</v>
      </c>
      <c r="C3122" t="s">
        <v>1169</v>
      </c>
      <c r="D3122" t="str">
        <f t="shared" si="240"/>
        <v>16.10.2021</v>
      </c>
      <c r="E3122" s="1">
        <v>0.77083333333333337</v>
      </c>
      <c r="F3122" t="s">
        <v>21</v>
      </c>
      <c r="G3122" t="s">
        <v>11</v>
      </c>
      <c r="H3122" t="s">
        <v>41</v>
      </c>
      <c r="I3122" t="str">
        <f t="shared" si="241"/>
        <v>0-0</v>
      </c>
      <c r="J3122" t="str">
        <f t="shared" si="242"/>
        <v>0</v>
      </c>
      <c r="K3122" t="str">
        <f t="shared" si="243"/>
        <v>0</v>
      </c>
      <c r="L3122" t="str">
        <f t="shared" si="244"/>
        <v>Draw</v>
      </c>
      <c r="M3122" t="str">
        <f>IF(COUNTIF($A$2:A3122,A3122)=1,
     VLOOKUP(A3122,Season_Winners!A:B,2,FALSE),
     "")</f>
        <v/>
      </c>
    </row>
    <row r="3123" spans="1:13" x14ac:dyDescent="0.3">
      <c r="A3123" t="s">
        <v>1138</v>
      </c>
      <c r="B3123">
        <v>9</v>
      </c>
      <c r="C3123" t="s">
        <v>1169</v>
      </c>
      <c r="D3123" t="str">
        <f t="shared" si="240"/>
        <v>16.10.2021</v>
      </c>
      <c r="E3123" s="1">
        <v>0.875</v>
      </c>
      <c r="F3123" t="s">
        <v>10</v>
      </c>
      <c r="G3123" t="s">
        <v>881</v>
      </c>
      <c r="H3123" t="s">
        <v>18</v>
      </c>
      <c r="I3123" t="str">
        <f t="shared" si="241"/>
        <v>1-0</v>
      </c>
      <c r="J3123" t="str">
        <f t="shared" si="242"/>
        <v>1</v>
      </c>
      <c r="K3123" t="str">
        <f t="shared" si="243"/>
        <v>0</v>
      </c>
      <c r="L3123" t="str">
        <f t="shared" si="244"/>
        <v>Real Sociedad</v>
      </c>
      <c r="M3123" t="str">
        <f>IF(COUNTIF($A$2:A3123,A3123)=1,
     VLOOKUP(A3123,Season_Winners!A:B,2,FALSE),
     "")</f>
        <v/>
      </c>
    </row>
    <row r="3124" spans="1:13" hidden="1" x14ac:dyDescent="0.3">
      <c r="A3124" t="s">
        <v>1138</v>
      </c>
      <c r="B3124">
        <v>9</v>
      </c>
      <c r="C3124" t="s">
        <v>1170</v>
      </c>
      <c r="D3124" t="str">
        <f t="shared" si="240"/>
        <v>17.10.2021</v>
      </c>
      <c r="E3124" s="1">
        <v>0.58333333333333337</v>
      </c>
      <c r="F3124" t="s">
        <v>30</v>
      </c>
      <c r="G3124" t="s">
        <v>31</v>
      </c>
      <c r="H3124" s="2">
        <v>46024</v>
      </c>
      <c r="I3124" s="3" t="str">
        <f t="shared" si="241"/>
        <v/>
      </c>
      <c r="J3124" t="str">
        <f t="shared" si="242"/>
        <v/>
      </c>
      <c r="K3124" t="str">
        <f t="shared" si="243"/>
        <v/>
      </c>
      <c r="L3124" t="str">
        <f t="shared" si="244"/>
        <v/>
      </c>
      <c r="M3124" t="str">
        <f>IF(COUNTIF($A$2:A3124,A3124)=1,
     VLOOKUP(A3124,Season_Winners!A:B,2,FALSE),
     "")</f>
        <v/>
      </c>
    </row>
    <row r="3125" spans="1:13" x14ac:dyDescent="0.3">
      <c r="A3125" t="s">
        <v>1138</v>
      </c>
      <c r="B3125">
        <v>9</v>
      </c>
      <c r="C3125" t="s">
        <v>1170</v>
      </c>
      <c r="D3125" t="str">
        <f t="shared" si="240"/>
        <v>17.10.2021</v>
      </c>
      <c r="E3125" s="1">
        <v>0.67708333333333337</v>
      </c>
      <c r="F3125" t="s">
        <v>35</v>
      </c>
      <c r="G3125" t="s">
        <v>27</v>
      </c>
      <c r="H3125" t="s">
        <v>42</v>
      </c>
      <c r="I3125" t="str">
        <f t="shared" si="241"/>
        <v>0-1</v>
      </c>
      <c r="J3125" t="str">
        <f t="shared" si="242"/>
        <v>0</v>
      </c>
      <c r="K3125" t="str">
        <f t="shared" si="243"/>
        <v>1</v>
      </c>
      <c r="L3125" t="str">
        <f t="shared" si="244"/>
        <v>Sevilla FC</v>
      </c>
      <c r="M3125" t="str">
        <f>IF(COUNTIF($A$2:A3125,A3125)=1,
     VLOOKUP(A3125,Season_Winners!A:B,2,FALSE),
     "")</f>
        <v/>
      </c>
    </row>
    <row r="3126" spans="1:13" hidden="1" x14ac:dyDescent="0.3">
      <c r="A3126" t="s">
        <v>1138</v>
      </c>
      <c r="B3126">
        <v>9</v>
      </c>
      <c r="C3126" t="s">
        <v>1170</v>
      </c>
      <c r="D3126" t="str">
        <f t="shared" si="240"/>
        <v>17.10.2021</v>
      </c>
      <c r="E3126" s="1">
        <v>0.77083333333333337</v>
      </c>
      <c r="F3126" t="s">
        <v>34</v>
      </c>
      <c r="G3126" t="s">
        <v>23</v>
      </c>
      <c r="H3126" s="2">
        <v>46054</v>
      </c>
      <c r="I3126" s="3" t="str">
        <f t="shared" si="241"/>
        <v/>
      </c>
      <c r="J3126" t="str">
        <f t="shared" si="242"/>
        <v/>
      </c>
      <c r="K3126" t="str">
        <f t="shared" si="243"/>
        <v/>
      </c>
      <c r="L3126" t="str">
        <f t="shared" si="244"/>
        <v/>
      </c>
      <c r="M3126" t="str">
        <f>IF(COUNTIF($A$2:A3126,A3126)=1,
     VLOOKUP(A3126,Season_Winners!A:B,2,FALSE),
     "")</f>
        <v/>
      </c>
    </row>
    <row r="3127" spans="1:13" hidden="1" x14ac:dyDescent="0.3">
      <c r="A3127" t="s">
        <v>1138</v>
      </c>
      <c r="B3127">
        <v>9</v>
      </c>
      <c r="C3127" t="s">
        <v>1170</v>
      </c>
      <c r="D3127" t="str">
        <f t="shared" si="240"/>
        <v>17.10.2021</v>
      </c>
      <c r="E3127" s="1">
        <v>0.875</v>
      </c>
      <c r="F3127" t="s">
        <v>20</v>
      </c>
      <c r="G3127" t="s">
        <v>16</v>
      </c>
      <c r="H3127" s="2">
        <v>46025</v>
      </c>
      <c r="I3127" s="3" t="str">
        <f t="shared" si="241"/>
        <v/>
      </c>
      <c r="J3127" t="str">
        <f t="shared" si="242"/>
        <v/>
      </c>
      <c r="K3127" t="str">
        <f t="shared" si="243"/>
        <v/>
      </c>
      <c r="L3127" t="str">
        <f t="shared" si="244"/>
        <v/>
      </c>
      <c r="M3127" t="str">
        <f>IF(COUNTIF($A$2:A3127,A3127)=1,
     VLOOKUP(A3127,Season_Winners!A:B,2,FALSE),
     "")</f>
        <v/>
      </c>
    </row>
    <row r="3128" spans="1:13" x14ac:dyDescent="0.3">
      <c r="A3128" t="s">
        <v>1138</v>
      </c>
      <c r="B3128">
        <v>9</v>
      </c>
      <c r="C3128" t="s">
        <v>1171</v>
      </c>
      <c r="D3128" t="str">
        <f t="shared" si="240"/>
        <v>18.10.2021</v>
      </c>
      <c r="E3128" s="1">
        <v>0.79166666666666663</v>
      </c>
      <c r="F3128" t="s">
        <v>464</v>
      </c>
      <c r="G3128" t="s">
        <v>26</v>
      </c>
      <c r="H3128" t="s">
        <v>42</v>
      </c>
      <c r="I3128" t="str">
        <f t="shared" si="241"/>
        <v>0-1</v>
      </c>
      <c r="J3128" t="str">
        <f t="shared" si="242"/>
        <v>0</v>
      </c>
      <c r="K3128" t="str">
        <f t="shared" si="243"/>
        <v>1</v>
      </c>
      <c r="L3128" t="str">
        <f t="shared" si="244"/>
        <v>Real Betis</v>
      </c>
      <c r="M3128" t="str">
        <f>IF(COUNTIF($A$2:A3128,A3128)=1,
     VLOOKUP(A3128,Season_Winners!A:B,2,FALSE),
     "")</f>
        <v/>
      </c>
    </row>
    <row r="3129" spans="1:13" x14ac:dyDescent="0.3">
      <c r="A3129" t="s">
        <v>1138</v>
      </c>
      <c r="B3129">
        <v>9</v>
      </c>
      <c r="C3129" t="s">
        <v>1171</v>
      </c>
      <c r="D3129" t="str">
        <f t="shared" si="240"/>
        <v>18.10.2021</v>
      </c>
      <c r="E3129" s="1">
        <v>0.875</v>
      </c>
      <c r="F3129" t="s">
        <v>36</v>
      </c>
      <c r="G3129" t="s">
        <v>1000</v>
      </c>
      <c r="H3129" t="s">
        <v>12</v>
      </c>
      <c r="I3129" t="str">
        <f t="shared" si="241"/>
        <v>2-0</v>
      </c>
      <c r="J3129" t="str">
        <f t="shared" si="242"/>
        <v>2</v>
      </c>
      <c r="K3129" t="str">
        <f t="shared" si="243"/>
        <v>0</v>
      </c>
      <c r="L3129" t="str">
        <f t="shared" si="244"/>
        <v>RCD Espanyol de Barcelona</v>
      </c>
      <c r="M3129" t="str">
        <f>IF(COUNTIF($A$2:A3129,A3129)=1,
     VLOOKUP(A3129,Season_Winners!A:B,2,FALSE),
     "")</f>
        <v/>
      </c>
    </row>
    <row r="3130" spans="1:13" x14ac:dyDescent="0.3">
      <c r="A3130" t="s">
        <v>1138</v>
      </c>
      <c r="B3130">
        <v>9</v>
      </c>
      <c r="C3130" t="s">
        <v>1172</v>
      </c>
      <c r="D3130" t="str">
        <f t="shared" si="240"/>
        <v>01.12.2021</v>
      </c>
      <c r="E3130" s="1">
        <v>0.875</v>
      </c>
      <c r="F3130" t="s">
        <v>25</v>
      </c>
      <c r="G3130" t="s">
        <v>15</v>
      </c>
      <c r="H3130" t="s">
        <v>18</v>
      </c>
      <c r="I3130" t="str">
        <f t="shared" si="241"/>
        <v>1-0</v>
      </c>
      <c r="J3130" t="str">
        <f t="shared" si="242"/>
        <v>1</v>
      </c>
      <c r="K3130" t="str">
        <f t="shared" si="243"/>
        <v>0</v>
      </c>
      <c r="L3130" t="str">
        <f t="shared" si="244"/>
        <v>Real Madrid</v>
      </c>
      <c r="M3130" t="str">
        <f>IF(COUNTIF($A$2:A3130,A3130)=1,
     VLOOKUP(A3130,Season_Winners!A:B,2,FALSE),
     "")</f>
        <v/>
      </c>
    </row>
    <row r="3131" spans="1:13" hidden="1" x14ac:dyDescent="0.3">
      <c r="A3131" t="s">
        <v>1138</v>
      </c>
      <c r="B3131">
        <v>9</v>
      </c>
      <c r="C3131" t="s">
        <v>1173</v>
      </c>
      <c r="D3131" t="str">
        <f t="shared" si="240"/>
        <v>22.12.2021</v>
      </c>
      <c r="E3131" s="1">
        <v>0.79166666666666663</v>
      </c>
      <c r="F3131" t="s">
        <v>24</v>
      </c>
      <c r="G3131" t="s">
        <v>28</v>
      </c>
      <c r="H3131" s="2">
        <v>46024</v>
      </c>
      <c r="I3131" s="3" t="str">
        <f t="shared" si="241"/>
        <v/>
      </c>
      <c r="J3131" t="str">
        <f t="shared" si="242"/>
        <v/>
      </c>
      <c r="K3131" t="str">
        <f t="shared" si="243"/>
        <v/>
      </c>
      <c r="L3131" t="str">
        <f t="shared" si="244"/>
        <v/>
      </c>
      <c r="M3131" t="str">
        <f>IF(COUNTIF($A$2:A3131,A3131)=1,
     VLOOKUP(A3131,Season_Winners!A:B,2,FALSE),
     "")</f>
        <v/>
      </c>
    </row>
    <row r="3132" spans="1:13" hidden="1" x14ac:dyDescent="0.3">
      <c r="A3132" t="s">
        <v>1138</v>
      </c>
      <c r="B3132">
        <v>10</v>
      </c>
      <c r="C3132" t="s">
        <v>1174</v>
      </c>
      <c r="D3132" t="str">
        <f t="shared" si="240"/>
        <v>22.10.2021</v>
      </c>
      <c r="E3132" s="1">
        <v>0.875</v>
      </c>
      <c r="F3132" t="s">
        <v>23</v>
      </c>
      <c r="G3132" t="s">
        <v>24</v>
      </c>
      <c r="H3132" s="2">
        <v>46023</v>
      </c>
      <c r="I3132" s="3" t="str">
        <f t="shared" si="241"/>
        <v/>
      </c>
      <c r="J3132" t="str">
        <f t="shared" si="242"/>
        <v/>
      </c>
      <c r="K3132" t="str">
        <f t="shared" si="243"/>
        <v/>
      </c>
      <c r="L3132" t="str">
        <f t="shared" si="244"/>
        <v/>
      </c>
      <c r="M3132" t="str">
        <f>IF(COUNTIF($A$2:A3132,A3132)=1,
     VLOOKUP(A3132,Season_Winners!A:B,2,FALSE),
     "")</f>
        <v/>
      </c>
    </row>
    <row r="3133" spans="1:13" hidden="1" x14ac:dyDescent="0.3">
      <c r="A3133" t="s">
        <v>1138</v>
      </c>
      <c r="B3133">
        <v>10</v>
      </c>
      <c r="C3133" t="s">
        <v>1175</v>
      </c>
      <c r="D3133" t="str">
        <f t="shared" si="240"/>
        <v>23.10.2021</v>
      </c>
      <c r="E3133" s="1">
        <v>0.58333333333333337</v>
      </c>
      <c r="F3133" t="s">
        <v>16</v>
      </c>
      <c r="G3133" t="s">
        <v>881</v>
      </c>
      <c r="H3133" s="2">
        <v>46055</v>
      </c>
      <c r="I3133" s="3" t="str">
        <f t="shared" si="241"/>
        <v/>
      </c>
      <c r="J3133" t="str">
        <f t="shared" si="242"/>
        <v/>
      </c>
      <c r="K3133" t="str">
        <f t="shared" si="243"/>
        <v/>
      </c>
      <c r="L3133" t="str">
        <f t="shared" si="244"/>
        <v/>
      </c>
      <c r="M3133" t="str">
        <f>IF(COUNTIF($A$2:A3133,A3133)=1,
     VLOOKUP(A3133,Season_Winners!A:B,2,FALSE),
     "")</f>
        <v/>
      </c>
    </row>
    <row r="3134" spans="1:13" x14ac:dyDescent="0.3">
      <c r="A3134" t="s">
        <v>1138</v>
      </c>
      <c r="B3134">
        <v>10</v>
      </c>
      <c r="C3134" t="s">
        <v>1175</v>
      </c>
      <c r="D3134" t="str">
        <f t="shared" si="240"/>
        <v>23.10.2021</v>
      </c>
      <c r="E3134" s="1">
        <v>0.67708333333333337</v>
      </c>
      <c r="F3134" t="s">
        <v>1000</v>
      </c>
      <c r="G3134" t="s">
        <v>464</v>
      </c>
      <c r="H3134" t="s">
        <v>54</v>
      </c>
      <c r="I3134" t="str">
        <f t="shared" si="241"/>
        <v>0-2</v>
      </c>
      <c r="J3134" t="str">
        <f t="shared" si="242"/>
        <v>0</v>
      </c>
      <c r="K3134" t="str">
        <f t="shared" si="243"/>
        <v>2</v>
      </c>
      <c r="L3134" t="str">
        <f t="shared" si="244"/>
        <v>Deportivo AlavÃ©s</v>
      </c>
      <c r="M3134" t="str">
        <f>IF(COUNTIF($A$2:A3134,A3134)=1,
     VLOOKUP(A3134,Season_Winners!A:B,2,FALSE),
     "")</f>
        <v/>
      </c>
    </row>
    <row r="3135" spans="1:13" hidden="1" x14ac:dyDescent="0.3">
      <c r="A3135" t="s">
        <v>1138</v>
      </c>
      <c r="B3135">
        <v>10</v>
      </c>
      <c r="C3135" t="s">
        <v>1175</v>
      </c>
      <c r="D3135" t="str">
        <f t="shared" si="240"/>
        <v>23.10.2021</v>
      </c>
      <c r="E3135" s="1">
        <v>0.77083333333333337</v>
      </c>
      <c r="F3135" t="s">
        <v>31</v>
      </c>
      <c r="G3135" t="s">
        <v>36</v>
      </c>
      <c r="H3135" s="2">
        <v>46055</v>
      </c>
      <c r="I3135" s="3" t="str">
        <f t="shared" si="241"/>
        <v/>
      </c>
      <c r="J3135" t="str">
        <f t="shared" si="242"/>
        <v/>
      </c>
      <c r="K3135" t="str">
        <f t="shared" si="243"/>
        <v/>
      </c>
      <c r="L3135" t="str">
        <f t="shared" si="244"/>
        <v/>
      </c>
      <c r="M3135" t="str">
        <f>IF(COUNTIF($A$2:A3135,A3135)=1,
     VLOOKUP(A3135,Season_Winners!A:B,2,FALSE),
     "")</f>
        <v/>
      </c>
    </row>
    <row r="3136" spans="1:13" hidden="1" x14ac:dyDescent="0.3">
      <c r="A3136" t="s">
        <v>1138</v>
      </c>
      <c r="B3136">
        <v>10</v>
      </c>
      <c r="C3136" t="s">
        <v>1175</v>
      </c>
      <c r="D3136" t="str">
        <f t="shared" si="240"/>
        <v>23.10.2021</v>
      </c>
      <c r="E3136" s="1">
        <v>0.875</v>
      </c>
      <c r="F3136" t="s">
        <v>15</v>
      </c>
      <c r="G3136" t="s">
        <v>34</v>
      </c>
      <c r="H3136" s="2">
        <v>46024</v>
      </c>
      <c r="I3136" s="3" t="str">
        <f t="shared" si="241"/>
        <v/>
      </c>
      <c r="J3136" t="str">
        <f t="shared" si="242"/>
        <v/>
      </c>
      <c r="K3136" t="str">
        <f t="shared" si="243"/>
        <v/>
      </c>
      <c r="L3136" t="str">
        <f t="shared" si="244"/>
        <v/>
      </c>
      <c r="M3136" t="str">
        <f>IF(COUNTIF($A$2:A3136,A3136)=1,
     VLOOKUP(A3136,Season_Winners!A:B,2,FALSE),
     "")</f>
        <v/>
      </c>
    </row>
    <row r="3137" spans="1:13" hidden="1" x14ac:dyDescent="0.3">
      <c r="A3137" t="s">
        <v>1138</v>
      </c>
      <c r="B3137">
        <v>10</v>
      </c>
      <c r="C3137" t="s">
        <v>1176</v>
      </c>
      <c r="D3137" t="str">
        <f t="shared" si="240"/>
        <v>24.10.2021</v>
      </c>
      <c r="E3137" s="1">
        <v>0.58333333333333337</v>
      </c>
      <c r="F3137" t="s">
        <v>27</v>
      </c>
      <c r="G3137" t="s">
        <v>21</v>
      </c>
      <c r="H3137" s="2">
        <v>46086</v>
      </c>
      <c r="I3137" s="3" t="str">
        <f t="shared" si="241"/>
        <v/>
      </c>
      <c r="J3137" t="str">
        <f t="shared" si="242"/>
        <v/>
      </c>
      <c r="K3137" t="str">
        <f t="shared" si="243"/>
        <v/>
      </c>
      <c r="L3137" t="str">
        <f t="shared" si="244"/>
        <v/>
      </c>
      <c r="M3137" t="str">
        <f>IF(COUNTIF($A$2:A3137,A3137)=1,
     VLOOKUP(A3137,Season_Winners!A:B,2,FALSE),
     "")</f>
        <v/>
      </c>
    </row>
    <row r="3138" spans="1:13" hidden="1" x14ac:dyDescent="0.3">
      <c r="A3138" t="s">
        <v>1138</v>
      </c>
      <c r="B3138">
        <v>10</v>
      </c>
      <c r="C3138" t="s">
        <v>1176</v>
      </c>
      <c r="D3138" t="str">
        <f t="shared" ref="D3138:D3201" si="245">RIGHT(C3138,10)</f>
        <v>24.10.2021</v>
      </c>
      <c r="E3138" s="1">
        <v>0.67708333333333337</v>
      </c>
      <c r="F3138" t="s">
        <v>20</v>
      </c>
      <c r="G3138" t="s">
        <v>25</v>
      </c>
      <c r="H3138" s="2">
        <v>46054</v>
      </c>
      <c r="I3138" s="3" t="str">
        <f t="shared" ref="I3138:I3201" si="246">IF(ISNUMBER(SEARCH("-",H3138)),H3138,"")</f>
        <v/>
      </c>
      <c r="J3138" t="str">
        <f t="shared" ref="J3138:J3201" si="247">IF(I3138="","",LEFT(I3138,FIND("-",I3138)-1))</f>
        <v/>
      </c>
      <c r="K3138" t="str">
        <f t="shared" ref="K3138:K3201" si="248">IF(I3138="","",RIGHT(I3138,LEN(I3138)-FIND("-",I3138)))</f>
        <v/>
      </c>
      <c r="L3138" t="str">
        <f t="shared" ref="L3138:L3201" si="249">IF(I3138="","",IF(J3138&gt;K3138,F3138,IF(K3138&gt;J3138,G3138,"Draw")))</f>
        <v/>
      </c>
      <c r="M3138" t="str">
        <f>IF(COUNTIF($A$2:A3138,A3138)=1,
     VLOOKUP(A3138,Season_Winners!A:B,2,FALSE),
     "")</f>
        <v/>
      </c>
    </row>
    <row r="3139" spans="1:13" hidden="1" x14ac:dyDescent="0.3">
      <c r="A3139" t="s">
        <v>1138</v>
      </c>
      <c r="B3139">
        <v>10</v>
      </c>
      <c r="C3139" t="s">
        <v>1176</v>
      </c>
      <c r="D3139" t="str">
        <f t="shared" si="245"/>
        <v>24.10.2021</v>
      </c>
      <c r="E3139" s="1">
        <v>0.77083333333333337</v>
      </c>
      <c r="F3139" t="s">
        <v>26</v>
      </c>
      <c r="G3139" t="s">
        <v>30</v>
      </c>
      <c r="H3139" s="2">
        <v>46056</v>
      </c>
      <c r="I3139" s="3" t="str">
        <f t="shared" si="246"/>
        <v/>
      </c>
      <c r="J3139" t="str">
        <f t="shared" si="247"/>
        <v/>
      </c>
      <c r="K3139" t="str">
        <f t="shared" si="248"/>
        <v/>
      </c>
      <c r="L3139" t="str">
        <f t="shared" si="249"/>
        <v/>
      </c>
      <c r="M3139" t="str">
        <f>IF(COUNTIF($A$2:A3139,A3139)=1,
     VLOOKUP(A3139,Season_Winners!A:B,2,FALSE),
     "")</f>
        <v/>
      </c>
    </row>
    <row r="3140" spans="1:13" hidden="1" x14ac:dyDescent="0.3">
      <c r="A3140" t="s">
        <v>1138</v>
      </c>
      <c r="B3140">
        <v>10</v>
      </c>
      <c r="C3140" t="s">
        <v>1176</v>
      </c>
      <c r="D3140" t="str">
        <f t="shared" si="245"/>
        <v>24.10.2021</v>
      </c>
      <c r="E3140" s="1">
        <v>0.875</v>
      </c>
      <c r="F3140" t="s">
        <v>28</v>
      </c>
      <c r="G3140" t="s">
        <v>10</v>
      </c>
      <c r="H3140" s="2">
        <v>46055</v>
      </c>
      <c r="I3140" s="3" t="str">
        <f t="shared" si="246"/>
        <v/>
      </c>
      <c r="J3140" t="str">
        <f t="shared" si="247"/>
        <v/>
      </c>
      <c r="K3140" t="str">
        <f t="shared" si="248"/>
        <v/>
      </c>
      <c r="L3140" t="str">
        <f t="shared" si="249"/>
        <v/>
      </c>
      <c r="M3140" t="str">
        <f>IF(COUNTIF($A$2:A3140,A3140)=1,
     VLOOKUP(A3140,Season_Winners!A:B,2,FALSE),
     "")</f>
        <v/>
      </c>
    </row>
    <row r="3141" spans="1:13" x14ac:dyDescent="0.3">
      <c r="A3141" t="s">
        <v>1138</v>
      </c>
      <c r="B3141">
        <v>10</v>
      </c>
      <c r="C3141" t="s">
        <v>1177</v>
      </c>
      <c r="D3141" t="str">
        <f t="shared" si="245"/>
        <v>25.10.2021</v>
      </c>
      <c r="E3141" s="1">
        <v>0.875</v>
      </c>
      <c r="F3141" t="s">
        <v>11</v>
      </c>
      <c r="G3141" t="s">
        <v>35</v>
      </c>
      <c r="H3141" t="s">
        <v>46</v>
      </c>
      <c r="I3141" t="str">
        <f t="shared" si="246"/>
        <v>0-3</v>
      </c>
      <c r="J3141" t="str">
        <f t="shared" si="247"/>
        <v>0</v>
      </c>
      <c r="K3141" t="str">
        <f t="shared" si="248"/>
        <v>3</v>
      </c>
      <c r="L3141" t="str">
        <f t="shared" si="249"/>
        <v>RC Celta</v>
      </c>
      <c r="M3141" t="str">
        <f>IF(COUNTIF($A$2:A3141,A3141)=1,
     VLOOKUP(A3141,Season_Winners!A:B,2,FALSE),
     "")</f>
        <v/>
      </c>
    </row>
    <row r="3142" spans="1:13" x14ac:dyDescent="0.3">
      <c r="A3142" t="s">
        <v>1138</v>
      </c>
      <c r="B3142">
        <v>11</v>
      </c>
      <c r="C3142" t="s">
        <v>1178</v>
      </c>
      <c r="D3142" t="str">
        <f t="shared" si="245"/>
        <v>26.10.2021</v>
      </c>
      <c r="E3142" s="1">
        <v>0.79166666666666663</v>
      </c>
      <c r="F3142" t="s">
        <v>464</v>
      </c>
      <c r="G3142" t="s">
        <v>31</v>
      </c>
      <c r="H3142" t="s">
        <v>18</v>
      </c>
      <c r="I3142" t="str">
        <f t="shared" si="246"/>
        <v>1-0</v>
      </c>
      <c r="J3142" t="str">
        <f t="shared" si="247"/>
        <v>1</v>
      </c>
      <c r="K3142" t="str">
        <f t="shared" si="248"/>
        <v>0</v>
      </c>
      <c r="L3142" t="str">
        <f t="shared" si="249"/>
        <v>Deportivo AlavÃ©s</v>
      </c>
      <c r="M3142" t="str">
        <f>IF(COUNTIF($A$2:A3142,A3142)=1,
     VLOOKUP(A3142,Season_Winners!A:B,2,FALSE),
     "")</f>
        <v/>
      </c>
    </row>
    <row r="3143" spans="1:13" hidden="1" x14ac:dyDescent="0.3">
      <c r="A3143" t="s">
        <v>1138</v>
      </c>
      <c r="B3143">
        <v>11</v>
      </c>
      <c r="C3143" t="s">
        <v>1178</v>
      </c>
      <c r="D3143" t="str">
        <f t="shared" si="245"/>
        <v>26.10.2021</v>
      </c>
      <c r="E3143" s="1">
        <v>0.875</v>
      </c>
      <c r="F3143" t="s">
        <v>36</v>
      </c>
      <c r="G3143" t="s">
        <v>15</v>
      </c>
      <c r="H3143" s="2">
        <v>46023</v>
      </c>
      <c r="I3143" s="3" t="str">
        <f t="shared" si="246"/>
        <v/>
      </c>
      <c r="J3143" t="str">
        <f t="shared" si="247"/>
        <v/>
      </c>
      <c r="K3143" t="str">
        <f t="shared" si="248"/>
        <v/>
      </c>
      <c r="L3143" t="str">
        <f t="shared" si="249"/>
        <v/>
      </c>
      <c r="M3143" t="str">
        <f>IF(COUNTIF($A$2:A3143,A3143)=1,
     VLOOKUP(A3143,Season_Winners!A:B,2,FALSE),
     "")</f>
        <v/>
      </c>
    </row>
    <row r="3144" spans="1:13" hidden="1" x14ac:dyDescent="0.3">
      <c r="A3144" t="s">
        <v>1138</v>
      </c>
      <c r="B3144">
        <v>11</v>
      </c>
      <c r="C3144" t="s">
        <v>1178</v>
      </c>
      <c r="D3144" t="str">
        <f t="shared" si="245"/>
        <v>26.10.2021</v>
      </c>
      <c r="E3144" s="1">
        <v>0.89583333333333337</v>
      </c>
      <c r="F3144" t="s">
        <v>34</v>
      </c>
      <c r="G3144" t="s">
        <v>1000</v>
      </c>
      <c r="H3144" s="2">
        <v>46084</v>
      </c>
      <c r="I3144" s="3" t="str">
        <f t="shared" si="246"/>
        <v/>
      </c>
      <c r="J3144" t="str">
        <f t="shared" si="247"/>
        <v/>
      </c>
      <c r="K3144" t="str">
        <f t="shared" si="248"/>
        <v/>
      </c>
      <c r="L3144" t="str">
        <f t="shared" si="249"/>
        <v/>
      </c>
      <c r="M3144" t="str">
        <f>IF(COUNTIF($A$2:A3144,A3144)=1,
     VLOOKUP(A3144,Season_Winners!A:B,2,FALSE),
     "")</f>
        <v/>
      </c>
    </row>
    <row r="3145" spans="1:13" hidden="1" x14ac:dyDescent="0.3">
      <c r="A3145" t="s">
        <v>1138</v>
      </c>
      <c r="B3145">
        <v>11</v>
      </c>
      <c r="C3145" t="s">
        <v>1179</v>
      </c>
      <c r="D3145" t="str">
        <f t="shared" si="245"/>
        <v>27.10.2021</v>
      </c>
      <c r="E3145" s="1">
        <v>0.79166666666666663</v>
      </c>
      <c r="F3145" t="s">
        <v>881</v>
      </c>
      <c r="G3145" t="s">
        <v>27</v>
      </c>
      <c r="H3145" s="2">
        <v>46023</v>
      </c>
      <c r="I3145" s="3" t="str">
        <f t="shared" si="246"/>
        <v/>
      </c>
      <c r="J3145" t="str">
        <f t="shared" si="247"/>
        <v/>
      </c>
      <c r="K3145" t="str">
        <f t="shared" si="248"/>
        <v/>
      </c>
      <c r="L3145" t="str">
        <f t="shared" si="249"/>
        <v/>
      </c>
      <c r="M3145" t="str">
        <f>IF(COUNTIF($A$2:A3145,A3145)=1,
     VLOOKUP(A3145,Season_Winners!A:B,2,FALSE),
     "")</f>
        <v/>
      </c>
    </row>
    <row r="3146" spans="1:13" x14ac:dyDescent="0.3">
      <c r="A3146" t="s">
        <v>1138</v>
      </c>
      <c r="B3146">
        <v>11</v>
      </c>
      <c r="C3146" t="s">
        <v>1179</v>
      </c>
      <c r="D3146" t="str">
        <f t="shared" si="245"/>
        <v>27.10.2021</v>
      </c>
      <c r="E3146" s="1">
        <v>0.79166666666666663</v>
      </c>
      <c r="F3146" t="s">
        <v>30</v>
      </c>
      <c r="G3146" t="s">
        <v>20</v>
      </c>
      <c r="H3146" t="s">
        <v>18</v>
      </c>
      <c r="I3146" t="str">
        <f t="shared" si="246"/>
        <v>1-0</v>
      </c>
      <c r="J3146" t="str">
        <f t="shared" si="247"/>
        <v>1</v>
      </c>
      <c r="K3146" t="str">
        <f t="shared" si="248"/>
        <v>0</v>
      </c>
      <c r="L3146" t="str">
        <f t="shared" si="249"/>
        <v>Rayo Vallecano</v>
      </c>
      <c r="M3146" t="str">
        <f>IF(COUNTIF($A$2:A3146,A3146)=1,
     VLOOKUP(A3146,Season_Winners!A:B,2,FALSE),
     "")</f>
        <v/>
      </c>
    </row>
    <row r="3147" spans="1:13" hidden="1" x14ac:dyDescent="0.3">
      <c r="A3147" t="s">
        <v>1138</v>
      </c>
      <c r="B3147">
        <v>11</v>
      </c>
      <c r="C3147" t="s">
        <v>1179</v>
      </c>
      <c r="D3147" t="str">
        <f t="shared" si="245"/>
        <v>27.10.2021</v>
      </c>
      <c r="E3147" s="1">
        <v>0.83333333333333337</v>
      </c>
      <c r="F3147" t="s">
        <v>26</v>
      </c>
      <c r="G3147" t="s">
        <v>16</v>
      </c>
      <c r="H3147" s="2">
        <v>46026</v>
      </c>
      <c r="I3147" s="3" t="str">
        <f t="shared" si="246"/>
        <v/>
      </c>
      <c r="J3147" t="str">
        <f t="shared" si="247"/>
        <v/>
      </c>
      <c r="K3147" t="str">
        <f t="shared" si="248"/>
        <v/>
      </c>
      <c r="L3147" t="str">
        <f t="shared" si="249"/>
        <v/>
      </c>
      <c r="M3147" t="str">
        <f>IF(COUNTIF($A$2:A3147,A3147)=1,
     VLOOKUP(A3147,Season_Winners!A:B,2,FALSE),
     "")</f>
        <v/>
      </c>
    </row>
    <row r="3148" spans="1:13" x14ac:dyDescent="0.3">
      <c r="A3148" t="s">
        <v>1138</v>
      </c>
      <c r="B3148">
        <v>11</v>
      </c>
      <c r="C3148" t="s">
        <v>1179</v>
      </c>
      <c r="D3148" t="str">
        <f t="shared" si="245"/>
        <v>27.10.2021</v>
      </c>
      <c r="E3148" s="1">
        <v>0.89583333333333337</v>
      </c>
      <c r="F3148" t="s">
        <v>25</v>
      </c>
      <c r="G3148" t="s">
        <v>23</v>
      </c>
      <c r="H3148" t="s">
        <v>41</v>
      </c>
      <c r="I3148" t="str">
        <f t="shared" si="246"/>
        <v>0-0</v>
      </c>
      <c r="J3148" t="str">
        <f t="shared" si="247"/>
        <v>0</v>
      </c>
      <c r="K3148" t="str">
        <f t="shared" si="248"/>
        <v>0</v>
      </c>
      <c r="L3148" t="str">
        <f t="shared" si="249"/>
        <v>Draw</v>
      </c>
      <c r="M3148" t="str">
        <f>IF(COUNTIF($A$2:A3148,A3148)=1,
     VLOOKUP(A3148,Season_Winners!A:B,2,FALSE),
     "")</f>
        <v/>
      </c>
    </row>
    <row r="3149" spans="1:13" x14ac:dyDescent="0.3">
      <c r="A3149" t="s">
        <v>1138</v>
      </c>
      <c r="B3149">
        <v>11</v>
      </c>
      <c r="C3149" t="s">
        <v>1180</v>
      </c>
      <c r="D3149" t="str">
        <f t="shared" si="245"/>
        <v>28.10.2021</v>
      </c>
      <c r="E3149" s="1">
        <v>0.79166666666666663</v>
      </c>
      <c r="F3149" t="s">
        <v>35</v>
      </c>
      <c r="G3149" t="s">
        <v>10</v>
      </c>
      <c r="H3149" t="s">
        <v>54</v>
      </c>
      <c r="I3149" t="str">
        <f t="shared" si="246"/>
        <v>0-2</v>
      </c>
      <c r="J3149" t="str">
        <f t="shared" si="247"/>
        <v>0</v>
      </c>
      <c r="K3149" t="str">
        <f t="shared" si="248"/>
        <v>2</v>
      </c>
      <c r="L3149" t="str">
        <f t="shared" si="249"/>
        <v>Real Sociedad</v>
      </c>
      <c r="M3149" t="str">
        <f>IF(COUNTIF($A$2:A3149,A3149)=1,
     VLOOKUP(A3149,Season_Winners!A:B,2,FALSE),
     "")</f>
        <v/>
      </c>
    </row>
    <row r="3150" spans="1:13" hidden="1" x14ac:dyDescent="0.3">
      <c r="A3150" t="s">
        <v>1138</v>
      </c>
      <c r="B3150">
        <v>11</v>
      </c>
      <c r="C3150" t="s">
        <v>1180</v>
      </c>
      <c r="D3150" t="str">
        <f t="shared" si="245"/>
        <v>28.10.2021</v>
      </c>
      <c r="E3150" s="1">
        <v>0.83333333333333337</v>
      </c>
      <c r="F3150" t="s">
        <v>24</v>
      </c>
      <c r="G3150" t="s">
        <v>11</v>
      </c>
      <c r="H3150" s="2">
        <v>46023</v>
      </c>
      <c r="I3150" s="3" t="str">
        <f t="shared" si="246"/>
        <v/>
      </c>
      <c r="J3150" t="str">
        <f t="shared" si="247"/>
        <v/>
      </c>
      <c r="K3150" t="str">
        <f t="shared" si="248"/>
        <v/>
      </c>
      <c r="L3150" t="str">
        <f t="shared" si="249"/>
        <v/>
      </c>
      <c r="M3150" t="str">
        <f>IF(COUNTIF($A$2:A3150,A3150)=1,
     VLOOKUP(A3150,Season_Winners!A:B,2,FALSE),
     "")</f>
        <v/>
      </c>
    </row>
    <row r="3151" spans="1:13" hidden="1" x14ac:dyDescent="0.3">
      <c r="A3151" t="s">
        <v>1138</v>
      </c>
      <c r="B3151">
        <v>11</v>
      </c>
      <c r="C3151" t="s">
        <v>1180</v>
      </c>
      <c r="D3151" t="str">
        <f t="shared" si="245"/>
        <v>28.10.2021</v>
      </c>
      <c r="E3151" s="1">
        <v>0.89583333333333337</v>
      </c>
      <c r="F3151" t="s">
        <v>21</v>
      </c>
      <c r="G3151" t="s">
        <v>28</v>
      </c>
      <c r="H3151" s="2">
        <v>46055</v>
      </c>
      <c r="I3151" s="3" t="str">
        <f t="shared" si="246"/>
        <v/>
      </c>
      <c r="J3151" t="str">
        <f t="shared" si="247"/>
        <v/>
      </c>
      <c r="K3151" t="str">
        <f t="shared" si="248"/>
        <v/>
      </c>
      <c r="L3151" t="str">
        <f t="shared" si="249"/>
        <v/>
      </c>
      <c r="M3151" t="str">
        <f>IF(COUNTIF($A$2:A3151,A3151)=1,
     VLOOKUP(A3151,Season_Winners!A:B,2,FALSE),
     "")</f>
        <v/>
      </c>
    </row>
    <row r="3152" spans="1:13" hidden="1" x14ac:dyDescent="0.3">
      <c r="A3152" t="s">
        <v>1138</v>
      </c>
      <c r="B3152">
        <v>12</v>
      </c>
      <c r="C3152" t="s">
        <v>1181</v>
      </c>
      <c r="D3152" t="str">
        <f t="shared" si="245"/>
        <v>30.10.2021</v>
      </c>
      <c r="E3152" s="1">
        <v>0.58333333333333337</v>
      </c>
      <c r="F3152" t="s">
        <v>31</v>
      </c>
      <c r="G3152" t="s">
        <v>25</v>
      </c>
      <c r="H3152" s="2">
        <v>46054</v>
      </c>
      <c r="I3152" s="3" t="str">
        <f t="shared" si="246"/>
        <v/>
      </c>
      <c r="J3152" t="str">
        <f t="shared" si="247"/>
        <v/>
      </c>
      <c r="K3152" t="str">
        <f t="shared" si="248"/>
        <v/>
      </c>
      <c r="L3152" t="str">
        <f t="shared" si="249"/>
        <v/>
      </c>
      <c r="M3152" t="str">
        <f>IF(COUNTIF($A$2:A3152,A3152)=1,
     VLOOKUP(A3152,Season_Winners!A:B,2,FALSE),
     "")</f>
        <v/>
      </c>
    </row>
    <row r="3153" spans="1:13" x14ac:dyDescent="0.3">
      <c r="A3153" t="s">
        <v>1138</v>
      </c>
      <c r="B3153">
        <v>12</v>
      </c>
      <c r="C3153" t="s">
        <v>1181</v>
      </c>
      <c r="D3153" t="str">
        <f t="shared" si="245"/>
        <v>30.10.2021</v>
      </c>
      <c r="E3153" s="1">
        <v>0.67708333333333337</v>
      </c>
      <c r="F3153" t="s">
        <v>27</v>
      </c>
      <c r="G3153" t="s">
        <v>23</v>
      </c>
      <c r="H3153" t="s">
        <v>12</v>
      </c>
      <c r="I3153" t="str">
        <f t="shared" si="246"/>
        <v>2-0</v>
      </c>
      <c r="J3153" t="str">
        <f t="shared" si="247"/>
        <v>2</v>
      </c>
      <c r="K3153" t="str">
        <f t="shared" si="248"/>
        <v>0</v>
      </c>
      <c r="L3153" t="str">
        <f t="shared" si="249"/>
        <v>Sevilla FC</v>
      </c>
      <c r="M3153" t="str">
        <f>IF(COUNTIF($A$2:A3153,A3153)=1,
     VLOOKUP(A3153,Season_Winners!A:B,2,FALSE),
     "")</f>
        <v/>
      </c>
    </row>
    <row r="3154" spans="1:13" x14ac:dyDescent="0.3">
      <c r="A3154" t="s">
        <v>1138</v>
      </c>
      <c r="B3154">
        <v>12</v>
      </c>
      <c r="C3154" t="s">
        <v>1181</v>
      </c>
      <c r="D3154" t="str">
        <f t="shared" si="245"/>
        <v>30.10.2021</v>
      </c>
      <c r="E3154" s="1">
        <v>0.77083333333333337</v>
      </c>
      <c r="F3154" t="s">
        <v>16</v>
      </c>
      <c r="G3154" t="s">
        <v>34</v>
      </c>
      <c r="H3154" t="s">
        <v>12</v>
      </c>
      <c r="I3154" t="str">
        <f t="shared" si="246"/>
        <v>2-0</v>
      </c>
      <c r="J3154" t="str">
        <f t="shared" si="247"/>
        <v>2</v>
      </c>
      <c r="K3154" t="str">
        <f t="shared" si="248"/>
        <v>0</v>
      </c>
      <c r="L3154" t="str">
        <f t="shared" si="249"/>
        <v>Valencia CF</v>
      </c>
      <c r="M3154" t="str">
        <f>IF(COUNTIF($A$2:A3154,A3154)=1,
     VLOOKUP(A3154,Season_Winners!A:B,2,FALSE),
     "")</f>
        <v/>
      </c>
    </row>
    <row r="3155" spans="1:13" hidden="1" x14ac:dyDescent="0.3">
      <c r="A3155" t="s">
        <v>1138</v>
      </c>
      <c r="B3155">
        <v>12</v>
      </c>
      <c r="C3155" t="s">
        <v>1181</v>
      </c>
      <c r="D3155" t="str">
        <f t="shared" si="245"/>
        <v>30.10.2021</v>
      </c>
      <c r="E3155" s="1">
        <v>0.875</v>
      </c>
      <c r="F3155" t="s">
        <v>20</v>
      </c>
      <c r="G3155" t="s">
        <v>464</v>
      </c>
      <c r="H3155" s="2">
        <v>46023</v>
      </c>
      <c r="I3155" s="3" t="str">
        <f t="shared" si="246"/>
        <v/>
      </c>
      <c r="J3155" t="str">
        <f t="shared" si="247"/>
        <v/>
      </c>
      <c r="K3155" t="str">
        <f t="shared" si="248"/>
        <v/>
      </c>
      <c r="L3155" t="str">
        <f t="shared" si="249"/>
        <v/>
      </c>
      <c r="M3155" t="str">
        <f>IF(COUNTIF($A$2:A3155,A3155)=1,
     VLOOKUP(A3155,Season_Winners!A:B,2,FALSE),
     "")</f>
        <v/>
      </c>
    </row>
    <row r="3156" spans="1:13" hidden="1" x14ac:dyDescent="0.3">
      <c r="A3156" t="s">
        <v>1138</v>
      </c>
      <c r="B3156">
        <v>12</v>
      </c>
      <c r="C3156" t="s">
        <v>1182</v>
      </c>
      <c r="D3156" t="str">
        <f t="shared" si="245"/>
        <v>31.10.2021</v>
      </c>
      <c r="E3156" s="1">
        <v>0.58333333333333337</v>
      </c>
      <c r="F3156" t="s">
        <v>1000</v>
      </c>
      <c r="G3156" t="s">
        <v>881</v>
      </c>
      <c r="H3156" s="2">
        <v>46023</v>
      </c>
      <c r="I3156" s="3" t="str">
        <f t="shared" si="246"/>
        <v/>
      </c>
      <c r="J3156" t="str">
        <f t="shared" si="247"/>
        <v/>
      </c>
      <c r="K3156" t="str">
        <f t="shared" si="248"/>
        <v/>
      </c>
      <c r="L3156" t="str">
        <f t="shared" si="249"/>
        <v/>
      </c>
      <c r="M3156" t="str">
        <f>IF(COUNTIF($A$2:A3156,A3156)=1,
     VLOOKUP(A3156,Season_Winners!A:B,2,FALSE),
     "")</f>
        <v/>
      </c>
    </row>
    <row r="3157" spans="1:13" x14ac:dyDescent="0.3">
      <c r="A3157" t="s">
        <v>1138</v>
      </c>
      <c r="B3157">
        <v>12</v>
      </c>
      <c r="C3157" t="s">
        <v>1182</v>
      </c>
      <c r="D3157" t="str">
        <f t="shared" si="245"/>
        <v>31.10.2021</v>
      </c>
      <c r="E3157" s="1">
        <v>0.67708333333333337</v>
      </c>
      <c r="F3157" t="s">
        <v>1425</v>
      </c>
      <c r="G3157" t="s">
        <v>26</v>
      </c>
      <c r="H3157" t="s">
        <v>32</v>
      </c>
      <c r="I3157" t="str">
        <f t="shared" si="246"/>
        <v>3-0</v>
      </c>
      <c r="J3157" t="str">
        <f t="shared" si="247"/>
        <v>3</v>
      </c>
      <c r="K3157" t="str">
        <f t="shared" si="248"/>
        <v>0</v>
      </c>
      <c r="L3157" t="str">
        <f t="shared" si="249"/>
        <v>Atlético de Madrid</v>
      </c>
      <c r="M3157" t="str">
        <f>IF(COUNTIF($A$2:A3157,A3157)=1,
     VLOOKUP(A3157,Season_Winners!A:B,2,FALSE),
     "")</f>
        <v/>
      </c>
    </row>
    <row r="3158" spans="1:13" hidden="1" x14ac:dyDescent="0.3">
      <c r="A3158" t="s">
        <v>1138</v>
      </c>
      <c r="B3158">
        <v>12</v>
      </c>
      <c r="C3158" t="s">
        <v>1182</v>
      </c>
      <c r="D3158" t="str">
        <f t="shared" si="245"/>
        <v>31.10.2021</v>
      </c>
      <c r="E3158" s="1">
        <v>0.77083333333333337</v>
      </c>
      <c r="F3158" t="s">
        <v>11</v>
      </c>
      <c r="G3158" t="s">
        <v>36</v>
      </c>
      <c r="H3158" s="2">
        <v>46024</v>
      </c>
      <c r="I3158" s="3" t="str">
        <f t="shared" si="246"/>
        <v/>
      </c>
      <c r="J3158" t="str">
        <f t="shared" si="247"/>
        <v/>
      </c>
      <c r="K3158" t="str">
        <f t="shared" si="248"/>
        <v/>
      </c>
      <c r="L3158" t="str">
        <f t="shared" si="249"/>
        <v/>
      </c>
      <c r="M3158" t="str">
        <f>IF(COUNTIF($A$2:A3158,A3158)=1,
     VLOOKUP(A3158,Season_Winners!A:B,2,FALSE),
     "")</f>
        <v/>
      </c>
    </row>
    <row r="3159" spans="1:13" hidden="1" x14ac:dyDescent="0.3">
      <c r="A3159" t="s">
        <v>1138</v>
      </c>
      <c r="B3159">
        <v>12</v>
      </c>
      <c r="C3159" t="s">
        <v>1182</v>
      </c>
      <c r="D3159" t="str">
        <f t="shared" si="245"/>
        <v>31.10.2021</v>
      </c>
      <c r="E3159" s="1">
        <v>0.875</v>
      </c>
      <c r="F3159" t="s">
        <v>10</v>
      </c>
      <c r="G3159" t="s">
        <v>15</v>
      </c>
      <c r="H3159" s="2">
        <v>46023</v>
      </c>
      <c r="I3159" s="3" t="str">
        <f t="shared" si="246"/>
        <v/>
      </c>
      <c r="J3159" t="str">
        <f t="shared" si="247"/>
        <v/>
      </c>
      <c r="K3159" t="str">
        <f t="shared" si="248"/>
        <v/>
      </c>
      <c r="L3159" t="str">
        <f t="shared" si="249"/>
        <v/>
      </c>
      <c r="M3159" t="str">
        <f>IF(COUNTIF($A$2:A3159,A3159)=1,
     VLOOKUP(A3159,Season_Winners!A:B,2,FALSE),
     "")</f>
        <v/>
      </c>
    </row>
    <row r="3160" spans="1:13" x14ac:dyDescent="0.3">
      <c r="A3160" t="s">
        <v>1138</v>
      </c>
      <c r="B3160">
        <v>12</v>
      </c>
      <c r="C3160" t="s">
        <v>1183</v>
      </c>
      <c r="D3160" t="str">
        <f t="shared" si="245"/>
        <v>01.11.2021</v>
      </c>
      <c r="E3160" s="1">
        <v>0.77083333333333337</v>
      </c>
      <c r="F3160" t="s">
        <v>30</v>
      </c>
      <c r="G3160" t="s">
        <v>35</v>
      </c>
      <c r="H3160" t="s">
        <v>41</v>
      </c>
      <c r="I3160" t="str">
        <f t="shared" si="246"/>
        <v>0-0</v>
      </c>
      <c r="J3160" t="str">
        <f t="shared" si="247"/>
        <v>0</v>
      </c>
      <c r="K3160" t="str">
        <f t="shared" si="248"/>
        <v>0</v>
      </c>
      <c r="L3160" t="str">
        <f t="shared" si="249"/>
        <v>Draw</v>
      </c>
      <c r="M3160" t="str">
        <f>IF(COUNTIF($A$2:A3160,A3160)=1,
     VLOOKUP(A3160,Season_Winners!A:B,2,FALSE),
     "")</f>
        <v/>
      </c>
    </row>
    <row r="3161" spans="1:13" x14ac:dyDescent="0.3">
      <c r="A3161" t="s">
        <v>1138</v>
      </c>
      <c r="B3161">
        <v>12</v>
      </c>
      <c r="C3161" t="s">
        <v>1183</v>
      </c>
      <c r="D3161" t="str">
        <f t="shared" si="245"/>
        <v>01.11.2021</v>
      </c>
      <c r="E3161" s="1">
        <v>0.875</v>
      </c>
      <c r="F3161" t="s">
        <v>21</v>
      </c>
      <c r="G3161" t="s">
        <v>24</v>
      </c>
      <c r="H3161" t="s">
        <v>46</v>
      </c>
      <c r="I3161" t="str">
        <f t="shared" si="246"/>
        <v>0-3</v>
      </c>
      <c r="J3161" t="str">
        <f t="shared" si="247"/>
        <v>0</v>
      </c>
      <c r="K3161" t="str">
        <f t="shared" si="248"/>
        <v>3</v>
      </c>
      <c r="L3161" t="str">
        <f t="shared" si="249"/>
        <v>Granada CF</v>
      </c>
      <c r="M3161" t="str">
        <f>IF(COUNTIF($A$2:A3161,A3161)=1,
     VLOOKUP(A3161,Season_Winners!A:B,2,FALSE),
     "")</f>
        <v/>
      </c>
    </row>
    <row r="3162" spans="1:13" x14ac:dyDescent="0.3">
      <c r="A3162" t="s">
        <v>1138</v>
      </c>
      <c r="B3162">
        <v>13</v>
      </c>
      <c r="C3162" t="s">
        <v>1184</v>
      </c>
      <c r="D3162" t="str">
        <f t="shared" si="245"/>
        <v>05.11.2021</v>
      </c>
      <c r="E3162" s="1">
        <v>0.875</v>
      </c>
      <c r="F3162" t="s">
        <v>15</v>
      </c>
      <c r="G3162" t="s">
        <v>1000</v>
      </c>
      <c r="H3162" t="s">
        <v>42</v>
      </c>
      <c r="I3162" t="str">
        <f t="shared" si="246"/>
        <v>0-1</v>
      </c>
      <c r="J3162" t="str">
        <f t="shared" si="247"/>
        <v>0</v>
      </c>
      <c r="K3162" t="str">
        <f t="shared" si="248"/>
        <v>1</v>
      </c>
      <c r="L3162" t="str">
        <f t="shared" si="249"/>
        <v>CÃ¡diz CF</v>
      </c>
      <c r="M3162" t="str">
        <f>IF(COUNTIF($A$2:A3162,A3162)=1,
     VLOOKUP(A3162,Season_Winners!A:B,2,FALSE),
     "")</f>
        <v/>
      </c>
    </row>
    <row r="3163" spans="1:13" x14ac:dyDescent="0.3">
      <c r="A3163" t="s">
        <v>1138</v>
      </c>
      <c r="B3163">
        <v>13</v>
      </c>
      <c r="C3163" t="s">
        <v>1185</v>
      </c>
      <c r="D3163" t="str">
        <f t="shared" si="245"/>
        <v>06.11.2021</v>
      </c>
      <c r="E3163" s="1">
        <v>0.58333333333333337</v>
      </c>
      <c r="F3163" t="s">
        <v>36</v>
      </c>
      <c r="G3163" t="s">
        <v>24</v>
      </c>
      <c r="H3163" t="s">
        <v>12</v>
      </c>
      <c r="I3163" t="str">
        <f t="shared" si="246"/>
        <v>2-0</v>
      </c>
      <c r="J3163" t="str">
        <f t="shared" si="247"/>
        <v>2</v>
      </c>
      <c r="K3163" t="str">
        <f t="shared" si="248"/>
        <v>0</v>
      </c>
      <c r="L3163" t="str">
        <f t="shared" si="249"/>
        <v>RCD Espanyol de Barcelona</v>
      </c>
      <c r="M3163" t="str">
        <f>IF(COUNTIF($A$2:A3163,A3163)=1,
     VLOOKUP(A3163,Season_Winners!A:B,2,FALSE),
     "")</f>
        <v/>
      </c>
    </row>
    <row r="3164" spans="1:13" hidden="1" x14ac:dyDescent="0.3">
      <c r="A3164" t="s">
        <v>1138</v>
      </c>
      <c r="B3164">
        <v>13</v>
      </c>
      <c r="C3164" t="s">
        <v>1185</v>
      </c>
      <c r="D3164" t="str">
        <f t="shared" si="245"/>
        <v>06.11.2021</v>
      </c>
      <c r="E3164" s="1">
        <v>0.67708333333333337</v>
      </c>
      <c r="F3164" t="s">
        <v>35</v>
      </c>
      <c r="G3164" t="s">
        <v>20</v>
      </c>
      <c r="H3164" s="2">
        <v>46084</v>
      </c>
      <c r="I3164" s="3" t="str">
        <f t="shared" si="246"/>
        <v/>
      </c>
      <c r="J3164" t="str">
        <f t="shared" si="247"/>
        <v/>
      </c>
      <c r="K3164" t="str">
        <f t="shared" si="248"/>
        <v/>
      </c>
      <c r="L3164" t="str">
        <f t="shared" si="249"/>
        <v/>
      </c>
      <c r="M3164" t="str">
        <f>IF(COUNTIF($A$2:A3164,A3164)=1,
     VLOOKUP(A3164,Season_Winners!A:B,2,FALSE),
     "")</f>
        <v/>
      </c>
    </row>
    <row r="3165" spans="1:13" hidden="1" x14ac:dyDescent="0.3">
      <c r="A3165" t="s">
        <v>1138</v>
      </c>
      <c r="B3165">
        <v>13</v>
      </c>
      <c r="C3165" t="s">
        <v>1185</v>
      </c>
      <c r="D3165" t="str">
        <f t="shared" si="245"/>
        <v>06.11.2021</v>
      </c>
      <c r="E3165" s="1">
        <v>0.77083333333333337</v>
      </c>
      <c r="F3165" t="s">
        <v>464</v>
      </c>
      <c r="G3165" t="s">
        <v>21</v>
      </c>
      <c r="H3165" s="2">
        <v>46024</v>
      </c>
      <c r="I3165" s="3" t="str">
        <f t="shared" si="246"/>
        <v/>
      </c>
      <c r="J3165" t="str">
        <f t="shared" si="247"/>
        <v/>
      </c>
      <c r="K3165" t="str">
        <f t="shared" si="248"/>
        <v/>
      </c>
      <c r="L3165" t="str">
        <f t="shared" si="249"/>
        <v/>
      </c>
      <c r="M3165" t="str">
        <f>IF(COUNTIF($A$2:A3165,A3165)=1,
     VLOOKUP(A3165,Season_Winners!A:B,2,FALSE),
     "")</f>
        <v/>
      </c>
    </row>
    <row r="3166" spans="1:13" hidden="1" x14ac:dyDescent="0.3">
      <c r="A3166" t="s">
        <v>1138</v>
      </c>
      <c r="B3166">
        <v>13</v>
      </c>
      <c r="C3166" t="s">
        <v>1185</v>
      </c>
      <c r="D3166" t="str">
        <f t="shared" si="245"/>
        <v>06.11.2021</v>
      </c>
      <c r="E3166" s="1">
        <v>0.875</v>
      </c>
      <c r="F3166" t="s">
        <v>25</v>
      </c>
      <c r="G3166" t="s">
        <v>30</v>
      </c>
      <c r="H3166" s="2">
        <v>46024</v>
      </c>
      <c r="I3166" s="3" t="str">
        <f t="shared" si="246"/>
        <v/>
      </c>
      <c r="J3166" t="str">
        <f t="shared" si="247"/>
        <v/>
      </c>
      <c r="K3166" t="str">
        <f t="shared" si="248"/>
        <v/>
      </c>
      <c r="L3166" t="str">
        <f t="shared" si="249"/>
        <v/>
      </c>
      <c r="M3166" t="str">
        <f>IF(COUNTIF($A$2:A3166,A3166)=1,
     VLOOKUP(A3166,Season_Winners!A:B,2,FALSE),
     "")</f>
        <v/>
      </c>
    </row>
    <row r="3167" spans="1:13" x14ac:dyDescent="0.3">
      <c r="A3167" t="s">
        <v>1138</v>
      </c>
      <c r="B3167">
        <v>13</v>
      </c>
      <c r="C3167" t="s">
        <v>1186</v>
      </c>
      <c r="D3167" t="str">
        <f t="shared" si="245"/>
        <v>07.11.2021</v>
      </c>
      <c r="E3167" s="1">
        <v>0.58333333333333337</v>
      </c>
      <c r="F3167" t="s">
        <v>34</v>
      </c>
      <c r="G3167" t="s">
        <v>11</v>
      </c>
      <c r="H3167" t="s">
        <v>18</v>
      </c>
      <c r="I3167" t="str">
        <f t="shared" si="246"/>
        <v>1-0</v>
      </c>
      <c r="J3167" t="str">
        <f t="shared" si="247"/>
        <v>1</v>
      </c>
      <c r="K3167" t="str">
        <f t="shared" si="248"/>
        <v>0</v>
      </c>
      <c r="L3167" t="str">
        <f t="shared" si="249"/>
        <v>Villarreal CF</v>
      </c>
      <c r="M3167" t="str">
        <f>IF(COUNTIF($A$2:A3167,A3167)=1,
     VLOOKUP(A3167,Season_Winners!A:B,2,FALSE),
     "")</f>
        <v/>
      </c>
    </row>
    <row r="3168" spans="1:13" hidden="1" x14ac:dyDescent="0.3">
      <c r="A3168" t="s">
        <v>1138</v>
      </c>
      <c r="B3168">
        <v>13</v>
      </c>
      <c r="C3168" t="s">
        <v>1186</v>
      </c>
      <c r="D3168" t="str">
        <f t="shared" si="245"/>
        <v>07.11.2021</v>
      </c>
      <c r="E3168" s="1">
        <v>0.67708333333333337</v>
      </c>
      <c r="F3168" t="s">
        <v>16</v>
      </c>
      <c r="G3168" t="s">
        <v>28</v>
      </c>
      <c r="H3168" s="2">
        <v>46084</v>
      </c>
      <c r="I3168" s="3" t="str">
        <f t="shared" si="246"/>
        <v/>
      </c>
      <c r="J3168" t="str">
        <f t="shared" si="247"/>
        <v/>
      </c>
      <c r="K3168" t="str">
        <f t="shared" si="248"/>
        <v/>
      </c>
      <c r="L3168" t="str">
        <f t="shared" si="249"/>
        <v/>
      </c>
      <c r="M3168" t="str">
        <f>IF(COUNTIF($A$2:A3168,A3168)=1,
     VLOOKUP(A3168,Season_Winners!A:B,2,FALSE),
     "")</f>
        <v/>
      </c>
    </row>
    <row r="3169" spans="1:13" hidden="1" x14ac:dyDescent="0.3">
      <c r="A3169" t="s">
        <v>1138</v>
      </c>
      <c r="B3169">
        <v>13</v>
      </c>
      <c r="C3169" t="s">
        <v>1186</v>
      </c>
      <c r="D3169" t="str">
        <f t="shared" si="245"/>
        <v>07.11.2021</v>
      </c>
      <c r="E3169" s="1">
        <v>0.77083333333333337</v>
      </c>
      <c r="F3169" t="s">
        <v>881</v>
      </c>
      <c r="G3169" t="s">
        <v>31</v>
      </c>
      <c r="H3169" s="2">
        <v>46055</v>
      </c>
      <c r="I3169" s="3" t="str">
        <f t="shared" si="246"/>
        <v/>
      </c>
      <c r="J3169" t="str">
        <f t="shared" si="247"/>
        <v/>
      </c>
      <c r="K3169" t="str">
        <f t="shared" si="248"/>
        <v/>
      </c>
      <c r="L3169" t="str">
        <f t="shared" si="249"/>
        <v/>
      </c>
      <c r="M3169" t="str">
        <f>IF(COUNTIF($A$2:A3169,A3169)=1,
     VLOOKUP(A3169,Season_Winners!A:B,2,FALSE),
     "")</f>
        <v/>
      </c>
    </row>
    <row r="3170" spans="1:13" x14ac:dyDescent="0.3">
      <c r="A3170" t="s">
        <v>1138</v>
      </c>
      <c r="B3170">
        <v>13</v>
      </c>
      <c r="C3170" t="s">
        <v>1186</v>
      </c>
      <c r="D3170" t="str">
        <f t="shared" si="245"/>
        <v>07.11.2021</v>
      </c>
      <c r="E3170" s="1">
        <v>0.77083333333333337</v>
      </c>
      <c r="F3170" t="s">
        <v>23</v>
      </c>
      <c r="G3170" t="s">
        <v>10</v>
      </c>
      <c r="H3170" t="s">
        <v>54</v>
      </c>
      <c r="I3170" t="str">
        <f t="shared" si="246"/>
        <v>0-2</v>
      </c>
      <c r="J3170" t="str">
        <f t="shared" si="247"/>
        <v>0</v>
      </c>
      <c r="K3170" t="str">
        <f t="shared" si="248"/>
        <v>2</v>
      </c>
      <c r="L3170" t="str">
        <f t="shared" si="249"/>
        <v>Real Sociedad</v>
      </c>
      <c r="M3170" t="str">
        <f>IF(COUNTIF($A$2:A3170,A3170)=1,
     VLOOKUP(A3170,Season_Winners!A:B,2,FALSE),
     "")</f>
        <v/>
      </c>
    </row>
    <row r="3171" spans="1:13" x14ac:dyDescent="0.3">
      <c r="A3171" t="s">
        <v>1138</v>
      </c>
      <c r="B3171">
        <v>13</v>
      </c>
      <c r="C3171" t="s">
        <v>1186</v>
      </c>
      <c r="D3171" t="str">
        <f t="shared" si="245"/>
        <v>07.11.2021</v>
      </c>
      <c r="E3171" s="1">
        <v>0.875</v>
      </c>
      <c r="F3171" t="s">
        <v>26</v>
      </c>
      <c r="G3171" t="s">
        <v>27</v>
      </c>
      <c r="H3171" t="s">
        <v>54</v>
      </c>
      <c r="I3171" t="str">
        <f t="shared" si="246"/>
        <v>0-2</v>
      </c>
      <c r="J3171" t="str">
        <f t="shared" si="247"/>
        <v>0</v>
      </c>
      <c r="K3171" t="str">
        <f t="shared" si="248"/>
        <v>2</v>
      </c>
      <c r="L3171" t="str">
        <f t="shared" si="249"/>
        <v>Sevilla FC</v>
      </c>
      <c r="M3171" t="str">
        <f>IF(COUNTIF($A$2:A3171,A3171)=1,
     VLOOKUP(A3171,Season_Winners!A:B,2,FALSE),
     "")</f>
        <v/>
      </c>
    </row>
    <row r="3172" spans="1:13" x14ac:dyDescent="0.3">
      <c r="A3172" t="s">
        <v>1138</v>
      </c>
      <c r="B3172">
        <v>14</v>
      </c>
      <c r="C3172" t="s">
        <v>1187</v>
      </c>
      <c r="D3172" t="str">
        <f t="shared" si="245"/>
        <v>19.11.2021</v>
      </c>
      <c r="E3172" s="1">
        <v>0.875</v>
      </c>
      <c r="F3172" t="s">
        <v>21</v>
      </c>
      <c r="G3172" t="s">
        <v>15</v>
      </c>
      <c r="H3172" t="s">
        <v>41</v>
      </c>
      <c r="I3172" t="str">
        <f t="shared" si="246"/>
        <v>0-0</v>
      </c>
      <c r="J3172" t="str">
        <f t="shared" si="247"/>
        <v>0</v>
      </c>
      <c r="K3172" t="str">
        <f t="shared" si="248"/>
        <v>0</v>
      </c>
      <c r="L3172" t="str">
        <f t="shared" si="249"/>
        <v>Draw</v>
      </c>
      <c r="M3172" t="str">
        <f>IF(COUNTIF($A$2:A3172,A3172)=1,
     VLOOKUP(A3172,Season_Winners!A:B,2,FALSE),
     "")</f>
        <v/>
      </c>
    </row>
    <row r="3173" spans="1:13" hidden="1" x14ac:dyDescent="0.3">
      <c r="A3173" t="s">
        <v>1138</v>
      </c>
      <c r="B3173">
        <v>14</v>
      </c>
      <c r="C3173" t="s">
        <v>1188</v>
      </c>
      <c r="D3173" t="str">
        <f t="shared" si="245"/>
        <v>20.11.2021</v>
      </c>
      <c r="E3173" s="1">
        <v>0.58333333333333337</v>
      </c>
      <c r="F3173" t="s">
        <v>35</v>
      </c>
      <c r="G3173" t="s">
        <v>34</v>
      </c>
      <c r="H3173" s="2">
        <v>46023</v>
      </c>
      <c r="I3173" s="3" t="str">
        <f t="shared" si="246"/>
        <v/>
      </c>
      <c r="J3173" t="str">
        <f t="shared" si="247"/>
        <v/>
      </c>
      <c r="K3173" t="str">
        <f t="shared" si="248"/>
        <v/>
      </c>
      <c r="L3173" t="str">
        <f t="shared" si="249"/>
        <v/>
      </c>
      <c r="M3173" t="str">
        <f>IF(COUNTIF($A$2:A3173,A3173)=1,
     VLOOKUP(A3173,Season_Winners!A:B,2,FALSE),
     "")</f>
        <v/>
      </c>
    </row>
    <row r="3174" spans="1:13" hidden="1" x14ac:dyDescent="0.3">
      <c r="A3174" t="s">
        <v>1138</v>
      </c>
      <c r="B3174">
        <v>14</v>
      </c>
      <c r="C3174" t="s">
        <v>1188</v>
      </c>
      <c r="D3174" t="str">
        <f t="shared" si="245"/>
        <v>20.11.2021</v>
      </c>
      <c r="E3174" s="1">
        <v>0.67708333333333337</v>
      </c>
      <c r="F3174" t="s">
        <v>27</v>
      </c>
      <c r="G3174" t="s">
        <v>464</v>
      </c>
      <c r="H3174" s="2">
        <v>46055</v>
      </c>
      <c r="I3174" s="3" t="str">
        <f t="shared" si="246"/>
        <v/>
      </c>
      <c r="J3174" t="str">
        <f t="shared" si="247"/>
        <v/>
      </c>
      <c r="K3174" t="str">
        <f t="shared" si="248"/>
        <v/>
      </c>
      <c r="L3174" t="str">
        <f t="shared" si="249"/>
        <v/>
      </c>
      <c r="M3174" t="str">
        <f>IF(COUNTIF($A$2:A3174,A3174)=1,
     VLOOKUP(A3174,Season_Winners!A:B,2,FALSE),
     "")</f>
        <v/>
      </c>
    </row>
    <row r="3175" spans="1:13" x14ac:dyDescent="0.3">
      <c r="A3175" t="s">
        <v>1138</v>
      </c>
      <c r="B3175">
        <v>14</v>
      </c>
      <c r="C3175" t="s">
        <v>1188</v>
      </c>
      <c r="D3175" t="str">
        <f t="shared" si="245"/>
        <v>20.11.2021</v>
      </c>
      <c r="E3175" s="1">
        <v>0.77083333333333337</v>
      </c>
      <c r="F3175" t="s">
        <v>1425</v>
      </c>
      <c r="G3175" t="s">
        <v>23</v>
      </c>
      <c r="H3175" t="s">
        <v>18</v>
      </c>
      <c r="I3175" t="str">
        <f t="shared" si="246"/>
        <v>1-0</v>
      </c>
      <c r="J3175" t="str">
        <f t="shared" si="247"/>
        <v>1</v>
      </c>
      <c r="K3175" t="str">
        <f t="shared" si="248"/>
        <v>0</v>
      </c>
      <c r="L3175" t="str">
        <f t="shared" si="249"/>
        <v>Atlético de Madrid</v>
      </c>
      <c r="M3175" t="str">
        <f>IF(COUNTIF($A$2:A3175,A3175)=1,
     VLOOKUP(A3175,Season_Winners!A:B,2,FALSE),
     "")</f>
        <v/>
      </c>
    </row>
    <row r="3176" spans="1:13" x14ac:dyDescent="0.3">
      <c r="A3176" t="s">
        <v>1138</v>
      </c>
      <c r="B3176">
        <v>14</v>
      </c>
      <c r="C3176" t="s">
        <v>1188</v>
      </c>
      <c r="D3176" t="str">
        <f t="shared" si="245"/>
        <v>20.11.2021</v>
      </c>
      <c r="E3176" s="1">
        <v>0.875</v>
      </c>
      <c r="F3176" t="s">
        <v>20</v>
      </c>
      <c r="G3176" t="s">
        <v>36</v>
      </c>
      <c r="H3176" t="s">
        <v>18</v>
      </c>
      <c r="I3176" t="str">
        <f t="shared" si="246"/>
        <v>1-0</v>
      </c>
      <c r="J3176" t="str">
        <f t="shared" si="247"/>
        <v>1</v>
      </c>
      <c r="K3176" t="str">
        <f t="shared" si="248"/>
        <v>0</v>
      </c>
      <c r="L3176" t="str">
        <f t="shared" si="249"/>
        <v>FC Barcelona</v>
      </c>
      <c r="M3176" t="str">
        <f>IF(COUNTIF($A$2:A3176,A3176)=1,
     VLOOKUP(A3176,Season_Winners!A:B,2,FALSE),
     "")</f>
        <v/>
      </c>
    </row>
    <row r="3177" spans="1:13" x14ac:dyDescent="0.3">
      <c r="A3177" t="s">
        <v>1138</v>
      </c>
      <c r="B3177">
        <v>14</v>
      </c>
      <c r="C3177" t="s">
        <v>1189</v>
      </c>
      <c r="D3177" t="str">
        <f t="shared" si="245"/>
        <v>21.11.2021</v>
      </c>
      <c r="E3177" s="1">
        <v>0.58333333333333337</v>
      </c>
      <c r="F3177" t="s">
        <v>11</v>
      </c>
      <c r="G3177" t="s">
        <v>1000</v>
      </c>
      <c r="H3177" t="s">
        <v>88</v>
      </c>
      <c r="I3177" t="str">
        <f t="shared" si="246"/>
        <v>4-0</v>
      </c>
      <c r="J3177" t="str">
        <f t="shared" si="247"/>
        <v>4</v>
      </c>
      <c r="K3177" t="str">
        <f t="shared" si="248"/>
        <v>0</v>
      </c>
      <c r="L3177" t="str">
        <f t="shared" si="249"/>
        <v>Getafe CF</v>
      </c>
      <c r="M3177" t="str">
        <f>IF(COUNTIF($A$2:A3177,A3177)=1,
     VLOOKUP(A3177,Season_Winners!A:B,2,FALSE),
     "")</f>
        <v/>
      </c>
    </row>
    <row r="3178" spans="1:13" hidden="1" x14ac:dyDescent="0.3">
      <c r="A3178" t="s">
        <v>1138</v>
      </c>
      <c r="B3178">
        <v>14</v>
      </c>
      <c r="C3178" t="s">
        <v>1189</v>
      </c>
      <c r="D3178" t="str">
        <f t="shared" si="245"/>
        <v>21.11.2021</v>
      </c>
      <c r="E3178" s="1">
        <v>0.67708333333333337</v>
      </c>
      <c r="F3178" t="s">
        <v>24</v>
      </c>
      <c r="G3178" t="s">
        <v>25</v>
      </c>
      <c r="H3178" s="2">
        <v>46113</v>
      </c>
      <c r="I3178" s="3" t="str">
        <f t="shared" si="246"/>
        <v/>
      </c>
      <c r="J3178" t="str">
        <f t="shared" si="247"/>
        <v/>
      </c>
      <c r="K3178" t="str">
        <f t="shared" si="248"/>
        <v/>
      </c>
      <c r="L3178" t="str">
        <f t="shared" si="249"/>
        <v/>
      </c>
      <c r="M3178" t="str">
        <f>IF(COUNTIF($A$2:A3178,A3178)=1,
     VLOOKUP(A3178,Season_Winners!A:B,2,FALSE),
     "")</f>
        <v/>
      </c>
    </row>
    <row r="3179" spans="1:13" x14ac:dyDescent="0.3">
      <c r="A3179" t="s">
        <v>1138</v>
      </c>
      <c r="B3179">
        <v>14</v>
      </c>
      <c r="C3179" t="s">
        <v>1189</v>
      </c>
      <c r="D3179" t="str">
        <f t="shared" si="245"/>
        <v>21.11.2021</v>
      </c>
      <c r="E3179" s="1">
        <v>0.77083333333333337</v>
      </c>
      <c r="F3179" t="s">
        <v>31</v>
      </c>
      <c r="G3179" t="s">
        <v>26</v>
      </c>
      <c r="H3179" t="s">
        <v>46</v>
      </c>
      <c r="I3179" t="str">
        <f t="shared" si="246"/>
        <v>0-3</v>
      </c>
      <c r="J3179" t="str">
        <f t="shared" si="247"/>
        <v>0</v>
      </c>
      <c r="K3179" t="str">
        <f t="shared" si="248"/>
        <v>3</v>
      </c>
      <c r="L3179" t="str">
        <f t="shared" si="249"/>
        <v>Real Betis</v>
      </c>
      <c r="M3179" t="str">
        <f>IF(COUNTIF($A$2:A3179,A3179)=1,
     VLOOKUP(A3179,Season_Winners!A:B,2,FALSE),
     "")</f>
        <v/>
      </c>
    </row>
    <row r="3180" spans="1:13" x14ac:dyDescent="0.3">
      <c r="A3180" t="s">
        <v>1138</v>
      </c>
      <c r="B3180">
        <v>14</v>
      </c>
      <c r="C3180" t="s">
        <v>1189</v>
      </c>
      <c r="D3180" t="str">
        <f t="shared" si="245"/>
        <v>21.11.2021</v>
      </c>
      <c r="E3180" s="1">
        <v>0.875</v>
      </c>
      <c r="F3180" t="s">
        <v>10</v>
      </c>
      <c r="G3180" t="s">
        <v>16</v>
      </c>
      <c r="H3180" t="s">
        <v>41</v>
      </c>
      <c r="I3180" t="str">
        <f t="shared" si="246"/>
        <v>0-0</v>
      </c>
      <c r="J3180" t="str">
        <f t="shared" si="247"/>
        <v>0</v>
      </c>
      <c r="K3180" t="str">
        <f t="shared" si="248"/>
        <v>0</v>
      </c>
      <c r="L3180" t="str">
        <f t="shared" si="249"/>
        <v>Draw</v>
      </c>
      <c r="M3180" t="str">
        <f>IF(COUNTIF($A$2:A3180,A3180)=1,
     VLOOKUP(A3180,Season_Winners!A:B,2,FALSE),
     "")</f>
        <v/>
      </c>
    </row>
    <row r="3181" spans="1:13" hidden="1" x14ac:dyDescent="0.3">
      <c r="A3181" t="s">
        <v>1138</v>
      </c>
      <c r="B3181">
        <v>14</v>
      </c>
      <c r="C3181" t="s">
        <v>1190</v>
      </c>
      <c r="D3181" t="str">
        <f t="shared" si="245"/>
        <v>22.11.2021</v>
      </c>
      <c r="E3181" s="1">
        <v>0.875</v>
      </c>
      <c r="F3181" t="s">
        <v>30</v>
      </c>
      <c r="G3181" t="s">
        <v>881</v>
      </c>
      <c r="H3181" s="2">
        <v>46025</v>
      </c>
      <c r="I3181" s="3" t="str">
        <f t="shared" si="246"/>
        <v/>
      </c>
      <c r="J3181" t="str">
        <f t="shared" si="247"/>
        <v/>
      </c>
      <c r="K3181" t="str">
        <f t="shared" si="248"/>
        <v/>
      </c>
      <c r="L3181" t="str">
        <f t="shared" si="249"/>
        <v/>
      </c>
      <c r="M3181" t="str">
        <f>IF(COUNTIF($A$2:A3181,A3181)=1,
     VLOOKUP(A3181,Season_Winners!A:B,2,FALSE),
     "")</f>
        <v/>
      </c>
    </row>
    <row r="3182" spans="1:13" hidden="1" x14ac:dyDescent="0.3">
      <c r="A3182" t="s">
        <v>1138</v>
      </c>
      <c r="B3182">
        <v>15</v>
      </c>
      <c r="C3182" t="s">
        <v>1191</v>
      </c>
      <c r="D3182" t="str">
        <f t="shared" si="245"/>
        <v>26.11.2021</v>
      </c>
      <c r="E3182" s="1">
        <v>0.875</v>
      </c>
      <c r="F3182" t="s">
        <v>15</v>
      </c>
      <c r="G3182" t="s">
        <v>24</v>
      </c>
      <c r="H3182" s="2">
        <v>46055</v>
      </c>
      <c r="I3182" s="3" t="str">
        <f t="shared" si="246"/>
        <v/>
      </c>
      <c r="J3182" t="str">
        <f t="shared" si="247"/>
        <v/>
      </c>
      <c r="K3182" t="str">
        <f t="shared" si="248"/>
        <v/>
      </c>
      <c r="L3182" t="str">
        <f t="shared" si="249"/>
        <v/>
      </c>
      <c r="M3182" t="str">
        <f>IF(COUNTIF($A$2:A3182,A3182)=1,
     VLOOKUP(A3182,Season_Winners!A:B,2,FALSE),
     "")</f>
        <v/>
      </c>
    </row>
    <row r="3183" spans="1:13" hidden="1" x14ac:dyDescent="0.3">
      <c r="A3183" t="s">
        <v>1138</v>
      </c>
      <c r="B3183">
        <v>15</v>
      </c>
      <c r="C3183" t="s">
        <v>1192</v>
      </c>
      <c r="D3183" t="str">
        <f t="shared" si="245"/>
        <v>27.11.2021</v>
      </c>
      <c r="E3183" s="1">
        <v>0.58333333333333337</v>
      </c>
      <c r="F3183" t="s">
        <v>464</v>
      </c>
      <c r="G3183" t="s">
        <v>35</v>
      </c>
      <c r="H3183" s="2">
        <v>46054</v>
      </c>
      <c r="I3183" s="3" t="str">
        <f t="shared" si="246"/>
        <v/>
      </c>
      <c r="J3183" t="str">
        <f t="shared" si="247"/>
        <v/>
      </c>
      <c r="K3183" t="str">
        <f t="shared" si="248"/>
        <v/>
      </c>
      <c r="L3183" t="str">
        <f t="shared" si="249"/>
        <v/>
      </c>
      <c r="M3183" t="str">
        <f>IF(COUNTIF($A$2:A3183,A3183)=1,
     VLOOKUP(A3183,Season_Winners!A:B,2,FALSE),
     "")</f>
        <v/>
      </c>
    </row>
    <row r="3184" spans="1:13" hidden="1" x14ac:dyDescent="0.3">
      <c r="A3184" t="s">
        <v>1138</v>
      </c>
      <c r="B3184">
        <v>15</v>
      </c>
      <c r="C3184" t="s">
        <v>1192</v>
      </c>
      <c r="D3184" t="str">
        <f t="shared" si="245"/>
        <v>27.11.2021</v>
      </c>
      <c r="E3184" s="1">
        <v>0.67708333333333337</v>
      </c>
      <c r="F3184" t="s">
        <v>16</v>
      </c>
      <c r="G3184" t="s">
        <v>30</v>
      </c>
      <c r="H3184" s="2">
        <v>46023</v>
      </c>
      <c r="I3184" s="3" t="str">
        <f t="shared" si="246"/>
        <v/>
      </c>
      <c r="J3184" t="str">
        <f t="shared" si="247"/>
        <v/>
      </c>
      <c r="K3184" t="str">
        <f t="shared" si="248"/>
        <v/>
      </c>
      <c r="L3184" t="str">
        <f t="shared" si="249"/>
        <v/>
      </c>
      <c r="M3184" t="str">
        <f>IF(COUNTIF($A$2:A3184,A3184)=1,
     VLOOKUP(A3184,Season_Winners!A:B,2,FALSE),
     "")</f>
        <v/>
      </c>
    </row>
    <row r="3185" spans="1:13" x14ac:dyDescent="0.3">
      <c r="A3185" t="s">
        <v>1138</v>
      </c>
      <c r="B3185">
        <v>15</v>
      </c>
      <c r="C3185" t="s">
        <v>1192</v>
      </c>
      <c r="D3185" t="str">
        <f t="shared" si="245"/>
        <v>27.11.2021</v>
      </c>
      <c r="E3185" s="1">
        <v>0.77083333333333337</v>
      </c>
      <c r="F3185" t="s">
        <v>881</v>
      </c>
      <c r="G3185" t="s">
        <v>11</v>
      </c>
      <c r="H3185" t="s">
        <v>41</v>
      </c>
      <c r="I3185" t="str">
        <f t="shared" si="246"/>
        <v>0-0</v>
      </c>
      <c r="J3185" t="str">
        <f t="shared" si="247"/>
        <v>0</v>
      </c>
      <c r="K3185" t="str">
        <f t="shared" si="248"/>
        <v>0</v>
      </c>
      <c r="L3185" t="str">
        <f t="shared" si="249"/>
        <v>Draw</v>
      </c>
      <c r="M3185" t="str">
        <f>IF(COUNTIF($A$2:A3185,A3185)=1,
     VLOOKUP(A3185,Season_Winners!A:B,2,FALSE),
     "")</f>
        <v/>
      </c>
    </row>
    <row r="3186" spans="1:13" hidden="1" x14ac:dyDescent="0.3">
      <c r="A3186" t="s">
        <v>1138</v>
      </c>
      <c r="B3186">
        <v>15</v>
      </c>
      <c r="C3186" t="s">
        <v>1192</v>
      </c>
      <c r="D3186" t="str">
        <f t="shared" si="245"/>
        <v>27.11.2021</v>
      </c>
      <c r="E3186" s="1">
        <v>0.875</v>
      </c>
      <c r="F3186" t="s">
        <v>34</v>
      </c>
      <c r="G3186" t="s">
        <v>20</v>
      </c>
      <c r="H3186" s="2">
        <v>46082</v>
      </c>
      <c r="I3186" s="3" t="str">
        <f t="shared" si="246"/>
        <v/>
      </c>
      <c r="J3186" t="str">
        <f t="shared" si="247"/>
        <v/>
      </c>
      <c r="K3186" t="str">
        <f t="shared" si="248"/>
        <v/>
      </c>
      <c r="L3186" t="str">
        <f t="shared" si="249"/>
        <v/>
      </c>
      <c r="M3186" t="str">
        <f>IF(COUNTIF($A$2:A3186,A3186)=1,
     VLOOKUP(A3186,Season_Winners!A:B,2,FALSE),
     "")</f>
        <v/>
      </c>
    </row>
    <row r="3187" spans="1:13" hidden="1" x14ac:dyDescent="0.3">
      <c r="A3187" t="s">
        <v>1138</v>
      </c>
      <c r="B3187">
        <v>15</v>
      </c>
      <c r="C3187" t="s">
        <v>1193</v>
      </c>
      <c r="D3187" t="str">
        <f t="shared" si="245"/>
        <v>28.11.2021</v>
      </c>
      <c r="E3187" s="1">
        <v>0.58333333333333337</v>
      </c>
      <c r="F3187" t="s">
        <v>26</v>
      </c>
      <c r="G3187" t="s">
        <v>21</v>
      </c>
      <c r="H3187" s="2">
        <v>46025</v>
      </c>
      <c r="I3187" s="3" t="str">
        <f t="shared" si="246"/>
        <v/>
      </c>
      <c r="J3187" t="str">
        <f t="shared" si="247"/>
        <v/>
      </c>
      <c r="K3187" t="str">
        <f t="shared" si="248"/>
        <v/>
      </c>
      <c r="L3187" t="str">
        <f t="shared" si="249"/>
        <v/>
      </c>
      <c r="M3187" t="str">
        <f>IF(COUNTIF($A$2:A3187,A3187)=1,
     VLOOKUP(A3187,Season_Winners!A:B,2,FALSE),
     "")</f>
        <v/>
      </c>
    </row>
    <row r="3188" spans="1:13" x14ac:dyDescent="0.3">
      <c r="A3188" t="s">
        <v>1138</v>
      </c>
      <c r="B3188">
        <v>15</v>
      </c>
      <c r="C3188" t="s">
        <v>1193</v>
      </c>
      <c r="D3188" t="str">
        <f t="shared" si="245"/>
        <v>28.11.2021</v>
      </c>
      <c r="E3188" s="1">
        <v>0.67708333333333337</v>
      </c>
      <c r="F3188" t="s">
        <v>36</v>
      </c>
      <c r="G3188" t="s">
        <v>10</v>
      </c>
      <c r="H3188" t="s">
        <v>18</v>
      </c>
      <c r="I3188" t="str">
        <f t="shared" si="246"/>
        <v>1-0</v>
      </c>
      <c r="J3188" t="str">
        <f t="shared" si="247"/>
        <v>1</v>
      </c>
      <c r="K3188" t="str">
        <f t="shared" si="248"/>
        <v>0</v>
      </c>
      <c r="L3188" t="str">
        <f t="shared" si="249"/>
        <v>RCD Espanyol de Barcelona</v>
      </c>
      <c r="M3188" t="str">
        <f>IF(COUNTIF($A$2:A3188,A3188)=1,
     VLOOKUP(A3188,Season_Winners!A:B,2,FALSE),
     "")</f>
        <v/>
      </c>
    </row>
    <row r="3189" spans="1:13" hidden="1" x14ac:dyDescent="0.3">
      <c r="A3189" t="s">
        <v>1138</v>
      </c>
      <c r="B3189">
        <v>15</v>
      </c>
      <c r="C3189" t="s">
        <v>1193</v>
      </c>
      <c r="D3189" t="str">
        <f t="shared" si="245"/>
        <v>28.11.2021</v>
      </c>
      <c r="E3189" s="1">
        <v>0.77083333333333337</v>
      </c>
      <c r="F3189" t="s">
        <v>1000</v>
      </c>
      <c r="G3189" t="s">
        <v>28</v>
      </c>
      <c r="H3189" s="2">
        <v>46113</v>
      </c>
      <c r="I3189" s="3" t="str">
        <f t="shared" si="246"/>
        <v/>
      </c>
      <c r="J3189" t="str">
        <f t="shared" si="247"/>
        <v/>
      </c>
      <c r="K3189" t="str">
        <f t="shared" si="248"/>
        <v/>
      </c>
      <c r="L3189" t="str">
        <f t="shared" si="249"/>
        <v/>
      </c>
      <c r="M3189" t="str">
        <f>IF(COUNTIF($A$2:A3189,A3189)=1,
     VLOOKUP(A3189,Season_Winners!A:B,2,FALSE),
     "")</f>
        <v/>
      </c>
    </row>
    <row r="3190" spans="1:13" hidden="1" x14ac:dyDescent="0.3">
      <c r="A3190" t="s">
        <v>1138</v>
      </c>
      <c r="B3190">
        <v>15</v>
      </c>
      <c r="C3190" t="s">
        <v>1193</v>
      </c>
      <c r="D3190" t="str">
        <f t="shared" si="245"/>
        <v>28.11.2021</v>
      </c>
      <c r="E3190" s="1">
        <v>0.875</v>
      </c>
      <c r="F3190" t="s">
        <v>25</v>
      </c>
      <c r="G3190" t="s">
        <v>27</v>
      </c>
      <c r="H3190" s="2">
        <v>46024</v>
      </c>
      <c r="I3190" s="3" t="str">
        <f t="shared" si="246"/>
        <v/>
      </c>
      <c r="J3190" t="str">
        <f t="shared" si="247"/>
        <v/>
      </c>
      <c r="K3190" t="str">
        <f t="shared" si="248"/>
        <v/>
      </c>
      <c r="L3190" t="str">
        <f t="shared" si="249"/>
        <v/>
      </c>
      <c r="M3190" t="str">
        <f>IF(COUNTIF($A$2:A3190,A3190)=1,
     VLOOKUP(A3190,Season_Winners!A:B,2,FALSE),
     "")</f>
        <v/>
      </c>
    </row>
    <row r="3191" spans="1:13" hidden="1" x14ac:dyDescent="0.3">
      <c r="A3191" t="s">
        <v>1138</v>
      </c>
      <c r="B3191">
        <v>15</v>
      </c>
      <c r="C3191" t="s">
        <v>1194</v>
      </c>
      <c r="D3191" t="str">
        <f t="shared" si="245"/>
        <v>29.11.2021</v>
      </c>
      <c r="E3191" s="1">
        <v>0.875</v>
      </c>
      <c r="F3191" t="s">
        <v>23</v>
      </c>
      <c r="G3191" t="s">
        <v>31</v>
      </c>
      <c r="H3191" s="2">
        <v>46023</v>
      </c>
      <c r="I3191" s="3" t="str">
        <f t="shared" si="246"/>
        <v/>
      </c>
      <c r="J3191" t="str">
        <f t="shared" si="247"/>
        <v/>
      </c>
      <c r="K3191" t="str">
        <f t="shared" si="248"/>
        <v/>
      </c>
      <c r="L3191" t="str">
        <f t="shared" si="249"/>
        <v/>
      </c>
      <c r="M3191" t="str">
        <f>IF(COUNTIF($A$2:A3191,A3191)=1,
     VLOOKUP(A3191,Season_Winners!A:B,2,FALSE),
     "")</f>
        <v/>
      </c>
    </row>
    <row r="3192" spans="1:13" hidden="1" x14ac:dyDescent="0.3">
      <c r="A3192" t="s">
        <v>1138</v>
      </c>
      <c r="B3192">
        <v>16</v>
      </c>
      <c r="C3192" t="s">
        <v>1195</v>
      </c>
      <c r="D3192" t="str">
        <f t="shared" si="245"/>
        <v>03.12.2021</v>
      </c>
      <c r="E3192" s="1">
        <v>0.875</v>
      </c>
      <c r="F3192" t="s">
        <v>24</v>
      </c>
      <c r="G3192" t="s">
        <v>464</v>
      </c>
      <c r="H3192" s="2">
        <v>46024</v>
      </c>
      <c r="I3192" s="3" t="str">
        <f t="shared" si="246"/>
        <v/>
      </c>
      <c r="J3192" t="str">
        <f t="shared" si="247"/>
        <v/>
      </c>
      <c r="K3192" t="str">
        <f t="shared" si="248"/>
        <v/>
      </c>
      <c r="L3192" t="str">
        <f t="shared" si="249"/>
        <v/>
      </c>
      <c r="M3192" t="str">
        <f>IF(COUNTIF($A$2:A3192,A3192)=1,
     VLOOKUP(A3192,Season_Winners!A:B,2,FALSE),
     "")</f>
        <v/>
      </c>
    </row>
    <row r="3193" spans="1:13" x14ac:dyDescent="0.3">
      <c r="A3193" t="s">
        <v>1138</v>
      </c>
      <c r="B3193">
        <v>16</v>
      </c>
      <c r="C3193" t="s">
        <v>1196</v>
      </c>
      <c r="D3193" t="str">
        <f t="shared" si="245"/>
        <v>04.12.2021</v>
      </c>
      <c r="E3193" s="1">
        <v>0.58333333333333337</v>
      </c>
      <c r="F3193" t="s">
        <v>27</v>
      </c>
      <c r="G3193" t="s">
        <v>34</v>
      </c>
      <c r="H3193" t="s">
        <v>18</v>
      </c>
      <c r="I3193" t="str">
        <f t="shared" si="246"/>
        <v>1-0</v>
      </c>
      <c r="J3193" t="str">
        <f t="shared" si="247"/>
        <v>1</v>
      </c>
      <c r="K3193" t="str">
        <f t="shared" si="248"/>
        <v>0</v>
      </c>
      <c r="L3193" t="str">
        <f t="shared" si="249"/>
        <v>Sevilla FC</v>
      </c>
      <c r="M3193" t="str">
        <f>IF(COUNTIF($A$2:A3193,A3193)=1,
     VLOOKUP(A3193,Season_Winners!A:B,2,FALSE),
     "")</f>
        <v/>
      </c>
    </row>
    <row r="3194" spans="1:13" x14ac:dyDescent="0.3">
      <c r="A3194" t="s">
        <v>1138</v>
      </c>
      <c r="B3194">
        <v>16</v>
      </c>
      <c r="C3194" t="s">
        <v>1196</v>
      </c>
      <c r="D3194" t="str">
        <f t="shared" si="245"/>
        <v>04.12.2021</v>
      </c>
      <c r="E3194" s="1">
        <v>0.67708333333333337</v>
      </c>
      <c r="F3194" t="s">
        <v>20</v>
      </c>
      <c r="G3194" t="s">
        <v>26</v>
      </c>
      <c r="H3194" t="s">
        <v>42</v>
      </c>
      <c r="I3194" t="str">
        <f t="shared" si="246"/>
        <v>0-1</v>
      </c>
      <c r="J3194" t="str">
        <f t="shared" si="247"/>
        <v>0</v>
      </c>
      <c r="K3194" t="str">
        <f t="shared" si="248"/>
        <v>1</v>
      </c>
      <c r="L3194" t="str">
        <f t="shared" si="249"/>
        <v>Real Betis</v>
      </c>
      <c r="M3194" t="str">
        <f>IF(COUNTIF($A$2:A3194,A3194)=1,
     VLOOKUP(A3194,Season_Winners!A:B,2,FALSE),
     "")</f>
        <v/>
      </c>
    </row>
    <row r="3195" spans="1:13" hidden="1" x14ac:dyDescent="0.3">
      <c r="A3195" t="s">
        <v>1138</v>
      </c>
      <c r="B3195">
        <v>16</v>
      </c>
      <c r="C3195" t="s">
        <v>1196</v>
      </c>
      <c r="D3195" t="str">
        <f t="shared" si="245"/>
        <v>04.12.2021</v>
      </c>
      <c r="E3195" s="1">
        <v>0.77083333333333337</v>
      </c>
      <c r="F3195" t="s">
        <v>28</v>
      </c>
      <c r="G3195" t="s">
        <v>881</v>
      </c>
      <c r="H3195" s="2">
        <v>46054</v>
      </c>
      <c r="I3195" s="3" t="str">
        <f t="shared" si="246"/>
        <v/>
      </c>
      <c r="J3195" t="str">
        <f t="shared" si="247"/>
        <v/>
      </c>
      <c r="K3195" t="str">
        <f t="shared" si="248"/>
        <v/>
      </c>
      <c r="L3195" t="str">
        <f t="shared" si="249"/>
        <v/>
      </c>
      <c r="M3195" t="str">
        <f>IF(COUNTIF($A$2:A3195,A3195)=1,
     VLOOKUP(A3195,Season_Winners!A:B,2,FALSE),
     "")</f>
        <v/>
      </c>
    </row>
    <row r="3196" spans="1:13" x14ac:dyDescent="0.3">
      <c r="A3196" t="s">
        <v>1138</v>
      </c>
      <c r="B3196">
        <v>16</v>
      </c>
      <c r="C3196" t="s">
        <v>1196</v>
      </c>
      <c r="D3196" t="str">
        <f t="shared" si="245"/>
        <v>04.12.2021</v>
      </c>
      <c r="E3196" s="1">
        <v>0.875</v>
      </c>
      <c r="F3196" t="s">
        <v>10</v>
      </c>
      <c r="G3196" t="s">
        <v>25</v>
      </c>
      <c r="H3196" t="s">
        <v>54</v>
      </c>
      <c r="I3196" t="str">
        <f t="shared" si="246"/>
        <v>0-2</v>
      </c>
      <c r="J3196" t="str">
        <f t="shared" si="247"/>
        <v>0</v>
      </c>
      <c r="K3196" t="str">
        <f t="shared" si="248"/>
        <v>2</v>
      </c>
      <c r="L3196" t="str">
        <f t="shared" si="249"/>
        <v>Real Madrid</v>
      </c>
      <c r="M3196" t="str">
        <f>IF(COUNTIF($A$2:A3196,A3196)=1,
     VLOOKUP(A3196,Season_Winners!A:B,2,FALSE),
     "")</f>
        <v/>
      </c>
    </row>
    <row r="3197" spans="1:13" x14ac:dyDescent="0.3">
      <c r="A3197" t="s">
        <v>1138</v>
      </c>
      <c r="B3197">
        <v>16</v>
      </c>
      <c r="C3197" t="s">
        <v>1197</v>
      </c>
      <c r="D3197" t="str">
        <f t="shared" si="245"/>
        <v>05.12.2021</v>
      </c>
      <c r="E3197" s="1">
        <v>0.58333333333333337</v>
      </c>
      <c r="F3197" t="s">
        <v>30</v>
      </c>
      <c r="G3197" t="s">
        <v>36</v>
      </c>
      <c r="H3197" t="s">
        <v>18</v>
      </c>
      <c r="I3197" t="str">
        <f t="shared" si="246"/>
        <v>1-0</v>
      </c>
      <c r="J3197" t="str">
        <f t="shared" si="247"/>
        <v>1</v>
      </c>
      <c r="K3197" t="str">
        <f t="shared" si="248"/>
        <v>0</v>
      </c>
      <c r="L3197" t="str">
        <f t="shared" si="249"/>
        <v>Rayo Vallecano</v>
      </c>
      <c r="M3197" t="str">
        <f>IF(COUNTIF($A$2:A3197,A3197)=1,
     VLOOKUP(A3197,Season_Winners!A:B,2,FALSE),
     "")</f>
        <v/>
      </c>
    </row>
    <row r="3198" spans="1:13" hidden="1" x14ac:dyDescent="0.3">
      <c r="A3198" t="s">
        <v>1138</v>
      </c>
      <c r="B3198">
        <v>16</v>
      </c>
      <c r="C3198" t="s">
        <v>1197</v>
      </c>
      <c r="D3198" t="str">
        <f t="shared" si="245"/>
        <v>05.12.2021</v>
      </c>
      <c r="E3198" s="1">
        <v>0.67708333333333337</v>
      </c>
      <c r="F3198" t="s">
        <v>31</v>
      </c>
      <c r="G3198" t="s">
        <v>1000</v>
      </c>
      <c r="H3198" s="2">
        <v>46025</v>
      </c>
      <c r="I3198" s="3" t="str">
        <f t="shared" si="246"/>
        <v/>
      </c>
      <c r="J3198" t="str">
        <f t="shared" si="247"/>
        <v/>
      </c>
      <c r="K3198" t="str">
        <f t="shared" si="248"/>
        <v/>
      </c>
      <c r="L3198" t="str">
        <f t="shared" si="249"/>
        <v/>
      </c>
      <c r="M3198" t="str">
        <f>IF(COUNTIF($A$2:A3198,A3198)=1,
     VLOOKUP(A3198,Season_Winners!A:B,2,FALSE),
     "")</f>
        <v/>
      </c>
    </row>
    <row r="3199" spans="1:13" x14ac:dyDescent="0.3">
      <c r="A3199" t="s">
        <v>1138</v>
      </c>
      <c r="B3199">
        <v>16</v>
      </c>
      <c r="C3199" t="s">
        <v>1197</v>
      </c>
      <c r="D3199" t="str">
        <f t="shared" si="245"/>
        <v>05.12.2021</v>
      </c>
      <c r="E3199" s="1">
        <v>0.77083333333333337</v>
      </c>
      <c r="F3199" t="s">
        <v>21</v>
      </c>
      <c r="G3199" t="s">
        <v>23</v>
      </c>
      <c r="H3199" t="s">
        <v>41</v>
      </c>
      <c r="I3199" t="str">
        <f t="shared" si="246"/>
        <v>0-0</v>
      </c>
      <c r="J3199" t="str">
        <f t="shared" si="247"/>
        <v>0</v>
      </c>
      <c r="K3199" t="str">
        <f t="shared" si="248"/>
        <v>0</v>
      </c>
      <c r="L3199" t="str">
        <f t="shared" si="249"/>
        <v>Draw</v>
      </c>
      <c r="M3199" t="str">
        <f>IF(COUNTIF($A$2:A3199,A3199)=1,
     VLOOKUP(A3199,Season_Winners!A:B,2,FALSE),
     "")</f>
        <v/>
      </c>
    </row>
    <row r="3200" spans="1:13" hidden="1" x14ac:dyDescent="0.3">
      <c r="A3200" t="s">
        <v>1138</v>
      </c>
      <c r="B3200">
        <v>16</v>
      </c>
      <c r="C3200" t="s">
        <v>1197</v>
      </c>
      <c r="D3200" t="str">
        <f t="shared" si="245"/>
        <v>05.12.2021</v>
      </c>
      <c r="E3200" s="1">
        <v>0.875</v>
      </c>
      <c r="F3200" t="s">
        <v>35</v>
      </c>
      <c r="G3200" t="s">
        <v>16</v>
      </c>
      <c r="H3200" s="2">
        <v>46054</v>
      </c>
      <c r="I3200" s="3" t="str">
        <f t="shared" si="246"/>
        <v/>
      </c>
      <c r="J3200" t="str">
        <f t="shared" si="247"/>
        <v/>
      </c>
      <c r="K3200" t="str">
        <f t="shared" si="248"/>
        <v/>
      </c>
      <c r="L3200" t="str">
        <f t="shared" si="249"/>
        <v/>
      </c>
      <c r="M3200" t="str">
        <f>IF(COUNTIF($A$2:A3200,A3200)=1,
     VLOOKUP(A3200,Season_Winners!A:B,2,FALSE),
     "")</f>
        <v/>
      </c>
    </row>
    <row r="3201" spans="1:13" x14ac:dyDescent="0.3">
      <c r="A3201" t="s">
        <v>1138</v>
      </c>
      <c r="B3201">
        <v>16</v>
      </c>
      <c r="C3201" t="s">
        <v>1198</v>
      </c>
      <c r="D3201" t="str">
        <f t="shared" si="245"/>
        <v>06.12.2021</v>
      </c>
      <c r="E3201" s="1">
        <v>0.875</v>
      </c>
      <c r="F3201" t="s">
        <v>11</v>
      </c>
      <c r="G3201" t="s">
        <v>15</v>
      </c>
      <c r="H3201" t="s">
        <v>41</v>
      </c>
      <c r="I3201" t="str">
        <f t="shared" si="246"/>
        <v>0-0</v>
      </c>
      <c r="J3201" t="str">
        <f t="shared" si="247"/>
        <v>0</v>
      </c>
      <c r="K3201" t="str">
        <f t="shared" si="248"/>
        <v>0</v>
      </c>
      <c r="L3201" t="str">
        <f t="shared" si="249"/>
        <v>Draw</v>
      </c>
      <c r="M3201" t="str">
        <f>IF(COUNTIF($A$2:A3201,A3201)=1,
     VLOOKUP(A3201,Season_Winners!A:B,2,FALSE),
     "")</f>
        <v/>
      </c>
    </row>
    <row r="3202" spans="1:13" x14ac:dyDescent="0.3">
      <c r="A3202" t="s">
        <v>1138</v>
      </c>
      <c r="B3202">
        <v>17</v>
      </c>
      <c r="C3202" t="s">
        <v>1199</v>
      </c>
      <c r="D3202" t="str">
        <f t="shared" ref="D3202:D3265" si="250">RIGHT(C3202,10)</f>
        <v>10.12.2021</v>
      </c>
      <c r="E3202" s="1">
        <v>0.875</v>
      </c>
      <c r="F3202" t="s">
        <v>881</v>
      </c>
      <c r="G3202" t="s">
        <v>35</v>
      </c>
      <c r="H3202" t="s">
        <v>41</v>
      </c>
      <c r="I3202" t="str">
        <f t="shared" ref="I3202:I3265" si="251">IF(ISNUMBER(SEARCH("-",H3202)),H3202,"")</f>
        <v>0-0</v>
      </c>
      <c r="J3202" t="str">
        <f t="shared" ref="J3202:J3265" si="252">IF(I3202="","",LEFT(I3202,FIND("-",I3202)-1))</f>
        <v>0</v>
      </c>
      <c r="K3202" t="str">
        <f t="shared" ref="K3202:K3265" si="253">IF(I3202="","",RIGHT(I3202,LEN(I3202)-FIND("-",I3202)))</f>
        <v>0</v>
      </c>
      <c r="L3202" t="str">
        <f t="shared" ref="L3202:L3265" si="254">IF(I3202="","",IF(J3202&gt;K3202,F3202,IF(K3202&gt;J3202,G3202,"Draw")))</f>
        <v>Draw</v>
      </c>
      <c r="M3202" t="str">
        <f>IF(COUNTIF($A$2:A3202,A3202)=1,
     VLOOKUP(A3202,Season_Winners!A:B,2,FALSE),
     "")</f>
        <v/>
      </c>
    </row>
    <row r="3203" spans="1:13" hidden="1" x14ac:dyDescent="0.3">
      <c r="A3203" t="s">
        <v>1138</v>
      </c>
      <c r="B3203">
        <v>17</v>
      </c>
      <c r="C3203" t="s">
        <v>1200</v>
      </c>
      <c r="D3203" t="str">
        <f t="shared" si="250"/>
        <v>11.12.2021</v>
      </c>
      <c r="E3203" s="1">
        <v>0.58333333333333337</v>
      </c>
      <c r="F3203" t="s">
        <v>36</v>
      </c>
      <c r="G3203" t="s">
        <v>21</v>
      </c>
      <c r="H3203" s="2">
        <v>46085</v>
      </c>
      <c r="I3203" s="3" t="str">
        <f t="shared" si="251"/>
        <v/>
      </c>
      <c r="J3203" t="str">
        <f t="shared" si="252"/>
        <v/>
      </c>
      <c r="K3203" t="str">
        <f t="shared" si="253"/>
        <v/>
      </c>
      <c r="L3203" t="str">
        <f t="shared" si="254"/>
        <v/>
      </c>
      <c r="M3203" t="str">
        <f>IF(COUNTIF($A$2:A3203,A3203)=1,
     VLOOKUP(A3203,Season_Winners!A:B,2,FALSE),
     "")</f>
        <v/>
      </c>
    </row>
    <row r="3204" spans="1:13" hidden="1" x14ac:dyDescent="0.3">
      <c r="A3204" t="s">
        <v>1138</v>
      </c>
      <c r="B3204">
        <v>17</v>
      </c>
      <c r="C3204" t="s">
        <v>1200</v>
      </c>
      <c r="D3204" t="str">
        <f t="shared" si="250"/>
        <v>11.12.2021</v>
      </c>
      <c r="E3204" s="1">
        <v>0.67708333333333337</v>
      </c>
      <c r="F3204" t="s">
        <v>464</v>
      </c>
      <c r="G3204" t="s">
        <v>11</v>
      </c>
      <c r="H3204" s="2">
        <v>46023</v>
      </c>
      <c r="I3204" s="3" t="str">
        <f t="shared" si="251"/>
        <v/>
      </c>
      <c r="J3204" t="str">
        <f t="shared" si="252"/>
        <v/>
      </c>
      <c r="K3204" t="str">
        <f t="shared" si="253"/>
        <v/>
      </c>
      <c r="L3204" t="str">
        <f t="shared" si="254"/>
        <v/>
      </c>
      <c r="M3204" t="str">
        <f>IF(COUNTIF($A$2:A3204,A3204)=1,
     VLOOKUP(A3204,Season_Winners!A:B,2,FALSE),
     "")</f>
        <v/>
      </c>
    </row>
    <row r="3205" spans="1:13" hidden="1" x14ac:dyDescent="0.3">
      <c r="A3205" t="s">
        <v>1138</v>
      </c>
      <c r="B3205">
        <v>17</v>
      </c>
      <c r="C3205" t="s">
        <v>1200</v>
      </c>
      <c r="D3205" t="str">
        <f t="shared" si="250"/>
        <v>11.12.2021</v>
      </c>
      <c r="E3205" s="1">
        <v>0.77083333333333337</v>
      </c>
      <c r="F3205" t="s">
        <v>16</v>
      </c>
      <c r="G3205" t="s">
        <v>31</v>
      </c>
      <c r="H3205" s="2">
        <v>46024</v>
      </c>
      <c r="I3205" s="3" t="str">
        <f t="shared" si="251"/>
        <v/>
      </c>
      <c r="J3205" t="str">
        <f t="shared" si="252"/>
        <v/>
      </c>
      <c r="K3205" t="str">
        <f t="shared" si="253"/>
        <v/>
      </c>
      <c r="L3205" t="str">
        <f t="shared" si="254"/>
        <v/>
      </c>
      <c r="M3205" t="str">
        <f>IF(COUNTIF($A$2:A3205,A3205)=1,
     VLOOKUP(A3205,Season_Winners!A:B,2,FALSE),
     "")</f>
        <v/>
      </c>
    </row>
    <row r="3206" spans="1:13" x14ac:dyDescent="0.3">
      <c r="A3206" t="s">
        <v>1138</v>
      </c>
      <c r="B3206">
        <v>17</v>
      </c>
      <c r="C3206" t="s">
        <v>1200</v>
      </c>
      <c r="D3206" t="str">
        <f t="shared" si="250"/>
        <v>11.12.2021</v>
      </c>
      <c r="E3206" s="1">
        <v>0.875</v>
      </c>
      <c r="F3206" t="s">
        <v>15</v>
      </c>
      <c r="G3206" t="s">
        <v>27</v>
      </c>
      <c r="H3206" t="s">
        <v>42</v>
      </c>
      <c r="I3206" t="str">
        <f t="shared" si="251"/>
        <v>0-1</v>
      </c>
      <c r="J3206" t="str">
        <f t="shared" si="252"/>
        <v>0</v>
      </c>
      <c r="K3206" t="str">
        <f t="shared" si="253"/>
        <v>1</v>
      </c>
      <c r="L3206" t="str">
        <f t="shared" si="254"/>
        <v>Sevilla FC</v>
      </c>
      <c r="M3206" t="str">
        <f>IF(COUNTIF($A$2:A3206,A3206)=1,
     VLOOKUP(A3206,Season_Winners!A:B,2,FALSE),
     "")</f>
        <v/>
      </c>
    </row>
    <row r="3207" spans="1:13" x14ac:dyDescent="0.3">
      <c r="A3207" t="s">
        <v>1138</v>
      </c>
      <c r="B3207">
        <v>17</v>
      </c>
      <c r="C3207" t="s">
        <v>1201</v>
      </c>
      <c r="D3207" t="str">
        <f t="shared" si="250"/>
        <v>12.12.2021</v>
      </c>
      <c r="E3207" s="1">
        <v>0.58333333333333337</v>
      </c>
      <c r="F3207" t="s">
        <v>34</v>
      </c>
      <c r="G3207" t="s">
        <v>30</v>
      </c>
      <c r="H3207" t="s">
        <v>12</v>
      </c>
      <c r="I3207" t="str">
        <f t="shared" si="251"/>
        <v>2-0</v>
      </c>
      <c r="J3207" t="str">
        <f t="shared" si="252"/>
        <v>2</v>
      </c>
      <c r="K3207" t="str">
        <f t="shared" si="253"/>
        <v>0</v>
      </c>
      <c r="L3207" t="str">
        <f t="shared" si="254"/>
        <v>Villarreal CF</v>
      </c>
      <c r="M3207" t="str">
        <f>IF(COUNTIF($A$2:A3207,A3207)=1,
     VLOOKUP(A3207,Season_Winners!A:B,2,FALSE),
     "")</f>
        <v/>
      </c>
    </row>
    <row r="3208" spans="1:13" hidden="1" x14ac:dyDescent="0.3">
      <c r="A3208" t="s">
        <v>1138</v>
      </c>
      <c r="B3208">
        <v>17</v>
      </c>
      <c r="C3208" t="s">
        <v>1201</v>
      </c>
      <c r="D3208" t="str">
        <f t="shared" si="250"/>
        <v>12.12.2021</v>
      </c>
      <c r="E3208" s="1">
        <v>0.67708333333333337</v>
      </c>
      <c r="F3208" t="s">
        <v>23</v>
      </c>
      <c r="G3208" t="s">
        <v>20</v>
      </c>
      <c r="H3208" s="2">
        <v>46055</v>
      </c>
      <c r="I3208" s="3" t="str">
        <f t="shared" si="251"/>
        <v/>
      </c>
      <c r="J3208" t="str">
        <f t="shared" si="252"/>
        <v/>
      </c>
      <c r="K3208" t="str">
        <f t="shared" si="253"/>
        <v/>
      </c>
      <c r="L3208" t="str">
        <f t="shared" si="254"/>
        <v/>
      </c>
      <c r="M3208" t="str">
        <f>IF(COUNTIF($A$2:A3208,A3208)=1,
     VLOOKUP(A3208,Season_Winners!A:B,2,FALSE),
     "")</f>
        <v/>
      </c>
    </row>
    <row r="3209" spans="1:13" x14ac:dyDescent="0.3">
      <c r="A3209" t="s">
        <v>1138</v>
      </c>
      <c r="B3209">
        <v>17</v>
      </c>
      <c r="C3209" t="s">
        <v>1201</v>
      </c>
      <c r="D3209" t="str">
        <f t="shared" si="250"/>
        <v>12.12.2021</v>
      </c>
      <c r="E3209" s="1">
        <v>0.77083333333333337</v>
      </c>
      <c r="F3209" t="s">
        <v>26</v>
      </c>
      <c r="G3209" t="s">
        <v>10</v>
      </c>
      <c r="H3209" t="s">
        <v>88</v>
      </c>
      <c r="I3209" t="str">
        <f t="shared" si="251"/>
        <v>4-0</v>
      </c>
      <c r="J3209" t="str">
        <f t="shared" si="252"/>
        <v>4</v>
      </c>
      <c r="K3209" t="str">
        <f t="shared" si="253"/>
        <v>0</v>
      </c>
      <c r="L3209" t="str">
        <f t="shared" si="254"/>
        <v>Real Betis</v>
      </c>
      <c r="M3209" t="str">
        <f>IF(COUNTIF($A$2:A3209,A3209)=1,
     VLOOKUP(A3209,Season_Winners!A:B,2,FALSE),
     "")</f>
        <v/>
      </c>
    </row>
    <row r="3210" spans="1:13" x14ac:dyDescent="0.3">
      <c r="A3210" t="s">
        <v>1138</v>
      </c>
      <c r="B3210">
        <v>17</v>
      </c>
      <c r="C3210" t="s">
        <v>1201</v>
      </c>
      <c r="D3210" t="str">
        <f t="shared" si="250"/>
        <v>12.12.2021</v>
      </c>
      <c r="E3210" s="1">
        <v>0.875</v>
      </c>
      <c r="F3210" t="s">
        <v>25</v>
      </c>
      <c r="G3210" t="s">
        <v>1425</v>
      </c>
      <c r="H3210" t="s">
        <v>12</v>
      </c>
      <c r="I3210" t="str">
        <f t="shared" si="251"/>
        <v>2-0</v>
      </c>
      <c r="J3210" t="str">
        <f t="shared" si="252"/>
        <v>2</v>
      </c>
      <c r="K3210" t="str">
        <f t="shared" si="253"/>
        <v>0</v>
      </c>
      <c r="L3210" t="str">
        <f t="shared" si="254"/>
        <v>Real Madrid</v>
      </c>
      <c r="M3210" t="str">
        <f>IF(COUNTIF($A$2:A3210,A3210)=1,
     VLOOKUP(A3210,Season_Winners!A:B,2,FALSE),
     "")</f>
        <v/>
      </c>
    </row>
    <row r="3211" spans="1:13" hidden="1" x14ac:dyDescent="0.3">
      <c r="A3211" t="s">
        <v>1138</v>
      </c>
      <c r="B3211">
        <v>17</v>
      </c>
      <c r="C3211" t="s">
        <v>1202</v>
      </c>
      <c r="D3211" t="str">
        <f t="shared" si="250"/>
        <v>13.12.2021</v>
      </c>
      <c r="E3211" s="1">
        <v>0.875</v>
      </c>
      <c r="F3211" t="s">
        <v>1000</v>
      </c>
      <c r="G3211" t="s">
        <v>24</v>
      </c>
      <c r="H3211" s="2">
        <v>46023</v>
      </c>
      <c r="I3211" s="3" t="str">
        <f t="shared" si="251"/>
        <v/>
      </c>
      <c r="J3211" t="str">
        <f t="shared" si="252"/>
        <v/>
      </c>
      <c r="K3211" t="str">
        <f t="shared" si="253"/>
        <v/>
      </c>
      <c r="L3211" t="str">
        <f t="shared" si="254"/>
        <v/>
      </c>
      <c r="M3211" t="str">
        <f>IF(COUNTIF($A$2:A3211,A3211)=1,
     VLOOKUP(A3211,Season_Winners!A:B,2,FALSE),
     "")</f>
        <v/>
      </c>
    </row>
    <row r="3212" spans="1:13" hidden="1" x14ac:dyDescent="0.3">
      <c r="A3212" t="s">
        <v>1138</v>
      </c>
      <c r="B3212">
        <v>18</v>
      </c>
      <c r="C3212" t="s">
        <v>1203</v>
      </c>
      <c r="D3212" t="str">
        <f t="shared" si="250"/>
        <v>17.12.2021</v>
      </c>
      <c r="E3212" s="1">
        <v>0.875</v>
      </c>
      <c r="F3212" t="s">
        <v>35</v>
      </c>
      <c r="G3212" t="s">
        <v>36</v>
      </c>
      <c r="H3212" s="2">
        <v>46025</v>
      </c>
      <c r="I3212" s="3" t="str">
        <f t="shared" si="251"/>
        <v/>
      </c>
      <c r="J3212" t="str">
        <f t="shared" si="252"/>
        <v/>
      </c>
      <c r="K3212" t="str">
        <f t="shared" si="253"/>
        <v/>
      </c>
      <c r="L3212" t="str">
        <f t="shared" si="254"/>
        <v/>
      </c>
      <c r="M3212" t="str">
        <f>IF(COUNTIF($A$2:A3212,A3212)=1,
     VLOOKUP(A3212,Season_Winners!A:B,2,FALSE),
     "")</f>
        <v/>
      </c>
    </row>
    <row r="3213" spans="1:13" x14ac:dyDescent="0.3">
      <c r="A3213" t="s">
        <v>1138</v>
      </c>
      <c r="B3213">
        <v>18</v>
      </c>
      <c r="C3213" t="s">
        <v>1204</v>
      </c>
      <c r="D3213" t="str">
        <f t="shared" si="250"/>
        <v>18.12.2021</v>
      </c>
      <c r="E3213" s="1">
        <v>0.58333333333333337</v>
      </c>
      <c r="F3213" t="s">
        <v>30</v>
      </c>
      <c r="G3213" t="s">
        <v>464</v>
      </c>
      <c r="H3213" t="s">
        <v>12</v>
      </c>
      <c r="I3213" t="str">
        <f t="shared" si="251"/>
        <v>2-0</v>
      </c>
      <c r="J3213" t="str">
        <f t="shared" si="252"/>
        <v>2</v>
      </c>
      <c r="K3213" t="str">
        <f t="shared" si="253"/>
        <v>0</v>
      </c>
      <c r="L3213" t="str">
        <f t="shared" si="254"/>
        <v>Rayo Vallecano</v>
      </c>
      <c r="M3213" t="str">
        <f>IF(COUNTIF($A$2:A3213,A3213)=1,
     VLOOKUP(A3213,Season_Winners!A:B,2,FALSE),
     "")</f>
        <v/>
      </c>
    </row>
    <row r="3214" spans="1:13" hidden="1" x14ac:dyDescent="0.3">
      <c r="A3214" t="s">
        <v>1138</v>
      </c>
      <c r="B3214">
        <v>18</v>
      </c>
      <c r="C3214" t="s">
        <v>1204</v>
      </c>
      <c r="D3214" t="str">
        <f t="shared" si="250"/>
        <v>18.12.2021</v>
      </c>
      <c r="E3214" s="1">
        <v>0.67708333333333337</v>
      </c>
      <c r="F3214" t="s">
        <v>10</v>
      </c>
      <c r="G3214" t="s">
        <v>34</v>
      </c>
      <c r="H3214" s="2">
        <v>46082</v>
      </c>
      <c r="I3214" s="3" t="str">
        <f t="shared" si="251"/>
        <v/>
      </c>
      <c r="J3214" t="str">
        <f t="shared" si="252"/>
        <v/>
      </c>
      <c r="K3214" t="str">
        <f t="shared" si="253"/>
        <v/>
      </c>
      <c r="L3214" t="str">
        <f t="shared" si="254"/>
        <v/>
      </c>
      <c r="M3214" t="str">
        <f>IF(COUNTIF($A$2:A3214,A3214)=1,
     VLOOKUP(A3214,Season_Winners!A:B,2,FALSE),
     "")</f>
        <v/>
      </c>
    </row>
    <row r="3215" spans="1:13" hidden="1" x14ac:dyDescent="0.3">
      <c r="A3215" t="s">
        <v>1138</v>
      </c>
      <c r="B3215">
        <v>18</v>
      </c>
      <c r="C3215" t="s">
        <v>1204</v>
      </c>
      <c r="D3215" t="str">
        <f t="shared" si="250"/>
        <v>18.12.2021</v>
      </c>
      <c r="E3215" s="1">
        <v>0.77083333333333337</v>
      </c>
      <c r="F3215" t="s">
        <v>20</v>
      </c>
      <c r="G3215" t="s">
        <v>31</v>
      </c>
      <c r="H3215" s="2">
        <v>46056</v>
      </c>
      <c r="I3215" s="3" t="str">
        <f t="shared" si="251"/>
        <v/>
      </c>
      <c r="J3215" t="str">
        <f t="shared" si="252"/>
        <v/>
      </c>
      <c r="K3215" t="str">
        <f t="shared" si="253"/>
        <v/>
      </c>
      <c r="L3215" t="str">
        <f t="shared" si="254"/>
        <v/>
      </c>
      <c r="M3215" t="str">
        <f>IF(COUNTIF($A$2:A3215,A3215)=1,
     VLOOKUP(A3215,Season_Winners!A:B,2,FALSE),
     "")</f>
        <v/>
      </c>
    </row>
    <row r="3216" spans="1:13" hidden="1" x14ac:dyDescent="0.3">
      <c r="A3216" t="s">
        <v>1138</v>
      </c>
      <c r="B3216">
        <v>18</v>
      </c>
      <c r="C3216" t="s">
        <v>1204</v>
      </c>
      <c r="D3216" t="str">
        <f t="shared" si="250"/>
        <v>18.12.2021</v>
      </c>
      <c r="E3216" s="1">
        <v>0.875</v>
      </c>
      <c r="F3216" t="s">
        <v>27</v>
      </c>
      <c r="G3216" t="s">
        <v>28</v>
      </c>
      <c r="H3216" s="2">
        <v>46024</v>
      </c>
      <c r="I3216" s="3" t="str">
        <f t="shared" si="251"/>
        <v/>
      </c>
      <c r="J3216" t="str">
        <f t="shared" si="252"/>
        <v/>
      </c>
      <c r="K3216" t="str">
        <f t="shared" si="253"/>
        <v/>
      </c>
      <c r="L3216" t="str">
        <f t="shared" si="254"/>
        <v/>
      </c>
      <c r="M3216" t="str">
        <f>IF(COUNTIF($A$2:A3216,A3216)=1,
     VLOOKUP(A3216,Season_Winners!A:B,2,FALSE),
     "")</f>
        <v/>
      </c>
    </row>
    <row r="3217" spans="1:13" hidden="1" x14ac:dyDescent="0.3">
      <c r="A3217" t="s">
        <v>1138</v>
      </c>
      <c r="B3217">
        <v>18</v>
      </c>
      <c r="C3217" t="s">
        <v>1205</v>
      </c>
      <c r="D3217" t="str">
        <f t="shared" si="250"/>
        <v>19.12.2021</v>
      </c>
      <c r="E3217" s="1">
        <v>0.58333333333333337</v>
      </c>
      <c r="F3217" t="s">
        <v>24</v>
      </c>
      <c r="G3217" t="s">
        <v>881</v>
      </c>
      <c r="H3217" s="2">
        <v>46026</v>
      </c>
      <c r="I3217" s="3" t="str">
        <f t="shared" si="251"/>
        <v/>
      </c>
      <c r="J3217" t="str">
        <f t="shared" si="252"/>
        <v/>
      </c>
      <c r="K3217" t="str">
        <f t="shared" si="253"/>
        <v/>
      </c>
      <c r="L3217" t="str">
        <f t="shared" si="254"/>
        <v/>
      </c>
      <c r="M3217" t="str">
        <f>IF(COUNTIF($A$2:A3217,A3217)=1,
     VLOOKUP(A3217,Season_Winners!A:B,2,FALSE),
     "")</f>
        <v/>
      </c>
    </row>
    <row r="3218" spans="1:13" hidden="1" x14ac:dyDescent="0.3">
      <c r="A3218" t="s">
        <v>1138</v>
      </c>
      <c r="B3218">
        <v>18</v>
      </c>
      <c r="C3218" t="s">
        <v>1205</v>
      </c>
      <c r="D3218" t="str">
        <f t="shared" si="250"/>
        <v>19.12.2021</v>
      </c>
      <c r="E3218" s="1">
        <v>0.67708333333333337</v>
      </c>
      <c r="F3218" t="s">
        <v>15</v>
      </c>
      <c r="G3218" t="s">
        <v>26</v>
      </c>
      <c r="H3218" s="2">
        <v>46056</v>
      </c>
      <c r="I3218" s="3" t="str">
        <f t="shared" si="251"/>
        <v/>
      </c>
      <c r="J3218" t="str">
        <f t="shared" si="252"/>
        <v/>
      </c>
      <c r="K3218" t="str">
        <f t="shared" si="253"/>
        <v/>
      </c>
      <c r="L3218" t="str">
        <f t="shared" si="254"/>
        <v/>
      </c>
      <c r="M3218" t="str">
        <f>IF(COUNTIF($A$2:A3218,A3218)=1,
     VLOOKUP(A3218,Season_Winners!A:B,2,FALSE),
     "")</f>
        <v/>
      </c>
    </row>
    <row r="3219" spans="1:13" x14ac:dyDescent="0.3">
      <c r="A3219" t="s">
        <v>1138</v>
      </c>
      <c r="B3219">
        <v>18</v>
      </c>
      <c r="C3219" t="s">
        <v>1205</v>
      </c>
      <c r="D3219" t="str">
        <f t="shared" si="250"/>
        <v>19.12.2021</v>
      </c>
      <c r="E3219" s="1">
        <v>0.77083333333333337</v>
      </c>
      <c r="F3219" t="s">
        <v>11</v>
      </c>
      <c r="G3219" t="s">
        <v>23</v>
      </c>
      <c r="H3219" t="s">
        <v>18</v>
      </c>
      <c r="I3219" t="str">
        <f t="shared" si="251"/>
        <v>1-0</v>
      </c>
      <c r="J3219" t="str">
        <f t="shared" si="252"/>
        <v>1</v>
      </c>
      <c r="K3219" t="str">
        <f t="shared" si="253"/>
        <v>0</v>
      </c>
      <c r="L3219" t="str">
        <f t="shared" si="254"/>
        <v>Getafe CF</v>
      </c>
      <c r="M3219" t="str">
        <f>IF(COUNTIF($A$2:A3219,A3219)=1,
     VLOOKUP(A3219,Season_Winners!A:B,2,FALSE),
     "")</f>
        <v/>
      </c>
    </row>
    <row r="3220" spans="1:13" x14ac:dyDescent="0.3">
      <c r="A3220" t="s">
        <v>1138</v>
      </c>
      <c r="B3220">
        <v>18</v>
      </c>
      <c r="C3220" t="s">
        <v>1205</v>
      </c>
      <c r="D3220" t="str">
        <f t="shared" si="250"/>
        <v>19.12.2021</v>
      </c>
      <c r="E3220" s="1">
        <v>0.875</v>
      </c>
      <c r="F3220" t="s">
        <v>25</v>
      </c>
      <c r="G3220" t="s">
        <v>1000</v>
      </c>
      <c r="H3220" t="s">
        <v>41</v>
      </c>
      <c r="I3220" t="str">
        <f t="shared" si="251"/>
        <v>0-0</v>
      </c>
      <c r="J3220" t="str">
        <f t="shared" si="252"/>
        <v>0</v>
      </c>
      <c r="K3220" t="str">
        <f t="shared" si="253"/>
        <v>0</v>
      </c>
      <c r="L3220" t="str">
        <f t="shared" si="254"/>
        <v>Draw</v>
      </c>
      <c r="M3220" t="str">
        <f>IF(COUNTIF($A$2:A3220,A3220)=1,
     VLOOKUP(A3220,Season_Winners!A:B,2,FALSE),
     "")</f>
        <v/>
      </c>
    </row>
    <row r="3221" spans="1:13" hidden="1" x14ac:dyDescent="0.3">
      <c r="A3221" t="s">
        <v>1138</v>
      </c>
      <c r="B3221">
        <v>18</v>
      </c>
      <c r="C3221" t="s">
        <v>1206</v>
      </c>
      <c r="D3221" t="str">
        <f t="shared" si="250"/>
        <v>20.12.2021</v>
      </c>
      <c r="E3221" s="1">
        <v>0.875</v>
      </c>
      <c r="F3221" t="s">
        <v>21</v>
      </c>
      <c r="G3221" t="s">
        <v>16</v>
      </c>
      <c r="H3221" s="2">
        <v>46115</v>
      </c>
      <c r="I3221" s="3" t="str">
        <f t="shared" si="251"/>
        <v/>
      </c>
      <c r="J3221" t="str">
        <f t="shared" si="252"/>
        <v/>
      </c>
      <c r="K3221" t="str">
        <f t="shared" si="253"/>
        <v/>
      </c>
      <c r="L3221" t="str">
        <f t="shared" si="254"/>
        <v/>
      </c>
      <c r="M3221" t="str">
        <f>IF(COUNTIF($A$2:A3221,A3221)=1,
     VLOOKUP(A3221,Season_Winners!A:B,2,FALSE),
     "")</f>
        <v/>
      </c>
    </row>
    <row r="3222" spans="1:13" hidden="1" x14ac:dyDescent="0.3">
      <c r="A3222" t="s">
        <v>1138</v>
      </c>
      <c r="B3222">
        <v>19</v>
      </c>
      <c r="C3222" t="s">
        <v>1207</v>
      </c>
      <c r="D3222" t="str">
        <f t="shared" si="250"/>
        <v>31.12.2021</v>
      </c>
      <c r="E3222" s="1">
        <v>0.67708333333333337</v>
      </c>
      <c r="F3222" t="s">
        <v>16</v>
      </c>
      <c r="G3222" t="s">
        <v>36</v>
      </c>
      <c r="H3222" s="2">
        <v>46054</v>
      </c>
      <c r="I3222" s="3" t="str">
        <f t="shared" si="251"/>
        <v/>
      </c>
      <c r="J3222" t="str">
        <f t="shared" si="252"/>
        <v/>
      </c>
      <c r="K3222" t="str">
        <f t="shared" si="253"/>
        <v/>
      </c>
      <c r="L3222" t="str">
        <f t="shared" si="254"/>
        <v/>
      </c>
      <c r="M3222" t="str">
        <f>IF(COUNTIF($A$2:A3222,A3222)=1,
     VLOOKUP(A3222,Season_Winners!A:B,2,FALSE),
     "")</f>
        <v/>
      </c>
    </row>
    <row r="3223" spans="1:13" x14ac:dyDescent="0.3">
      <c r="A3223" t="s">
        <v>1138</v>
      </c>
      <c r="B3223">
        <v>19</v>
      </c>
      <c r="C3223" t="s">
        <v>1208</v>
      </c>
      <c r="D3223" t="str">
        <f t="shared" si="250"/>
        <v>02.01.2022</v>
      </c>
      <c r="E3223" s="1">
        <v>0.58333333333333337</v>
      </c>
      <c r="F3223" t="s">
        <v>11</v>
      </c>
      <c r="G3223" t="s">
        <v>25</v>
      </c>
      <c r="H3223" t="s">
        <v>18</v>
      </c>
      <c r="I3223" t="str">
        <f t="shared" si="251"/>
        <v>1-0</v>
      </c>
      <c r="J3223" t="str">
        <f t="shared" si="252"/>
        <v>1</v>
      </c>
      <c r="K3223" t="str">
        <f t="shared" si="253"/>
        <v>0</v>
      </c>
      <c r="L3223" t="str">
        <f t="shared" si="254"/>
        <v>Getafe CF</v>
      </c>
      <c r="M3223" t="str">
        <f>IF(COUNTIF($A$2:A3223,A3223)=1,
     VLOOKUP(A3223,Season_Winners!A:B,2,FALSE),
     "")</f>
        <v/>
      </c>
    </row>
    <row r="3224" spans="1:13" x14ac:dyDescent="0.3">
      <c r="A3224" t="s">
        <v>1138</v>
      </c>
      <c r="B3224">
        <v>19</v>
      </c>
      <c r="C3224" t="s">
        <v>1208</v>
      </c>
      <c r="D3224" t="str">
        <f t="shared" si="250"/>
        <v>02.01.2022</v>
      </c>
      <c r="E3224" s="1">
        <v>0.67708333333333337</v>
      </c>
      <c r="F3224" t="s">
        <v>1425</v>
      </c>
      <c r="G3224" t="s">
        <v>30</v>
      </c>
      <c r="H3224" t="s">
        <v>12</v>
      </c>
      <c r="I3224" t="str">
        <f t="shared" si="251"/>
        <v>2-0</v>
      </c>
      <c r="J3224" t="str">
        <f t="shared" si="252"/>
        <v>2</v>
      </c>
      <c r="K3224" t="str">
        <f t="shared" si="253"/>
        <v>0</v>
      </c>
      <c r="L3224" t="str">
        <f t="shared" si="254"/>
        <v>Atlético de Madrid</v>
      </c>
      <c r="M3224" t="str">
        <f>IF(COUNTIF($A$2:A3224,A3224)=1,
     VLOOKUP(A3224,Season_Winners!A:B,2,FALSE),
     "")</f>
        <v/>
      </c>
    </row>
    <row r="3225" spans="1:13" x14ac:dyDescent="0.3">
      <c r="A3225" t="s">
        <v>1138</v>
      </c>
      <c r="B3225">
        <v>19</v>
      </c>
      <c r="C3225" t="s">
        <v>1208</v>
      </c>
      <c r="D3225" t="str">
        <f t="shared" si="250"/>
        <v>02.01.2022</v>
      </c>
      <c r="E3225" s="1">
        <v>0.67708333333333337</v>
      </c>
      <c r="F3225" t="s">
        <v>31</v>
      </c>
      <c r="G3225" t="s">
        <v>24</v>
      </c>
      <c r="H3225" t="s">
        <v>41</v>
      </c>
      <c r="I3225" t="str">
        <f t="shared" si="251"/>
        <v>0-0</v>
      </c>
      <c r="J3225" t="str">
        <f t="shared" si="252"/>
        <v>0</v>
      </c>
      <c r="K3225" t="str">
        <f t="shared" si="253"/>
        <v>0</v>
      </c>
      <c r="L3225" t="str">
        <f t="shared" si="254"/>
        <v>Draw</v>
      </c>
      <c r="M3225" t="str">
        <f>IF(COUNTIF($A$2:A3225,A3225)=1,
     VLOOKUP(A3225,Season_Winners!A:B,2,FALSE),
     "")</f>
        <v/>
      </c>
    </row>
    <row r="3226" spans="1:13" hidden="1" x14ac:dyDescent="0.3">
      <c r="A3226" t="s">
        <v>1138</v>
      </c>
      <c r="B3226">
        <v>19</v>
      </c>
      <c r="C3226" t="s">
        <v>1208</v>
      </c>
      <c r="D3226" t="str">
        <f t="shared" si="250"/>
        <v>02.01.2022</v>
      </c>
      <c r="E3226" s="1">
        <v>0.77083333333333337</v>
      </c>
      <c r="F3226" t="s">
        <v>464</v>
      </c>
      <c r="G3226" t="s">
        <v>10</v>
      </c>
      <c r="H3226" s="2">
        <v>46023</v>
      </c>
      <c r="I3226" s="3" t="str">
        <f t="shared" si="251"/>
        <v/>
      </c>
      <c r="J3226" t="str">
        <f t="shared" si="252"/>
        <v/>
      </c>
      <c r="K3226" t="str">
        <f t="shared" si="253"/>
        <v/>
      </c>
      <c r="L3226" t="str">
        <f t="shared" si="254"/>
        <v/>
      </c>
      <c r="M3226" t="str">
        <f>IF(COUNTIF($A$2:A3226,A3226)=1,
     VLOOKUP(A3226,Season_Winners!A:B,2,FALSE),
     "")</f>
        <v/>
      </c>
    </row>
    <row r="3227" spans="1:13" x14ac:dyDescent="0.3">
      <c r="A3227" t="s">
        <v>1138</v>
      </c>
      <c r="B3227">
        <v>19</v>
      </c>
      <c r="C3227" t="s">
        <v>1208</v>
      </c>
      <c r="D3227" t="str">
        <f t="shared" si="250"/>
        <v>02.01.2022</v>
      </c>
      <c r="E3227" s="1">
        <v>0.77083333333333337</v>
      </c>
      <c r="F3227" t="s">
        <v>26</v>
      </c>
      <c r="G3227" t="s">
        <v>35</v>
      </c>
      <c r="H3227" t="s">
        <v>54</v>
      </c>
      <c r="I3227" t="str">
        <f t="shared" si="251"/>
        <v>0-2</v>
      </c>
      <c r="J3227" t="str">
        <f t="shared" si="252"/>
        <v>0</v>
      </c>
      <c r="K3227" t="str">
        <f t="shared" si="253"/>
        <v>2</v>
      </c>
      <c r="L3227" t="str">
        <f t="shared" si="254"/>
        <v>RC Celta</v>
      </c>
      <c r="M3227" t="str">
        <f>IF(COUNTIF($A$2:A3227,A3227)=1,
     VLOOKUP(A3227,Season_Winners!A:B,2,FALSE),
     "")</f>
        <v/>
      </c>
    </row>
    <row r="3228" spans="1:13" x14ac:dyDescent="0.3">
      <c r="A3228" t="s">
        <v>1138</v>
      </c>
      <c r="B3228">
        <v>19</v>
      </c>
      <c r="C3228" t="s">
        <v>1208</v>
      </c>
      <c r="D3228" t="str">
        <f t="shared" si="250"/>
        <v>02.01.2022</v>
      </c>
      <c r="E3228" s="1">
        <v>0.875</v>
      </c>
      <c r="F3228" t="s">
        <v>881</v>
      </c>
      <c r="G3228" t="s">
        <v>20</v>
      </c>
      <c r="H3228" t="s">
        <v>42</v>
      </c>
      <c r="I3228" t="str">
        <f t="shared" si="251"/>
        <v>0-1</v>
      </c>
      <c r="J3228" t="str">
        <f t="shared" si="252"/>
        <v>0</v>
      </c>
      <c r="K3228" t="str">
        <f t="shared" si="253"/>
        <v>1</v>
      </c>
      <c r="L3228" t="str">
        <f t="shared" si="254"/>
        <v>FC Barcelona</v>
      </c>
      <c r="M3228" t="str">
        <f>IF(COUNTIF($A$2:A3228,A3228)=1,
     VLOOKUP(A3228,Season_Winners!A:B,2,FALSE),
     "")</f>
        <v/>
      </c>
    </row>
    <row r="3229" spans="1:13" x14ac:dyDescent="0.3">
      <c r="A3229" t="s">
        <v>1138</v>
      </c>
      <c r="B3229">
        <v>19</v>
      </c>
      <c r="C3229" t="s">
        <v>1209</v>
      </c>
      <c r="D3229" t="str">
        <f t="shared" si="250"/>
        <v>03.01.2022</v>
      </c>
      <c r="E3229" s="1">
        <v>0.79166666666666663</v>
      </c>
      <c r="F3229" t="s">
        <v>34</v>
      </c>
      <c r="G3229" t="s">
        <v>21</v>
      </c>
      <c r="H3229" t="s">
        <v>40</v>
      </c>
      <c r="I3229" t="str">
        <f t="shared" si="251"/>
        <v>5-0</v>
      </c>
      <c r="J3229" t="str">
        <f t="shared" si="252"/>
        <v>5</v>
      </c>
      <c r="K3229" t="str">
        <f t="shared" si="253"/>
        <v>0</v>
      </c>
      <c r="L3229" t="str">
        <f t="shared" si="254"/>
        <v>Villarreal CF</v>
      </c>
      <c r="M3229" t="str">
        <f>IF(COUNTIF($A$2:A3229,A3229)=1,
     VLOOKUP(A3229,Season_Winners!A:B,2,FALSE),
     "")</f>
        <v/>
      </c>
    </row>
    <row r="3230" spans="1:13" hidden="1" x14ac:dyDescent="0.3">
      <c r="A3230" t="s">
        <v>1138</v>
      </c>
      <c r="B3230">
        <v>19</v>
      </c>
      <c r="C3230" t="s">
        <v>1209</v>
      </c>
      <c r="D3230" t="str">
        <f t="shared" si="250"/>
        <v>03.01.2022</v>
      </c>
      <c r="E3230" s="1">
        <v>0.875</v>
      </c>
      <c r="F3230" t="s">
        <v>23</v>
      </c>
      <c r="G3230" t="s">
        <v>15</v>
      </c>
      <c r="H3230" s="2">
        <v>46082</v>
      </c>
      <c r="I3230" s="3" t="str">
        <f t="shared" si="251"/>
        <v/>
      </c>
      <c r="J3230" t="str">
        <f t="shared" si="252"/>
        <v/>
      </c>
      <c r="K3230" t="str">
        <f t="shared" si="253"/>
        <v/>
      </c>
      <c r="L3230" t="str">
        <f t="shared" si="254"/>
        <v/>
      </c>
      <c r="M3230" t="str">
        <f>IF(COUNTIF($A$2:A3230,A3230)=1,
     VLOOKUP(A3230,Season_Winners!A:B,2,FALSE),
     "")</f>
        <v/>
      </c>
    </row>
    <row r="3231" spans="1:13" x14ac:dyDescent="0.3">
      <c r="A3231" t="s">
        <v>1138</v>
      </c>
      <c r="B3231">
        <v>19</v>
      </c>
      <c r="C3231" t="s">
        <v>1209</v>
      </c>
      <c r="D3231" t="str">
        <f t="shared" si="250"/>
        <v>03.01.2022</v>
      </c>
      <c r="E3231" s="1">
        <v>0.88541666666666663</v>
      </c>
      <c r="F3231" t="s">
        <v>1000</v>
      </c>
      <c r="G3231" t="s">
        <v>27</v>
      </c>
      <c r="H3231" t="s">
        <v>42</v>
      </c>
      <c r="I3231" t="str">
        <f t="shared" si="251"/>
        <v>0-1</v>
      </c>
      <c r="J3231" t="str">
        <f t="shared" si="252"/>
        <v>0</v>
      </c>
      <c r="K3231" t="str">
        <f t="shared" si="253"/>
        <v>1</v>
      </c>
      <c r="L3231" t="str">
        <f t="shared" si="254"/>
        <v>Sevilla FC</v>
      </c>
      <c r="M3231" t="str">
        <f>IF(COUNTIF($A$2:A3231,A3231)=1,
     VLOOKUP(A3231,Season_Winners!A:B,2,FALSE),
     "")</f>
        <v/>
      </c>
    </row>
    <row r="3232" spans="1:13" x14ac:dyDescent="0.3">
      <c r="A3232" t="s">
        <v>1138</v>
      </c>
      <c r="B3232">
        <v>20</v>
      </c>
      <c r="C3232" t="s">
        <v>1210</v>
      </c>
      <c r="D3232" t="str">
        <f t="shared" si="250"/>
        <v>08.01.2022</v>
      </c>
      <c r="E3232" s="1">
        <v>0.58333333333333337</v>
      </c>
      <c r="F3232" t="s">
        <v>21</v>
      </c>
      <c r="G3232" t="s">
        <v>881</v>
      </c>
      <c r="H3232" t="s">
        <v>12</v>
      </c>
      <c r="I3232" t="str">
        <f t="shared" si="251"/>
        <v>2-0</v>
      </c>
      <c r="J3232" t="str">
        <f t="shared" si="252"/>
        <v>2</v>
      </c>
      <c r="K3232" t="str">
        <f t="shared" si="253"/>
        <v>0</v>
      </c>
      <c r="L3232" t="str">
        <f t="shared" si="254"/>
        <v>Levante UD</v>
      </c>
      <c r="M3232" t="str">
        <f>IF(COUNTIF($A$2:A3232,A3232)=1,
     VLOOKUP(A3232,Season_Winners!A:B,2,FALSE),
     "")</f>
        <v/>
      </c>
    </row>
    <row r="3233" spans="1:13" x14ac:dyDescent="0.3">
      <c r="A3233" t="s">
        <v>1138</v>
      </c>
      <c r="B3233">
        <v>20</v>
      </c>
      <c r="C3233" t="s">
        <v>1210</v>
      </c>
      <c r="D3233" t="str">
        <f t="shared" si="250"/>
        <v>08.01.2022</v>
      </c>
      <c r="E3233" s="1">
        <v>0.67708333333333337</v>
      </c>
      <c r="F3233" t="s">
        <v>10</v>
      </c>
      <c r="G3233" t="s">
        <v>35</v>
      </c>
      <c r="H3233" t="s">
        <v>18</v>
      </c>
      <c r="I3233" t="str">
        <f t="shared" si="251"/>
        <v>1-0</v>
      </c>
      <c r="J3233" t="str">
        <f t="shared" si="252"/>
        <v>1</v>
      </c>
      <c r="K3233" t="str">
        <f t="shared" si="253"/>
        <v>0</v>
      </c>
      <c r="L3233" t="str">
        <f t="shared" si="254"/>
        <v>Real Sociedad</v>
      </c>
      <c r="M3233" t="str">
        <f>IF(COUNTIF($A$2:A3233,A3233)=1,
     VLOOKUP(A3233,Season_Winners!A:B,2,FALSE),
     "")</f>
        <v/>
      </c>
    </row>
    <row r="3234" spans="1:13" hidden="1" x14ac:dyDescent="0.3">
      <c r="A3234" t="s">
        <v>1138</v>
      </c>
      <c r="B3234">
        <v>20</v>
      </c>
      <c r="C3234" t="s">
        <v>1210</v>
      </c>
      <c r="D3234" t="str">
        <f t="shared" si="250"/>
        <v>08.01.2022</v>
      </c>
      <c r="E3234" s="1">
        <v>0.77083333333333337</v>
      </c>
      <c r="F3234" t="s">
        <v>24</v>
      </c>
      <c r="G3234" t="s">
        <v>20</v>
      </c>
      <c r="H3234" s="2">
        <v>46023</v>
      </c>
      <c r="I3234" s="3" t="str">
        <f t="shared" si="251"/>
        <v/>
      </c>
      <c r="J3234" t="str">
        <f t="shared" si="252"/>
        <v/>
      </c>
      <c r="K3234" t="str">
        <f t="shared" si="253"/>
        <v/>
      </c>
      <c r="L3234" t="str">
        <f t="shared" si="254"/>
        <v/>
      </c>
      <c r="M3234" t="str">
        <f>IF(COUNTIF($A$2:A3234,A3234)=1,
     VLOOKUP(A3234,Season_Winners!A:B,2,FALSE),
     "")</f>
        <v/>
      </c>
    </row>
    <row r="3235" spans="1:13" hidden="1" x14ac:dyDescent="0.3">
      <c r="A3235" t="s">
        <v>1138</v>
      </c>
      <c r="B3235">
        <v>20</v>
      </c>
      <c r="C3235" t="s">
        <v>1210</v>
      </c>
      <c r="D3235" t="str">
        <f t="shared" si="250"/>
        <v>08.01.2022</v>
      </c>
      <c r="E3235" s="1">
        <v>0.875</v>
      </c>
      <c r="F3235" t="s">
        <v>25</v>
      </c>
      <c r="G3235" t="s">
        <v>16</v>
      </c>
      <c r="H3235" s="2">
        <v>46026</v>
      </c>
      <c r="I3235" s="3" t="str">
        <f t="shared" si="251"/>
        <v/>
      </c>
      <c r="J3235" t="str">
        <f t="shared" si="252"/>
        <v/>
      </c>
      <c r="K3235" t="str">
        <f t="shared" si="253"/>
        <v/>
      </c>
      <c r="L3235" t="str">
        <f t="shared" si="254"/>
        <v/>
      </c>
      <c r="M3235" t="str">
        <f>IF(COUNTIF($A$2:A3235,A3235)=1,
     VLOOKUP(A3235,Season_Winners!A:B,2,FALSE),
     "")</f>
        <v/>
      </c>
    </row>
    <row r="3236" spans="1:13" hidden="1" x14ac:dyDescent="0.3">
      <c r="A3236" t="s">
        <v>1138</v>
      </c>
      <c r="B3236">
        <v>20</v>
      </c>
      <c r="C3236" t="s">
        <v>1211</v>
      </c>
      <c r="D3236" t="str">
        <f t="shared" si="250"/>
        <v>09.01.2022</v>
      </c>
      <c r="E3236" s="1">
        <v>0.58333333333333337</v>
      </c>
      <c r="F3236" t="s">
        <v>30</v>
      </c>
      <c r="G3236" t="s">
        <v>26</v>
      </c>
      <c r="H3236" s="2">
        <v>46023</v>
      </c>
      <c r="I3236" s="3" t="str">
        <f t="shared" si="251"/>
        <v/>
      </c>
      <c r="J3236" t="str">
        <f t="shared" si="252"/>
        <v/>
      </c>
      <c r="K3236" t="str">
        <f t="shared" si="253"/>
        <v/>
      </c>
      <c r="L3236" t="str">
        <f t="shared" si="254"/>
        <v/>
      </c>
      <c r="M3236" t="str">
        <f>IF(COUNTIF($A$2:A3236,A3236)=1,
     VLOOKUP(A3236,Season_Winners!A:B,2,FALSE),
     "")</f>
        <v/>
      </c>
    </row>
    <row r="3237" spans="1:13" x14ac:dyDescent="0.3">
      <c r="A3237" t="s">
        <v>1138</v>
      </c>
      <c r="B3237">
        <v>20</v>
      </c>
      <c r="C3237" t="s">
        <v>1211</v>
      </c>
      <c r="D3237" t="str">
        <f t="shared" si="250"/>
        <v>09.01.2022</v>
      </c>
      <c r="E3237" s="1">
        <v>0.67708333333333337</v>
      </c>
      <c r="F3237" t="s">
        <v>27</v>
      </c>
      <c r="G3237" t="s">
        <v>11</v>
      </c>
      <c r="H3237" t="s">
        <v>18</v>
      </c>
      <c r="I3237" t="str">
        <f t="shared" si="251"/>
        <v>1-0</v>
      </c>
      <c r="J3237" t="str">
        <f t="shared" si="252"/>
        <v>1</v>
      </c>
      <c r="K3237" t="str">
        <f t="shared" si="253"/>
        <v>0</v>
      </c>
      <c r="L3237" t="str">
        <f t="shared" si="254"/>
        <v>Sevilla FC</v>
      </c>
      <c r="M3237" t="str">
        <f>IF(COUNTIF($A$2:A3237,A3237)=1,
     VLOOKUP(A3237,Season_Winners!A:B,2,FALSE),
     "")</f>
        <v/>
      </c>
    </row>
    <row r="3238" spans="1:13" x14ac:dyDescent="0.3">
      <c r="A3238" t="s">
        <v>1138</v>
      </c>
      <c r="B3238">
        <v>20</v>
      </c>
      <c r="C3238" t="s">
        <v>1211</v>
      </c>
      <c r="D3238" t="str">
        <f t="shared" si="250"/>
        <v>09.01.2022</v>
      </c>
      <c r="E3238" s="1">
        <v>0.77083333333333337</v>
      </c>
      <c r="F3238" t="s">
        <v>464</v>
      </c>
      <c r="G3238" t="s">
        <v>15</v>
      </c>
      <c r="H3238" t="s">
        <v>41</v>
      </c>
      <c r="I3238" t="str">
        <f t="shared" si="251"/>
        <v>0-0</v>
      </c>
      <c r="J3238" t="str">
        <f t="shared" si="252"/>
        <v>0</v>
      </c>
      <c r="K3238" t="str">
        <f t="shared" si="253"/>
        <v>0</v>
      </c>
      <c r="L3238" t="str">
        <f t="shared" si="254"/>
        <v>Draw</v>
      </c>
      <c r="M3238" t="str">
        <f>IF(COUNTIF($A$2:A3238,A3238)=1,
     VLOOKUP(A3238,Season_Winners!A:B,2,FALSE),
     "")</f>
        <v/>
      </c>
    </row>
    <row r="3239" spans="1:13" x14ac:dyDescent="0.3">
      <c r="A3239" t="s">
        <v>1138</v>
      </c>
      <c r="B3239">
        <v>20</v>
      </c>
      <c r="C3239" t="s">
        <v>1211</v>
      </c>
      <c r="D3239" t="str">
        <f t="shared" si="250"/>
        <v>09.01.2022</v>
      </c>
      <c r="E3239" s="1">
        <v>0.77083333333333337</v>
      </c>
      <c r="F3239" t="s">
        <v>23</v>
      </c>
      <c r="G3239" t="s">
        <v>1000</v>
      </c>
      <c r="H3239" t="s">
        <v>12</v>
      </c>
      <c r="I3239" t="str">
        <f t="shared" si="251"/>
        <v>2-0</v>
      </c>
      <c r="J3239" t="str">
        <f t="shared" si="252"/>
        <v>2</v>
      </c>
      <c r="K3239" t="str">
        <f t="shared" si="253"/>
        <v>0</v>
      </c>
      <c r="L3239" t="str">
        <f t="shared" si="254"/>
        <v>CA Osasuna</v>
      </c>
      <c r="M3239" t="str">
        <f>IF(COUNTIF($A$2:A3239,A3239)=1,
     VLOOKUP(A3239,Season_Winners!A:B,2,FALSE),
     "")</f>
        <v/>
      </c>
    </row>
    <row r="3240" spans="1:13" hidden="1" x14ac:dyDescent="0.3">
      <c r="A3240" t="s">
        <v>1138</v>
      </c>
      <c r="B3240">
        <v>20</v>
      </c>
      <c r="C3240" t="s">
        <v>1211</v>
      </c>
      <c r="D3240" t="str">
        <f t="shared" si="250"/>
        <v>09.01.2022</v>
      </c>
      <c r="E3240" s="1">
        <v>0.875</v>
      </c>
      <c r="F3240" t="s">
        <v>34</v>
      </c>
      <c r="G3240" t="s">
        <v>28</v>
      </c>
      <c r="H3240" s="2">
        <v>46055</v>
      </c>
      <c r="I3240" s="3" t="str">
        <f t="shared" si="251"/>
        <v/>
      </c>
      <c r="J3240" t="str">
        <f t="shared" si="252"/>
        <v/>
      </c>
      <c r="K3240" t="str">
        <f t="shared" si="253"/>
        <v/>
      </c>
      <c r="L3240" t="str">
        <f t="shared" si="254"/>
        <v/>
      </c>
      <c r="M3240" t="str">
        <f>IF(COUNTIF($A$2:A3240,A3240)=1,
     VLOOKUP(A3240,Season_Winners!A:B,2,FALSE),
     "")</f>
        <v/>
      </c>
    </row>
    <row r="3241" spans="1:13" hidden="1" x14ac:dyDescent="0.3">
      <c r="A3241" t="s">
        <v>1138</v>
      </c>
      <c r="B3241">
        <v>20</v>
      </c>
      <c r="C3241" t="s">
        <v>1212</v>
      </c>
      <c r="D3241" t="str">
        <f t="shared" si="250"/>
        <v>10.01.2022</v>
      </c>
      <c r="E3241" s="1">
        <v>0.875</v>
      </c>
      <c r="F3241" t="s">
        <v>36</v>
      </c>
      <c r="G3241" t="s">
        <v>31</v>
      </c>
      <c r="H3241" s="2">
        <v>46054</v>
      </c>
      <c r="I3241" s="3" t="str">
        <f t="shared" si="251"/>
        <v/>
      </c>
      <c r="J3241" t="str">
        <f t="shared" si="252"/>
        <v/>
      </c>
      <c r="K3241" t="str">
        <f t="shared" si="253"/>
        <v/>
      </c>
      <c r="L3241" t="str">
        <f t="shared" si="254"/>
        <v/>
      </c>
      <c r="M3241" t="str">
        <f>IF(COUNTIF($A$2:A3241,A3241)=1,
     VLOOKUP(A3241,Season_Winners!A:B,2,FALSE),
     "")</f>
        <v/>
      </c>
    </row>
    <row r="3242" spans="1:13" hidden="1" x14ac:dyDescent="0.3">
      <c r="A3242" t="s">
        <v>1138</v>
      </c>
      <c r="B3242">
        <v>21</v>
      </c>
      <c r="C3242" t="s">
        <v>1173</v>
      </c>
      <c r="D3242" t="str">
        <f t="shared" si="250"/>
        <v>22.12.2021</v>
      </c>
      <c r="E3242" s="1">
        <v>0.89583333333333337</v>
      </c>
      <c r="F3242" t="s">
        <v>15</v>
      </c>
      <c r="G3242" t="s">
        <v>25</v>
      </c>
      <c r="H3242" s="2">
        <v>46054</v>
      </c>
      <c r="I3242" s="3" t="str">
        <f t="shared" si="251"/>
        <v/>
      </c>
      <c r="J3242" t="str">
        <f t="shared" si="252"/>
        <v/>
      </c>
      <c r="K3242" t="str">
        <f t="shared" si="253"/>
        <v/>
      </c>
      <c r="L3242" t="str">
        <f t="shared" si="254"/>
        <v/>
      </c>
      <c r="M3242" t="str">
        <f>IF(COUNTIF($A$2:A3242,A3242)=1,
     VLOOKUP(A3242,Season_Winners!A:B,2,FALSE),
     "")</f>
        <v/>
      </c>
    </row>
    <row r="3243" spans="1:13" x14ac:dyDescent="0.3">
      <c r="A3243" t="s">
        <v>1138</v>
      </c>
      <c r="B3243">
        <v>21</v>
      </c>
      <c r="C3243" t="s">
        <v>1213</v>
      </c>
      <c r="D3243" t="str">
        <f t="shared" si="250"/>
        <v>16.01.2022</v>
      </c>
      <c r="E3243" s="1">
        <v>0.58333333333333337</v>
      </c>
      <c r="F3243" t="s">
        <v>31</v>
      </c>
      <c r="G3243" t="s">
        <v>34</v>
      </c>
      <c r="H3243" t="s">
        <v>18</v>
      </c>
      <c r="I3243" t="str">
        <f t="shared" si="251"/>
        <v>1-0</v>
      </c>
      <c r="J3243" t="str">
        <f t="shared" si="252"/>
        <v>1</v>
      </c>
      <c r="K3243" t="str">
        <f t="shared" si="253"/>
        <v>0</v>
      </c>
      <c r="L3243" t="str">
        <f t="shared" si="254"/>
        <v>Elche CF</v>
      </c>
      <c r="M3243" t="str">
        <f>IF(COUNTIF($A$2:A3243,A3243)=1,
     VLOOKUP(A3243,Season_Winners!A:B,2,FALSE),
     "")</f>
        <v/>
      </c>
    </row>
    <row r="3244" spans="1:13" x14ac:dyDescent="0.3">
      <c r="A3244" t="s">
        <v>1138</v>
      </c>
      <c r="B3244">
        <v>21</v>
      </c>
      <c r="C3244" t="s">
        <v>1214</v>
      </c>
      <c r="D3244" t="str">
        <f t="shared" si="250"/>
        <v>18.01.2022</v>
      </c>
      <c r="E3244" s="1">
        <v>0.83333333333333337</v>
      </c>
      <c r="F3244" t="s">
        <v>26</v>
      </c>
      <c r="G3244" t="s">
        <v>464</v>
      </c>
      <c r="H3244" t="s">
        <v>88</v>
      </c>
      <c r="I3244" t="str">
        <f t="shared" si="251"/>
        <v>4-0</v>
      </c>
      <c r="J3244" t="str">
        <f t="shared" si="252"/>
        <v>4</v>
      </c>
      <c r="K3244" t="str">
        <f t="shared" si="253"/>
        <v>0</v>
      </c>
      <c r="L3244" t="str">
        <f t="shared" si="254"/>
        <v>Real Betis</v>
      </c>
      <c r="M3244" t="str">
        <f>IF(COUNTIF($A$2:A3244,A3244)=1,
     VLOOKUP(A3244,Season_Winners!A:B,2,FALSE),
     "")</f>
        <v/>
      </c>
    </row>
    <row r="3245" spans="1:13" hidden="1" x14ac:dyDescent="0.3">
      <c r="A3245" t="s">
        <v>1138</v>
      </c>
      <c r="B3245">
        <v>21</v>
      </c>
      <c r="C3245" t="s">
        <v>1214</v>
      </c>
      <c r="D3245" t="str">
        <f t="shared" si="250"/>
        <v>18.01.2022</v>
      </c>
      <c r="E3245" s="1">
        <v>0.89583333333333337</v>
      </c>
      <c r="F3245" t="s">
        <v>1000</v>
      </c>
      <c r="G3245" t="s">
        <v>36</v>
      </c>
      <c r="H3245" s="2">
        <v>46055</v>
      </c>
      <c r="I3245" s="3" t="str">
        <f t="shared" si="251"/>
        <v/>
      </c>
      <c r="J3245" t="str">
        <f t="shared" si="252"/>
        <v/>
      </c>
      <c r="K3245" t="str">
        <f t="shared" si="253"/>
        <v/>
      </c>
      <c r="L3245" t="str">
        <f t="shared" si="254"/>
        <v/>
      </c>
      <c r="M3245" t="str">
        <f>IF(COUNTIF($A$2:A3245,A3245)=1,
     VLOOKUP(A3245,Season_Winners!A:B,2,FALSE),
     "")</f>
        <v/>
      </c>
    </row>
    <row r="3246" spans="1:13" x14ac:dyDescent="0.3">
      <c r="A3246" t="s">
        <v>1138</v>
      </c>
      <c r="B3246">
        <v>21</v>
      </c>
      <c r="C3246" t="s">
        <v>1215</v>
      </c>
      <c r="D3246" t="str">
        <f t="shared" si="250"/>
        <v>19.01.2022</v>
      </c>
      <c r="E3246" s="1">
        <v>0.79166666666666663</v>
      </c>
      <c r="F3246" t="s">
        <v>35</v>
      </c>
      <c r="G3246" t="s">
        <v>23</v>
      </c>
      <c r="H3246" t="s">
        <v>12</v>
      </c>
      <c r="I3246" t="str">
        <f t="shared" si="251"/>
        <v>2-0</v>
      </c>
      <c r="J3246" t="str">
        <f t="shared" si="252"/>
        <v>2</v>
      </c>
      <c r="K3246" t="str">
        <f t="shared" si="253"/>
        <v>0</v>
      </c>
      <c r="L3246" t="str">
        <f t="shared" si="254"/>
        <v>RC Celta</v>
      </c>
      <c r="M3246" t="str">
        <f>IF(COUNTIF($A$2:A3246,A3246)=1,
     VLOOKUP(A3246,Season_Winners!A:B,2,FALSE),
     "")</f>
        <v/>
      </c>
    </row>
    <row r="3247" spans="1:13" hidden="1" x14ac:dyDescent="0.3">
      <c r="A3247" t="s">
        <v>1138</v>
      </c>
      <c r="B3247">
        <v>21</v>
      </c>
      <c r="C3247" t="s">
        <v>1215</v>
      </c>
      <c r="D3247" t="str">
        <f t="shared" si="250"/>
        <v>19.01.2022</v>
      </c>
      <c r="E3247" s="1">
        <v>0.89583333333333337</v>
      </c>
      <c r="F3247" t="s">
        <v>16</v>
      </c>
      <c r="G3247" t="s">
        <v>27</v>
      </c>
      <c r="H3247" s="2">
        <v>46023</v>
      </c>
      <c r="I3247" s="3" t="str">
        <f t="shared" si="251"/>
        <v/>
      </c>
      <c r="J3247" t="str">
        <f t="shared" si="252"/>
        <v/>
      </c>
      <c r="K3247" t="str">
        <f t="shared" si="253"/>
        <v/>
      </c>
      <c r="L3247" t="str">
        <f t="shared" si="254"/>
        <v/>
      </c>
      <c r="M3247" t="str">
        <f>IF(COUNTIF($A$2:A3247,A3247)=1,
     VLOOKUP(A3247,Season_Winners!A:B,2,FALSE),
     "")</f>
        <v/>
      </c>
    </row>
    <row r="3248" spans="1:13" hidden="1" x14ac:dyDescent="0.3">
      <c r="A3248" t="s">
        <v>1138</v>
      </c>
      <c r="B3248">
        <v>21</v>
      </c>
      <c r="C3248" t="s">
        <v>1216</v>
      </c>
      <c r="D3248" t="str">
        <f t="shared" si="250"/>
        <v>20.01.2022</v>
      </c>
      <c r="E3248" s="1">
        <v>0.79166666666666663</v>
      </c>
      <c r="F3248" t="s">
        <v>11</v>
      </c>
      <c r="G3248" t="s">
        <v>24</v>
      </c>
      <c r="H3248" s="2">
        <v>46057</v>
      </c>
      <c r="I3248" s="3" t="str">
        <f t="shared" si="251"/>
        <v/>
      </c>
      <c r="J3248" t="str">
        <f t="shared" si="252"/>
        <v/>
      </c>
      <c r="K3248" t="str">
        <f t="shared" si="253"/>
        <v/>
      </c>
      <c r="L3248" t="str">
        <f t="shared" si="254"/>
        <v/>
      </c>
      <c r="M3248" t="str">
        <f>IF(COUNTIF($A$2:A3248,A3248)=1,
     VLOOKUP(A3248,Season_Winners!A:B,2,FALSE),
     "")</f>
        <v/>
      </c>
    </row>
    <row r="3249" spans="1:13" x14ac:dyDescent="0.3">
      <c r="A3249" t="s">
        <v>1138</v>
      </c>
      <c r="B3249">
        <v>21</v>
      </c>
      <c r="C3249" t="s">
        <v>1217</v>
      </c>
      <c r="D3249" t="str">
        <f t="shared" si="250"/>
        <v>16.02.2022</v>
      </c>
      <c r="E3249" s="1">
        <v>0.79166666666666663</v>
      </c>
      <c r="F3249" t="s">
        <v>1425</v>
      </c>
      <c r="G3249" t="s">
        <v>21</v>
      </c>
      <c r="H3249" t="s">
        <v>42</v>
      </c>
      <c r="I3249" t="str">
        <f t="shared" si="251"/>
        <v>0-1</v>
      </c>
      <c r="J3249" t="str">
        <f t="shared" si="252"/>
        <v>0</v>
      </c>
      <c r="K3249" t="str">
        <f t="shared" si="253"/>
        <v>1</v>
      </c>
      <c r="L3249" t="str">
        <f t="shared" si="254"/>
        <v>Levante UD</v>
      </c>
      <c r="M3249" t="str">
        <f>IF(COUNTIF($A$2:A3249,A3249)=1,
     VLOOKUP(A3249,Season_Winners!A:B,2,FALSE),
     "")</f>
        <v/>
      </c>
    </row>
    <row r="3250" spans="1:13" x14ac:dyDescent="0.3">
      <c r="A3250" t="s">
        <v>1138</v>
      </c>
      <c r="B3250">
        <v>21</v>
      </c>
      <c r="C3250" t="s">
        <v>1218</v>
      </c>
      <c r="D3250" t="str">
        <f t="shared" si="250"/>
        <v>02.03.2022</v>
      </c>
      <c r="E3250" s="1">
        <v>0.875</v>
      </c>
      <c r="F3250" t="s">
        <v>881</v>
      </c>
      <c r="G3250" t="s">
        <v>10</v>
      </c>
      <c r="H3250" t="s">
        <v>54</v>
      </c>
      <c r="I3250" t="str">
        <f t="shared" si="251"/>
        <v>0-2</v>
      </c>
      <c r="J3250" t="str">
        <f t="shared" si="252"/>
        <v>0</v>
      </c>
      <c r="K3250" t="str">
        <f t="shared" si="253"/>
        <v>2</v>
      </c>
      <c r="L3250" t="str">
        <f t="shared" si="254"/>
        <v>Real Sociedad</v>
      </c>
      <c r="M3250" t="str">
        <f>IF(COUNTIF($A$2:A3250,A3250)=1,
     VLOOKUP(A3250,Season_Winners!A:B,2,FALSE),
     "")</f>
        <v/>
      </c>
    </row>
    <row r="3251" spans="1:13" x14ac:dyDescent="0.3">
      <c r="A3251" t="s">
        <v>1138</v>
      </c>
      <c r="B3251">
        <v>21</v>
      </c>
      <c r="C3251" t="s">
        <v>1219</v>
      </c>
      <c r="D3251" t="str">
        <f t="shared" si="250"/>
        <v>24.04.2022</v>
      </c>
      <c r="E3251" s="1">
        <v>0.875</v>
      </c>
      <c r="F3251" t="s">
        <v>20</v>
      </c>
      <c r="G3251" t="s">
        <v>30</v>
      </c>
      <c r="H3251" t="s">
        <v>42</v>
      </c>
      <c r="I3251" t="str">
        <f t="shared" si="251"/>
        <v>0-1</v>
      </c>
      <c r="J3251" t="str">
        <f t="shared" si="252"/>
        <v>0</v>
      </c>
      <c r="K3251" t="str">
        <f t="shared" si="253"/>
        <v>1</v>
      </c>
      <c r="L3251" t="str">
        <f t="shared" si="254"/>
        <v>Rayo Vallecano</v>
      </c>
      <c r="M3251" t="str">
        <f>IF(COUNTIF($A$2:A3251,A3251)=1,
     VLOOKUP(A3251,Season_Winners!A:B,2,FALSE),
     "")</f>
        <v/>
      </c>
    </row>
    <row r="3252" spans="1:13" hidden="1" x14ac:dyDescent="0.3">
      <c r="A3252" t="s">
        <v>1138</v>
      </c>
      <c r="B3252">
        <v>22</v>
      </c>
      <c r="C3252" t="s">
        <v>1220</v>
      </c>
      <c r="D3252" t="str">
        <f t="shared" si="250"/>
        <v>21.01.2022</v>
      </c>
      <c r="E3252" s="1">
        <v>0.875</v>
      </c>
      <c r="F3252" t="s">
        <v>36</v>
      </c>
      <c r="G3252" t="s">
        <v>26</v>
      </c>
      <c r="H3252" s="2">
        <v>46113</v>
      </c>
      <c r="I3252" s="3" t="str">
        <f t="shared" si="251"/>
        <v/>
      </c>
      <c r="J3252" t="str">
        <f t="shared" si="252"/>
        <v/>
      </c>
      <c r="K3252" t="str">
        <f t="shared" si="253"/>
        <v/>
      </c>
      <c r="L3252" t="str">
        <f t="shared" si="254"/>
        <v/>
      </c>
      <c r="M3252" t="str">
        <f>IF(COUNTIF($A$2:A3252,A3252)=1,
     VLOOKUP(A3252,Season_Winners!A:B,2,FALSE),
     "")</f>
        <v/>
      </c>
    </row>
    <row r="3253" spans="1:13" x14ac:dyDescent="0.3">
      <c r="A3253" t="s">
        <v>1138</v>
      </c>
      <c r="B3253">
        <v>22</v>
      </c>
      <c r="C3253" t="s">
        <v>1221</v>
      </c>
      <c r="D3253" t="str">
        <f t="shared" si="250"/>
        <v>22.01.2022</v>
      </c>
      <c r="E3253" s="1">
        <v>0.58333333333333337</v>
      </c>
      <c r="F3253" t="s">
        <v>21</v>
      </c>
      <c r="G3253" t="s">
        <v>1000</v>
      </c>
      <c r="H3253" t="s">
        <v>54</v>
      </c>
      <c r="I3253" t="str">
        <f t="shared" si="251"/>
        <v>0-2</v>
      </c>
      <c r="J3253" t="str">
        <f t="shared" si="252"/>
        <v>0</v>
      </c>
      <c r="K3253" t="str">
        <f t="shared" si="253"/>
        <v>2</v>
      </c>
      <c r="L3253" t="str">
        <f t="shared" si="254"/>
        <v>CÃ¡diz CF</v>
      </c>
      <c r="M3253" t="str">
        <f>IF(COUNTIF($A$2:A3253,A3253)=1,
     VLOOKUP(A3253,Season_Winners!A:B,2,FALSE),
     "")</f>
        <v/>
      </c>
    </row>
    <row r="3254" spans="1:13" x14ac:dyDescent="0.3">
      <c r="A3254" t="s">
        <v>1138</v>
      </c>
      <c r="B3254">
        <v>22</v>
      </c>
      <c r="C3254" t="s">
        <v>1221</v>
      </c>
      <c r="D3254" t="str">
        <f t="shared" si="250"/>
        <v>22.01.2022</v>
      </c>
      <c r="E3254" s="1">
        <v>0.67708333333333337</v>
      </c>
      <c r="F3254" t="s">
        <v>34</v>
      </c>
      <c r="G3254" t="s">
        <v>881</v>
      </c>
      <c r="H3254" t="s">
        <v>32</v>
      </c>
      <c r="I3254" t="str">
        <f t="shared" si="251"/>
        <v>3-0</v>
      </c>
      <c r="J3254" t="str">
        <f t="shared" si="252"/>
        <v>3</v>
      </c>
      <c r="K3254" t="str">
        <f t="shared" si="253"/>
        <v>0</v>
      </c>
      <c r="L3254" t="str">
        <f t="shared" si="254"/>
        <v>Villarreal CF</v>
      </c>
      <c r="M3254" t="str">
        <f>IF(COUNTIF($A$2:A3254,A3254)=1,
     VLOOKUP(A3254,Season_Winners!A:B,2,FALSE),
     "")</f>
        <v/>
      </c>
    </row>
    <row r="3255" spans="1:13" hidden="1" x14ac:dyDescent="0.3">
      <c r="A3255" t="s">
        <v>1138</v>
      </c>
      <c r="B3255">
        <v>22</v>
      </c>
      <c r="C3255" t="s">
        <v>1221</v>
      </c>
      <c r="D3255" t="str">
        <f t="shared" si="250"/>
        <v>22.01.2022</v>
      </c>
      <c r="E3255" s="1">
        <v>0.77083333333333337</v>
      </c>
      <c r="F3255" t="s">
        <v>27</v>
      </c>
      <c r="G3255" t="s">
        <v>35</v>
      </c>
      <c r="H3255" s="2">
        <v>46055</v>
      </c>
      <c r="I3255" s="3" t="str">
        <f t="shared" si="251"/>
        <v/>
      </c>
      <c r="J3255" t="str">
        <f t="shared" si="252"/>
        <v/>
      </c>
      <c r="K3255" t="str">
        <f t="shared" si="253"/>
        <v/>
      </c>
      <c r="L3255" t="str">
        <f t="shared" si="254"/>
        <v/>
      </c>
      <c r="M3255" t="str">
        <f>IF(COUNTIF($A$2:A3255,A3255)=1,
     VLOOKUP(A3255,Season_Winners!A:B,2,FALSE),
     "")</f>
        <v/>
      </c>
    </row>
    <row r="3256" spans="1:13" hidden="1" x14ac:dyDescent="0.3">
      <c r="A3256" t="s">
        <v>1138</v>
      </c>
      <c r="B3256">
        <v>22</v>
      </c>
      <c r="C3256" t="s">
        <v>1221</v>
      </c>
      <c r="D3256" t="str">
        <f t="shared" si="250"/>
        <v>22.01.2022</v>
      </c>
      <c r="E3256" s="1">
        <v>0.875</v>
      </c>
      <c r="F3256" t="s">
        <v>28</v>
      </c>
      <c r="G3256" t="s">
        <v>16</v>
      </c>
      <c r="H3256" s="2">
        <v>46056</v>
      </c>
      <c r="I3256" s="3" t="str">
        <f t="shared" si="251"/>
        <v/>
      </c>
      <c r="J3256" t="str">
        <f t="shared" si="252"/>
        <v/>
      </c>
      <c r="K3256" t="str">
        <f t="shared" si="253"/>
        <v/>
      </c>
      <c r="L3256" t="str">
        <f t="shared" si="254"/>
        <v/>
      </c>
      <c r="M3256" t="str">
        <f>IF(COUNTIF($A$2:A3256,A3256)=1,
     VLOOKUP(A3256,Season_Winners!A:B,2,FALSE),
     "")</f>
        <v/>
      </c>
    </row>
    <row r="3257" spans="1:13" x14ac:dyDescent="0.3">
      <c r="A3257" t="s">
        <v>1138</v>
      </c>
      <c r="B3257">
        <v>22</v>
      </c>
      <c r="C3257" t="s">
        <v>1222</v>
      </c>
      <c r="D3257" t="str">
        <f t="shared" si="250"/>
        <v>23.01.2022</v>
      </c>
      <c r="E3257" s="1">
        <v>0.58333333333333337</v>
      </c>
      <c r="F3257" t="s">
        <v>24</v>
      </c>
      <c r="G3257" t="s">
        <v>23</v>
      </c>
      <c r="H3257" t="s">
        <v>54</v>
      </c>
      <c r="I3257" t="str">
        <f t="shared" si="251"/>
        <v>0-2</v>
      </c>
      <c r="J3257" t="str">
        <f t="shared" si="252"/>
        <v>0</v>
      </c>
      <c r="K3257" t="str">
        <f t="shared" si="253"/>
        <v>2</v>
      </c>
      <c r="L3257" t="str">
        <f t="shared" si="254"/>
        <v>CA Osasuna</v>
      </c>
      <c r="M3257" t="str">
        <f>IF(COUNTIF($A$2:A3257,A3257)=1,
     VLOOKUP(A3257,Season_Winners!A:B,2,FALSE),
     "")</f>
        <v/>
      </c>
    </row>
    <row r="3258" spans="1:13" hidden="1" x14ac:dyDescent="0.3">
      <c r="A3258" t="s">
        <v>1138</v>
      </c>
      <c r="B3258">
        <v>22</v>
      </c>
      <c r="C3258" t="s">
        <v>1222</v>
      </c>
      <c r="D3258" t="str">
        <f t="shared" si="250"/>
        <v>23.01.2022</v>
      </c>
      <c r="E3258" s="1">
        <v>0.67708333333333337</v>
      </c>
      <c r="F3258" t="s">
        <v>25</v>
      </c>
      <c r="G3258" t="s">
        <v>31</v>
      </c>
      <c r="H3258" s="2">
        <v>46055</v>
      </c>
      <c r="I3258" s="3" t="str">
        <f t="shared" si="251"/>
        <v/>
      </c>
      <c r="J3258" t="str">
        <f t="shared" si="252"/>
        <v/>
      </c>
      <c r="K3258" t="str">
        <f t="shared" si="253"/>
        <v/>
      </c>
      <c r="L3258" t="str">
        <f t="shared" si="254"/>
        <v/>
      </c>
      <c r="M3258" t="str">
        <f>IF(COUNTIF($A$2:A3258,A3258)=1,
     VLOOKUP(A3258,Season_Winners!A:B,2,FALSE),
     "")</f>
        <v/>
      </c>
    </row>
    <row r="3259" spans="1:13" x14ac:dyDescent="0.3">
      <c r="A3259" t="s">
        <v>1138</v>
      </c>
      <c r="B3259">
        <v>22</v>
      </c>
      <c r="C3259" t="s">
        <v>1222</v>
      </c>
      <c r="D3259" t="str">
        <f t="shared" si="250"/>
        <v>23.01.2022</v>
      </c>
      <c r="E3259" s="1">
        <v>0.77083333333333337</v>
      </c>
      <c r="F3259" t="s">
        <v>10</v>
      </c>
      <c r="G3259" t="s">
        <v>11</v>
      </c>
      <c r="H3259" t="s">
        <v>41</v>
      </c>
      <c r="I3259" t="str">
        <f t="shared" si="251"/>
        <v>0-0</v>
      </c>
      <c r="J3259" t="str">
        <f t="shared" si="252"/>
        <v>0</v>
      </c>
      <c r="K3259" t="str">
        <f t="shared" si="253"/>
        <v>0</v>
      </c>
      <c r="L3259" t="str">
        <f t="shared" si="254"/>
        <v>Draw</v>
      </c>
      <c r="M3259" t="str">
        <f>IF(COUNTIF($A$2:A3259,A3259)=1,
     VLOOKUP(A3259,Season_Winners!A:B,2,FALSE),
     "")</f>
        <v/>
      </c>
    </row>
    <row r="3260" spans="1:13" x14ac:dyDescent="0.3">
      <c r="A3260" t="s">
        <v>1138</v>
      </c>
      <c r="B3260">
        <v>22</v>
      </c>
      <c r="C3260" t="s">
        <v>1222</v>
      </c>
      <c r="D3260" t="str">
        <f t="shared" si="250"/>
        <v>23.01.2022</v>
      </c>
      <c r="E3260" s="1">
        <v>0.77083333333333337</v>
      </c>
      <c r="F3260" t="s">
        <v>30</v>
      </c>
      <c r="G3260" t="s">
        <v>15</v>
      </c>
      <c r="H3260" t="s">
        <v>42</v>
      </c>
      <c r="I3260" t="str">
        <f t="shared" si="251"/>
        <v>0-1</v>
      </c>
      <c r="J3260" t="str">
        <f t="shared" si="252"/>
        <v>0</v>
      </c>
      <c r="K3260" t="str">
        <f t="shared" si="253"/>
        <v>1</v>
      </c>
      <c r="L3260" t="str">
        <f t="shared" si="254"/>
        <v>Athletic Club</v>
      </c>
      <c r="M3260" t="str">
        <f>IF(COUNTIF($A$2:A3260,A3260)=1,
     VLOOKUP(A3260,Season_Winners!A:B,2,FALSE),
     "")</f>
        <v/>
      </c>
    </row>
    <row r="3261" spans="1:13" x14ac:dyDescent="0.3">
      <c r="A3261" t="s">
        <v>1138</v>
      </c>
      <c r="B3261">
        <v>22</v>
      </c>
      <c r="C3261" t="s">
        <v>1222</v>
      </c>
      <c r="D3261" t="str">
        <f t="shared" si="250"/>
        <v>23.01.2022</v>
      </c>
      <c r="E3261" s="1">
        <v>0.875</v>
      </c>
      <c r="F3261" t="s">
        <v>464</v>
      </c>
      <c r="G3261" t="s">
        <v>20</v>
      </c>
      <c r="H3261" t="s">
        <v>42</v>
      </c>
      <c r="I3261" t="str">
        <f t="shared" si="251"/>
        <v>0-1</v>
      </c>
      <c r="J3261" t="str">
        <f t="shared" si="252"/>
        <v>0</v>
      </c>
      <c r="K3261" t="str">
        <f t="shared" si="253"/>
        <v>1</v>
      </c>
      <c r="L3261" t="str">
        <f t="shared" si="254"/>
        <v>FC Barcelona</v>
      </c>
      <c r="M3261" t="str">
        <f>IF(COUNTIF($A$2:A3261,A3261)=1,
     VLOOKUP(A3261,Season_Winners!A:B,2,FALSE),
     "")</f>
        <v/>
      </c>
    </row>
    <row r="3262" spans="1:13" x14ac:dyDescent="0.3">
      <c r="A3262" t="s">
        <v>1138</v>
      </c>
      <c r="B3262">
        <v>23</v>
      </c>
      <c r="C3262" t="s">
        <v>1223</v>
      </c>
      <c r="D3262" t="str">
        <f t="shared" si="250"/>
        <v>04.02.2022</v>
      </c>
      <c r="E3262" s="1">
        <v>0.875</v>
      </c>
      <c r="F3262" t="s">
        <v>11</v>
      </c>
      <c r="G3262" t="s">
        <v>21</v>
      </c>
      <c r="H3262" t="s">
        <v>32</v>
      </c>
      <c r="I3262" t="str">
        <f t="shared" si="251"/>
        <v>3-0</v>
      </c>
      <c r="J3262" t="str">
        <f t="shared" si="252"/>
        <v>3</v>
      </c>
      <c r="K3262" t="str">
        <f t="shared" si="253"/>
        <v>0</v>
      </c>
      <c r="L3262" t="str">
        <f t="shared" si="254"/>
        <v>Getafe CF</v>
      </c>
      <c r="M3262" t="str">
        <f>IF(COUNTIF($A$2:A3262,A3262)=1,
     VLOOKUP(A3262,Season_Winners!A:B,2,FALSE),
     "")</f>
        <v/>
      </c>
    </row>
    <row r="3263" spans="1:13" hidden="1" x14ac:dyDescent="0.3">
      <c r="A3263" t="s">
        <v>1138</v>
      </c>
      <c r="B3263">
        <v>23</v>
      </c>
      <c r="C3263" t="s">
        <v>1224</v>
      </c>
      <c r="D3263" t="str">
        <f t="shared" si="250"/>
        <v>05.02.2022</v>
      </c>
      <c r="E3263" s="1">
        <v>0.58333333333333337</v>
      </c>
      <c r="F3263" t="s">
        <v>31</v>
      </c>
      <c r="G3263" t="s">
        <v>464</v>
      </c>
      <c r="H3263" s="2">
        <v>46025</v>
      </c>
      <c r="I3263" s="3" t="str">
        <f t="shared" si="251"/>
        <v/>
      </c>
      <c r="J3263" t="str">
        <f t="shared" si="252"/>
        <v/>
      </c>
      <c r="K3263" t="str">
        <f t="shared" si="253"/>
        <v/>
      </c>
      <c r="L3263" t="str">
        <f t="shared" si="254"/>
        <v/>
      </c>
      <c r="M3263" t="str">
        <f>IF(COUNTIF($A$2:A3263,A3263)=1,
     VLOOKUP(A3263,Season_Winners!A:B,2,FALSE),
     "")</f>
        <v/>
      </c>
    </row>
    <row r="3264" spans="1:13" hidden="1" x14ac:dyDescent="0.3">
      <c r="A3264" t="s">
        <v>1138</v>
      </c>
      <c r="B3264">
        <v>23</v>
      </c>
      <c r="C3264" t="s">
        <v>1224</v>
      </c>
      <c r="D3264" t="str">
        <f t="shared" si="250"/>
        <v>05.02.2022</v>
      </c>
      <c r="E3264" s="1">
        <v>0.67708333333333337</v>
      </c>
      <c r="F3264" t="s">
        <v>881</v>
      </c>
      <c r="G3264" t="s">
        <v>1000</v>
      </c>
      <c r="H3264" s="2">
        <v>46024</v>
      </c>
      <c r="I3264" s="3" t="str">
        <f t="shared" si="251"/>
        <v/>
      </c>
      <c r="J3264" t="str">
        <f t="shared" si="252"/>
        <v/>
      </c>
      <c r="K3264" t="str">
        <f t="shared" si="253"/>
        <v/>
      </c>
      <c r="L3264" t="str">
        <f t="shared" si="254"/>
        <v/>
      </c>
      <c r="M3264" t="str">
        <f>IF(COUNTIF($A$2:A3264,A3264)=1,
     VLOOKUP(A3264,Season_Winners!A:B,2,FALSE),
     "")</f>
        <v/>
      </c>
    </row>
    <row r="3265" spans="1:13" x14ac:dyDescent="0.3">
      <c r="A3265" t="s">
        <v>1138</v>
      </c>
      <c r="B3265">
        <v>23</v>
      </c>
      <c r="C3265" t="s">
        <v>1224</v>
      </c>
      <c r="D3265" t="str">
        <f t="shared" si="250"/>
        <v>05.02.2022</v>
      </c>
      <c r="E3265" s="1">
        <v>0.77083333333333337</v>
      </c>
      <c r="F3265" t="s">
        <v>35</v>
      </c>
      <c r="G3265" t="s">
        <v>30</v>
      </c>
      <c r="H3265" t="s">
        <v>12</v>
      </c>
      <c r="I3265" t="str">
        <f t="shared" si="251"/>
        <v>2-0</v>
      </c>
      <c r="J3265" t="str">
        <f t="shared" si="252"/>
        <v>2</v>
      </c>
      <c r="K3265" t="str">
        <f t="shared" si="253"/>
        <v>0</v>
      </c>
      <c r="L3265" t="str">
        <f t="shared" si="254"/>
        <v>RC Celta</v>
      </c>
      <c r="M3265" t="str">
        <f>IF(COUNTIF($A$2:A3265,A3265)=1,
     VLOOKUP(A3265,Season_Winners!A:B,2,FALSE),
     "")</f>
        <v/>
      </c>
    </row>
    <row r="3266" spans="1:13" x14ac:dyDescent="0.3">
      <c r="A3266" t="s">
        <v>1138</v>
      </c>
      <c r="B3266">
        <v>23</v>
      </c>
      <c r="C3266" t="s">
        <v>1224</v>
      </c>
      <c r="D3266" t="str">
        <f t="shared" ref="D3266:D3329" si="255">RIGHT(C3266,10)</f>
        <v>05.02.2022</v>
      </c>
      <c r="E3266" s="1">
        <v>0.875</v>
      </c>
      <c r="F3266" t="s">
        <v>23</v>
      </c>
      <c r="G3266" t="s">
        <v>27</v>
      </c>
      <c r="H3266" t="s">
        <v>41</v>
      </c>
      <c r="I3266" t="str">
        <f t="shared" ref="I3266:I3329" si="256">IF(ISNUMBER(SEARCH("-",H3266)),H3266,"")</f>
        <v>0-0</v>
      </c>
      <c r="J3266" t="str">
        <f t="shared" ref="J3266:J3329" si="257">IF(I3266="","",LEFT(I3266,FIND("-",I3266)-1))</f>
        <v>0</v>
      </c>
      <c r="K3266" t="str">
        <f t="shared" ref="K3266:K3329" si="258">IF(I3266="","",RIGHT(I3266,LEN(I3266)-FIND("-",I3266)))</f>
        <v>0</v>
      </c>
      <c r="L3266" t="str">
        <f t="shared" ref="L3266:L3329" si="259">IF(I3266="","",IF(J3266&gt;K3266,F3266,IF(K3266&gt;J3266,G3266,"Draw")))</f>
        <v>Draw</v>
      </c>
      <c r="M3266" t="str">
        <f>IF(COUNTIF($A$2:A3266,A3266)=1,
     VLOOKUP(A3266,Season_Winners!A:B,2,FALSE),
     "")</f>
        <v/>
      </c>
    </row>
    <row r="3267" spans="1:13" x14ac:dyDescent="0.3">
      <c r="A3267" t="s">
        <v>1138</v>
      </c>
      <c r="B3267">
        <v>23</v>
      </c>
      <c r="C3267" t="s">
        <v>1225</v>
      </c>
      <c r="D3267" t="str">
        <f t="shared" si="255"/>
        <v>06.02.2022</v>
      </c>
      <c r="E3267" s="1">
        <v>0.58333333333333337</v>
      </c>
      <c r="F3267" t="s">
        <v>16</v>
      </c>
      <c r="G3267" t="s">
        <v>10</v>
      </c>
      <c r="H3267" t="s">
        <v>41</v>
      </c>
      <c r="I3267" t="str">
        <f t="shared" si="256"/>
        <v>0-0</v>
      </c>
      <c r="J3267" t="str">
        <f t="shared" si="257"/>
        <v>0</v>
      </c>
      <c r="K3267" t="str">
        <f t="shared" si="258"/>
        <v>0</v>
      </c>
      <c r="L3267" t="str">
        <f t="shared" si="259"/>
        <v>Draw</v>
      </c>
      <c r="M3267" t="str">
        <f>IF(COUNTIF($A$2:A3267,A3267)=1,
     VLOOKUP(A3267,Season_Winners!A:B,2,FALSE),
     "")</f>
        <v/>
      </c>
    </row>
    <row r="3268" spans="1:13" hidden="1" x14ac:dyDescent="0.3">
      <c r="A3268" t="s">
        <v>1138</v>
      </c>
      <c r="B3268">
        <v>23</v>
      </c>
      <c r="C3268" t="s">
        <v>1225</v>
      </c>
      <c r="D3268" t="str">
        <f t="shared" si="255"/>
        <v>06.02.2022</v>
      </c>
      <c r="E3268" s="1">
        <v>0.67708333333333337</v>
      </c>
      <c r="F3268" t="s">
        <v>20</v>
      </c>
      <c r="G3268" t="s">
        <v>28</v>
      </c>
      <c r="H3268" s="2">
        <v>46057</v>
      </c>
      <c r="I3268" s="3" t="str">
        <f t="shared" si="256"/>
        <v/>
      </c>
      <c r="J3268" t="str">
        <f t="shared" si="257"/>
        <v/>
      </c>
      <c r="K3268" t="str">
        <f t="shared" si="258"/>
        <v/>
      </c>
      <c r="L3268" t="str">
        <f t="shared" si="259"/>
        <v/>
      </c>
      <c r="M3268" t="str">
        <f>IF(COUNTIF($A$2:A3268,A3268)=1,
     VLOOKUP(A3268,Season_Winners!A:B,2,FALSE),
     "")</f>
        <v/>
      </c>
    </row>
    <row r="3269" spans="1:13" x14ac:dyDescent="0.3">
      <c r="A3269" t="s">
        <v>1138</v>
      </c>
      <c r="B3269">
        <v>23</v>
      </c>
      <c r="C3269" t="s">
        <v>1225</v>
      </c>
      <c r="D3269" t="str">
        <f t="shared" si="255"/>
        <v>06.02.2022</v>
      </c>
      <c r="E3269" s="1">
        <v>0.77083333333333337</v>
      </c>
      <c r="F3269" t="s">
        <v>26</v>
      </c>
      <c r="G3269" t="s">
        <v>34</v>
      </c>
      <c r="H3269" t="s">
        <v>54</v>
      </c>
      <c r="I3269" t="str">
        <f t="shared" si="256"/>
        <v>0-2</v>
      </c>
      <c r="J3269" t="str">
        <f t="shared" si="257"/>
        <v>0</v>
      </c>
      <c r="K3269" t="str">
        <f t="shared" si="258"/>
        <v>2</v>
      </c>
      <c r="L3269" t="str">
        <f t="shared" si="259"/>
        <v>Villarreal CF</v>
      </c>
      <c r="M3269" t="str">
        <f>IF(COUNTIF($A$2:A3269,A3269)=1,
     VLOOKUP(A3269,Season_Winners!A:B,2,FALSE),
     "")</f>
        <v/>
      </c>
    </row>
    <row r="3270" spans="1:13" x14ac:dyDescent="0.3">
      <c r="A3270" t="s">
        <v>1138</v>
      </c>
      <c r="B3270">
        <v>23</v>
      </c>
      <c r="C3270" t="s">
        <v>1225</v>
      </c>
      <c r="D3270" t="str">
        <f t="shared" si="255"/>
        <v>06.02.2022</v>
      </c>
      <c r="E3270" s="1">
        <v>0.875</v>
      </c>
      <c r="F3270" t="s">
        <v>25</v>
      </c>
      <c r="G3270" t="s">
        <v>24</v>
      </c>
      <c r="H3270" t="s">
        <v>18</v>
      </c>
      <c r="I3270" t="str">
        <f t="shared" si="256"/>
        <v>1-0</v>
      </c>
      <c r="J3270" t="str">
        <f t="shared" si="257"/>
        <v>1</v>
      </c>
      <c r="K3270" t="str">
        <f t="shared" si="258"/>
        <v>0</v>
      </c>
      <c r="L3270" t="str">
        <f t="shared" si="259"/>
        <v>Real Madrid</v>
      </c>
      <c r="M3270" t="str">
        <f>IF(COUNTIF($A$2:A3270,A3270)=1,
     VLOOKUP(A3270,Season_Winners!A:B,2,FALSE),
     "")</f>
        <v/>
      </c>
    </row>
    <row r="3271" spans="1:13" hidden="1" x14ac:dyDescent="0.3">
      <c r="A3271" t="s">
        <v>1138</v>
      </c>
      <c r="B3271">
        <v>23</v>
      </c>
      <c r="C3271" t="s">
        <v>1226</v>
      </c>
      <c r="D3271" t="str">
        <f t="shared" si="255"/>
        <v>07.02.2022</v>
      </c>
      <c r="E3271" s="1">
        <v>0.875</v>
      </c>
      <c r="F3271" t="s">
        <v>15</v>
      </c>
      <c r="G3271" t="s">
        <v>36</v>
      </c>
      <c r="H3271" s="2">
        <v>46024</v>
      </c>
      <c r="I3271" s="3" t="str">
        <f t="shared" si="256"/>
        <v/>
      </c>
      <c r="J3271" t="str">
        <f t="shared" si="257"/>
        <v/>
      </c>
      <c r="K3271" t="str">
        <f t="shared" si="258"/>
        <v/>
      </c>
      <c r="L3271" t="str">
        <f t="shared" si="259"/>
        <v/>
      </c>
      <c r="M3271" t="str">
        <f>IF(COUNTIF($A$2:A3271,A3271)=1,
     VLOOKUP(A3271,Season_Winners!A:B,2,FALSE),
     "")</f>
        <v/>
      </c>
    </row>
    <row r="3272" spans="1:13" x14ac:dyDescent="0.3">
      <c r="A3272" t="s">
        <v>1138</v>
      </c>
      <c r="B3272">
        <v>24</v>
      </c>
      <c r="C3272" t="s">
        <v>1227</v>
      </c>
      <c r="D3272" t="str">
        <f t="shared" si="255"/>
        <v>11.02.2022</v>
      </c>
      <c r="E3272" s="1">
        <v>0.875</v>
      </c>
      <c r="F3272" t="s">
        <v>27</v>
      </c>
      <c r="G3272" t="s">
        <v>31</v>
      </c>
      <c r="H3272" t="s">
        <v>12</v>
      </c>
      <c r="I3272" t="str">
        <f t="shared" si="256"/>
        <v>2-0</v>
      </c>
      <c r="J3272" t="str">
        <f t="shared" si="257"/>
        <v>2</v>
      </c>
      <c r="K3272" t="str">
        <f t="shared" si="258"/>
        <v>0</v>
      </c>
      <c r="L3272" t="str">
        <f t="shared" si="259"/>
        <v>Sevilla FC</v>
      </c>
      <c r="M3272" t="str">
        <f>IF(COUNTIF($A$2:A3272,A3272)=1,
     VLOOKUP(A3272,Season_Winners!A:B,2,FALSE),
     "")</f>
        <v/>
      </c>
    </row>
    <row r="3273" spans="1:13" x14ac:dyDescent="0.3">
      <c r="A3273" t="s">
        <v>1138</v>
      </c>
      <c r="B3273">
        <v>24</v>
      </c>
      <c r="C3273" t="s">
        <v>1228</v>
      </c>
      <c r="D3273" t="str">
        <f t="shared" si="255"/>
        <v>12.02.2022</v>
      </c>
      <c r="E3273" s="1">
        <v>0.58333333333333337</v>
      </c>
      <c r="F3273" t="s">
        <v>1000</v>
      </c>
      <c r="G3273" t="s">
        <v>35</v>
      </c>
      <c r="H3273" t="s">
        <v>41</v>
      </c>
      <c r="I3273" t="str">
        <f t="shared" si="256"/>
        <v>0-0</v>
      </c>
      <c r="J3273" t="str">
        <f t="shared" si="257"/>
        <v>0</v>
      </c>
      <c r="K3273" t="str">
        <f t="shared" si="258"/>
        <v>0</v>
      </c>
      <c r="L3273" t="str">
        <f t="shared" si="259"/>
        <v>Draw</v>
      </c>
      <c r="M3273" t="str">
        <f>IF(COUNTIF($A$2:A3273,A3273)=1,
     VLOOKUP(A3273,Season_Winners!A:B,2,FALSE),
     "")</f>
        <v/>
      </c>
    </row>
    <row r="3274" spans="1:13" x14ac:dyDescent="0.3">
      <c r="A3274" t="s">
        <v>1138</v>
      </c>
      <c r="B3274">
        <v>24</v>
      </c>
      <c r="C3274" t="s">
        <v>1228</v>
      </c>
      <c r="D3274" t="str">
        <f t="shared" si="255"/>
        <v>12.02.2022</v>
      </c>
      <c r="E3274" s="1">
        <v>0.67708333333333337</v>
      </c>
      <c r="F3274" t="s">
        <v>34</v>
      </c>
      <c r="G3274" t="s">
        <v>25</v>
      </c>
      <c r="H3274" t="s">
        <v>41</v>
      </c>
      <c r="I3274" t="str">
        <f t="shared" si="256"/>
        <v>0-0</v>
      </c>
      <c r="J3274" t="str">
        <f t="shared" si="257"/>
        <v>0</v>
      </c>
      <c r="K3274" t="str">
        <f t="shared" si="258"/>
        <v>0</v>
      </c>
      <c r="L3274" t="str">
        <f t="shared" si="259"/>
        <v>Draw</v>
      </c>
      <c r="M3274" t="str">
        <f>IF(COUNTIF($A$2:A3274,A3274)=1,
     VLOOKUP(A3274,Season_Winners!A:B,2,FALSE),
     "")</f>
        <v/>
      </c>
    </row>
    <row r="3275" spans="1:13" x14ac:dyDescent="0.3">
      <c r="A3275" t="s">
        <v>1138</v>
      </c>
      <c r="B3275">
        <v>24</v>
      </c>
      <c r="C3275" t="s">
        <v>1228</v>
      </c>
      <c r="D3275" t="str">
        <f t="shared" si="255"/>
        <v>12.02.2022</v>
      </c>
      <c r="E3275" s="1">
        <v>0.77083333333333337</v>
      </c>
      <c r="F3275" t="s">
        <v>30</v>
      </c>
      <c r="G3275" t="s">
        <v>23</v>
      </c>
      <c r="H3275" t="s">
        <v>46</v>
      </c>
      <c r="I3275" t="str">
        <f t="shared" si="256"/>
        <v>0-3</v>
      </c>
      <c r="J3275" t="str">
        <f t="shared" si="257"/>
        <v>0</v>
      </c>
      <c r="K3275" t="str">
        <f t="shared" si="258"/>
        <v>3</v>
      </c>
      <c r="L3275" t="str">
        <f t="shared" si="259"/>
        <v>CA Osasuna</v>
      </c>
      <c r="M3275" t="str">
        <f>IF(COUNTIF($A$2:A3275,A3275)=1,
     VLOOKUP(A3275,Season_Winners!A:B,2,FALSE),
     "")</f>
        <v/>
      </c>
    </row>
    <row r="3276" spans="1:13" hidden="1" x14ac:dyDescent="0.3">
      <c r="A3276" t="s">
        <v>1138</v>
      </c>
      <c r="B3276">
        <v>24</v>
      </c>
      <c r="C3276" t="s">
        <v>1228</v>
      </c>
      <c r="D3276" t="str">
        <f t="shared" si="255"/>
        <v>12.02.2022</v>
      </c>
      <c r="E3276" s="1">
        <v>0.875</v>
      </c>
      <c r="F3276" t="s">
        <v>28</v>
      </c>
      <c r="G3276" t="s">
        <v>11</v>
      </c>
      <c r="H3276" s="2">
        <v>46085</v>
      </c>
      <c r="I3276" s="3" t="str">
        <f t="shared" si="256"/>
        <v/>
      </c>
      <c r="J3276" t="str">
        <f t="shared" si="257"/>
        <v/>
      </c>
      <c r="K3276" t="str">
        <f t="shared" si="258"/>
        <v/>
      </c>
      <c r="L3276" t="str">
        <f t="shared" si="259"/>
        <v/>
      </c>
      <c r="M3276" t="str">
        <f>IF(COUNTIF($A$2:A3276,A3276)=1,
     VLOOKUP(A3276,Season_Winners!A:B,2,FALSE),
     "")</f>
        <v/>
      </c>
    </row>
    <row r="3277" spans="1:13" hidden="1" x14ac:dyDescent="0.3">
      <c r="A3277" t="s">
        <v>1138</v>
      </c>
      <c r="B3277">
        <v>24</v>
      </c>
      <c r="C3277" t="s">
        <v>1229</v>
      </c>
      <c r="D3277" t="str">
        <f t="shared" si="255"/>
        <v>13.02.2022</v>
      </c>
      <c r="E3277" s="1">
        <v>0.58333333333333337</v>
      </c>
      <c r="F3277" t="s">
        <v>464</v>
      </c>
      <c r="G3277" t="s">
        <v>16</v>
      </c>
      <c r="H3277" s="2">
        <v>46024</v>
      </c>
      <c r="I3277" s="3" t="str">
        <f t="shared" si="256"/>
        <v/>
      </c>
      <c r="J3277" t="str">
        <f t="shared" si="257"/>
        <v/>
      </c>
      <c r="K3277" t="str">
        <f t="shared" si="258"/>
        <v/>
      </c>
      <c r="L3277" t="str">
        <f t="shared" si="259"/>
        <v/>
      </c>
      <c r="M3277" t="str">
        <f>IF(COUNTIF($A$2:A3277,A3277)=1,
     VLOOKUP(A3277,Season_Winners!A:B,2,FALSE),
     "")</f>
        <v/>
      </c>
    </row>
    <row r="3278" spans="1:13" hidden="1" x14ac:dyDescent="0.3">
      <c r="A3278" t="s">
        <v>1138</v>
      </c>
      <c r="B3278">
        <v>24</v>
      </c>
      <c r="C3278" t="s">
        <v>1229</v>
      </c>
      <c r="D3278" t="str">
        <f t="shared" si="255"/>
        <v>13.02.2022</v>
      </c>
      <c r="E3278" s="1">
        <v>0.67708333333333337</v>
      </c>
      <c r="F3278" t="s">
        <v>21</v>
      </c>
      <c r="G3278" t="s">
        <v>26</v>
      </c>
      <c r="H3278" s="2">
        <v>46114</v>
      </c>
      <c r="I3278" s="3" t="str">
        <f t="shared" si="256"/>
        <v/>
      </c>
      <c r="J3278" t="str">
        <f t="shared" si="257"/>
        <v/>
      </c>
      <c r="K3278" t="str">
        <f t="shared" si="258"/>
        <v/>
      </c>
      <c r="L3278" t="str">
        <f t="shared" si="259"/>
        <v/>
      </c>
      <c r="M3278" t="str">
        <f>IF(COUNTIF($A$2:A3278,A3278)=1,
     VLOOKUP(A3278,Season_Winners!A:B,2,FALSE),
     "")</f>
        <v/>
      </c>
    </row>
    <row r="3279" spans="1:13" x14ac:dyDescent="0.3">
      <c r="A3279" t="s">
        <v>1138</v>
      </c>
      <c r="B3279">
        <v>24</v>
      </c>
      <c r="C3279" t="s">
        <v>1229</v>
      </c>
      <c r="D3279" t="str">
        <f t="shared" si="255"/>
        <v>13.02.2022</v>
      </c>
      <c r="E3279" s="1">
        <v>0.77083333333333337</v>
      </c>
      <c r="F3279" t="s">
        <v>10</v>
      </c>
      <c r="G3279" t="s">
        <v>24</v>
      </c>
      <c r="H3279" t="s">
        <v>12</v>
      </c>
      <c r="I3279" t="str">
        <f t="shared" si="256"/>
        <v>2-0</v>
      </c>
      <c r="J3279" t="str">
        <f t="shared" si="257"/>
        <v>2</v>
      </c>
      <c r="K3279" t="str">
        <f t="shared" si="258"/>
        <v>0</v>
      </c>
      <c r="L3279" t="str">
        <f t="shared" si="259"/>
        <v>Real Sociedad</v>
      </c>
      <c r="M3279" t="str">
        <f>IF(COUNTIF($A$2:A3279,A3279)=1,
     VLOOKUP(A3279,Season_Winners!A:B,2,FALSE),
     "")</f>
        <v/>
      </c>
    </row>
    <row r="3280" spans="1:13" hidden="1" x14ac:dyDescent="0.3">
      <c r="A3280" t="s">
        <v>1138</v>
      </c>
      <c r="B3280">
        <v>24</v>
      </c>
      <c r="C3280" t="s">
        <v>1229</v>
      </c>
      <c r="D3280" t="str">
        <f t="shared" si="255"/>
        <v>13.02.2022</v>
      </c>
      <c r="E3280" s="1">
        <v>0.875</v>
      </c>
      <c r="F3280" t="s">
        <v>36</v>
      </c>
      <c r="G3280" t="s">
        <v>20</v>
      </c>
      <c r="H3280" s="2">
        <v>46055</v>
      </c>
      <c r="I3280" s="3" t="str">
        <f t="shared" si="256"/>
        <v/>
      </c>
      <c r="J3280" t="str">
        <f t="shared" si="257"/>
        <v/>
      </c>
      <c r="K3280" t="str">
        <f t="shared" si="258"/>
        <v/>
      </c>
      <c r="L3280" t="str">
        <f t="shared" si="259"/>
        <v/>
      </c>
      <c r="M3280" t="str">
        <f>IF(COUNTIF($A$2:A3280,A3280)=1,
     VLOOKUP(A3280,Season_Winners!A:B,2,FALSE),
     "")</f>
        <v/>
      </c>
    </row>
    <row r="3281" spans="1:13" hidden="1" x14ac:dyDescent="0.3">
      <c r="A3281" t="s">
        <v>1138</v>
      </c>
      <c r="B3281">
        <v>24</v>
      </c>
      <c r="C3281" t="s">
        <v>1230</v>
      </c>
      <c r="D3281" t="str">
        <f t="shared" si="255"/>
        <v>14.02.2022</v>
      </c>
      <c r="E3281" s="1">
        <v>0.875</v>
      </c>
      <c r="F3281" t="s">
        <v>881</v>
      </c>
      <c r="G3281" t="s">
        <v>15</v>
      </c>
      <c r="H3281" s="2">
        <v>46056</v>
      </c>
      <c r="I3281" s="3" t="str">
        <f t="shared" si="256"/>
        <v/>
      </c>
      <c r="J3281" t="str">
        <f t="shared" si="257"/>
        <v/>
      </c>
      <c r="K3281" t="str">
        <f t="shared" si="258"/>
        <v/>
      </c>
      <c r="L3281" t="str">
        <f t="shared" si="259"/>
        <v/>
      </c>
      <c r="M3281" t="str">
        <f>IF(COUNTIF($A$2:A3281,A3281)=1,
     VLOOKUP(A3281,Season_Winners!A:B,2,FALSE),
     "")</f>
        <v/>
      </c>
    </row>
    <row r="3282" spans="1:13" hidden="1" x14ac:dyDescent="0.3">
      <c r="A3282" t="s">
        <v>1138</v>
      </c>
      <c r="B3282">
        <v>25</v>
      </c>
      <c r="C3282" t="s">
        <v>1231</v>
      </c>
      <c r="D3282" t="str">
        <f t="shared" si="255"/>
        <v>18.02.2022</v>
      </c>
      <c r="E3282" s="1">
        <v>0.875</v>
      </c>
      <c r="F3282" t="s">
        <v>31</v>
      </c>
      <c r="G3282" t="s">
        <v>30</v>
      </c>
      <c r="H3282" s="2">
        <v>46024</v>
      </c>
      <c r="I3282" s="3" t="str">
        <f t="shared" si="256"/>
        <v/>
      </c>
      <c r="J3282" t="str">
        <f t="shared" si="257"/>
        <v/>
      </c>
      <c r="K3282" t="str">
        <f t="shared" si="258"/>
        <v/>
      </c>
      <c r="L3282" t="str">
        <f t="shared" si="259"/>
        <v/>
      </c>
      <c r="M3282" t="str">
        <f>IF(COUNTIF($A$2:A3282,A3282)=1,
     VLOOKUP(A3282,Season_Winners!A:B,2,FALSE),
     "")</f>
        <v/>
      </c>
    </row>
    <row r="3283" spans="1:13" hidden="1" x14ac:dyDescent="0.3">
      <c r="A3283" t="s">
        <v>1138</v>
      </c>
      <c r="B3283">
        <v>25</v>
      </c>
      <c r="C3283" t="s">
        <v>1232</v>
      </c>
      <c r="D3283" t="str">
        <f t="shared" si="255"/>
        <v>19.02.2022</v>
      </c>
      <c r="E3283" s="1">
        <v>0.58333333333333337</v>
      </c>
      <c r="F3283" t="s">
        <v>24</v>
      </c>
      <c r="G3283" t="s">
        <v>34</v>
      </c>
      <c r="H3283" s="2">
        <v>46113</v>
      </c>
      <c r="I3283" s="3" t="str">
        <f t="shared" si="256"/>
        <v/>
      </c>
      <c r="J3283" t="str">
        <f t="shared" si="257"/>
        <v/>
      </c>
      <c r="K3283" t="str">
        <f t="shared" si="258"/>
        <v/>
      </c>
      <c r="L3283" t="str">
        <f t="shared" si="259"/>
        <v/>
      </c>
      <c r="M3283" t="str">
        <f>IF(COUNTIF($A$2:A3283,A3283)=1,
     VLOOKUP(A3283,Season_Winners!A:B,2,FALSE),
     "")</f>
        <v/>
      </c>
    </row>
    <row r="3284" spans="1:13" x14ac:dyDescent="0.3">
      <c r="A3284" t="s">
        <v>1138</v>
      </c>
      <c r="B3284">
        <v>25</v>
      </c>
      <c r="C3284" t="s">
        <v>1232</v>
      </c>
      <c r="D3284" t="str">
        <f t="shared" si="255"/>
        <v>19.02.2022</v>
      </c>
      <c r="E3284" s="1">
        <v>0.67708333333333337</v>
      </c>
      <c r="F3284" t="s">
        <v>23</v>
      </c>
      <c r="G3284" t="s">
        <v>1425</v>
      </c>
      <c r="H3284" t="s">
        <v>46</v>
      </c>
      <c r="I3284" t="str">
        <f t="shared" si="256"/>
        <v>0-3</v>
      </c>
      <c r="J3284" t="str">
        <f t="shared" si="257"/>
        <v>0</v>
      </c>
      <c r="K3284" t="str">
        <f t="shared" si="258"/>
        <v>3</v>
      </c>
      <c r="L3284" t="str">
        <f t="shared" si="259"/>
        <v>Atlético de Madrid</v>
      </c>
      <c r="M3284" t="str">
        <f>IF(COUNTIF($A$2:A3284,A3284)=1,
     VLOOKUP(A3284,Season_Winners!A:B,2,FALSE),
     "")</f>
        <v/>
      </c>
    </row>
    <row r="3285" spans="1:13" hidden="1" x14ac:dyDescent="0.3">
      <c r="A3285" t="s">
        <v>1138</v>
      </c>
      <c r="B3285">
        <v>25</v>
      </c>
      <c r="C3285" t="s">
        <v>1232</v>
      </c>
      <c r="D3285" t="str">
        <f t="shared" si="255"/>
        <v>19.02.2022</v>
      </c>
      <c r="E3285" s="1">
        <v>0.77083333333333337</v>
      </c>
      <c r="F3285" t="s">
        <v>1000</v>
      </c>
      <c r="G3285" t="s">
        <v>11</v>
      </c>
      <c r="H3285" s="2">
        <v>46023</v>
      </c>
      <c r="I3285" s="3" t="str">
        <f t="shared" si="256"/>
        <v/>
      </c>
      <c r="J3285" t="str">
        <f t="shared" si="257"/>
        <v/>
      </c>
      <c r="K3285" t="str">
        <f t="shared" si="258"/>
        <v/>
      </c>
      <c r="L3285" t="str">
        <f t="shared" si="259"/>
        <v/>
      </c>
      <c r="M3285" t="str">
        <f>IF(COUNTIF($A$2:A3285,A3285)=1,
     VLOOKUP(A3285,Season_Winners!A:B,2,FALSE),
     "")</f>
        <v/>
      </c>
    </row>
    <row r="3286" spans="1:13" x14ac:dyDescent="0.3">
      <c r="A3286" t="s">
        <v>1138</v>
      </c>
      <c r="B3286">
        <v>25</v>
      </c>
      <c r="C3286" t="s">
        <v>1232</v>
      </c>
      <c r="D3286" t="str">
        <f t="shared" si="255"/>
        <v>19.02.2022</v>
      </c>
      <c r="E3286" s="1">
        <v>0.875</v>
      </c>
      <c r="F3286" t="s">
        <v>25</v>
      </c>
      <c r="G3286" t="s">
        <v>464</v>
      </c>
      <c r="H3286" t="s">
        <v>32</v>
      </c>
      <c r="I3286" t="str">
        <f t="shared" si="256"/>
        <v>3-0</v>
      </c>
      <c r="J3286" t="str">
        <f t="shared" si="257"/>
        <v>3</v>
      </c>
      <c r="K3286" t="str">
        <f t="shared" si="258"/>
        <v>0</v>
      </c>
      <c r="L3286" t="str">
        <f t="shared" si="259"/>
        <v>Real Madrid</v>
      </c>
      <c r="M3286" t="str">
        <f>IF(COUNTIF($A$2:A3286,A3286)=1,
     VLOOKUP(A3286,Season_Winners!A:B,2,FALSE),
     "")</f>
        <v/>
      </c>
    </row>
    <row r="3287" spans="1:13" hidden="1" x14ac:dyDescent="0.3">
      <c r="A3287" t="s">
        <v>1138</v>
      </c>
      <c r="B3287">
        <v>25</v>
      </c>
      <c r="C3287" t="s">
        <v>1233</v>
      </c>
      <c r="D3287" t="str">
        <f t="shared" si="255"/>
        <v>20.02.2022</v>
      </c>
      <c r="E3287" s="1">
        <v>0.58333333333333337</v>
      </c>
      <c r="F3287" t="s">
        <v>36</v>
      </c>
      <c r="G3287" t="s">
        <v>27</v>
      </c>
      <c r="H3287" s="2">
        <v>46023</v>
      </c>
      <c r="I3287" s="3" t="str">
        <f t="shared" si="256"/>
        <v/>
      </c>
      <c r="J3287" t="str">
        <f t="shared" si="257"/>
        <v/>
      </c>
      <c r="K3287" t="str">
        <f t="shared" si="258"/>
        <v/>
      </c>
      <c r="L3287" t="str">
        <f t="shared" si="259"/>
        <v/>
      </c>
      <c r="M3287" t="str">
        <f>IF(COUNTIF($A$2:A3287,A3287)=1,
     VLOOKUP(A3287,Season_Winners!A:B,2,FALSE),
     "")</f>
        <v/>
      </c>
    </row>
    <row r="3288" spans="1:13" hidden="1" x14ac:dyDescent="0.3">
      <c r="A3288" t="s">
        <v>1138</v>
      </c>
      <c r="B3288">
        <v>25</v>
      </c>
      <c r="C3288" t="s">
        <v>1233</v>
      </c>
      <c r="D3288" t="str">
        <f t="shared" si="255"/>
        <v>20.02.2022</v>
      </c>
      <c r="E3288" s="1">
        <v>0.67708333333333337</v>
      </c>
      <c r="F3288" t="s">
        <v>16</v>
      </c>
      <c r="G3288" t="s">
        <v>20</v>
      </c>
      <c r="H3288" s="2">
        <v>46113</v>
      </c>
      <c r="I3288" s="3" t="str">
        <f t="shared" si="256"/>
        <v/>
      </c>
      <c r="J3288" t="str">
        <f t="shared" si="257"/>
        <v/>
      </c>
      <c r="K3288" t="str">
        <f t="shared" si="258"/>
        <v/>
      </c>
      <c r="L3288" t="str">
        <f t="shared" si="259"/>
        <v/>
      </c>
      <c r="M3288" t="str">
        <f>IF(COUNTIF($A$2:A3288,A3288)=1,
     VLOOKUP(A3288,Season_Winners!A:B,2,FALSE),
     "")</f>
        <v/>
      </c>
    </row>
    <row r="3289" spans="1:13" hidden="1" x14ac:dyDescent="0.3">
      <c r="A3289" t="s">
        <v>1138</v>
      </c>
      <c r="B3289">
        <v>25</v>
      </c>
      <c r="C3289" t="s">
        <v>1233</v>
      </c>
      <c r="D3289" t="str">
        <f t="shared" si="255"/>
        <v>20.02.2022</v>
      </c>
      <c r="E3289" s="1">
        <v>0.77083333333333337</v>
      </c>
      <c r="F3289" t="s">
        <v>26</v>
      </c>
      <c r="G3289" t="s">
        <v>881</v>
      </c>
      <c r="H3289" s="2">
        <v>46024</v>
      </c>
      <c r="I3289" s="3" t="str">
        <f t="shared" si="256"/>
        <v/>
      </c>
      <c r="J3289" t="str">
        <f t="shared" si="257"/>
        <v/>
      </c>
      <c r="K3289" t="str">
        <f t="shared" si="258"/>
        <v/>
      </c>
      <c r="L3289" t="str">
        <f t="shared" si="259"/>
        <v/>
      </c>
      <c r="M3289" t="str">
        <f>IF(COUNTIF($A$2:A3289,A3289)=1,
     VLOOKUP(A3289,Season_Winners!A:B,2,FALSE),
     "")</f>
        <v/>
      </c>
    </row>
    <row r="3290" spans="1:13" x14ac:dyDescent="0.3">
      <c r="A3290" t="s">
        <v>1138</v>
      </c>
      <c r="B3290">
        <v>25</v>
      </c>
      <c r="C3290" t="s">
        <v>1233</v>
      </c>
      <c r="D3290" t="str">
        <f t="shared" si="255"/>
        <v>20.02.2022</v>
      </c>
      <c r="E3290" s="1">
        <v>0.875</v>
      </c>
      <c r="F3290" t="s">
        <v>15</v>
      </c>
      <c r="G3290" t="s">
        <v>10</v>
      </c>
      <c r="H3290" t="s">
        <v>88</v>
      </c>
      <c r="I3290" t="str">
        <f t="shared" si="256"/>
        <v>4-0</v>
      </c>
      <c r="J3290" t="str">
        <f t="shared" si="257"/>
        <v>4</v>
      </c>
      <c r="K3290" t="str">
        <f t="shared" si="258"/>
        <v>0</v>
      </c>
      <c r="L3290" t="str">
        <f t="shared" si="259"/>
        <v>Athletic Club</v>
      </c>
      <c r="M3290" t="str">
        <f>IF(COUNTIF($A$2:A3290,A3290)=1,
     VLOOKUP(A3290,Season_Winners!A:B,2,FALSE),
     "")</f>
        <v/>
      </c>
    </row>
    <row r="3291" spans="1:13" hidden="1" x14ac:dyDescent="0.3">
      <c r="A3291" t="s">
        <v>1138</v>
      </c>
      <c r="B3291">
        <v>25</v>
      </c>
      <c r="C3291" t="s">
        <v>1234</v>
      </c>
      <c r="D3291" t="str">
        <f t="shared" si="255"/>
        <v>21.02.2022</v>
      </c>
      <c r="E3291" s="1">
        <v>0.875</v>
      </c>
      <c r="F3291" t="s">
        <v>35</v>
      </c>
      <c r="G3291" t="s">
        <v>21</v>
      </c>
      <c r="H3291" s="2">
        <v>46023</v>
      </c>
      <c r="I3291" s="3" t="str">
        <f t="shared" si="256"/>
        <v/>
      </c>
      <c r="J3291" t="str">
        <f t="shared" si="257"/>
        <v/>
      </c>
      <c r="K3291" t="str">
        <f t="shared" si="258"/>
        <v/>
      </c>
      <c r="L3291" t="str">
        <f t="shared" si="259"/>
        <v/>
      </c>
      <c r="M3291" t="str">
        <f>IF(COUNTIF($A$2:A3291,A3291)=1,
     VLOOKUP(A3291,Season_Winners!A:B,2,FALSE),
     "")</f>
        <v/>
      </c>
    </row>
    <row r="3292" spans="1:13" x14ac:dyDescent="0.3">
      <c r="A3292" t="s">
        <v>1138</v>
      </c>
      <c r="B3292">
        <v>26</v>
      </c>
      <c r="C3292" t="s">
        <v>1235</v>
      </c>
      <c r="D3292" t="str">
        <f t="shared" si="255"/>
        <v>25.02.2022</v>
      </c>
      <c r="E3292" s="1">
        <v>0.875</v>
      </c>
      <c r="F3292" t="s">
        <v>21</v>
      </c>
      <c r="G3292" t="s">
        <v>31</v>
      </c>
      <c r="H3292" t="s">
        <v>32</v>
      </c>
      <c r="I3292" t="str">
        <f t="shared" si="256"/>
        <v>3-0</v>
      </c>
      <c r="J3292" t="str">
        <f t="shared" si="257"/>
        <v>3</v>
      </c>
      <c r="K3292" t="str">
        <f t="shared" si="258"/>
        <v>0</v>
      </c>
      <c r="L3292" t="str">
        <f t="shared" si="259"/>
        <v>Levante UD</v>
      </c>
      <c r="M3292" t="str">
        <f>IF(COUNTIF($A$2:A3292,A3292)=1,
     VLOOKUP(A3292,Season_Winners!A:B,2,FALSE),
     "")</f>
        <v/>
      </c>
    </row>
    <row r="3293" spans="1:13" x14ac:dyDescent="0.3">
      <c r="A3293" t="s">
        <v>1138</v>
      </c>
      <c r="B3293">
        <v>26</v>
      </c>
      <c r="C3293" t="s">
        <v>1236</v>
      </c>
      <c r="D3293" t="str">
        <f t="shared" si="255"/>
        <v>26.02.2022</v>
      </c>
      <c r="E3293" s="1">
        <v>0.58333333333333337</v>
      </c>
      <c r="F3293" t="s">
        <v>881</v>
      </c>
      <c r="G3293" t="s">
        <v>16</v>
      </c>
      <c r="H3293" t="s">
        <v>42</v>
      </c>
      <c r="I3293" t="str">
        <f t="shared" si="256"/>
        <v>0-1</v>
      </c>
      <c r="J3293" t="str">
        <f t="shared" si="257"/>
        <v>0</v>
      </c>
      <c r="K3293" t="str">
        <f t="shared" si="258"/>
        <v>1</v>
      </c>
      <c r="L3293" t="str">
        <f t="shared" si="259"/>
        <v>Valencia CF</v>
      </c>
      <c r="M3293" t="str">
        <f>IF(COUNTIF($A$2:A3293,A3293)=1,
     VLOOKUP(A3293,Season_Winners!A:B,2,FALSE),
     "")</f>
        <v/>
      </c>
    </row>
    <row r="3294" spans="1:13" hidden="1" x14ac:dyDescent="0.3">
      <c r="A3294" t="s">
        <v>1138</v>
      </c>
      <c r="B3294">
        <v>26</v>
      </c>
      <c r="C3294" t="s">
        <v>1236</v>
      </c>
      <c r="D3294" t="str">
        <f t="shared" si="255"/>
        <v>26.02.2022</v>
      </c>
      <c r="E3294" s="1">
        <v>0.67708333333333337</v>
      </c>
      <c r="F3294" t="s">
        <v>11</v>
      </c>
      <c r="G3294" t="s">
        <v>464</v>
      </c>
      <c r="H3294" s="2">
        <v>46055</v>
      </c>
      <c r="I3294" s="3" t="str">
        <f t="shared" si="256"/>
        <v/>
      </c>
      <c r="J3294" t="str">
        <f t="shared" si="257"/>
        <v/>
      </c>
      <c r="K3294" t="str">
        <f t="shared" si="258"/>
        <v/>
      </c>
      <c r="L3294" t="str">
        <f t="shared" si="259"/>
        <v/>
      </c>
      <c r="M3294" t="str">
        <f>IF(COUNTIF($A$2:A3294,A3294)=1,
     VLOOKUP(A3294,Season_Winners!A:B,2,FALSE),
     "")</f>
        <v/>
      </c>
    </row>
    <row r="3295" spans="1:13" x14ac:dyDescent="0.3">
      <c r="A3295" t="s">
        <v>1138</v>
      </c>
      <c r="B3295">
        <v>26</v>
      </c>
      <c r="C3295" t="s">
        <v>1236</v>
      </c>
      <c r="D3295" t="str">
        <f t="shared" si="255"/>
        <v>26.02.2022</v>
      </c>
      <c r="E3295" s="1">
        <v>0.77083333333333337</v>
      </c>
      <c r="F3295" t="s">
        <v>30</v>
      </c>
      <c r="G3295" t="s">
        <v>25</v>
      </c>
      <c r="H3295" t="s">
        <v>42</v>
      </c>
      <c r="I3295" t="str">
        <f t="shared" si="256"/>
        <v>0-1</v>
      </c>
      <c r="J3295" t="str">
        <f t="shared" si="257"/>
        <v>0</v>
      </c>
      <c r="K3295" t="str">
        <f t="shared" si="258"/>
        <v>1</v>
      </c>
      <c r="L3295" t="str">
        <f t="shared" si="259"/>
        <v>Real Madrid</v>
      </c>
      <c r="M3295" t="str">
        <f>IF(COUNTIF($A$2:A3295,A3295)=1,
     VLOOKUP(A3295,Season_Winners!A:B,2,FALSE),
     "")</f>
        <v/>
      </c>
    </row>
    <row r="3296" spans="1:13" x14ac:dyDescent="0.3">
      <c r="A3296" t="s">
        <v>1138</v>
      </c>
      <c r="B3296">
        <v>26</v>
      </c>
      <c r="C3296" t="s">
        <v>1236</v>
      </c>
      <c r="D3296" t="str">
        <f t="shared" si="255"/>
        <v>26.02.2022</v>
      </c>
      <c r="E3296" s="1">
        <v>0.875</v>
      </c>
      <c r="F3296" t="s">
        <v>1425</v>
      </c>
      <c r="G3296" t="s">
        <v>35</v>
      </c>
      <c r="H3296" t="s">
        <v>12</v>
      </c>
      <c r="I3296" t="str">
        <f t="shared" si="256"/>
        <v>2-0</v>
      </c>
      <c r="J3296" t="str">
        <f t="shared" si="257"/>
        <v>2</v>
      </c>
      <c r="K3296" t="str">
        <f t="shared" si="258"/>
        <v>0</v>
      </c>
      <c r="L3296" t="str">
        <f t="shared" si="259"/>
        <v>Atlético de Madrid</v>
      </c>
      <c r="M3296" t="str">
        <f>IF(COUNTIF($A$2:A3296,A3296)=1,
     VLOOKUP(A3296,Season_Winners!A:B,2,FALSE),
     "")</f>
        <v/>
      </c>
    </row>
    <row r="3297" spans="1:13" hidden="1" x14ac:dyDescent="0.3">
      <c r="A3297" t="s">
        <v>1138</v>
      </c>
      <c r="B3297">
        <v>26</v>
      </c>
      <c r="C3297" t="s">
        <v>1237</v>
      </c>
      <c r="D3297" t="str">
        <f t="shared" si="255"/>
        <v>27.02.2022</v>
      </c>
      <c r="E3297" s="1">
        <v>0.58333333333333337</v>
      </c>
      <c r="F3297" t="s">
        <v>34</v>
      </c>
      <c r="G3297" t="s">
        <v>36</v>
      </c>
      <c r="H3297" s="2">
        <v>46027</v>
      </c>
      <c r="I3297" s="3" t="str">
        <f t="shared" si="256"/>
        <v/>
      </c>
      <c r="J3297" t="str">
        <f t="shared" si="257"/>
        <v/>
      </c>
      <c r="K3297" t="str">
        <f t="shared" si="258"/>
        <v/>
      </c>
      <c r="L3297" t="str">
        <f t="shared" si="259"/>
        <v/>
      </c>
      <c r="M3297" t="str">
        <f>IF(COUNTIF($A$2:A3297,A3297)=1,
     VLOOKUP(A3297,Season_Winners!A:B,2,FALSE),
     "")</f>
        <v/>
      </c>
    </row>
    <row r="3298" spans="1:13" hidden="1" x14ac:dyDescent="0.3">
      <c r="A3298" t="s">
        <v>1138</v>
      </c>
      <c r="B3298">
        <v>26</v>
      </c>
      <c r="C3298" t="s">
        <v>1237</v>
      </c>
      <c r="D3298" t="str">
        <f t="shared" si="255"/>
        <v>27.02.2022</v>
      </c>
      <c r="E3298" s="1">
        <v>0.67708333333333337</v>
      </c>
      <c r="F3298" t="s">
        <v>27</v>
      </c>
      <c r="G3298" t="s">
        <v>26</v>
      </c>
      <c r="H3298" s="2">
        <v>46024</v>
      </c>
      <c r="I3298" s="3" t="str">
        <f t="shared" si="256"/>
        <v/>
      </c>
      <c r="J3298" t="str">
        <f t="shared" si="257"/>
        <v/>
      </c>
      <c r="K3298" t="str">
        <f t="shared" si="258"/>
        <v/>
      </c>
      <c r="L3298" t="str">
        <f t="shared" si="259"/>
        <v/>
      </c>
      <c r="M3298" t="str">
        <f>IF(COUNTIF($A$2:A3298,A3298)=1,
     VLOOKUP(A3298,Season_Winners!A:B,2,FALSE),
     "")</f>
        <v/>
      </c>
    </row>
    <row r="3299" spans="1:13" x14ac:dyDescent="0.3">
      <c r="A3299" t="s">
        <v>1138</v>
      </c>
      <c r="B3299">
        <v>26</v>
      </c>
      <c r="C3299" t="s">
        <v>1237</v>
      </c>
      <c r="D3299" t="str">
        <f t="shared" si="255"/>
        <v>27.02.2022</v>
      </c>
      <c r="E3299" s="1">
        <v>0.77083333333333337</v>
      </c>
      <c r="F3299" t="s">
        <v>10</v>
      </c>
      <c r="G3299" t="s">
        <v>23</v>
      </c>
      <c r="H3299" t="s">
        <v>18</v>
      </c>
      <c r="I3299" t="str">
        <f t="shared" si="256"/>
        <v>1-0</v>
      </c>
      <c r="J3299" t="str">
        <f t="shared" si="257"/>
        <v>1</v>
      </c>
      <c r="K3299" t="str">
        <f t="shared" si="258"/>
        <v>0</v>
      </c>
      <c r="L3299" t="str">
        <f t="shared" si="259"/>
        <v>Real Sociedad</v>
      </c>
      <c r="M3299" t="str">
        <f>IF(COUNTIF($A$2:A3299,A3299)=1,
     VLOOKUP(A3299,Season_Winners!A:B,2,FALSE),
     "")</f>
        <v/>
      </c>
    </row>
    <row r="3300" spans="1:13" x14ac:dyDescent="0.3">
      <c r="A3300" t="s">
        <v>1138</v>
      </c>
      <c r="B3300">
        <v>26</v>
      </c>
      <c r="C3300" t="s">
        <v>1237</v>
      </c>
      <c r="D3300" t="str">
        <f t="shared" si="255"/>
        <v>27.02.2022</v>
      </c>
      <c r="E3300" s="1">
        <v>0.875</v>
      </c>
      <c r="F3300" t="s">
        <v>20</v>
      </c>
      <c r="G3300" t="s">
        <v>15</v>
      </c>
      <c r="H3300" t="s">
        <v>88</v>
      </c>
      <c r="I3300" t="str">
        <f t="shared" si="256"/>
        <v>4-0</v>
      </c>
      <c r="J3300" t="str">
        <f t="shared" si="257"/>
        <v>4</v>
      </c>
      <c r="K3300" t="str">
        <f t="shared" si="258"/>
        <v>0</v>
      </c>
      <c r="L3300" t="str">
        <f t="shared" si="259"/>
        <v>FC Barcelona</v>
      </c>
      <c r="M3300" t="str">
        <f>IF(COUNTIF($A$2:A3300,A3300)=1,
     VLOOKUP(A3300,Season_Winners!A:B,2,FALSE),
     "")</f>
        <v/>
      </c>
    </row>
    <row r="3301" spans="1:13" x14ac:dyDescent="0.3">
      <c r="A3301" t="s">
        <v>1138</v>
      </c>
      <c r="B3301">
        <v>26</v>
      </c>
      <c r="C3301" t="s">
        <v>1238</v>
      </c>
      <c r="D3301" t="str">
        <f t="shared" si="255"/>
        <v>28.02.2022</v>
      </c>
      <c r="E3301" s="1">
        <v>0.875</v>
      </c>
      <c r="F3301" t="s">
        <v>24</v>
      </c>
      <c r="G3301" t="s">
        <v>1000</v>
      </c>
      <c r="H3301" t="s">
        <v>41</v>
      </c>
      <c r="I3301" t="str">
        <f t="shared" si="256"/>
        <v>0-0</v>
      </c>
      <c r="J3301" t="str">
        <f t="shared" si="257"/>
        <v>0</v>
      </c>
      <c r="K3301" t="str">
        <f t="shared" si="258"/>
        <v>0</v>
      </c>
      <c r="L3301" t="str">
        <f t="shared" si="259"/>
        <v>Draw</v>
      </c>
      <c r="M3301" t="str">
        <f>IF(COUNTIF($A$2:A3301,A3301)=1,
     VLOOKUP(A3301,Season_Winners!A:B,2,FALSE),
     "")</f>
        <v/>
      </c>
    </row>
    <row r="3302" spans="1:13" x14ac:dyDescent="0.3">
      <c r="A3302" t="s">
        <v>1138</v>
      </c>
      <c r="B3302">
        <v>27</v>
      </c>
      <c r="C3302" t="s">
        <v>1239</v>
      </c>
      <c r="D3302" t="str">
        <f t="shared" si="255"/>
        <v>04.03.2022</v>
      </c>
      <c r="E3302" s="1">
        <v>0.875</v>
      </c>
      <c r="F3302" t="s">
        <v>464</v>
      </c>
      <c r="G3302" t="s">
        <v>27</v>
      </c>
      <c r="H3302" t="s">
        <v>41</v>
      </c>
      <c r="I3302" t="str">
        <f t="shared" si="256"/>
        <v>0-0</v>
      </c>
      <c r="J3302" t="str">
        <f t="shared" si="257"/>
        <v>0</v>
      </c>
      <c r="K3302" t="str">
        <f t="shared" si="258"/>
        <v>0</v>
      </c>
      <c r="L3302" t="str">
        <f t="shared" si="259"/>
        <v>Draw</v>
      </c>
      <c r="M3302" t="str">
        <f>IF(COUNTIF($A$2:A3302,A3302)=1,
     VLOOKUP(A3302,Season_Winners!A:B,2,FALSE),
     "")</f>
        <v/>
      </c>
    </row>
    <row r="3303" spans="1:13" x14ac:dyDescent="0.3">
      <c r="A3303" t="s">
        <v>1138</v>
      </c>
      <c r="B3303">
        <v>27</v>
      </c>
      <c r="C3303" t="s">
        <v>1240</v>
      </c>
      <c r="D3303" t="str">
        <f t="shared" si="255"/>
        <v>05.03.2022</v>
      </c>
      <c r="E3303" s="1">
        <v>0.58333333333333337</v>
      </c>
      <c r="F3303" t="s">
        <v>23</v>
      </c>
      <c r="G3303" t="s">
        <v>34</v>
      </c>
      <c r="H3303" t="s">
        <v>18</v>
      </c>
      <c r="I3303" t="str">
        <f t="shared" si="256"/>
        <v>1-0</v>
      </c>
      <c r="J3303" t="str">
        <f t="shared" si="257"/>
        <v>1</v>
      </c>
      <c r="K3303" t="str">
        <f t="shared" si="258"/>
        <v>0</v>
      </c>
      <c r="L3303" t="str">
        <f t="shared" si="259"/>
        <v>CA Osasuna</v>
      </c>
      <c r="M3303" t="str">
        <f>IF(COUNTIF($A$2:A3303,A3303)=1,
     VLOOKUP(A3303,Season_Winners!A:B,2,FALSE),
     "")</f>
        <v/>
      </c>
    </row>
    <row r="3304" spans="1:13" x14ac:dyDescent="0.3">
      <c r="A3304" t="s">
        <v>1138</v>
      </c>
      <c r="B3304">
        <v>27</v>
      </c>
      <c r="C3304" t="s">
        <v>1240</v>
      </c>
      <c r="D3304" t="str">
        <f t="shared" si="255"/>
        <v>05.03.2022</v>
      </c>
      <c r="E3304" s="1">
        <v>0.67708333333333337</v>
      </c>
      <c r="F3304" t="s">
        <v>36</v>
      </c>
      <c r="G3304" t="s">
        <v>11</v>
      </c>
      <c r="H3304" t="s">
        <v>12</v>
      </c>
      <c r="I3304" t="str">
        <f t="shared" si="256"/>
        <v>2-0</v>
      </c>
      <c r="J3304" t="str">
        <f t="shared" si="257"/>
        <v>2</v>
      </c>
      <c r="K3304" t="str">
        <f t="shared" si="258"/>
        <v>0</v>
      </c>
      <c r="L3304" t="str">
        <f t="shared" si="259"/>
        <v>RCD Espanyol de Barcelona</v>
      </c>
      <c r="M3304" t="str">
        <f>IF(COUNTIF($A$2:A3304,A3304)=1,
     VLOOKUP(A3304,Season_Winners!A:B,2,FALSE),
     "")</f>
        <v/>
      </c>
    </row>
    <row r="3305" spans="1:13" hidden="1" x14ac:dyDescent="0.3">
      <c r="A3305" t="s">
        <v>1138</v>
      </c>
      <c r="B3305">
        <v>27</v>
      </c>
      <c r="C3305" t="s">
        <v>1240</v>
      </c>
      <c r="D3305" t="str">
        <f t="shared" si="255"/>
        <v>05.03.2022</v>
      </c>
      <c r="E3305" s="1">
        <v>0.77083333333333337</v>
      </c>
      <c r="F3305" t="s">
        <v>16</v>
      </c>
      <c r="G3305" t="s">
        <v>24</v>
      </c>
      <c r="H3305" s="2">
        <v>46025</v>
      </c>
      <c r="I3305" s="3" t="str">
        <f t="shared" si="256"/>
        <v/>
      </c>
      <c r="J3305" t="str">
        <f t="shared" si="257"/>
        <v/>
      </c>
      <c r="K3305" t="str">
        <f t="shared" si="258"/>
        <v/>
      </c>
      <c r="L3305" t="str">
        <f t="shared" si="259"/>
        <v/>
      </c>
      <c r="M3305" t="str">
        <f>IF(COUNTIF($A$2:A3305,A3305)=1,
     VLOOKUP(A3305,Season_Winners!A:B,2,FALSE),
     "")</f>
        <v/>
      </c>
    </row>
    <row r="3306" spans="1:13" hidden="1" x14ac:dyDescent="0.3">
      <c r="A3306" t="s">
        <v>1138</v>
      </c>
      <c r="B3306">
        <v>27</v>
      </c>
      <c r="C3306" t="s">
        <v>1240</v>
      </c>
      <c r="D3306" t="str">
        <f t="shared" si="255"/>
        <v>05.03.2022</v>
      </c>
      <c r="E3306" s="1">
        <v>0.875</v>
      </c>
      <c r="F3306" t="s">
        <v>25</v>
      </c>
      <c r="G3306" t="s">
        <v>10</v>
      </c>
      <c r="H3306" s="2">
        <v>46026</v>
      </c>
      <c r="I3306" s="3" t="str">
        <f t="shared" si="256"/>
        <v/>
      </c>
      <c r="J3306" t="str">
        <f t="shared" si="257"/>
        <v/>
      </c>
      <c r="K3306" t="str">
        <f t="shared" si="258"/>
        <v/>
      </c>
      <c r="L3306" t="str">
        <f t="shared" si="259"/>
        <v/>
      </c>
      <c r="M3306" t="str">
        <f>IF(COUNTIF($A$2:A3306,A3306)=1,
     VLOOKUP(A3306,Season_Winners!A:B,2,FALSE),
     "")</f>
        <v/>
      </c>
    </row>
    <row r="3307" spans="1:13" x14ac:dyDescent="0.3">
      <c r="A3307" t="s">
        <v>1138</v>
      </c>
      <c r="B3307">
        <v>27</v>
      </c>
      <c r="C3307" t="s">
        <v>1241</v>
      </c>
      <c r="D3307" t="str">
        <f t="shared" si="255"/>
        <v>06.03.2022</v>
      </c>
      <c r="E3307" s="1">
        <v>0.58333333333333337</v>
      </c>
      <c r="F3307" t="s">
        <v>1000</v>
      </c>
      <c r="G3307" t="s">
        <v>30</v>
      </c>
      <c r="H3307" t="s">
        <v>12</v>
      </c>
      <c r="I3307" t="str">
        <f t="shared" si="256"/>
        <v>2-0</v>
      </c>
      <c r="J3307" t="str">
        <f t="shared" si="257"/>
        <v>2</v>
      </c>
      <c r="K3307" t="str">
        <f t="shared" si="258"/>
        <v>0</v>
      </c>
      <c r="L3307" t="str">
        <f t="shared" si="259"/>
        <v>CÃ¡diz CF</v>
      </c>
      <c r="M3307" t="str">
        <f>IF(COUNTIF($A$2:A3307,A3307)=1,
     VLOOKUP(A3307,Season_Winners!A:B,2,FALSE),
     "")</f>
        <v/>
      </c>
    </row>
    <row r="3308" spans="1:13" hidden="1" x14ac:dyDescent="0.3">
      <c r="A3308" t="s">
        <v>1138</v>
      </c>
      <c r="B3308">
        <v>27</v>
      </c>
      <c r="C3308" t="s">
        <v>1241</v>
      </c>
      <c r="D3308" t="str">
        <f t="shared" si="255"/>
        <v>06.03.2022</v>
      </c>
      <c r="E3308" s="1">
        <v>0.67708333333333337</v>
      </c>
      <c r="F3308" t="s">
        <v>31</v>
      </c>
      <c r="G3308" t="s">
        <v>20</v>
      </c>
      <c r="H3308" s="2">
        <v>46054</v>
      </c>
      <c r="I3308" s="3" t="str">
        <f t="shared" si="256"/>
        <v/>
      </c>
      <c r="J3308" t="str">
        <f t="shared" si="257"/>
        <v/>
      </c>
      <c r="K3308" t="str">
        <f t="shared" si="258"/>
        <v/>
      </c>
      <c r="L3308" t="str">
        <f t="shared" si="259"/>
        <v/>
      </c>
      <c r="M3308" t="str">
        <f>IF(COUNTIF($A$2:A3308,A3308)=1,
     VLOOKUP(A3308,Season_Winners!A:B,2,FALSE),
     "")</f>
        <v/>
      </c>
    </row>
    <row r="3309" spans="1:13" hidden="1" x14ac:dyDescent="0.3">
      <c r="A3309" t="s">
        <v>1138</v>
      </c>
      <c r="B3309">
        <v>27</v>
      </c>
      <c r="C3309" t="s">
        <v>1241</v>
      </c>
      <c r="D3309" t="str">
        <f t="shared" si="255"/>
        <v>06.03.2022</v>
      </c>
      <c r="E3309" s="1">
        <v>0.77083333333333337</v>
      </c>
      <c r="F3309" t="s">
        <v>35</v>
      </c>
      <c r="G3309" t="s">
        <v>881</v>
      </c>
      <c r="H3309" s="2">
        <v>46085</v>
      </c>
      <c r="I3309" s="3" t="str">
        <f t="shared" si="256"/>
        <v/>
      </c>
      <c r="J3309" t="str">
        <f t="shared" si="257"/>
        <v/>
      </c>
      <c r="K3309" t="str">
        <f t="shared" si="258"/>
        <v/>
      </c>
      <c r="L3309" t="str">
        <f t="shared" si="259"/>
        <v/>
      </c>
      <c r="M3309" t="str">
        <f>IF(COUNTIF($A$2:A3309,A3309)=1,
     VLOOKUP(A3309,Season_Winners!A:B,2,FALSE),
     "")</f>
        <v/>
      </c>
    </row>
    <row r="3310" spans="1:13" hidden="1" x14ac:dyDescent="0.3">
      <c r="A3310" t="s">
        <v>1138</v>
      </c>
      <c r="B3310">
        <v>27</v>
      </c>
      <c r="C3310" t="s">
        <v>1241</v>
      </c>
      <c r="D3310" t="str">
        <f t="shared" si="255"/>
        <v>06.03.2022</v>
      </c>
      <c r="E3310" s="1">
        <v>0.875</v>
      </c>
      <c r="F3310" t="s">
        <v>26</v>
      </c>
      <c r="G3310" t="s">
        <v>28</v>
      </c>
      <c r="H3310" s="2">
        <v>46082</v>
      </c>
      <c r="I3310" s="3" t="str">
        <f t="shared" si="256"/>
        <v/>
      </c>
      <c r="J3310" t="str">
        <f t="shared" si="257"/>
        <v/>
      </c>
      <c r="K3310" t="str">
        <f t="shared" si="258"/>
        <v/>
      </c>
      <c r="L3310" t="str">
        <f t="shared" si="259"/>
        <v/>
      </c>
      <c r="M3310" t="str">
        <f>IF(COUNTIF($A$2:A3310,A3310)=1,
     VLOOKUP(A3310,Season_Winners!A:B,2,FALSE),
     "")</f>
        <v/>
      </c>
    </row>
    <row r="3311" spans="1:13" hidden="1" x14ac:dyDescent="0.3">
      <c r="A3311" t="s">
        <v>1138</v>
      </c>
      <c r="B3311">
        <v>27</v>
      </c>
      <c r="C3311" t="s">
        <v>1242</v>
      </c>
      <c r="D3311" t="str">
        <f t="shared" si="255"/>
        <v>07.03.2022</v>
      </c>
      <c r="E3311" s="1">
        <v>0.875</v>
      </c>
      <c r="F3311" t="s">
        <v>15</v>
      </c>
      <c r="G3311" t="s">
        <v>21</v>
      </c>
      <c r="H3311" s="2">
        <v>46025</v>
      </c>
      <c r="I3311" s="3" t="str">
        <f t="shared" si="256"/>
        <v/>
      </c>
      <c r="J3311" t="str">
        <f t="shared" si="257"/>
        <v/>
      </c>
      <c r="K3311" t="str">
        <f t="shared" si="258"/>
        <v/>
      </c>
      <c r="L3311" t="str">
        <f t="shared" si="259"/>
        <v/>
      </c>
      <c r="M3311" t="str">
        <f>IF(COUNTIF($A$2:A3311,A3311)=1,
     VLOOKUP(A3311,Season_Winners!A:B,2,FALSE),
     "")</f>
        <v/>
      </c>
    </row>
    <row r="3312" spans="1:13" hidden="1" x14ac:dyDescent="0.3">
      <c r="A3312" t="s">
        <v>1138</v>
      </c>
      <c r="B3312">
        <v>28</v>
      </c>
      <c r="C3312" t="s">
        <v>1243</v>
      </c>
      <c r="D3312" t="str">
        <f t="shared" si="255"/>
        <v>11.03.2022</v>
      </c>
      <c r="E3312" s="1">
        <v>0.875</v>
      </c>
      <c r="F3312" t="s">
        <v>28</v>
      </c>
      <c r="G3312" t="s">
        <v>1000</v>
      </c>
      <c r="H3312" s="2">
        <v>46024</v>
      </c>
      <c r="I3312" s="3" t="str">
        <f t="shared" si="256"/>
        <v/>
      </c>
      <c r="J3312" t="str">
        <f t="shared" si="257"/>
        <v/>
      </c>
      <c r="K3312" t="str">
        <f t="shared" si="258"/>
        <v/>
      </c>
      <c r="L3312" t="str">
        <f t="shared" si="259"/>
        <v/>
      </c>
      <c r="M3312" t="str">
        <f>IF(COUNTIF($A$2:A3312,A3312)=1,
     VLOOKUP(A3312,Season_Winners!A:B,2,FALSE),
     "")</f>
        <v/>
      </c>
    </row>
    <row r="3313" spans="1:13" hidden="1" x14ac:dyDescent="0.3">
      <c r="A3313" t="s">
        <v>1138</v>
      </c>
      <c r="B3313">
        <v>28</v>
      </c>
      <c r="C3313" t="s">
        <v>1244</v>
      </c>
      <c r="D3313" t="str">
        <f t="shared" si="255"/>
        <v>12.03.2022</v>
      </c>
      <c r="E3313" s="1">
        <v>0.58333333333333337</v>
      </c>
      <c r="F3313" t="s">
        <v>21</v>
      </c>
      <c r="G3313" t="s">
        <v>36</v>
      </c>
      <c r="H3313" s="2">
        <v>46023</v>
      </c>
      <c r="I3313" s="3" t="str">
        <f t="shared" si="256"/>
        <v/>
      </c>
      <c r="J3313" t="str">
        <f t="shared" si="257"/>
        <v/>
      </c>
      <c r="K3313" t="str">
        <f t="shared" si="258"/>
        <v/>
      </c>
      <c r="L3313" t="str">
        <f t="shared" si="259"/>
        <v/>
      </c>
      <c r="M3313" t="str">
        <f>IF(COUNTIF($A$2:A3313,A3313)=1,
     VLOOKUP(A3313,Season_Winners!A:B,2,FALSE),
     "")</f>
        <v/>
      </c>
    </row>
    <row r="3314" spans="1:13" x14ac:dyDescent="0.3">
      <c r="A3314" t="s">
        <v>1138</v>
      </c>
      <c r="B3314">
        <v>28</v>
      </c>
      <c r="C3314" t="s">
        <v>1244</v>
      </c>
      <c r="D3314" t="str">
        <f t="shared" si="255"/>
        <v>12.03.2022</v>
      </c>
      <c r="E3314" s="1">
        <v>0.67708333333333337</v>
      </c>
      <c r="F3314" t="s">
        <v>24</v>
      </c>
      <c r="G3314" t="s">
        <v>31</v>
      </c>
      <c r="H3314" t="s">
        <v>42</v>
      </c>
      <c r="I3314" t="str">
        <f t="shared" si="256"/>
        <v>0-1</v>
      </c>
      <c r="J3314" t="str">
        <f t="shared" si="257"/>
        <v>0</v>
      </c>
      <c r="K3314" t="str">
        <f t="shared" si="258"/>
        <v>1</v>
      </c>
      <c r="L3314" t="str">
        <f t="shared" si="259"/>
        <v>Elche CF</v>
      </c>
      <c r="M3314" t="str">
        <f>IF(COUNTIF($A$2:A3314,A3314)=1,
     VLOOKUP(A3314,Season_Winners!A:B,2,FALSE),
     "")</f>
        <v/>
      </c>
    </row>
    <row r="3315" spans="1:13" x14ac:dyDescent="0.3">
      <c r="A3315" t="s">
        <v>1138</v>
      </c>
      <c r="B3315">
        <v>28</v>
      </c>
      <c r="C3315" t="s">
        <v>1244</v>
      </c>
      <c r="D3315" t="str">
        <f t="shared" si="255"/>
        <v>12.03.2022</v>
      </c>
      <c r="E3315" s="1">
        <v>0.77083333333333337</v>
      </c>
      <c r="F3315" t="s">
        <v>34</v>
      </c>
      <c r="G3315" t="s">
        <v>35</v>
      </c>
      <c r="H3315" t="s">
        <v>18</v>
      </c>
      <c r="I3315" t="str">
        <f t="shared" si="256"/>
        <v>1-0</v>
      </c>
      <c r="J3315" t="str">
        <f t="shared" si="257"/>
        <v>1</v>
      </c>
      <c r="K3315" t="str">
        <f t="shared" si="258"/>
        <v>0</v>
      </c>
      <c r="L3315" t="str">
        <f t="shared" si="259"/>
        <v>Villarreal CF</v>
      </c>
      <c r="M3315" t="str">
        <f>IF(COUNTIF($A$2:A3315,A3315)=1,
     VLOOKUP(A3315,Season_Winners!A:B,2,FALSE),
     "")</f>
        <v/>
      </c>
    </row>
    <row r="3316" spans="1:13" x14ac:dyDescent="0.3">
      <c r="A3316" t="s">
        <v>1138</v>
      </c>
      <c r="B3316">
        <v>28</v>
      </c>
      <c r="C3316" t="s">
        <v>1244</v>
      </c>
      <c r="D3316" t="str">
        <f t="shared" si="255"/>
        <v>12.03.2022</v>
      </c>
      <c r="E3316" s="1">
        <v>0.875</v>
      </c>
      <c r="F3316" t="s">
        <v>11</v>
      </c>
      <c r="G3316" t="s">
        <v>16</v>
      </c>
      <c r="H3316" t="s">
        <v>41</v>
      </c>
      <c r="I3316" t="str">
        <f t="shared" si="256"/>
        <v>0-0</v>
      </c>
      <c r="J3316" t="str">
        <f t="shared" si="257"/>
        <v>0</v>
      </c>
      <c r="K3316" t="str">
        <f t="shared" si="258"/>
        <v>0</v>
      </c>
      <c r="L3316" t="str">
        <f t="shared" si="259"/>
        <v>Draw</v>
      </c>
      <c r="M3316" t="str">
        <f>IF(COUNTIF($A$2:A3316,A3316)=1,
     VLOOKUP(A3316,Season_Winners!A:B,2,FALSE),
     "")</f>
        <v/>
      </c>
    </row>
    <row r="3317" spans="1:13" hidden="1" x14ac:dyDescent="0.3">
      <c r="A3317" t="s">
        <v>1138</v>
      </c>
      <c r="B3317">
        <v>28</v>
      </c>
      <c r="C3317" t="s">
        <v>1245</v>
      </c>
      <c r="D3317" t="str">
        <f t="shared" si="255"/>
        <v>13.03.2022</v>
      </c>
      <c r="E3317" s="1">
        <v>0.58333333333333337</v>
      </c>
      <c r="F3317" t="s">
        <v>30</v>
      </c>
      <c r="G3317" t="s">
        <v>27</v>
      </c>
      <c r="H3317" s="2">
        <v>46023</v>
      </c>
      <c r="I3317" s="3" t="str">
        <f t="shared" si="256"/>
        <v/>
      </c>
      <c r="J3317" t="str">
        <f t="shared" si="257"/>
        <v/>
      </c>
      <c r="K3317" t="str">
        <f t="shared" si="258"/>
        <v/>
      </c>
      <c r="L3317" t="str">
        <f t="shared" si="259"/>
        <v/>
      </c>
      <c r="M3317" t="str">
        <f>IF(COUNTIF($A$2:A3317,A3317)=1,
     VLOOKUP(A3317,Season_Winners!A:B,2,FALSE),
     "")</f>
        <v/>
      </c>
    </row>
    <row r="3318" spans="1:13" x14ac:dyDescent="0.3">
      <c r="A3318" t="s">
        <v>1138</v>
      </c>
      <c r="B3318">
        <v>28</v>
      </c>
      <c r="C3318" t="s">
        <v>1245</v>
      </c>
      <c r="D3318" t="str">
        <f t="shared" si="255"/>
        <v>13.03.2022</v>
      </c>
      <c r="E3318" s="1">
        <v>0.67708333333333337</v>
      </c>
      <c r="F3318" t="s">
        <v>26</v>
      </c>
      <c r="G3318" t="s">
        <v>15</v>
      </c>
      <c r="H3318" t="s">
        <v>18</v>
      </c>
      <c r="I3318" t="str">
        <f t="shared" si="256"/>
        <v>1-0</v>
      </c>
      <c r="J3318" t="str">
        <f t="shared" si="257"/>
        <v>1</v>
      </c>
      <c r="K3318" t="str">
        <f t="shared" si="258"/>
        <v>0</v>
      </c>
      <c r="L3318" t="str">
        <f t="shared" si="259"/>
        <v>Real Betis</v>
      </c>
      <c r="M3318" t="str">
        <f>IF(COUNTIF($A$2:A3318,A3318)=1,
     VLOOKUP(A3318,Season_Winners!A:B,2,FALSE),
     "")</f>
        <v/>
      </c>
    </row>
    <row r="3319" spans="1:13" x14ac:dyDescent="0.3">
      <c r="A3319" t="s">
        <v>1138</v>
      </c>
      <c r="B3319">
        <v>28</v>
      </c>
      <c r="C3319" t="s">
        <v>1245</v>
      </c>
      <c r="D3319" t="str">
        <f t="shared" si="255"/>
        <v>13.03.2022</v>
      </c>
      <c r="E3319" s="1">
        <v>0.77083333333333337</v>
      </c>
      <c r="F3319" t="s">
        <v>10</v>
      </c>
      <c r="G3319" t="s">
        <v>464</v>
      </c>
      <c r="H3319" t="s">
        <v>18</v>
      </c>
      <c r="I3319" t="str">
        <f t="shared" si="256"/>
        <v>1-0</v>
      </c>
      <c r="J3319" t="str">
        <f t="shared" si="257"/>
        <v>1</v>
      </c>
      <c r="K3319" t="str">
        <f t="shared" si="258"/>
        <v>0</v>
      </c>
      <c r="L3319" t="str">
        <f t="shared" si="259"/>
        <v>Real Sociedad</v>
      </c>
      <c r="M3319" t="str">
        <f>IF(COUNTIF($A$2:A3319,A3319)=1,
     VLOOKUP(A3319,Season_Winners!A:B,2,FALSE),
     "")</f>
        <v/>
      </c>
    </row>
    <row r="3320" spans="1:13" x14ac:dyDescent="0.3">
      <c r="A3320" t="s">
        <v>1138</v>
      </c>
      <c r="B3320">
        <v>28</v>
      </c>
      <c r="C3320" t="s">
        <v>1245</v>
      </c>
      <c r="D3320" t="str">
        <f t="shared" si="255"/>
        <v>13.03.2022</v>
      </c>
      <c r="E3320" s="1">
        <v>0.875</v>
      </c>
      <c r="F3320" t="s">
        <v>20</v>
      </c>
      <c r="G3320" t="s">
        <v>23</v>
      </c>
      <c r="H3320" t="s">
        <v>88</v>
      </c>
      <c r="I3320" t="str">
        <f t="shared" si="256"/>
        <v>4-0</v>
      </c>
      <c r="J3320" t="str">
        <f t="shared" si="257"/>
        <v>4</v>
      </c>
      <c r="K3320" t="str">
        <f t="shared" si="258"/>
        <v>0</v>
      </c>
      <c r="L3320" t="str">
        <f t="shared" si="259"/>
        <v>FC Barcelona</v>
      </c>
      <c r="M3320" t="str">
        <f>IF(COUNTIF($A$2:A3320,A3320)=1,
     VLOOKUP(A3320,Season_Winners!A:B,2,FALSE),
     "")</f>
        <v/>
      </c>
    </row>
    <row r="3321" spans="1:13" x14ac:dyDescent="0.3">
      <c r="A3321" t="s">
        <v>1138</v>
      </c>
      <c r="B3321">
        <v>28</v>
      </c>
      <c r="C3321" t="s">
        <v>1246</v>
      </c>
      <c r="D3321" t="str">
        <f t="shared" si="255"/>
        <v>14.03.2022</v>
      </c>
      <c r="E3321" s="1">
        <v>0.875</v>
      </c>
      <c r="F3321" t="s">
        <v>881</v>
      </c>
      <c r="G3321" t="s">
        <v>25</v>
      </c>
      <c r="H3321" t="s">
        <v>46</v>
      </c>
      <c r="I3321" t="str">
        <f t="shared" si="256"/>
        <v>0-3</v>
      </c>
      <c r="J3321" t="str">
        <f t="shared" si="257"/>
        <v>0</v>
      </c>
      <c r="K3321" t="str">
        <f t="shared" si="258"/>
        <v>3</v>
      </c>
      <c r="L3321" t="str">
        <f t="shared" si="259"/>
        <v>Real Madrid</v>
      </c>
      <c r="M3321" t="str">
        <f>IF(COUNTIF($A$2:A3321,A3321)=1,
     VLOOKUP(A3321,Season_Winners!A:B,2,FALSE),
     "")</f>
        <v/>
      </c>
    </row>
    <row r="3322" spans="1:13" hidden="1" x14ac:dyDescent="0.3">
      <c r="A3322" t="s">
        <v>1138</v>
      </c>
      <c r="B3322">
        <v>29</v>
      </c>
      <c r="C3322" t="s">
        <v>1247</v>
      </c>
      <c r="D3322" t="str">
        <f t="shared" si="255"/>
        <v>18.03.2022</v>
      </c>
      <c r="E3322" s="1">
        <v>0.875</v>
      </c>
      <c r="F3322" t="s">
        <v>15</v>
      </c>
      <c r="G3322" t="s">
        <v>11</v>
      </c>
      <c r="H3322" s="2">
        <v>46023</v>
      </c>
      <c r="I3322" s="3" t="str">
        <f t="shared" si="256"/>
        <v/>
      </c>
      <c r="J3322" t="str">
        <f t="shared" si="257"/>
        <v/>
      </c>
      <c r="K3322" t="str">
        <f t="shared" si="258"/>
        <v/>
      </c>
      <c r="L3322" t="str">
        <f t="shared" si="259"/>
        <v/>
      </c>
      <c r="M3322" t="str">
        <f>IF(COUNTIF($A$2:A3322,A3322)=1,
     VLOOKUP(A3322,Season_Winners!A:B,2,FALSE),
     "")</f>
        <v/>
      </c>
    </row>
    <row r="3323" spans="1:13" hidden="1" x14ac:dyDescent="0.3">
      <c r="A3323" t="s">
        <v>1138</v>
      </c>
      <c r="B3323">
        <v>29</v>
      </c>
      <c r="C3323" t="s">
        <v>1248</v>
      </c>
      <c r="D3323" t="str">
        <f t="shared" si="255"/>
        <v>19.03.2022</v>
      </c>
      <c r="E3323" s="1">
        <v>0.58333333333333337</v>
      </c>
      <c r="F3323" t="s">
        <v>464</v>
      </c>
      <c r="G3323" t="s">
        <v>24</v>
      </c>
      <c r="H3323" s="2">
        <v>46083</v>
      </c>
      <c r="I3323" s="3" t="str">
        <f t="shared" si="256"/>
        <v/>
      </c>
      <c r="J3323" t="str">
        <f t="shared" si="257"/>
        <v/>
      </c>
      <c r="K3323" t="str">
        <f t="shared" si="258"/>
        <v/>
      </c>
      <c r="L3323" t="str">
        <f t="shared" si="259"/>
        <v/>
      </c>
      <c r="M3323" t="str">
        <f>IF(COUNTIF($A$2:A3323,A3323)=1,
     VLOOKUP(A3323,Season_Winners!A:B,2,FALSE),
     "")</f>
        <v/>
      </c>
    </row>
    <row r="3324" spans="1:13" x14ac:dyDescent="0.3">
      <c r="A3324" t="s">
        <v>1138</v>
      </c>
      <c r="B3324">
        <v>29</v>
      </c>
      <c r="C3324" t="s">
        <v>1248</v>
      </c>
      <c r="D3324" t="str">
        <f t="shared" si="255"/>
        <v>19.03.2022</v>
      </c>
      <c r="E3324" s="1">
        <v>0.67708333333333337</v>
      </c>
      <c r="F3324" t="s">
        <v>31</v>
      </c>
      <c r="G3324" t="s">
        <v>16</v>
      </c>
      <c r="H3324" t="s">
        <v>42</v>
      </c>
      <c r="I3324" t="str">
        <f t="shared" si="256"/>
        <v>0-1</v>
      </c>
      <c r="J3324" t="str">
        <f t="shared" si="257"/>
        <v>0</v>
      </c>
      <c r="K3324" t="str">
        <f t="shared" si="258"/>
        <v>1</v>
      </c>
      <c r="L3324" t="str">
        <f t="shared" si="259"/>
        <v>Valencia CF</v>
      </c>
      <c r="M3324" t="str">
        <f>IF(COUNTIF($A$2:A3324,A3324)=1,
     VLOOKUP(A3324,Season_Winners!A:B,2,FALSE),
     "")</f>
        <v/>
      </c>
    </row>
    <row r="3325" spans="1:13" hidden="1" x14ac:dyDescent="0.3">
      <c r="A3325" t="s">
        <v>1138</v>
      </c>
      <c r="B3325">
        <v>29</v>
      </c>
      <c r="C3325" t="s">
        <v>1248</v>
      </c>
      <c r="D3325" t="str">
        <f t="shared" si="255"/>
        <v>19.03.2022</v>
      </c>
      <c r="E3325" s="1">
        <v>0.77083333333333337</v>
      </c>
      <c r="F3325" t="s">
        <v>23</v>
      </c>
      <c r="G3325" t="s">
        <v>21</v>
      </c>
      <c r="H3325" s="2">
        <v>46025</v>
      </c>
      <c r="I3325" s="3" t="str">
        <f t="shared" si="256"/>
        <v/>
      </c>
      <c r="J3325" t="str">
        <f t="shared" si="257"/>
        <v/>
      </c>
      <c r="K3325" t="str">
        <f t="shared" si="258"/>
        <v/>
      </c>
      <c r="L3325" t="str">
        <f t="shared" si="259"/>
        <v/>
      </c>
      <c r="M3325" t="str">
        <f>IF(COUNTIF($A$2:A3325,A3325)=1,
     VLOOKUP(A3325,Season_Winners!A:B,2,FALSE),
     "")</f>
        <v/>
      </c>
    </row>
    <row r="3326" spans="1:13" x14ac:dyDescent="0.3">
      <c r="A3326" t="s">
        <v>1138</v>
      </c>
      <c r="B3326">
        <v>29</v>
      </c>
      <c r="C3326" t="s">
        <v>1248</v>
      </c>
      <c r="D3326" t="str">
        <f t="shared" si="255"/>
        <v>19.03.2022</v>
      </c>
      <c r="E3326" s="1">
        <v>0.875</v>
      </c>
      <c r="F3326" t="s">
        <v>30</v>
      </c>
      <c r="G3326" t="s">
        <v>1425</v>
      </c>
      <c r="H3326" t="s">
        <v>42</v>
      </c>
      <c r="I3326" t="str">
        <f t="shared" si="256"/>
        <v>0-1</v>
      </c>
      <c r="J3326" t="str">
        <f t="shared" si="257"/>
        <v>0</v>
      </c>
      <c r="K3326" t="str">
        <f t="shared" si="258"/>
        <v>1</v>
      </c>
      <c r="L3326" t="str">
        <f t="shared" si="259"/>
        <v>Atlético de Madrid</v>
      </c>
      <c r="M3326" t="str">
        <f>IF(COUNTIF($A$2:A3326,A3326)=1,
     VLOOKUP(A3326,Season_Winners!A:B,2,FALSE),
     "")</f>
        <v/>
      </c>
    </row>
    <row r="3327" spans="1:13" x14ac:dyDescent="0.3">
      <c r="A3327" t="s">
        <v>1138</v>
      </c>
      <c r="B3327">
        <v>29</v>
      </c>
      <c r="C3327" t="s">
        <v>1249</v>
      </c>
      <c r="D3327" t="str">
        <f t="shared" si="255"/>
        <v>20.03.2022</v>
      </c>
      <c r="E3327" s="1">
        <v>0.58333333333333337</v>
      </c>
      <c r="F3327" t="s">
        <v>36</v>
      </c>
      <c r="G3327" t="s">
        <v>881</v>
      </c>
      <c r="H3327" t="s">
        <v>18</v>
      </c>
      <c r="I3327" t="str">
        <f t="shared" si="256"/>
        <v>1-0</v>
      </c>
      <c r="J3327" t="str">
        <f t="shared" si="257"/>
        <v>1</v>
      </c>
      <c r="K3327" t="str">
        <f t="shared" si="258"/>
        <v>0</v>
      </c>
      <c r="L3327" t="str">
        <f t="shared" si="259"/>
        <v>RCD Espanyol de Barcelona</v>
      </c>
      <c r="M3327" t="str">
        <f>IF(COUNTIF($A$2:A3327,A3327)=1,
     VLOOKUP(A3327,Season_Winners!A:B,2,FALSE),
     "")</f>
        <v/>
      </c>
    </row>
    <row r="3328" spans="1:13" x14ac:dyDescent="0.3">
      <c r="A3328" t="s">
        <v>1138</v>
      </c>
      <c r="B3328">
        <v>29</v>
      </c>
      <c r="C3328" t="s">
        <v>1249</v>
      </c>
      <c r="D3328" t="str">
        <f t="shared" si="255"/>
        <v>20.03.2022</v>
      </c>
      <c r="E3328" s="1">
        <v>0.67708333333333337</v>
      </c>
      <c r="F3328" t="s">
        <v>35</v>
      </c>
      <c r="G3328" t="s">
        <v>26</v>
      </c>
      <c r="H3328" t="s">
        <v>41</v>
      </c>
      <c r="I3328" t="str">
        <f t="shared" si="256"/>
        <v>0-0</v>
      </c>
      <c r="J3328" t="str">
        <f t="shared" si="257"/>
        <v>0</v>
      </c>
      <c r="K3328" t="str">
        <f t="shared" si="258"/>
        <v>0</v>
      </c>
      <c r="L3328" t="str">
        <f t="shared" si="259"/>
        <v>Draw</v>
      </c>
      <c r="M3328" t="str">
        <f>IF(COUNTIF($A$2:A3328,A3328)=1,
     VLOOKUP(A3328,Season_Winners!A:B,2,FALSE),
     "")</f>
        <v/>
      </c>
    </row>
    <row r="3329" spans="1:13" x14ac:dyDescent="0.3">
      <c r="A3329" t="s">
        <v>1138</v>
      </c>
      <c r="B3329">
        <v>29</v>
      </c>
      <c r="C3329" t="s">
        <v>1249</v>
      </c>
      <c r="D3329" t="str">
        <f t="shared" si="255"/>
        <v>20.03.2022</v>
      </c>
      <c r="E3329" s="1">
        <v>0.67708333333333337</v>
      </c>
      <c r="F3329" t="s">
        <v>1000</v>
      </c>
      <c r="G3329" t="s">
        <v>34</v>
      </c>
      <c r="H3329" t="s">
        <v>18</v>
      </c>
      <c r="I3329" t="str">
        <f t="shared" si="256"/>
        <v>1-0</v>
      </c>
      <c r="J3329" t="str">
        <f t="shared" si="257"/>
        <v>1</v>
      </c>
      <c r="K3329" t="str">
        <f t="shared" si="258"/>
        <v>0</v>
      </c>
      <c r="L3329" t="str">
        <f t="shared" si="259"/>
        <v>CÃ¡diz CF</v>
      </c>
      <c r="M3329" t="str">
        <f>IF(COUNTIF($A$2:A3329,A3329)=1,
     VLOOKUP(A3329,Season_Winners!A:B,2,FALSE),
     "")</f>
        <v/>
      </c>
    </row>
    <row r="3330" spans="1:13" x14ac:dyDescent="0.3">
      <c r="A3330" t="s">
        <v>1138</v>
      </c>
      <c r="B3330">
        <v>29</v>
      </c>
      <c r="C3330" t="s">
        <v>1249</v>
      </c>
      <c r="D3330" t="str">
        <f t="shared" ref="D3330:D3393" si="260">RIGHT(C3330,10)</f>
        <v>20.03.2022</v>
      </c>
      <c r="E3330" s="1">
        <v>0.77083333333333337</v>
      </c>
      <c r="F3330" t="s">
        <v>27</v>
      </c>
      <c r="G3330" t="s">
        <v>10</v>
      </c>
      <c r="H3330" t="s">
        <v>41</v>
      </c>
      <c r="I3330" t="str">
        <f t="shared" ref="I3330:I3393" si="261">IF(ISNUMBER(SEARCH("-",H3330)),H3330,"")</f>
        <v>0-0</v>
      </c>
      <c r="J3330" t="str">
        <f t="shared" ref="J3330:J3393" si="262">IF(I3330="","",LEFT(I3330,FIND("-",I3330)-1))</f>
        <v>0</v>
      </c>
      <c r="K3330" t="str">
        <f t="shared" ref="K3330:K3393" si="263">IF(I3330="","",RIGHT(I3330,LEN(I3330)-FIND("-",I3330)))</f>
        <v>0</v>
      </c>
      <c r="L3330" t="str">
        <f t="shared" ref="L3330:L3393" si="264">IF(I3330="","",IF(J3330&gt;K3330,F3330,IF(K3330&gt;J3330,G3330,"Draw")))</f>
        <v>Draw</v>
      </c>
      <c r="M3330" t="str">
        <f>IF(COUNTIF($A$2:A3330,A3330)=1,
     VLOOKUP(A3330,Season_Winners!A:B,2,FALSE),
     "")</f>
        <v/>
      </c>
    </row>
    <row r="3331" spans="1:13" x14ac:dyDescent="0.3">
      <c r="A3331" t="s">
        <v>1138</v>
      </c>
      <c r="B3331">
        <v>29</v>
      </c>
      <c r="C3331" t="s">
        <v>1249</v>
      </c>
      <c r="D3331" t="str">
        <f t="shared" si="260"/>
        <v>20.03.2022</v>
      </c>
      <c r="E3331" s="1">
        <v>0.875</v>
      </c>
      <c r="F3331" t="s">
        <v>25</v>
      </c>
      <c r="G3331" t="s">
        <v>20</v>
      </c>
      <c r="H3331" t="s">
        <v>53</v>
      </c>
      <c r="I3331" t="str">
        <f t="shared" si="261"/>
        <v>0-4</v>
      </c>
      <c r="J3331" t="str">
        <f t="shared" si="262"/>
        <v>0</v>
      </c>
      <c r="K3331" t="str">
        <f t="shared" si="263"/>
        <v>4</v>
      </c>
      <c r="L3331" t="str">
        <f t="shared" si="264"/>
        <v>FC Barcelona</v>
      </c>
      <c r="M3331" t="str">
        <f>IF(COUNTIF($A$2:A3331,A3331)=1,
     VLOOKUP(A3331,Season_Winners!A:B,2,FALSE),
     "")</f>
        <v/>
      </c>
    </row>
    <row r="3332" spans="1:13" x14ac:dyDescent="0.3">
      <c r="A3332" t="s">
        <v>1138</v>
      </c>
      <c r="B3332">
        <v>30</v>
      </c>
      <c r="C3332" t="s">
        <v>1250</v>
      </c>
      <c r="D3332" t="str">
        <f t="shared" si="260"/>
        <v>02.04.2022</v>
      </c>
      <c r="E3332" s="1">
        <v>0.58333333333333337</v>
      </c>
      <c r="F3332" t="s">
        <v>11</v>
      </c>
      <c r="G3332" t="s">
        <v>881</v>
      </c>
      <c r="H3332" t="s">
        <v>18</v>
      </c>
      <c r="I3332" t="str">
        <f t="shared" si="261"/>
        <v>1-0</v>
      </c>
      <c r="J3332" t="str">
        <f t="shared" si="262"/>
        <v>1</v>
      </c>
      <c r="K3332" t="str">
        <f t="shared" si="263"/>
        <v>0</v>
      </c>
      <c r="L3332" t="str">
        <f t="shared" si="264"/>
        <v>Getafe CF</v>
      </c>
      <c r="M3332" t="str">
        <f>IF(COUNTIF($A$2:A3332,A3332)=1,
     VLOOKUP(A3332,Season_Winners!A:B,2,FALSE),
     "")</f>
        <v/>
      </c>
    </row>
    <row r="3333" spans="1:13" x14ac:dyDescent="0.3">
      <c r="A3333" t="s">
        <v>1138</v>
      </c>
      <c r="B3333">
        <v>30</v>
      </c>
      <c r="C3333" t="s">
        <v>1250</v>
      </c>
      <c r="D3333" t="str">
        <f t="shared" si="260"/>
        <v>02.04.2022</v>
      </c>
      <c r="E3333" s="1">
        <v>0.67708333333333337</v>
      </c>
      <c r="F3333" t="s">
        <v>21</v>
      </c>
      <c r="G3333" t="s">
        <v>34</v>
      </c>
      <c r="H3333" t="s">
        <v>12</v>
      </c>
      <c r="I3333" t="str">
        <f t="shared" si="261"/>
        <v>2-0</v>
      </c>
      <c r="J3333" t="str">
        <f t="shared" si="262"/>
        <v>2</v>
      </c>
      <c r="K3333" t="str">
        <f t="shared" si="263"/>
        <v>0</v>
      </c>
      <c r="L3333" t="str">
        <f t="shared" si="264"/>
        <v>Levante UD</v>
      </c>
      <c r="M3333" t="str">
        <f>IF(COUNTIF($A$2:A3333,A3333)=1,
     VLOOKUP(A3333,Season_Winners!A:B,2,FALSE),
     "")</f>
        <v/>
      </c>
    </row>
    <row r="3334" spans="1:13" hidden="1" x14ac:dyDescent="0.3">
      <c r="A3334" t="s">
        <v>1138</v>
      </c>
      <c r="B3334">
        <v>30</v>
      </c>
      <c r="C3334" t="s">
        <v>1250</v>
      </c>
      <c r="D3334" t="str">
        <f t="shared" si="260"/>
        <v>02.04.2022</v>
      </c>
      <c r="E3334" s="1">
        <v>0.77083333333333337</v>
      </c>
      <c r="F3334" t="s">
        <v>35</v>
      </c>
      <c r="G3334" t="s">
        <v>25</v>
      </c>
      <c r="H3334" s="2">
        <v>46054</v>
      </c>
      <c r="I3334" s="3" t="str">
        <f t="shared" si="261"/>
        <v/>
      </c>
      <c r="J3334" t="str">
        <f t="shared" si="262"/>
        <v/>
      </c>
      <c r="K3334" t="str">
        <f t="shared" si="263"/>
        <v/>
      </c>
      <c r="L3334" t="str">
        <f t="shared" si="264"/>
        <v/>
      </c>
      <c r="M3334" t="str">
        <f>IF(COUNTIF($A$2:A3334,A3334)=1,
     VLOOKUP(A3334,Season_Winners!A:B,2,FALSE),
     "")</f>
        <v/>
      </c>
    </row>
    <row r="3335" spans="1:13" hidden="1" x14ac:dyDescent="0.3">
      <c r="A3335" t="s">
        <v>1138</v>
      </c>
      <c r="B3335">
        <v>30</v>
      </c>
      <c r="C3335" t="s">
        <v>1250</v>
      </c>
      <c r="D3335" t="str">
        <f t="shared" si="260"/>
        <v>02.04.2022</v>
      </c>
      <c r="E3335" s="1">
        <v>0.875</v>
      </c>
      <c r="F3335" t="s">
        <v>28</v>
      </c>
      <c r="G3335" t="s">
        <v>464</v>
      </c>
      <c r="H3335" s="2">
        <v>46026</v>
      </c>
      <c r="I3335" s="3" t="str">
        <f t="shared" si="261"/>
        <v/>
      </c>
      <c r="J3335" t="str">
        <f t="shared" si="262"/>
        <v/>
      </c>
      <c r="K3335" t="str">
        <f t="shared" si="263"/>
        <v/>
      </c>
      <c r="L3335" t="str">
        <f t="shared" si="264"/>
        <v/>
      </c>
      <c r="M3335" t="str">
        <f>IF(COUNTIF($A$2:A3335,A3335)=1,
     VLOOKUP(A3335,Season_Winners!A:B,2,FALSE),
     "")</f>
        <v/>
      </c>
    </row>
    <row r="3336" spans="1:13" hidden="1" x14ac:dyDescent="0.3">
      <c r="A3336" t="s">
        <v>1138</v>
      </c>
      <c r="B3336">
        <v>30</v>
      </c>
      <c r="C3336" t="s">
        <v>1251</v>
      </c>
      <c r="D3336" t="str">
        <f t="shared" si="260"/>
        <v>03.04.2022</v>
      </c>
      <c r="E3336" s="1">
        <v>0.58333333333333337</v>
      </c>
      <c r="F3336" t="s">
        <v>15</v>
      </c>
      <c r="G3336" t="s">
        <v>31</v>
      </c>
      <c r="H3336" s="2">
        <v>46024</v>
      </c>
      <c r="I3336" s="3" t="str">
        <f t="shared" si="261"/>
        <v/>
      </c>
      <c r="J3336" t="str">
        <f t="shared" si="262"/>
        <v/>
      </c>
      <c r="K3336" t="str">
        <f t="shared" si="263"/>
        <v/>
      </c>
      <c r="L3336" t="str">
        <f t="shared" si="264"/>
        <v/>
      </c>
      <c r="M3336" t="str">
        <f>IF(COUNTIF($A$2:A3336,A3336)=1,
     VLOOKUP(A3336,Season_Winners!A:B,2,FALSE),
     "")</f>
        <v/>
      </c>
    </row>
    <row r="3337" spans="1:13" hidden="1" x14ac:dyDescent="0.3">
      <c r="A3337" t="s">
        <v>1138</v>
      </c>
      <c r="B3337">
        <v>30</v>
      </c>
      <c r="C3337" t="s">
        <v>1251</v>
      </c>
      <c r="D3337" t="str">
        <f t="shared" si="260"/>
        <v>03.04.2022</v>
      </c>
      <c r="E3337" s="1">
        <v>0.67708333333333337</v>
      </c>
      <c r="F3337" t="s">
        <v>26</v>
      </c>
      <c r="G3337" t="s">
        <v>23</v>
      </c>
      <c r="H3337" s="2">
        <v>46026</v>
      </c>
      <c r="I3337" s="3" t="str">
        <f t="shared" si="261"/>
        <v/>
      </c>
      <c r="J3337" t="str">
        <f t="shared" si="262"/>
        <v/>
      </c>
      <c r="K3337" t="str">
        <f t="shared" si="263"/>
        <v/>
      </c>
      <c r="L3337" t="str">
        <f t="shared" si="264"/>
        <v/>
      </c>
      <c r="M3337" t="str">
        <f>IF(COUNTIF($A$2:A3337,A3337)=1,
     VLOOKUP(A3337,Season_Winners!A:B,2,FALSE),
     "")</f>
        <v/>
      </c>
    </row>
    <row r="3338" spans="1:13" hidden="1" x14ac:dyDescent="0.3">
      <c r="A3338" t="s">
        <v>1138</v>
      </c>
      <c r="B3338">
        <v>30</v>
      </c>
      <c r="C3338" t="s">
        <v>1251</v>
      </c>
      <c r="D3338" t="str">
        <f t="shared" si="260"/>
        <v>03.04.2022</v>
      </c>
      <c r="E3338" s="1">
        <v>0.77083333333333337</v>
      </c>
      <c r="F3338" t="s">
        <v>24</v>
      </c>
      <c r="G3338" t="s">
        <v>30</v>
      </c>
      <c r="H3338" s="2">
        <v>46055</v>
      </c>
      <c r="I3338" s="3" t="str">
        <f t="shared" si="261"/>
        <v/>
      </c>
      <c r="J3338" t="str">
        <f t="shared" si="262"/>
        <v/>
      </c>
      <c r="K3338" t="str">
        <f t="shared" si="263"/>
        <v/>
      </c>
      <c r="L3338" t="str">
        <f t="shared" si="264"/>
        <v/>
      </c>
      <c r="M3338" t="str">
        <f>IF(COUNTIF($A$2:A3338,A3338)=1,
     VLOOKUP(A3338,Season_Winners!A:B,2,FALSE),
     "")</f>
        <v/>
      </c>
    </row>
    <row r="3339" spans="1:13" x14ac:dyDescent="0.3">
      <c r="A3339" t="s">
        <v>1138</v>
      </c>
      <c r="B3339">
        <v>30</v>
      </c>
      <c r="C3339" t="s">
        <v>1251</v>
      </c>
      <c r="D3339" t="str">
        <f t="shared" si="260"/>
        <v>03.04.2022</v>
      </c>
      <c r="E3339" s="1">
        <v>0.77083333333333337</v>
      </c>
      <c r="F3339" t="s">
        <v>16</v>
      </c>
      <c r="G3339" t="s">
        <v>1000</v>
      </c>
      <c r="H3339" t="s">
        <v>41</v>
      </c>
      <c r="I3339" t="str">
        <f t="shared" si="261"/>
        <v>0-0</v>
      </c>
      <c r="J3339" t="str">
        <f t="shared" si="262"/>
        <v>0</v>
      </c>
      <c r="K3339" t="str">
        <f t="shared" si="263"/>
        <v>0</v>
      </c>
      <c r="L3339" t="str">
        <f t="shared" si="264"/>
        <v>Draw</v>
      </c>
      <c r="M3339" t="str">
        <f>IF(COUNTIF($A$2:A3339,A3339)=1,
     VLOOKUP(A3339,Season_Winners!A:B,2,FALSE),
     "")</f>
        <v/>
      </c>
    </row>
    <row r="3340" spans="1:13" x14ac:dyDescent="0.3">
      <c r="A3340" t="s">
        <v>1138</v>
      </c>
      <c r="B3340">
        <v>30</v>
      </c>
      <c r="C3340" t="s">
        <v>1251</v>
      </c>
      <c r="D3340" t="str">
        <f t="shared" si="260"/>
        <v>03.04.2022</v>
      </c>
      <c r="E3340" s="1">
        <v>0.875</v>
      </c>
      <c r="F3340" t="s">
        <v>20</v>
      </c>
      <c r="G3340" t="s">
        <v>27</v>
      </c>
      <c r="H3340" t="s">
        <v>18</v>
      </c>
      <c r="I3340" t="str">
        <f t="shared" si="261"/>
        <v>1-0</v>
      </c>
      <c r="J3340" t="str">
        <f t="shared" si="262"/>
        <v>1</v>
      </c>
      <c r="K3340" t="str">
        <f t="shared" si="263"/>
        <v>0</v>
      </c>
      <c r="L3340" t="str">
        <f t="shared" si="264"/>
        <v>FC Barcelona</v>
      </c>
      <c r="M3340" t="str">
        <f>IF(COUNTIF($A$2:A3340,A3340)=1,
     VLOOKUP(A3340,Season_Winners!A:B,2,FALSE),
     "")</f>
        <v/>
      </c>
    </row>
    <row r="3341" spans="1:13" x14ac:dyDescent="0.3">
      <c r="A3341" t="s">
        <v>1138</v>
      </c>
      <c r="B3341">
        <v>30</v>
      </c>
      <c r="C3341" t="s">
        <v>1252</v>
      </c>
      <c r="D3341" t="str">
        <f t="shared" si="260"/>
        <v>04.04.2022</v>
      </c>
      <c r="E3341" s="1">
        <v>0.875</v>
      </c>
      <c r="F3341" t="s">
        <v>10</v>
      </c>
      <c r="G3341" t="s">
        <v>36</v>
      </c>
      <c r="H3341" t="s">
        <v>18</v>
      </c>
      <c r="I3341" t="str">
        <f t="shared" si="261"/>
        <v>1-0</v>
      </c>
      <c r="J3341" t="str">
        <f t="shared" si="262"/>
        <v>1</v>
      </c>
      <c r="K3341" t="str">
        <f t="shared" si="263"/>
        <v>0</v>
      </c>
      <c r="L3341" t="str">
        <f t="shared" si="264"/>
        <v>Real Sociedad</v>
      </c>
      <c r="M3341" t="str">
        <f>IF(COUNTIF($A$2:A3341,A3341)=1,
     VLOOKUP(A3341,Season_Winners!A:B,2,FALSE),
     "")</f>
        <v/>
      </c>
    </row>
    <row r="3342" spans="1:13" hidden="1" x14ac:dyDescent="0.3">
      <c r="A3342" t="s">
        <v>1138</v>
      </c>
      <c r="B3342">
        <v>31</v>
      </c>
      <c r="C3342" t="s">
        <v>1253</v>
      </c>
      <c r="D3342" t="str">
        <f t="shared" si="260"/>
        <v>08.04.2022</v>
      </c>
      <c r="E3342" s="1">
        <v>0.875</v>
      </c>
      <c r="F3342" t="s">
        <v>27</v>
      </c>
      <c r="G3342" t="s">
        <v>24</v>
      </c>
      <c r="H3342" s="2">
        <v>46057</v>
      </c>
      <c r="I3342" s="3" t="str">
        <f t="shared" si="261"/>
        <v/>
      </c>
      <c r="J3342" t="str">
        <f t="shared" si="262"/>
        <v/>
      </c>
      <c r="K3342" t="str">
        <f t="shared" si="263"/>
        <v/>
      </c>
      <c r="L3342" t="str">
        <f t="shared" si="264"/>
        <v/>
      </c>
      <c r="M3342" t="str">
        <f>IF(COUNTIF($A$2:A3342,A3342)=1,
     VLOOKUP(A3342,Season_Winners!A:B,2,FALSE),
     "")</f>
        <v/>
      </c>
    </row>
    <row r="3343" spans="1:13" hidden="1" x14ac:dyDescent="0.3">
      <c r="A3343" t="s">
        <v>1138</v>
      </c>
      <c r="B3343">
        <v>31</v>
      </c>
      <c r="C3343" t="s">
        <v>1254</v>
      </c>
      <c r="D3343" t="str">
        <f t="shared" si="260"/>
        <v>09.04.2022</v>
      </c>
      <c r="E3343" s="1">
        <v>0.58333333333333337</v>
      </c>
      <c r="F3343" t="s">
        <v>1000</v>
      </c>
      <c r="G3343" t="s">
        <v>26</v>
      </c>
      <c r="H3343" s="2">
        <v>46054</v>
      </c>
      <c r="I3343" s="3" t="str">
        <f t="shared" si="261"/>
        <v/>
      </c>
      <c r="J3343" t="str">
        <f t="shared" si="262"/>
        <v/>
      </c>
      <c r="K3343" t="str">
        <f t="shared" si="263"/>
        <v/>
      </c>
      <c r="L3343" t="str">
        <f t="shared" si="264"/>
        <v/>
      </c>
      <c r="M3343" t="str">
        <f>IF(COUNTIF($A$2:A3343,A3343)=1,
     VLOOKUP(A3343,Season_Winners!A:B,2,FALSE),
     "")</f>
        <v/>
      </c>
    </row>
    <row r="3344" spans="1:13" x14ac:dyDescent="0.3">
      <c r="A3344" t="s">
        <v>1138</v>
      </c>
      <c r="B3344">
        <v>31</v>
      </c>
      <c r="C3344" t="s">
        <v>1254</v>
      </c>
      <c r="D3344" t="str">
        <f t="shared" si="260"/>
        <v>09.04.2022</v>
      </c>
      <c r="E3344" s="1">
        <v>0.67708333333333337</v>
      </c>
      <c r="F3344" t="s">
        <v>881</v>
      </c>
      <c r="G3344" t="s">
        <v>1425</v>
      </c>
      <c r="H3344" t="s">
        <v>18</v>
      </c>
      <c r="I3344" t="str">
        <f t="shared" si="261"/>
        <v>1-0</v>
      </c>
      <c r="J3344" t="str">
        <f t="shared" si="262"/>
        <v>1</v>
      </c>
      <c r="K3344" t="str">
        <f t="shared" si="263"/>
        <v>0</v>
      </c>
      <c r="L3344" t="str">
        <f t="shared" si="264"/>
        <v>RCD Mallorca</v>
      </c>
      <c r="M3344" t="str">
        <f>IF(COUNTIF($A$2:A3344,A3344)=1,
     VLOOKUP(A3344,Season_Winners!A:B,2,FALSE),
     "")</f>
        <v/>
      </c>
    </row>
    <row r="3345" spans="1:13" hidden="1" x14ac:dyDescent="0.3">
      <c r="A3345" t="s">
        <v>1138</v>
      </c>
      <c r="B3345">
        <v>31</v>
      </c>
      <c r="C3345" t="s">
        <v>1254</v>
      </c>
      <c r="D3345" t="str">
        <f t="shared" si="260"/>
        <v>09.04.2022</v>
      </c>
      <c r="E3345" s="1">
        <v>0.77083333333333337</v>
      </c>
      <c r="F3345" t="s">
        <v>34</v>
      </c>
      <c r="G3345" t="s">
        <v>15</v>
      </c>
      <c r="H3345" s="2">
        <v>46023</v>
      </c>
      <c r="I3345" s="3" t="str">
        <f t="shared" si="261"/>
        <v/>
      </c>
      <c r="J3345" t="str">
        <f t="shared" si="262"/>
        <v/>
      </c>
      <c r="K3345" t="str">
        <f t="shared" si="263"/>
        <v/>
      </c>
      <c r="L3345" t="str">
        <f t="shared" si="264"/>
        <v/>
      </c>
      <c r="M3345" t="str">
        <f>IF(COUNTIF($A$2:A3345,A3345)=1,
     VLOOKUP(A3345,Season_Winners!A:B,2,FALSE),
     "")</f>
        <v/>
      </c>
    </row>
    <row r="3346" spans="1:13" x14ac:dyDescent="0.3">
      <c r="A3346" t="s">
        <v>1138</v>
      </c>
      <c r="B3346">
        <v>31</v>
      </c>
      <c r="C3346" t="s">
        <v>1254</v>
      </c>
      <c r="D3346" t="str">
        <f t="shared" si="260"/>
        <v>09.04.2022</v>
      </c>
      <c r="E3346" s="1">
        <v>0.875</v>
      </c>
      <c r="F3346" t="s">
        <v>25</v>
      </c>
      <c r="G3346" t="s">
        <v>11</v>
      </c>
      <c r="H3346" t="s">
        <v>12</v>
      </c>
      <c r="I3346" t="str">
        <f t="shared" si="261"/>
        <v>2-0</v>
      </c>
      <c r="J3346" t="str">
        <f t="shared" si="262"/>
        <v>2</v>
      </c>
      <c r="K3346" t="str">
        <f t="shared" si="263"/>
        <v>0</v>
      </c>
      <c r="L3346" t="str">
        <f t="shared" si="264"/>
        <v>Real Madrid</v>
      </c>
      <c r="M3346" t="str">
        <f>IF(COUNTIF($A$2:A3346,A3346)=1,
     VLOOKUP(A3346,Season_Winners!A:B,2,FALSE),
     "")</f>
        <v/>
      </c>
    </row>
    <row r="3347" spans="1:13" x14ac:dyDescent="0.3">
      <c r="A3347" t="s">
        <v>1138</v>
      </c>
      <c r="B3347">
        <v>31</v>
      </c>
      <c r="C3347" t="s">
        <v>1255</v>
      </c>
      <c r="D3347" t="str">
        <f t="shared" si="260"/>
        <v>10.04.2022</v>
      </c>
      <c r="E3347" s="1">
        <v>0.58333333333333337</v>
      </c>
      <c r="F3347" t="s">
        <v>23</v>
      </c>
      <c r="G3347" t="s">
        <v>464</v>
      </c>
      <c r="H3347" t="s">
        <v>18</v>
      </c>
      <c r="I3347" t="str">
        <f t="shared" si="261"/>
        <v>1-0</v>
      </c>
      <c r="J3347" t="str">
        <f t="shared" si="262"/>
        <v>1</v>
      </c>
      <c r="K3347" t="str">
        <f t="shared" si="263"/>
        <v>0</v>
      </c>
      <c r="L3347" t="str">
        <f t="shared" si="264"/>
        <v>CA Osasuna</v>
      </c>
      <c r="M3347" t="str">
        <f>IF(COUNTIF($A$2:A3347,A3347)=1,
     VLOOKUP(A3347,Season_Winners!A:B,2,FALSE),
     "")</f>
        <v/>
      </c>
    </row>
    <row r="3348" spans="1:13" x14ac:dyDescent="0.3">
      <c r="A3348" t="s">
        <v>1138</v>
      </c>
      <c r="B3348">
        <v>31</v>
      </c>
      <c r="C3348" t="s">
        <v>1255</v>
      </c>
      <c r="D3348" t="str">
        <f t="shared" si="260"/>
        <v>10.04.2022</v>
      </c>
      <c r="E3348" s="1">
        <v>0.67708333333333337</v>
      </c>
      <c r="F3348" t="s">
        <v>36</v>
      </c>
      <c r="G3348" t="s">
        <v>35</v>
      </c>
      <c r="H3348" t="s">
        <v>18</v>
      </c>
      <c r="I3348" t="str">
        <f t="shared" si="261"/>
        <v>1-0</v>
      </c>
      <c r="J3348" t="str">
        <f t="shared" si="262"/>
        <v>1</v>
      </c>
      <c r="K3348" t="str">
        <f t="shared" si="263"/>
        <v>0</v>
      </c>
      <c r="L3348" t="str">
        <f t="shared" si="264"/>
        <v>RCD Espanyol de Barcelona</v>
      </c>
      <c r="M3348" t="str">
        <f>IF(COUNTIF($A$2:A3348,A3348)=1,
     VLOOKUP(A3348,Season_Winners!A:B,2,FALSE),
     "")</f>
        <v/>
      </c>
    </row>
    <row r="3349" spans="1:13" hidden="1" x14ac:dyDescent="0.3">
      <c r="A3349" t="s">
        <v>1138</v>
      </c>
      <c r="B3349">
        <v>31</v>
      </c>
      <c r="C3349" t="s">
        <v>1255</v>
      </c>
      <c r="D3349" t="str">
        <f t="shared" si="260"/>
        <v>10.04.2022</v>
      </c>
      <c r="E3349" s="1">
        <v>0.77083333333333337</v>
      </c>
      <c r="F3349" t="s">
        <v>31</v>
      </c>
      <c r="G3349" t="s">
        <v>10</v>
      </c>
      <c r="H3349" s="2">
        <v>46054</v>
      </c>
      <c r="I3349" s="3" t="str">
        <f t="shared" si="261"/>
        <v/>
      </c>
      <c r="J3349" t="str">
        <f t="shared" si="262"/>
        <v/>
      </c>
      <c r="K3349" t="str">
        <f t="shared" si="263"/>
        <v/>
      </c>
      <c r="L3349" t="str">
        <f t="shared" si="264"/>
        <v/>
      </c>
      <c r="M3349" t="str">
        <f>IF(COUNTIF($A$2:A3349,A3349)=1,
     VLOOKUP(A3349,Season_Winners!A:B,2,FALSE),
     "")</f>
        <v/>
      </c>
    </row>
    <row r="3350" spans="1:13" hidden="1" x14ac:dyDescent="0.3">
      <c r="A3350" t="s">
        <v>1138</v>
      </c>
      <c r="B3350">
        <v>31</v>
      </c>
      <c r="C3350" t="s">
        <v>1255</v>
      </c>
      <c r="D3350" t="str">
        <f t="shared" si="260"/>
        <v>10.04.2022</v>
      </c>
      <c r="E3350" s="1">
        <v>0.875</v>
      </c>
      <c r="F3350" t="s">
        <v>21</v>
      </c>
      <c r="G3350" t="s">
        <v>20</v>
      </c>
      <c r="H3350" s="2">
        <v>46083</v>
      </c>
      <c r="I3350" s="3" t="str">
        <f t="shared" si="261"/>
        <v/>
      </c>
      <c r="J3350" t="str">
        <f t="shared" si="262"/>
        <v/>
      </c>
      <c r="K3350" t="str">
        <f t="shared" si="263"/>
        <v/>
      </c>
      <c r="L3350" t="str">
        <f t="shared" si="264"/>
        <v/>
      </c>
      <c r="M3350" t="str">
        <f>IF(COUNTIF($A$2:A3350,A3350)=1,
     VLOOKUP(A3350,Season_Winners!A:B,2,FALSE),
     "")</f>
        <v/>
      </c>
    </row>
    <row r="3351" spans="1:13" hidden="1" x14ac:dyDescent="0.3">
      <c r="A3351" t="s">
        <v>1138</v>
      </c>
      <c r="B3351">
        <v>31</v>
      </c>
      <c r="C3351" t="s">
        <v>1256</v>
      </c>
      <c r="D3351" t="str">
        <f t="shared" si="260"/>
        <v>11.04.2022</v>
      </c>
      <c r="E3351" s="1">
        <v>0.875</v>
      </c>
      <c r="F3351" t="s">
        <v>30</v>
      </c>
      <c r="G3351" t="s">
        <v>16</v>
      </c>
      <c r="H3351" s="2">
        <v>46023</v>
      </c>
      <c r="I3351" s="3" t="str">
        <f t="shared" si="261"/>
        <v/>
      </c>
      <c r="J3351" t="str">
        <f t="shared" si="262"/>
        <v/>
      </c>
      <c r="K3351" t="str">
        <f t="shared" si="263"/>
        <v/>
      </c>
      <c r="L3351" t="str">
        <f t="shared" si="264"/>
        <v/>
      </c>
      <c r="M3351" t="str">
        <f>IF(COUNTIF($A$2:A3351,A3351)=1,
     VLOOKUP(A3351,Season_Winners!A:B,2,FALSE),
     "")</f>
        <v/>
      </c>
    </row>
    <row r="3352" spans="1:13" x14ac:dyDescent="0.3">
      <c r="A3352" t="s">
        <v>1138</v>
      </c>
      <c r="B3352">
        <v>32</v>
      </c>
      <c r="C3352" t="s">
        <v>1257</v>
      </c>
      <c r="D3352" t="str">
        <f t="shared" si="260"/>
        <v>15.04.2022</v>
      </c>
      <c r="E3352" s="1">
        <v>0.875</v>
      </c>
      <c r="F3352" t="s">
        <v>10</v>
      </c>
      <c r="G3352" t="s">
        <v>26</v>
      </c>
      <c r="H3352" t="s">
        <v>41</v>
      </c>
      <c r="I3352" t="str">
        <f t="shared" si="261"/>
        <v>0-0</v>
      </c>
      <c r="J3352" t="str">
        <f t="shared" si="262"/>
        <v>0</v>
      </c>
      <c r="K3352" t="str">
        <f t="shared" si="263"/>
        <v>0</v>
      </c>
      <c r="L3352" t="str">
        <f t="shared" si="264"/>
        <v>Draw</v>
      </c>
      <c r="M3352" t="str">
        <f>IF(COUNTIF($A$2:A3352,A3352)=1,
     VLOOKUP(A3352,Season_Winners!A:B,2,FALSE),
     "")</f>
        <v/>
      </c>
    </row>
    <row r="3353" spans="1:13" x14ac:dyDescent="0.3">
      <c r="A3353" t="s">
        <v>1138</v>
      </c>
      <c r="B3353">
        <v>32</v>
      </c>
      <c r="C3353" t="s">
        <v>1258</v>
      </c>
      <c r="D3353" t="str">
        <f t="shared" si="260"/>
        <v>16.04.2022</v>
      </c>
      <c r="E3353" s="1">
        <v>0.58333333333333337</v>
      </c>
      <c r="F3353" t="s">
        <v>31</v>
      </c>
      <c r="G3353" t="s">
        <v>881</v>
      </c>
      <c r="H3353" t="s">
        <v>32</v>
      </c>
      <c r="I3353" t="str">
        <f t="shared" si="261"/>
        <v>3-0</v>
      </c>
      <c r="J3353" t="str">
        <f t="shared" si="262"/>
        <v>3</v>
      </c>
      <c r="K3353" t="str">
        <f t="shared" si="263"/>
        <v>0</v>
      </c>
      <c r="L3353" t="str">
        <f t="shared" si="264"/>
        <v>Elche CF</v>
      </c>
      <c r="M3353" t="str">
        <f>IF(COUNTIF($A$2:A3353,A3353)=1,
     VLOOKUP(A3353,Season_Winners!A:B,2,FALSE),
     "")</f>
        <v/>
      </c>
    </row>
    <row r="3354" spans="1:13" x14ac:dyDescent="0.3">
      <c r="A3354" t="s">
        <v>1138</v>
      </c>
      <c r="B3354">
        <v>32</v>
      </c>
      <c r="C3354" t="s">
        <v>1258</v>
      </c>
      <c r="D3354" t="str">
        <f t="shared" si="260"/>
        <v>16.04.2022</v>
      </c>
      <c r="E3354" s="1">
        <v>0.67708333333333337</v>
      </c>
      <c r="F3354" t="s">
        <v>464</v>
      </c>
      <c r="G3354" t="s">
        <v>30</v>
      </c>
      <c r="H3354" t="s">
        <v>18</v>
      </c>
      <c r="I3354" t="str">
        <f t="shared" si="261"/>
        <v>1-0</v>
      </c>
      <c r="J3354" t="str">
        <f t="shared" si="262"/>
        <v>1</v>
      </c>
      <c r="K3354" t="str">
        <f t="shared" si="263"/>
        <v>0</v>
      </c>
      <c r="L3354" t="str">
        <f t="shared" si="264"/>
        <v>Deportivo AlavÃ©s</v>
      </c>
      <c r="M3354" t="str">
        <f>IF(COUNTIF($A$2:A3354,A3354)=1,
     VLOOKUP(A3354,Season_Winners!A:B,2,FALSE),
     "")</f>
        <v/>
      </c>
    </row>
    <row r="3355" spans="1:13" hidden="1" x14ac:dyDescent="0.3">
      <c r="A3355" t="s">
        <v>1138</v>
      </c>
      <c r="B3355">
        <v>32</v>
      </c>
      <c r="C3355" t="s">
        <v>1258</v>
      </c>
      <c r="D3355" t="str">
        <f t="shared" si="260"/>
        <v>16.04.2022</v>
      </c>
      <c r="E3355" s="1">
        <v>0.77083333333333337</v>
      </c>
      <c r="F3355" t="s">
        <v>16</v>
      </c>
      <c r="G3355" t="s">
        <v>23</v>
      </c>
      <c r="H3355" s="2">
        <v>46054</v>
      </c>
      <c r="I3355" s="3" t="str">
        <f t="shared" si="261"/>
        <v/>
      </c>
      <c r="J3355" t="str">
        <f t="shared" si="262"/>
        <v/>
      </c>
      <c r="K3355" t="str">
        <f t="shared" si="263"/>
        <v/>
      </c>
      <c r="L3355" t="str">
        <f t="shared" si="264"/>
        <v/>
      </c>
      <c r="M3355" t="str">
        <f>IF(COUNTIF($A$2:A3355,A3355)=1,
     VLOOKUP(A3355,Season_Winners!A:B,2,FALSE),
     "")</f>
        <v/>
      </c>
    </row>
    <row r="3356" spans="1:13" hidden="1" x14ac:dyDescent="0.3">
      <c r="A3356" t="s">
        <v>1138</v>
      </c>
      <c r="B3356">
        <v>32</v>
      </c>
      <c r="C3356" t="s">
        <v>1258</v>
      </c>
      <c r="D3356" t="str">
        <f t="shared" si="260"/>
        <v>16.04.2022</v>
      </c>
      <c r="E3356" s="1">
        <v>0.875</v>
      </c>
      <c r="F3356" t="s">
        <v>11</v>
      </c>
      <c r="G3356" t="s">
        <v>34</v>
      </c>
      <c r="H3356" s="2">
        <v>46054</v>
      </c>
      <c r="I3356" s="3" t="str">
        <f t="shared" si="261"/>
        <v/>
      </c>
      <c r="J3356" t="str">
        <f t="shared" si="262"/>
        <v/>
      </c>
      <c r="K3356" t="str">
        <f t="shared" si="263"/>
        <v/>
      </c>
      <c r="L3356" t="str">
        <f t="shared" si="264"/>
        <v/>
      </c>
      <c r="M3356" t="str">
        <f>IF(COUNTIF($A$2:A3356,A3356)=1,
     VLOOKUP(A3356,Season_Winners!A:B,2,FALSE),
     "")</f>
        <v/>
      </c>
    </row>
    <row r="3357" spans="1:13" hidden="1" x14ac:dyDescent="0.3">
      <c r="A3357" t="s">
        <v>1138</v>
      </c>
      <c r="B3357">
        <v>32</v>
      </c>
      <c r="C3357" t="s">
        <v>1259</v>
      </c>
      <c r="D3357" t="str">
        <f t="shared" si="260"/>
        <v>17.04.2022</v>
      </c>
      <c r="E3357" s="1">
        <v>0.58333333333333337</v>
      </c>
      <c r="F3357" t="s">
        <v>24</v>
      </c>
      <c r="G3357" t="s">
        <v>21</v>
      </c>
      <c r="H3357" s="2">
        <v>46113</v>
      </c>
      <c r="I3357" s="3" t="str">
        <f t="shared" si="261"/>
        <v/>
      </c>
      <c r="J3357" t="str">
        <f t="shared" si="262"/>
        <v/>
      </c>
      <c r="K3357" t="str">
        <f t="shared" si="263"/>
        <v/>
      </c>
      <c r="L3357" t="str">
        <f t="shared" si="264"/>
        <v/>
      </c>
      <c r="M3357" t="str">
        <f>IF(COUNTIF($A$2:A3357,A3357)=1,
     VLOOKUP(A3357,Season_Winners!A:B,2,FALSE),
     "")</f>
        <v/>
      </c>
    </row>
    <row r="3358" spans="1:13" hidden="1" x14ac:dyDescent="0.3">
      <c r="A3358" t="s">
        <v>1138</v>
      </c>
      <c r="B3358">
        <v>32</v>
      </c>
      <c r="C3358" t="s">
        <v>1259</v>
      </c>
      <c r="D3358" t="str">
        <f t="shared" si="260"/>
        <v>17.04.2022</v>
      </c>
      <c r="E3358" s="1">
        <v>0.67708333333333337</v>
      </c>
      <c r="F3358" t="s">
        <v>28</v>
      </c>
      <c r="G3358" t="s">
        <v>36</v>
      </c>
      <c r="H3358" s="2">
        <v>46024</v>
      </c>
      <c r="I3358" s="3" t="str">
        <f t="shared" si="261"/>
        <v/>
      </c>
      <c r="J3358" t="str">
        <f t="shared" si="262"/>
        <v/>
      </c>
      <c r="K3358" t="str">
        <f t="shared" si="263"/>
        <v/>
      </c>
      <c r="L3358" t="str">
        <f t="shared" si="264"/>
        <v/>
      </c>
      <c r="M3358" t="str">
        <f>IF(COUNTIF($A$2:A3358,A3358)=1,
     VLOOKUP(A3358,Season_Winners!A:B,2,FALSE),
     "")</f>
        <v/>
      </c>
    </row>
    <row r="3359" spans="1:13" x14ac:dyDescent="0.3">
      <c r="A3359" t="s">
        <v>1138</v>
      </c>
      <c r="B3359">
        <v>32</v>
      </c>
      <c r="C3359" t="s">
        <v>1259</v>
      </c>
      <c r="D3359" t="str">
        <f t="shared" si="260"/>
        <v>17.04.2022</v>
      </c>
      <c r="E3359" s="1">
        <v>0.77083333333333337</v>
      </c>
      <c r="F3359" t="s">
        <v>15</v>
      </c>
      <c r="G3359" t="s">
        <v>35</v>
      </c>
      <c r="H3359" t="s">
        <v>54</v>
      </c>
      <c r="I3359" t="str">
        <f t="shared" si="261"/>
        <v>0-2</v>
      </c>
      <c r="J3359" t="str">
        <f t="shared" si="262"/>
        <v>0</v>
      </c>
      <c r="K3359" t="str">
        <f t="shared" si="263"/>
        <v>2</v>
      </c>
      <c r="L3359" t="str">
        <f t="shared" si="264"/>
        <v>RC Celta</v>
      </c>
      <c r="M3359" t="str">
        <f>IF(COUNTIF($A$2:A3359,A3359)=1,
     VLOOKUP(A3359,Season_Winners!A:B,2,FALSE),
     "")</f>
        <v/>
      </c>
    </row>
    <row r="3360" spans="1:13" hidden="1" x14ac:dyDescent="0.3">
      <c r="A3360" t="s">
        <v>1138</v>
      </c>
      <c r="B3360">
        <v>32</v>
      </c>
      <c r="C3360" t="s">
        <v>1259</v>
      </c>
      <c r="D3360" t="str">
        <f t="shared" si="260"/>
        <v>17.04.2022</v>
      </c>
      <c r="E3360" s="1">
        <v>0.875</v>
      </c>
      <c r="F3360" t="s">
        <v>27</v>
      </c>
      <c r="G3360" t="s">
        <v>25</v>
      </c>
      <c r="H3360" s="2">
        <v>46083</v>
      </c>
      <c r="I3360" s="3" t="str">
        <f t="shared" si="261"/>
        <v/>
      </c>
      <c r="J3360" t="str">
        <f t="shared" si="262"/>
        <v/>
      </c>
      <c r="K3360" t="str">
        <f t="shared" si="263"/>
        <v/>
      </c>
      <c r="L3360" t="str">
        <f t="shared" si="264"/>
        <v/>
      </c>
      <c r="M3360" t="str">
        <f>IF(COUNTIF($A$2:A3360,A3360)=1,
     VLOOKUP(A3360,Season_Winners!A:B,2,FALSE),
     "")</f>
        <v/>
      </c>
    </row>
    <row r="3361" spans="1:13" x14ac:dyDescent="0.3">
      <c r="A3361" t="s">
        <v>1138</v>
      </c>
      <c r="B3361">
        <v>32</v>
      </c>
      <c r="C3361" t="s">
        <v>1260</v>
      </c>
      <c r="D3361" t="str">
        <f t="shared" si="260"/>
        <v>18.04.2022</v>
      </c>
      <c r="E3361" s="1">
        <v>0.875</v>
      </c>
      <c r="F3361" t="s">
        <v>20</v>
      </c>
      <c r="G3361" t="s">
        <v>1000</v>
      </c>
      <c r="H3361" t="s">
        <v>42</v>
      </c>
      <c r="I3361" t="str">
        <f t="shared" si="261"/>
        <v>0-1</v>
      </c>
      <c r="J3361" t="str">
        <f t="shared" si="262"/>
        <v>0</v>
      </c>
      <c r="K3361" t="str">
        <f t="shared" si="263"/>
        <v>1</v>
      </c>
      <c r="L3361" t="str">
        <f t="shared" si="264"/>
        <v>CÃ¡diz CF</v>
      </c>
      <c r="M3361" t="str">
        <f>IF(COUNTIF($A$2:A3361,A3361)=1,
     VLOOKUP(A3361,Season_Winners!A:B,2,FALSE),
     "")</f>
        <v/>
      </c>
    </row>
    <row r="3362" spans="1:13" hidden="1" x14ac:dyDescent="0.3">
      <c r="A3362" t="s">
        <v>1138</v>
      </c>
      <c r="B3362">
        <v>33</v>
      </c>
      <c r="C3362" t="s">
        <v>1261</v>
      </c>
      <c r="D3362" t="str">
        <f t="shared" si="260"/>
        <v>19.04.2022</v>
      </c>
      <c r="E3362" s="1">
        <v>0.79166666666666663</v>
      </c>
      <c r="F3362" t="s">
        <v>881</v>
      </c>
      <c r="G3362" t="s">
        <v>464</v>
      </c>
      <c r="H3362" s="2">
        <v>46024</v>
      </c>
      <c r="I3362" s="3" t="str">
        <f t="shared" si="261"/>
        <v/>
      </c>
      <c r="J3362" t="str">
        <f t="shared" si="262"/>
        <v/>
      </c>
      <c r="K3362" t="str">
        <f t="shared" si="263"/>
        <v/>
      </c>
      <c r="L3362" t="str">
        <f t="shared" si="264"/>
        <v/>
      </c>
      <c r="M3362" t="str">
        <f>IF(COUNTIF($A$2:A3362,A3362)=1,
     VLOOKUP(A3362,Season_Winners!A:B,2,FALSE),
     "")</f>
        <v/>
      </c>
    </row>
    <row r="3363" spans="1:13" x14ac:dyDescent="0.3">
      <c r="A3363" t="s">
        <v>1138</v>
      </c>
      <c r="B3363">
        <v>33</v>
      </c>
      <c r="C3363" t="s">
        <v>1261</v>
      </c>
      <c r="D3363" t="str">
        <f t="shared" si="260"/>
        <v>19.04.2022</v>
      </c>
      <c r="E3363" s="1">
        <v>0.875</v>
      </c>
      <c r="F3363" t="s">
        <v>26</v>
      </c>
      <c r="G3363" t="s">
        <v>31</v>
      </c>
      <c r="H3363" t="s">
        <v>42</v>
      </c>
      <c r="I3363" t="str">
        <f t="shared" si="261"/>
        <v>0-1</v>
      </c>
      <c r="J3363" t="str">
        <f t="shared" si="262"/>
        <v>0</v>
      </c>
      <c r="K3363" t="str">
        <f t="shared" si="263"/>
        <v>1</v>
      </c>
      <c r="L3363" t="str">
        <f t="shared" si="264"/>
        <v>Elche CF</v>
      </c>
      <c r="M3363" t="str">
        <f>IF(COUNTIF($A$2:A3363,A3363)=1,
     VLOOKUP(A3363,Season_Winners!A:B,2,FALSE),
     "")</f>
        <v/>
      </c>
    </row>
    <row r="3364" spans="1:13" x14ac:dyDescent="0.3">
      <c r="A3364" t="s">
        <v>1138</v>
      </c>
      <c r="B3364">
        <v>33</v>
      </c>
      <c r="C3364" t="s">
        <v>1261</v>
      </c>
      <c r="D3364" t="str">
        <f t="shared" si="260"/>
        <v>19.04.2022</v>
      </c>
      <c r="E3364" s="1">
        <v>0.89583333333333337</v>
      </c>
      <c r="F3364" t="s">
        <v>34</v>
      </c>
      <c r="G3364" t="s">
        <v>16</v>
      </c>
      <c r="H3364" t="s">
        <v>12</v>
      </c>
      <c r="I3364" t="str">
        <f t="shared" si="261"/>
        <v>2-0</v>
      </c>
      <c r="J3364" t="str">
        <f t="shared" si="262"/>
        <v>2</v>
      </c>
      <c r="K3364" t="str">
        <f t="shared" si="263"/>
        <v>0</v>
      </c>
      <c r="L3364" t="str">
        <f t="shared" si="264"/>
        <v>Villarreal CF</v>
      </c>
      <c r="M3364" t="str">
        <f>IF(COUNTIF($A$2:A3364,A3364)=1,
     VLOOKUP(A3364,Season_Winners!A:B,2,FALSE),
     "")</f>
        <v/>
      </c>
    </row>
    <row r="3365" spans="1:13" x14ac:dyDescent="0.3">
      <c r="A3365" t="s">
        <v>1138</v>
      </c>
      <c r="B3365">
        <v>33</v>
      </c>
      <c r="C3365" t="s">
        <v>1262</v>
      </c>
      <c r="D3365" t="str">
        <f t="shared" si="260"/>
        <v>20.04.2022</v>
      </c>
      <c r="E3365" s="1">
        <v>0.79166666666666663</v>
      </c>
      <c r="F3365" t="s">
        <v>1425</v>
      </c>
      <c r="G3365" t="s">
        <v>24</v>
      </c>
      <c r="H3365" t="s">
        <v>41</v>
      </c>
      <c r="I3365" t="str">
        <f t="shared" si="261"/>
        <v>0-0</v>
      </c>
      <c r="J3365" t="str">
        <f t="shared" si="262"/>
        <v>0</v>
      </c>
      <c r="K3365" t="str">
        <f t="shared" si="263"/>
        <v>0</v>
      </c>
      <c r="L3365" t="str">
        <f t="shared" si="264"/>
        <v>Draw</v>
      </c>
      <c r="M3365" t="str">
        <f>IF(COUNTIF($A$2:A3365,A3365)=1,
     VLOOKUP(A3365,Season_Winners!A:B,2,FALSE),
     "")</f>
        <v/>
      </c>
    </row>
    <row r="3366" spans="1:13" x14ac:dyDescent="0.3">
      <c r="A3366" t="s">
        <v>1138</v>
      </c>
      <c r="B3366">
        <v>33</v>
      </c>
      <c r="C3366" t="s">
        <v>1262</v>
      </c>
      <c r="D3366" t="str">
        <f t="shared" si="260"/>
        <v>20.04.2022</v>
      </c>
      <c r="E3366" s="1">
        <v>0.83333333333333337</v>
      </c>
      <c r="F3366" t="s">
        <v>35</v>
      </c>
      <c r="G3366" t="s">
        <v>11</v>
      </c>
      <c r="H3366" t="s">
        <v>54</v>
      </c>
      <c r="I3366" t="str">
        <f t="shared" si="261"/>
        <v>0-2</v>
      </c>
      <c r="J3366" t="str">
        <f t="shared" si="262"/>
        <v>0</v>
      </c>
      <c r="K3366" t="str">
        <f t="shared" si="263"/>
        <v>2</v>
      </c>
      <c r="L3366" t="str">
        <f t="shared" si="264"/>
        <v>Getafe CF</v>
      </c>
      <c r="M3366" t="str">
        <f>IF(COUNTIF($A$2:A3366,A3366)=1,
     VLOOKUP(A3366,Season_Winners!A:B,2,FALSE),
     "")</f>
        <v/>
      </c>
    </row>
    <row r="3367" spans="1:13" hidden="1" x14ac:dyDescent="0.3">
      <c r="A3367" t="s">
        <v>1138</v>
      </c>
      <c r="B3367">
        <v>33</v>
      </c>
      <c r="C3367" t="s">
        <v>1262</v>
      </c>
      <c r="D3367" t="str">
        <f t="shared" si="260"/>
        <v>20.04.2022</v>
      </c>
      <c r="E3367" s="1">
        <v>0.89583333333333337</v>
      </c>
      <c r="F3367" t="s">
        <v>23</v>
      </c>
      <c r="G3367" t="s">
        <v>25</v>
      </c>
      <c r="H3367" s="2">
        <v>46082</v>
      </c>
      <c r="I3367" s="3" t="str">
        <f t="shared" si="261"/>
        <v/>
      </c>
      <c r="J3367" t="str">
        <f t="shared" si="262"/>
        <v/>
      </c>
      <c r="K3367" t="str">
        <f t="shared" si="263"/>
        <v/>
      </c>
      <c r="L3367" t="str">
        <f t="shared" si="264"/>
        <v/>
      </c>
      <c r="M3367" t="str">
        <f>IF(COUNTIF($A$2:A3367,A3367)=1,
     VLOOKUP(A3367,Season_Winners!A:B,2,FALSE),
     "")</f>
        <v/>
      </c>
    </row>
    <row r="3368" spans="1:13" x14ac:dyDescent="0.3">
      <c r="A3368" t="s">
        <v>1138</v>
      </c>
      <c r="B3368">
        <v>33</v>
      </c>
      <c r="C3368" t="s">
        <v>1263</v>
      </c>
      <c r="D3368" t="str">
        <f t="shared" si="260"/>
        <v>21.04.2022</v>
      </c>
      <c r="E3368" s="1">
        <v>0.79166666666666663</v>
      </c>
      <c r="F3368" t="s">
        <v>36</v>
      </c>
      <c r="G3368" t="s">
        <v>30</v>
      </c>
      <c r="H3368" t="s">
        <v>42</v>
      </c>
      <c r="I3368" t="str">
        <f t="shared" si="261"/>
        <v>0-1</v>
      </c>
      <c r="J3368" t="str">
        <f t="shared" si="262"/>
        <v>0</v>
      </c>
      <c r="K3368" t="str">
        <f t="shared" si="263"/>
        <v>1</v>
      </c>
      <c r="L3368" t="str">
        <f t="shared" si="264"/>
        <v>Rayo Vallecano</v>
      </c>
      <c r="M3368" t="str">
        <f>IF(COUNTIF($A$2:A3368,A3368)=1,
     VLOOKUP(A3368,Season_Winners!A:B,2,FALSE),
     "")</f>
        <v/>
      </c>
    </row>
    <row r="3369" spans="1:13" hidden="1" x14ac:dyDescent="0.3">
      <c r="A3369" t="s">
        <v>1138</v>
      </c>
      <c r="B3369">
        <v>33</v>
      </c>
      <c r="C3369" t="s">
        <v>1263</v>
      </c>
      <c r="D3369" t="str">
        <f t="shared" si="260"/>
        <v>21.04.2022</v>
      </c>
      <c r="E3369" s="1">
        <v>0.79166666666666663</v>
      </c>
      <c r="F3369" t="s">
        <v>21</v>
      </c>
      <c r="G3369" t="s">
        <v>27</v>
      </c>
      <c r="H3369" s="2">
        <v>46083</v>
      </c>
      <c r="I3369" s="3" t="str">
        <f t="shared" si="261"/>
        <v/>
      </c>
      <c r="J3369" t="str">
        <f t="shared" si="262"/>
        <v/>
      </c>
      <c r="K3369" t="str">
        <f t="shared" si="263"/>
        <v/>
      </c>
      <c r="L3369" t="str">
        <f t="shared" si="264"/>
        <v/>
      </c>
      <c r="M3369" t="str">
        <f>IF(COUNTIF($A$2:A3369,A3369)=1,
     VLOOKUP(A3369,Season_Winners!A:B,2,FALSE),
     "")</f>
        <v/>
      </c>
    </row>
    <row r="3370" spans="1:13" hidden="1" x14ac:dyDescent="0.3">
      <c r="A3370" t="s">
        <v>1138</v>
      </c>
      <c r="B3370">
        <v>33</v>
      </c>
      <c r="C3370" t="s">
        <v>1263</v>
      </c>
      <c r="D3370" t="str">
        <f t="shared" si="260"/>
        <v>21.04.2022</v>
      </c>
      <c r="E3370" s="1">
        <v>0.83333333333333337</v>
      </c>
      <c r="F3370" t="s">
        <v>1000</v>
      </c>
      <c r="G3370" t="s">
        <v>15</v>
      </c>
      <c r="H3370" s="2">
        <v>46083</v>
      </c>
      <c r="I3370" s="3" t="str">
        <f t="shared" si="261"/>
        <v/>
      </c>
      <c r="J3370" t="str">
        <f t="shared" si="262"/>
        <v/>
      </c>
      <c r="K3370" t="str">
        <f t="shared" si="263"/>
        <v/>
      </c>
      <c r="L3370" t="str">
        <f t="shared" si="264"/>
        <v/>
      </c>
      <c r="M3370" t="str">
        <f>IF(COUNTIF($A$2:A3370,A3370)=1,
     VLOOKUP(A3370,Season_Winners!A:B,2,FALSE),
     "")</f>
        <v/>
      </c>
    </row>
    <row r="3371" spans="1:13" x14ac:dyDescent="0.3">
      <c r="A3371" t="s">
        <v>1138</v>
      </c>
      <c r="B3371">
        <v>33</v>
      </c>
      <c r="C3371" t="s">
        <v>1263</v>
      </c>
      <c r="D3371" t="str">
        <f t="shared" si="260"/>
        <v>21.04.2022</v>
      </c>
      <c r="E3371" s="1">
        <v>0.89583333333333337</v>
      </c>
      <c r="F3371" t="s">
        <v>10</v>
      </c>
      <c r="G3371" t="s">
        <v>20</v>
      </c>
      <c r="H3371" t="s">
        <v>42</v>
      </c>
      <c r="I3371" t="str">
        <f t="shared" si="261"/>
        <v>0-1</v>
      </c>
      <c r="J3371" t="str">
        <f t="shared" si="262"/>
        <v>0</v>
      </c>
      <c r="K3371" t="str">
        <f t="shared" si="263"/>
        <v>1</v>
      </c>
      <c r="L3371" t="str">
        <f t="shared" si="264"/>
        <v>FC Barcelona</v>
      </c>
      <c r="M3371" t="str">
        <f>IF(COUNTIF($A$2:A3371,A3371)=1,
     VLOOKUP(A3371,Season_Winners!A:B,2,FALSE),
     "")</f>
        <v/>
      </c>
    </row>
    <row r="3372" spans="1:13" hidden="1" x14ac:dyDescent="0.3">
      <c r="A3372" t="s">
        <v>1138</v>
      </c>
      <c r="B3372">
        <v>34</v>
      </c>
      <c r="C3372" t="s">
        <v>1264</v>
      </c>
      <c r="D3372" t="str">
        <f t="shared" si="260"/>
        <v>29.04.2022</v>
      </c>
      <c r="E3372" s="1">
        <v>0.875</v>
      </c>
      <c r="F3372" t="s">
        <v>27</v>
      </c>
      <c r="G3372" t="s">
        <v>1000</v>
      </c>
      <c r="H3372" s="2">
        <v>46023</v>
      </c>
      <c r="I3372" s="3" t="str">
        <f t="shared" si="261"/>
        <v/>
      </c>
      <c r="J3372" t="str">
        <f t="shared" si="262"/>
        <v/>
      </c>
      <c r="K3372" t="str">
        <f t="shared" si="263"/>
        <v/>
      </c>
      <c r="L3372" t="str">
        <f t="shared" si="264"/>
        <v/>
      </c>
      <c r="M3372" t="str">
        <f>IF(COUNTIF($A$2:A3372,A3372)=1,
     VLOOKUP(A3372,Season_Winners!A:B,2,FALSE),
     "")</f>
        <v/>
      </c>
    </row>
    <row r="3373" spans="1:13" hidden="1" x14ac:dyDescent="0.3">
      <c r="A3373" t="s">
        <v>1138</v>
      </c>
      <c r="B3373">
        <v>34</v>
      </c>
      <c r="C3373" t="s">
        <v>1265</v>
      </c>
      <c r="D3373" t="str">
        <f t="shared" si="260"/>
        <v>30.04.2022</v>
      </c>
      <c r="E3373" s="1">
        <v>0.58333333333333337</v>
      </c>
      <c r="F3373" t="s">
        <v>464</v>
      </c>
      <c r="G3373" t="s">
        <v>34</v>
      </c>
      <c r="H3373" s="2">
        <v>46024</v>
      </c>
      <c r="I3373" s="3" t="str">
        <f t="shared" si="261"/>
        <v/>
      </c>
      <c r="J3373" t="str">
        <f t="shared" si="262"/>
        <v/>
      </c>
      <c r="K3373" t="str">
        <f t="shared" si="263"/>
        <v/>
      </c>
      <c r="L3373" t="str">
        <f t="shared" si="264"/>
        <v/>
      </c>
      <c r="M3373" t="str">
        <f>IF(COUNTIF($A$2:A3373,A3373)=1,
     VLOOKUP(A3373,Season_Winners!A:B,2,FALSE),
     "")</f>
        <v/>
      </c>
    </row>
    <row r="3374" spans="1:13" x14ac:dyDescent="0.3">
      <c r="A3374" t="s">
        <v>1138</v>
      </c>
      <c r="B3374">
        <v>34</v>
      </c>
      <c r="C3374" t="s">
        <v>1265</v>
      </c>
      <c r="D3374" t="str">
        <f t="shared" si="260"/>
        <v>30.04.2022</v>
      </c>
      <c r="E3374" s="1">
        <v>0.67708333333333337</v>
      </c>
      <c r="F3374" t="s">
        <v>25</v>
      </c>
      <c r="G3374" t="s">
        <v>36</v>
      </c>
      <c r="H3374" t="s">
        <v>88</v>
      </c>
      <c r="I3374" t="str">
        <f t="shared" si="261"/>
        <v>4-0</v>
      </c>
      <c r="J3374" t="str">
        <f t="shared" si="262"/>
        <v>4</v>
      </c>
      <c r="K3374" t="str">
        <f t="shared" si="263"/>
        <v>0</v>
      </c>
      <c r="L3374" t="str">
        <f t="shared" si="264"/>
        <v>Real Madrid</v>
      </c>
      <c r="M3374" t="str">
        <f>IF(COUNTIF($A$2:A3374,A3374)=1,
     VLOOKUP(A3374,Season_Winners!A:B,2,FALSE),
     "")</f>
        <v/>
      </c>
    </row>
    <row r="3375" spans="1:13" hidden="1" x14ac:dyDescent="0.3">
      <c r="A3375" t="s">
        <v>1138</v>
      </c>
      <c r="B3375">
        <v>34</v>
      </c>
      <c r="C3375" t="s">
        <v>1265</v>
      </c>
      <c r="D3375" t="str">
        <f t="shared" si="260"/>
        <v>30.04.2022</v>
      </c>
      <c r="E3375" s="1">
        <v>0.77083333333333337</v>
      </c>
      <c r="F3375" t="s">
        <v>16</v>
      </c>
      <c r="G3375" t="s">
        <v>21</v>
      </c>
      <c r="H3375" s="2">
        <v>46023</v>
      </c>
      <c r="I3375" s="3" t="str">
        <f t="shared" si="261"/>
        <v/>
      </c>
      <c r="J3375" t="str">
        <f t="shared" si="262"/>
        <v/>
      </c>
      <c r="K3375" t="str">
        <f t="shared" si="263"/>
        <v/>
      </c>
      <c r="L3375" t="str">
        <f t="shared" si="264"/>
        <v/>
      </c>
      <c r="M3375" t="str">
        <f>IF(COUNTIF($A$2:A3375,A3375)=1,
     VLOOKUP(A3375,Season_Winners!A:B,2,FALSE),
     "")</f>
        <v/>
      </c>
    </row>
    <row r="3376" spans="1:13" x14ac:dyDescent="0.3">
      <c r="A3376" t="s">
        <v>1138</v>
      </c>
      <c r="B3376">
        <v>34</v>
      </c>
      <c r="C3376" t="s">
        <v>1265</v>
      </c>
      <c r="D3376" t="str">
        <f t="shared" si="260"/>
        <v>30.04.2022</v>
      </c>
      <c r="E3376" s="1">
        <v>0.875</v>
      </c>
      <c r="F3376" t="s">
        <v>15</v>
      </c>
      <c r="G3376" t="s">
        <v>1425</v>
      </c>
      <c r="H3376" t="s">
        <v>12</v>
      </c>
      <c r="I3376" t="str">
        <f t="shared" si="261"/>
        <v>2-0</v>
      </c>
      <c r="J3376" t="str">
        <f t="shared" si="262"/>
        <v>2</v>
      </c>
      <c r="K3376" t="str">
        <f t="shared" si="263"/>
        <v>0</v>
      </c>
      <c r="L3376" t="str">
        <f t="shared" si="264"/>
        <v>Athletic Club</v>
      </c>
      <c r="M3376" t="str">
        <f>IF(COUNTIF($A$2:A3376,A3376)=1,
     VLOOKUP(A3376,Season_Winners!A:B,2,FALSE),
     "")</f>
        <v/>
      </c>
    </row>
    <row r="3377" spans="1:13" hidden="1" x14ac:dyDescent="0.3">
      <c r="A3377" t="s">
        <v>1138</v>
      </c>
      <c r="B3377">
        <v>34</v>
      </c>
      <c r="C3377" t="s">
        <v>1266</v>
      </c>
      <c r="D3377" t="str">
        <f t="shared" si="260"/>
        <v>01.05.2022</v>
      </c>
      <c r="E3377" s="1">
        <v>0.58333333333333337</v>
      </c>
      <c r="F3377" t="s">
        <v>31</v>
      </c>
      <c r="G3377" t="s">
        <v>23</v>
      </c>
      <c r="H3377" s="2">
        <v>46023</v>
      </c>
      <c r="I3377" s="3" t="str">
        <f t="shared" si="261"/>
        <v/>
      </c>
      <c r="J3377" t="str">
        <f t="shared" si="262"/>
        <v/>
      </c>
      <c r="K3377" t="str">
        <f t="shared" si="263"/>
        <v/>
      </c>
      <c r="L3377" t="str">
        <f t="shared" si="264"/>
        <v/>
      </c>
      <c r="M3377" t="str">
        <f>IF(COUNTIF($A$2:A3377,A3377)=1,
     VLOOKUP(A3377,Season_Winners!A:B,2,FALSE),
     "")</f>
        <v/>
      </c>
    </row>
    <row r="3378" spans="1:13" hidden="1" x14ac:dyDescent="0.3">
      <c r="A3378" t="s">
        <v>1138</v>
      </c>
      <c r="B3378">
        <v>34</v>
      </c>
      <c r="C3378" t="s">
        <v>1266</v>
      </c>
      <c r="D3378" t="str">
        <f t="shared" si="260"/>
        <v>01.05.2022</v>
      </c>
      <c r="E3378" s="1">
        <v>0.67708333333333337</v>
      </c>
      <c r="F3378" t="s">
        <v>24</v>
      </c>
      <c r="G3378" t="s">
        <v>35</v>
      </c>
      <c r="H3378" s="2">
        <v>46023</v>
      </c>
      <c r="I3378" s="3" t="str">
        <f t="shared" si="261"/>
        <v/>
      </c>
      <c r="J3378" t="str">
        <f t="shared" si="262"/>
        <v/>
      </c>
      <c r="K3378" t="str">
        <f t="shared" si="263"/>
        <v/>
      </c>
      <c r="L3378" t="str">
        <f t="shared" si="264"/>
        <v/>
      </c>
      <c r="M3378" t="str">
        <f>IF(COUNTIF($A$2:A3378,A3378)=1,
     VLOOKUP(A3378,Season_Winners!A:B,2,FALSE),
     "")</f>
        <v/>
      </c>
    </row>
    <row r="3379" spans="1:13" hidden="1" x14ac:dyDescent="0.3">
      <c r="A3379" t="s">
        <v>1138</v>
      </c>
      <c r="B3379">
        <v>34</v>
      </c>
      <c r="C3379" t="s">
        <v>1266</v>
      </c>
      <c r="D3379" t="str">
        <f t="shared" si="260"/>
        <v>01.05.2022</v>
      </c>
      <c r="E3379" s="1">
        <v>0.77083333333333337</v>
      </c>
      <c r="F3379" t="s">
        <v>30</v>
      </c>
      <c r="G3379" t="s">
        <v>10</v>
      </c>
      <c r="H3379" s="2">
        <v>46023</v>
      </c>
      <c r="I3379" s="3" t="str">
        <f t="shared" si="261"/>
        <v/>
      </c>
      <c r="J3379" t="str">
        <f t="shared" si="262"/>
        <v/>
      </c>
      <c r="K3379" t="str">
        <f t="shared" si="263"/>
        <v/>
      </c>
      <c r="L3379" t="str">
        <f t="shared" si="264"/>
        <v/>
      </c>
      <c r="M3379" t="str">
        <f>IF(COUNTIF($A$2:A3379,A3379)=1,
     VLOOKUP(A3379,Season_Winners!A:B,2,FALSE),
     "")</f>
        <v/>
      </c>
    </row>
    <row r="3380" spans="1:13" hidden="1" x14ac:dyDescent="0.3">
      <c r="A3380" t="s">
        <v>1138</v>
      </c>
      <c r="B3380">
        <v>34</v>
      </c>
      <c r="C3380" t="s">
        <v>1266</v>
      </c>
      <c r="D3380" t="str">
        <f t="shared" si="260"/>
        <v>01.05.2022</v>
      </c>
      <c r="E3380" s="1">
        <v>0.875</v>
      </c>
      <c r="F3380" t="s">
        <v>20</v>
      </c>
      <c r="G3380" t="s">
        <v>881</v>
      </c>
      <c r="H3380" s="2">
        <v>46024</v>
      </c>
      <c r="I3380" s="3" t="str">
        <f t="shared" si="261"/>
        <v/>
      </c>
      <c r="J3380" t="str">
        <f t="shared" si="262"/>
        <v/>
      </c>
      <c r="K3380" t="str">
        <f t="shared" si="263"/>
        <v/>
      </c>
      <c r="L3380" t="str">
        <f t="shared" si="264"/>
        <v/>
      </c>
      <c r="M3380" t="str">
        <f>IF(COUNTIF($A$2:A3380,A3380)=1,
     VLOOKUP(A3380,Season_Winners!A:B,2,FALSE),
     "")</f>
        <v/>
      </c>
    </row>
    <row r="3381" spans="1:13" x14ac:dyDescent="0.3">
      <c r="A3381" t="s">
        <v>1138</v>
      </c>
      <c r="B3381">
        <v>34</v>
      </c>
      <c r="C3381" t="s">
        <v>1267</v>
      </c>
      <c r="D3381" t="str">
        <f t="shared" si="260"/>
        <v>02.05.2022</v>
      </c>
      <c r="E3381" s="1">
        <v>0.875</v>
      </c>
      <c r="F3381" t="s">
        <v>11</v>
      </c>
      <c r="G3381" t="s">
        <v>26</v>
      </c>
      <c r="H3381" t="s">
        <v>41</v>
      </c>
      <c r="I3381" t="str">
        <f t="shared" si="261"/>
        <v>0-0</v>
      </c>
      <c r="J3381" t="str">
        <f t="shared" si="262"/>
        <v>0</v>
      </c>
      <c r="K3381" t="str">
        <f t="shared" si="263"/>
        <v>0</v>
      </c>
      <c r="L3381" t="str">
        <f t="shared" si="264"/>
        <v>Draw</v>
      </c>
      <c r="M3381" t="str">
        <f>IF(COUNTIF($A$2:A3381,A3381)=1,
     VLOOKUP(A3381,Season_Winners!A:B,2,FALSE),
     "")</f>
        <v/>
      </c>
    </row>
    <row r="3382" spans="1:13" hidden="1" x14ac:dyDescent="0.3">
      <c r="A3382" t="s">
        <v>1138</v>
      </c>
      <c r="B3382">
        <v>35</v>
      </c>
      <c r="C3382" t="s">
        <v>1268</v>
      </c>
      <c r="D3382" t="str">
        <f t="shared" si="260"/>
        <v>06.05.2022</v>
      </c>
      <c r="E3382" s="1">
        <v>0.875</v>
      </c>
      <c r="F3382" t="s">
        <v>21</v>
      </c>
      <c r="G3382" t="s">
        <v>10</v>
      </c>
      <c r="H3382" s="2">
        <v>46024</v>
      </c>
      <c r="I3382" s="3" t="str">
        <f t="shared" si="261"/>
        <v/>
      </c>
      <c r="J3382" t="str">
        <f t="shared" si="262"/>
        <v/>
      </c>
      <c r="K3382" t="str">
        <f t="shared" si="263"/>
        <v/>
      </c>
      <c r="L3382" t="str">
        <f t="shared" si="264"/>
        <v/>
      </c>
      <c r="M3382" t="str">
        <f>IF(COUNTIF($A$2:A3382,A3382)=1,
     VLOOKUP(A3382,Season_Winners!A:B,2,FALSE),
     "")</f>
        <v/>
      </c>
    </row>
    <row r="3383" spans="1:13" hidden="1" x14ac:dyDescent="0.3">
      <c r="A3383" t="s">
        <v>1138</v>
      </c>
      <c r="B3383">
        <v>35</v>
      </c>
      <c r="C3383" t="s">
        <v>1269</v>
      </c>
      <c r="D3383" t="str">
        <f t="shared" si="260"/>
        <v>07.05.2022</v>
      </c>
      <c r="E3383" s="1">
        <v>0.58333333333333337</v>
      </c>
      <c r="F3383" t="s">
        <v>881</v>
      </c>
      <c r="G3383" t="s">
        <v>24</v>
      </c>
      <c r="H3383" s="2">
        <v>46175</v>
      </c>
      <c r="I3383" s="3" t="str">
        <f t="shared" si="261"/>
        <v/>
      </c>
      <c r="J3383" t="str">
        <f t="shared" si="262"/>
        <v/>
      </c>
      <c r="K3383" t="str">
        <f t="shared" si="263"/>
        <v/>
      </c>
      <c r="L3383" t="str">
        <f t="shared" si="264"/>
        <v/>
      </c>
      <c r="M3383" t="str">
        <f>IF(COUNTIF($A$2:A3383,A3383)=1,
     VLOOKUP(A3383,Season_Winners!A:B,2,FALSE),
     "")</f>
        <v/>
      </c>
    </row>
    <row r="3384" spans="1:13" x14ac:dyDescent="0.3">
      <c r="A3384" t="s">
        <v>1138</v>
      </c>
      <c r="B3384">
        <v>35</v>
      </c>
      <c r="C3384" t="s">
        <v>1269</v>
      </c>
      <c r="D3384" t="str">
        <f t="shared" si="260"/>
        <v>07.05.2022</v>
      </c>
      <c r="E3384" s="1">
        <v>0.67708333333333337</v>
      </c>
      <c r="F3384" t="s">
        <v>15</v>
      </c>
      <c r="G3384" t="s">
        <v>16</v>
      </c>
      <c r="H3384" t="s">
        <v>41</v>
      </c>
      <c r="I3384" t="str">
        <f t="shared" si="261"/>
        <v>0-0</v>
      </c>
      <c r="J3384" t="str">
        <f t="shared" si="262"/>
        <v>0</v>
      </c>
      <c r="K3384" t="str">
        <f t="shared" si="263"/>
        <v>0</v>
      </c>
      <c r="L3384" t="str">
        <f t="shared" si="264"/>
        <v>Draw</v>
      </c>
      <c r="M3384" t="str">
        <f>IF(COUNTIF($A$2:A3384,A3384)=1,
     VLOOKUP(A3384,Season_Winners!A:B,2,FALSE),
     "")</f>
        <v/>
      </c>
    </row>
    <row r="3385" spans="1:13" x14ac:dyDescent="0.3">
      <c r="A3385" t="s">
        <v>1138</v>
      </c>
      <c r="B3385">
        <v>35</v>
      </c>
      <c r="C3385" t="s">
        <v>1269</v>
      </c>
      <c r="D3385" t="str">
        <f t="shared" si="260"/>
        <v>07.05.2022</v>
      </c>
      <c r="E3385" s="1">
        <v>0.77083333333333337</v>
      </c>
      <c r="F3385" t="s">
        <v>35</v>
      </c>
      <c r="G3385" t="s">
        <v>464</v>
      </c>
      <c r="H3385" t="s">
        <v>88</v>
      </c>
      <c r="I3385" t="str">
        <f t="shared" si="261"/>
        <v>4-0</v>
      </c>
      <c r="J3385" t="str">
        <f t="shared" si="262"/>
        <v>4</v>
      </c>
      <c r="K3385" t="str">
        <f t="shared" si="263"/>
        <v>0</v>
      </c>
      <c r="L3385" t="str">
        <f t="shared" si="264"/>
        <v>RC Celta</v>
      </c>
      <c r="M3385" t="str">
        <f>IF(COUNTIF($A$2:A3385,A3385)=1,
     VLOOKUP(A3385,Season_Winners!A:B,2,FALSE),
     "")</f>
        <v/>
      </c>
    </row>
    <row r="3386" spans="1:13" x14ac:dyDescent="0.3">
      <c r="A3386" t="s">
        <v>1138</v>
      </c>
      <c r="B3386">
        <v>35</v>
      </c>
      <c r="C3386" t="s">
        <v>1269</v>
      </c>
      <c r="D3386" t="str">
        <f t="shared" si="260"/>
        <v>07.05.2022</v>
      </c>
      <c r="E3386" s="1">
        <v>0.77083333333333337</v>
      </c>
      <c r="F3386" t="s">
        <v>1000</v>
      </c>
      <c r="G3386" t="s">
        <v>31</v>
      </c>
      <c r="H3386" t="s">
        <v>32</v>
      </c>
      <c r="I3386" t="str">
        <f t="shared" si="261"/>
        <v>3-0</v>
      </c>
      <c r="J3386" t="str">
        <f t="shared" si="262"/>
        <v>3</v>
      </c>
      <c r="K3386" t="str">
        <f t="shared" si="263"/>
        <v>0</v>
      </c>
      <c r="L3386" t="str">
        <f t="shared" si="264"/>
        <v>CÃ¡diz CF</v>
      </c>
      <c r="M3386" t="str">
        <f>IF(COUNTIF($A$2:A3386,A3386)=1,
     VLOOKUP(A3386,Season_Winners!A:B,2,FALSE),
     "")</f>
        <v/>
      </c>
    </row>
    <row r="3387" spans="1:13" hidden="1" x14ac:dyDescent="0.3">
      <c r="A3387" t="s">
        <v>1138</v>
      </c>
      <c r="B3387">
        <v>35</v>
      </c>
      <c r="C3387" t="s">
        <v>1269</v>
      </c>
      <c r="D3387" t="str">
        <f t="shared" si="260"/>
        <v>07.05.2022</v>
      </c>
      <c r="E3387" s="1">
        <v>0.875</v>
      </c>
      <c r="F3387" t="s">
        <v>26</v>
      </c>
      <c r="G3387" t="s">
        <v>20</v>
      </c>
      <c r="H3387" s="2">
        <v>46054</v>
      </c>
      <c r="I3387" s="3" t="str">
        <f t="shared" si="261"/>
        <v/>
      </c>
      <c r="J3387" t="str">
        <f t="shared" si="262"/>
        <v/>
      </c>
      <c r="K3387" t="str">
        <f t="shared" si="263"/>
        <v/>
      </c>
      <c r="L3387" t="str">
        <f t="shared" si="264"/>
        <v/>
      </c>
      <c r="M3387" t="str">
        <f>IF(COUNTIF($A$2:A3387,A3387)=1,
     VLOOKUP(A3387,Season_Winners!A:B,2,FALSE),
     "")</f>
        <v/>
      </c>
    </row>
    <row r="3388" spans="1:13" x14ac:dyDescent="0.3">
      <c r="A3388" t="s">
        <v>1138</v>
      </c>
      <c r="B3388">
        <v>35</v>
      </c>
      <c r="C3388" t="s">
        <v>1270</v>
      </c>
      <c r="D3388" t="str">
        <f t="shared" si="260"/>
        <v>08.05.2022</v>
      </c>
      <c r="E3388" s="1">
        <v>0.58333333333333337</v>
      </c>
      <c r="F3388" t="s">
        <v>11</v>
      </c>
      <c r="G3388" t="s">
        <v>30</v>
      </c>
      <c r="H3388" t="s">
        <v>41</v>
      </c>
      <c r="I3388" t="str">
        <f t="shared" si="261"/>
        <v>0-0</v>
      </c>
      <c r="J3388" t="str">
        <f t="shared" si="262"/>
        <v>0</v>
      </c>
      <c r="K3388" t="str">
        <f t="shared" si="263"/>
        <v>0</v>
      </c>
      <c r="L3388" t="str">
        <f t="shared" si="264"/>
        <v>Draw</v>
      </c>
      <c r="M3388" t="str">
        <f>IF(COUNTIF($A$2:A3388,A3388)=1,
     VLOOKUP(A3388,Season_Winners!A:B,2,FALSE),
     "")</f>
        <v/>
      </c>
    </row>
    <row r="3389" spans="1:13" hidden="1" x14ac:dyDescent="0.3">
      <c r="A3389" t="s">
        <v>1138</v>
      </c>
      <c r="B3389">
        <v>35</v>
      </c>
      <c r="C3389" t="s">
        <v>1270</v>
      </c>
      <c r="D3389" t="str">
        <f t="shared" si="260"/>
        <v>08.05.2022</v>
      </c>
      <c r="E3389" s="1">
        <v>0.67708333333333337</v>
      </c>
      <c r="F3389" t="s">
        <v>34</v>
      </c>
      <c r="G3389" t="s">
        <v>27</v>
      </c>
      <c r="H3389" s="2">
        <v>46023</v>
      </c>
      <c r="I3389" s="3" t="str">
        <f t="shared" si="261"/>
        <v/>
      </c>
      <c r="J3389" t="str">
        <f t="shared" si="262"/>
        <v/>
      </c>
      <c r="K3389" t="str">
        <f t="shared" si="263"/>
        <v/>
      </c>
      <c r="L3389" t="str">
        <f t="shared" si="264"/>
        <v/>
      </c>
      <c r="M3389" t="str">
        <f>IF(COUNTIF($A$2:A3389,A3389)=1,
     VLOOKUP(A3389,Season_Winners!A:B,2,FALSE),
     "")</f>
        <v/>
      </c>
    </row>
    <row r="3390" spans="1:13" hidden="1" x14ac:dyDescent="0.3">
      <c r="A3390" t="s">
        <v>1138</v>
      </c>
      <c r="B3390">
        <v>35</v>
      </c>
      <c r="C3390" t="s">
        <v>1270</v>
      </c>
      <c r="D3390" t="str">
        <f t="shared" si="260"/>
        <v>08.05.2022</v>
      </c>
      <c r="E3390" s="1">
        <v>0.77083333333333337</v>
      </c>
      <c r="F3390" t="s">
        <v>36</v>
      </c>
      <c r="G3390" t="s">
        <v>23</v>
      </c>
      <c r="H3390" s="2">
        <v>46023</v>
      </c>
      <c r="I3390" s="3" t="str">
        <f t="shared" si="261"/>
        <v/>
      </c>
      <c r="J3390" t="str">
        <f t="shared" si="262"/>
        <v/>
      </c>
      <c r="K3390" t="str">
        <f t="shared" si="263"/>
        <v/>
      </c>
      <c r="L3390" t="str">
        <f t="shared" si="264"/>
        <v/>
      </c>
      <c r="M3390" t="str">
        <f>IF(COUNTIF($A$2:A3390,A3390)=1,
     VLOOKUP(A3390,Season_Winners!A:B,2,FALSE),
     "")</f>
        <v/>
      </c>
    </row>
    <row r="3391" spans="1:13" x14ac:dyDescent="0.3">
      <c r="A3391" t="s">
        <v>1138</v>
      </c>
      <c r="B3391">
        <v>35</v>
      </c>
      <c r="C3391" t="s">
        <v>1270</v>
      </c>
      <c r="D3391" t="str">
        <f t="shared" si="260"/>
        <v>08.05.2022</v>
      </c>
      <c r="E3391" s="1">
        <v>0.875</v>
      </c>
      <c r="F3391" t="s">
        <v>1425</v>
      </c>
      <c r="G3391" t="s">
        <v>25</v>
      </c>
      <c r="H3391" t="s">
        <v>18</v>
      </c>
      <c r="I3391" t="str">
        <f t="shared" si="261"/>
        <v>1-0</v>
      </c>
      <c r="J3391" t="str">
        <f t="shared" si="262"/>
        <v>1</v>
      </c>
      <c r="K3391" t="str">
        <f t="shared" si="263"/>
        <v>0</v>
      </c>
      <c r="L3391" t="str">
        <f t="shared" si="264"/>
        <v>Atlético de Madrid</v>
      </c>
      <c r="M3391" t="str">
        <f>IF(COUNTIF($A$2:A3391,A3391)=1,
     VLOOKUP(A3391,Season_Winners!A:B,2,FALSE),
     "")</f>
        <v/>
      </c>
    </row>
    <row r="3392" spans="1:13" x14ac:dyDescent="0.3">
      <c r="A3392" t="s">
        <v>1138</v>
      </c>
      <c r="B3392">
        <v>36</v>
      </c>
      <c r="C3392" t="s">
        <v>1271</v>
      </c>
      <c r="D3392" t="str">
        <f t="shared" si="260"/>
        <v>10.05.2022</v>
      </c>
      <c r="E3392" s="1">
        <v>0.79166666666666663</v>
      </c>
      <c r="F3392" t="s">
        <v>16</v>
      </c>
      <c r="G3392" t="s">
        <v>26</v>
      </c>
      <c r="H3392" t="s">
        <v>46</v>
      </c>
      <c r="I3392" t="str">
        <f t="shared" si="261"/>
        <v>0-3</v>
      </c>
      <c r="J3392" t="str">
        <f t="shared" si="262"/>
        <v>0</v>
      </c>
      <c r="K3392" t="str">
        <f t="shared" si="263"/>
        <v>3</v>
      </c>
      <c r="L3392" t="str">
        <f t="shared" si="264"/>
        <v>Real Betis</v>
      </c>
      <c r="M3392" t="str">
        <f>IF(COUNTIF($A$2:A3392,A3392)=1,
     VLOOKUP(A3392,Season_Winners!A:B,2,FALSE),
     "")</f>
        <v/>
      </c>
    </row>
    <row r="3393" spans="1:13" x14ac:dyDescent="0.3">
      <c r="A3393" t="s">
        <v>1138</v>
      </c>
      <c r="B3393">
        <v>36</v>
      </c>
      <c r="C3393" t="s">
        <v>1271</v>
      </c>
      <c r="D3393" t="str">
        <f t="shared" si="260"/>
        <v>10.05.2022</v>
      </c>
      <c r="E3393" s="1">
        <v>0.83333333333333337</v>
      </c>
      <c r="F3393" t="s">
        <v>24</v>
      </c>
      <c r="G3393" t="s">
        <v>15</v>
      </c>
      <c r="H3393" t="s">
        <v>18</v>
      </c>
      <c r="I3393" t="str">
        <f t="shared" si="261"/>
        <v>1-0</v>
      </c>
      <c r="J3393" t="str">
        <f t="shared" si="262"/>
        <v>1</v>
      </c>
      <c r="K3393" t="str">
        <f t="shared" si="263"/>
        <v>0</v>
      </c>
      <c r="L3393" t="str">
        <f t="shared" si="264"/>
        <v>Granada CF</v>
      </c>
      <c r="M3393" t="str">
        <f>IF(COUNTIF($A$2:A3393,A3393)=1,
     VLOOKUP(A3393,Season_Winners!A:B,2,FALSE),
     "")</f>
        <v/>
      </c>
    </row>
    <row r="3394" spans="1:13" hidden="1" x14ac:dyDescent="0.3">
      <c r="A3394" t="s">
        <v>1138</v>
      </c>
      <c r="B3394">
        <v>36</v>
      </c>
      <c r="C3394" t="s">
        <v>1271</v>
      </c>
      <c r="D3394" t="str">
        <f t="shared" ref="D3394:D3457" si="265">RIGHT(C3394,10)</f>
        <v>10.05.2022</v>
      </c>
      <c r="E3394" s="1">
        <v>0.89583333333333337</v>
      </c>
      <c r="F3394" t="s">
        <v>20</v>
      </c>
      <c r="G3394" t="s">
        <v>35</v>
      </c>
      <c r="H3394" s="2">
        <v>46025</v>
      </c>
      <c r="I3394" s="3" t="str">
        <f t="shared" ref="I3394:I3457" si="266">IF(ISNUMBER(SEARCH("-",H3394)),H3394,"")</f>
        <v/>
      </c>
      <c r="J3394" t="str">
        <f t="shared" ref="J3394:J3457" si="267">IF(I3394="","",LEFT(I3394,FIND("-",I3394)-1))</f>
        <v/>
      </c>
      <c r="K3394" t="str">
        <f t="shared" ref="K3394:K3457" si="268">IF(I3394="","",RIGHT(I3394,LEN(I3394)-FIND("-",I3394)))</f>
        <v/>
      </c>
      <c r="L3394" t="str">
        <f t="shared" ref="L3394:L3457" si="269">IF(I3394="","",IF(J3394&gt;K3394,F3394,IF(K3394&gt;J3394,G3394,"Draw")))</f>
        <v/>
      </c>
      <c r="M3394" t="str">
        <f>IF(COUNTIF($A$2:A3394,A3394)=1,
     VLOOKUP(A3394,Season_Winners!A:B,2,FALSE),
     "")</f>
        <v/>
      </c>
    </row>
    <row r="3395" spans="1:13" hidden="1" x14ac:dyDescent="0.3">
      <c r="A3395" t="s">
        <v>1138</v>
      </c>
      <c r="B3395">
        <v>36</v>
      </c>
      <c r="C3395" t="s">
        <v>1272</v>
      </c>
      <c r="D3395" t="str">
        <f t="shared" si="265"/>
        <v>11.05.2022</v>
      </c>
      <c r="E3395" s="1">
        <v>0.79166666666666663</v>
      </c>
      <c r="F3395" t="s">
        <v>464</v>
      </c>
      <c r="G3395" t="s">
        <v>36</v>
      </c>
      <c r="H3395" s="2">
        <v>46024</v>
      </c>
      <c r="I3395" s="3" t="str">
        <f t="shared" si="266"/>
        <v/>
      </c>
      <c r="J3395" t="str">
        <f t="shared" si="267"/>
        <v/>
      </c>
      <c r="K3395" t="str">
        <f t="shared" si="268"/>
        <v/>
      </c>
      <c r="L3395" t="str">
        <f t="shared" si="269"/>
        <v/>
      </c>
      <c r="M3395" t="str">
        <f>IF(COUNTIF($A$2:A3395,A3395)=1,
     VLOOKUP(A3395,Season_Winners!A:B,2,FALSE),
     "")</f>
        <v/>
      </c>
    </row>
    <row r="3396" spans="1:13" hidden="1" x14ac:dyDescent="0.3">
      <c r="A3396" t="s">
        <v>1138</v>
      </c>
      <c r="B3396">
        <v>36</v>
      </c>
      <c r="C3396" t="s">
        <v>1272</v>
      </c>
      <c r="D3396" t="str">
        <f t="shared" si="265"/>
        <v>11.05.2022</v>
      </c>
      <c r="E3396" s="1">
        <v>0.79166666666666663</v>
      </c>
      <c r="F3396" t="s">
        <v>23</v>
      </c>
      <c r="G3396" t="s">
        <v>11</v>
      </c>
      <c r="H3396" s="2">
        <v>46023</v>
      </c>
      <c r="I3396" s="3" t="str">
        <f t="shared" si="266"/>
        <v/>
      </c>
      <c r="J3396" t="str">
        <f t="shared" si="267"/>
        <v/>
      </c>
      <c r="K3396" t="str">
        <f t="shared" si="268"/>
        <v/>
      </c>
      <c r="L3396" t="str">
        <f t="shared" si="269"/>
        <v/>
      </c>
      <c r="M3396" t="str">
        <f>IF(COUNTIF($A$2:A3396,A3396)=1,
     VLOOKUP(A3396,Season_Winners!A:B,2,FALSE),
     "")</f>
        <v/>
      </c>
    </row>
    <row r="3397" spans="1:13" x14ac:dyDescent="0.3">
      <c r="A3397" t="s">
        <v>1138</v>
      </c>
      <c r="B3397">
        <v>36</v>
      </c>
      <c r="C3397" t="s">
        <v>1272</v>
      </c>
      <c r="D3397" t="str">
        <f t="shared" si="265"/>
        <v>11.05.2022</v>
      </c>
      <c r="E3397" s="1">
        <v>0.85416666666666663</v>
      </c>
      <c r="F3397" t="s">
        <v>27</v>
      </c>
      <c r="G3397" t="s">
        <v>881</v>
      </c>
      <c r="H3397" t="s">
        <v>41</v>
      </c>
      <c r="I3397" t="str">
        <f t="shared" si="266"/>
        <v>0-0</v>
      </c>
      <c r="J3397" t="str">
        <f t="shared" si="267"/>
        <v>0</v>
      </c>
      <c r="K3397" t="str">
        <f t="shared" si="268"/>
        <v>0</v>
      </c>
      <c r="L3397" t="str">
        <f t="shared" si="269"/>
        <v>Draw</v>
      </c>
      <c r="M3397" t="str">
        <f>IF(COUNTIF($A$2:A3397,A3397)=1,
     VLOOKUP(A3397,Season_Winners!A:B,2,FALSE),
     "")</f>
        <v/>
      </c>
    </row>
    <row r="3398" spans="1:13" x14ac:dyDescent="0.3">
      <c r="A3398" t="s">
        <v>1138</v>
      </c>
      <c r="B3398">
        <v>36</v>
      </c>
      <c r="C3398" t="s">
        <v>1272</v>
      </c>
      <c r="D3398" t="str">
        <f t="shared" si="265"/>
        <v>11.05.2022</v>
      </c>
      <c r="E3398" s="1">
        <v>0.89583333333333337</v>
      </c>
      <c r="F3398" t="s">
        <v>31</v>
      </c>
      <c r="G3398" t="s">
        <v>1425</v>
      </c>
      <c r="H3398" t="s">
        <v>54</v>
      </c>
      <c r="I3398" t="str">
        <f t="shared" si="266"/>
        <v>0-2</v>
      </c>
      <c r="J3398" t="str">
        <f t="shared" si="267"/>
        <v>0</v>
      </c>
      <c r="K3398" t="str">
        <f t="shared" si="268"/>
        <v>2</v>
      </c>
      <c r="L3398" t="str">
        <f t="shared" si="269"/>
        <v>Atlético de Madrid</v>
      </c>
      <c r="M3398" t="str">
        <f>IF(COUNTIF($A$2:A3398,A3398)=1,
     VLOOKUP(A3398,Season_Winners!A:B,2,FALSE),
     "")</f>
        <v/>
      </c>
    </row>
    <row r="3399" spans="1:13" x14ac:dyDescent="0.3">
      <c r="A3399" t="s">
        <v>1138</v>
      </c>
      <c r="B3399">
        <v>36</v>
      </c>
      <c r="C3399" t="s">
        <v>1273</v>
      </c>
      <c r="D3399" t="str">
        <f t="shared" si="265"/>
        <v>12.05.2022</v>
      </c>
      <c r="E3399" s="1">
        <v>0.79166666666666663</v>
      </c>
      <c r="F3399" t="s">
        <v>10</v>
      </c>
      <c r="G3399" t="s">
        <v>1000</v>
      </c>
      <c r="H3399" t="s">
        <v>32</v>
      </c>
      <c r="I3399" t="str">
        <f t="shared" si="266"/>
        <v>3-0</v>
      </c>
      <c r="J3399" t="str">
        <f t="shared" si="267"/>
        <v>3</v>
      </c>
      <c r="K3399" t="str">
        <f t="shared" si="268"/>
        <v>0</v>
      </c>
      <c r="L3399" t="str">
        <f t="shared" si="269"/>
        <v>Real Sociedad</v>
      </c>
      <c r="M3399" t="str">
        <f>IF(COUNTIF($A$2:A3399,A3399)=1,
     VLOOKUP(A3399,Season_Winners!A:B,2,FALSE),
     "")</f>
        <v/>
      </c>
    </row>
    <row r="3400" spans="1:13" hidden="1" x14ac:dyDescent="0.3">
      <c r="A3400" t="s">
        <v>1138</v>
      </c>
      <c r="B3400">
        <v>36</v>
      </c>
      <c r="C3400" t="s">
        <v>1273</v>
      </c>
      <c r="D3400" t="str">
        <f t="shared" si="265"/>
        <v>12.05.2022</v>
      </c>
      <c r="E3400" s="1">
        <v>0.83333333333333337</v>
      </c>
      <c r="F3400" t="s">
        <v>30</v>
      </c>
      <c r="G3400" t="s">
        <v>34</v>
      </c>
      <c r="H3400" s="2">
        <v>46143</v>
      </c>
      <c r="I3400" s="3" t="str">
        <f t="shared" si="266"/>
        <v/>
      </c>
      <c r="J3400" t="str">
        <f t="shared" si="267"/>
        <v/>
      </c>
      <c r="K3400" t="str">
        <f t="shared" si="268"/>
        <v/>
      </c>
      <c r="L3400" t="str">
        <f t="shared" si="269"/>
        <v/>
      </c>
      <c r="M3400" t="str">
        <f>IF(COUNTIF($A$2:A3400,A3400)=1,
     VLOOKUP(A3400,Season_Winners!A:B,2,FALSE),
     "")</f>
        <v/>
      </c>
    </row>
    <row r="3401" spans="1:13" x14ac:dyDescent="0.3">
      <c r="A3401" t="s">
        <v>1138</v>
      </c>
      <c r="B3401">
        <v>36</v>
      </c>
      <c r="C3401" t="s">
        <v>1273</v>
      </c>
      <c r="D3401" t="str">
        <f t="shared" si="265"/>
        <v>12.05.2022</v>
      </c>
      <c r="E3401" s="1">
        <v>0.89583333333333337</v>
      </c>
      <c r="F3401" t="s">
        <v>25</v>
      </c>
      <c r="G3401" t="s">
        <v>21</v>
      </c>
      <c r="H3401" t="s">
        <v>126</v>
      </c>
      <c r="I3401" t="str">
        <f t="shared" si="266"/>
        <v>6-0</v>
      </c>
      <c r="J3401" t="str">
        <f t="shared" si="267"/>
        <v>6</v>
      </c>
      <c r="K3401" t="str">
        <f t="shared" si="268"/>
        <v>0</v>
      </c>
      <c r="L3401" t="str">
        <f t="shared" si="269"/>
        <v>Real Madrid</v>
      </c>
      <c r="M3401" t="str">
        <f>IF(COUNTIF($A$2:A3401,A3401)=1,
     VLOOKUP(A3401,Season_Winners!A:B,2,FALSE),
     "")</f>
        <v/>
      </c>
    </row>
    <row r="3402" spans="1:13" hidden="1" x14ac:dyDescent="0.3">
      <c r="A3402" t="s">
        <v>1138</v>
      </c>
      <c r="B3402">
        <v>37</v>
      </c>
      <c r="C3402" t="s">
        <v>1274</v>
      </c>
      <c r="D3402" t="str">
        <f t="shared" si="265"/>
        <v>14.05.2022</v>
      </c>
      <c r="E3402" s="1">
        <v>0.77083333333333337</v>
      </c>
      <c r="F3402" t="s">
        <v>36</v>
      </c>
      <c r="G3402" t="s">
        <v>16</v>
      </c>
      <c r="H3402" s="2">
        <v>46023</v>
      </c>
      <c r="I3402" s="3" t="str">
        <f t="shared" si="266"/>
        <v/>
      </c>
      <c r="J3402" t="str">
        <f t="shared" si="267"/>
        <v/>
      </c>
      <c r="K3402" t="str">
        <f t="shared" si="268"/>
        <v/>
      </c>
      <c r="L3402" t="str">
        <f t="shared" si="269"/>
        <v/>
      </c>
      <c r="M3402" t="str">
        <f>IF(COUNTIF($A$2:A3402,A3402)=1,
     VLOOKUP(A3402,Season_Winners!A:B,2,FALSE),
     "")</f>
        <v/>
      </c>
    </row>
    <row r="3403" spans="1:13" x14ac:dyDescent="0.3">
      <c r="A3403" t="s">
        <v>1138</v>
      </c>
      <c r="B3403">
        <v>37</v>
      </c>
      <c r="C3403" t="s">
        <v>1275</v>
      </c>
      <c r="D3403" t="str">
        <f t="shared" si="265"/>
        <v>15.05.2022</v>
      </c>
      <c r="E3403" s="1">
        <v>0.8125</v>
      </c>
      <c r="F3403" t="s">
        <v>15</v>
      </c>
      <c r="G3403" t="s">
        <v>23</v>
      </c>
      <c r="H3403" t="s">
        <v>12</v>
      </c>
      <c r="I3403" t="str">
        <f t="shared" si="266"/>
        <v>2-0</v>
      </c>
      <c r="J3403" t="str">
        <f t="shared" si="267"/>
        <v>2</v>
      </c>
      <c r="K3403" t="str">
        <f t="shared" si="268"/>
        <v>0</v>
      </c>
      <c r="L3403" t="str">
        <f t="shared" si="269"/>
        <v>Athletic Club</v>
      </c>
      <c r="M3403" t="str">
        <f>IF(COUNTIF($A$2:A3403,A3403)=1,
     VLOOKUP(A3403,Season_Winners!A:B,2,FALSE),
     "")</f>
        <v/>
      </c>
    </row>
    <row r="3404" spans="1:13" hidden="1" x14ac:dyDescent="0.3">
      <c r="A3404" t="s">
        <v>1138</v>
      </c>
      <c r="B3404">
        <v>37</v>
      </c>
      <c r="C3404" t="s">
        <v>1275</v>
      </c>
      <c r="D3404" t="str">
        <f t="shared" si="265"/>
        <v>15.05.2022</v>
      </c>
      <c r="E3404" s="1">
        <v>0.8125</v>
      </c>
      <c r="F3404" t="s">
        <v>28</v>
      </c>
      <c r="G3404" t="s">
        <v>27</v>
      </c>
      <c r="H3404" s="2">
        <v>46023</v>
      </c>
      <c r="I3404" s="3" t="str">
        <f t="shared" si="266"/>
        <v/>
      </c>
      <c r="J3404" t="str">
        <f t="shared" si="267"/>
        <v/>
      </c>
      <c r="K3404" t="str">
        <f t="shared" si="268"/>
        <v/>
      </c>
      <c r="L3404" t="str">
        <f t="shared" si="269"/>
        <v/>
      </c>
      <c r="M3404" t="str">
        <f>IF(COUNTIF($A$2:A3404,A3404)=1,
     VLOOKUP(A3404,Season_Winners!A:B,2,FALSE),
     "")</f>
        <v/>
      </c>
    </row>
    <row r="3405" spans="1:13" x14ac:dyDescent="0.3">
      <c r="A3405" t="s">
        <v>1138</v>
      </c>
      <c r="B3405">
        <v>37</v>
      </c>
      <c r="C3405" t="s">
        <v>1275</v>
      </c>
      <c r="D3405" t="str">
        <f t="shared" si="265"/>
        <v>15.05.2022</v>
      </c>
      <c r="E3405" s="1">
        <v>0.8125</v>
      </c>
      <c r="F3405" t="s">
        <v>26</v>
      </c>
      <c r="G3405" t="s">
        <v>24</v>
      </c>
      <c r="H3405" t="s">
        <v>12</v>
      </c>
      <c r="I3405" t="str">
        <f t="shared" si="266"/>
        <v>2-0</v>
      </c>
      <c r="J3405" t="str">
        <f t="shared" si="267"/>
        <v>2</v>
      </c>
      <c r="K3405" t="str">
        <f t="shared" si="268"/>
        <v>0</v>
      </c>
      <c r="L3405" t="str">
        <f t="shared" si="269"/>
        <v>Real Betis</v>
      </c>
      <c r="M3405" t="str">
        <f>IF(COUNTIF($A$2:A3405,A3405)=1,
     VLOOKUP(A3405,Season_Winners!A:B,2,FALSE),
     "")</f>
        <v/>
      </c>
    </row>
    <row r="3406" spans="1:13" x14ac:dyDescent="0.3">
      <c r="A3406" t="s">
        <v>1138</v>
      </c>
      <c r="B3406">
        <v>37</v>
      </c>
      <c r="C3406" t="s">
        <v>1275</v>
      </c>
      <c r="D3406" t="str">
        <f t="shared" si="265"/>
        <v>15.05.2022</v>
      </c>
      <c r="E3406" s="1">
        <v>0.8125</v>
      </c>
      <c r="F3406" t="s">
        <v>35</v>
      </c>
      <c r="G3406" t="s">
        <v>31</v>
      </c>
      <c r="H3406" t="s">
        <v>18</v>
      </c>
      <c r="I3406" t="str">
        <f t="shared" si="266"/>
        <v>1-0</v>
      </c>
      <c r="J3406" t="str">
        <f t="shared" si="267"/>
        <v>1</v>
      </c>
      <c r="K3406" t="str">
        <f t="shared" si="268"/>
        <v>0</v>
      </c>
      <c r="L3406" t="str">
        <f t="shared" si="269"/>
        <v>RC Celta</v>
      </c>
      <c r="M3406" t="str">
        <f>IF(COUNTIF($A$2:A3406,A3406)=1,
     VLOOKUP(A3406,Season_Winners!A:B,2,FALSE),
     "")</f>
        <v/>
      </c>
    </row>
    <row r="3407" spans="1:13" hidden="1" x14ac:dyDescent="0.3">
      <c r="A3407" t="s">
        <v>1138</v>
      </c>
      <c r="B3407">
        <v>37</v>
      </c>
      <c r="C3407" t="s">
        <v>1275</v>
      </c>
      <c r="D3407" t="str">
        <f t="shared" si="265"/>
        <v>15.05.2022</v>
      </c>
      <c r="E3407" s="1">
        <v>0.8125</v>
      </c>
      <c r="F3407" t="s">
        <v>881</v>
      </c>
      <c r="G3407" t="s">
        <v>30</v>
      </c>
      <c r="H3407" s="2">
        <v>46024</v>
      </c>
      <c r="I3407" s="3" t="str">
        <f t="shared" si="266"/>
        <v/>
      </c>
      <c r="J3407" t="str">
        <f t="shared" si="267"/>
        <v/>
      </c>
      <c r="K3407" t="str">
        <f t="shared" si="268"/>
        <v/>
      </c>
      <c r="L3407" t="str">
        <f t="shared" si="269"/>
        <v/>
      </c>
      <c r="M3407" t="str">
        <f>IF(COUNTIF($A$2:A3407,A3407)=1,
     VLOOKUP(A3407,Season_Winners!A:B,2,FALSE),
     "")</f>
        <v/>
      </c>
    </row>
    <row r="3408" spans="1:13" x14ac:dyDescent="0.3">
      <c r="A3408" t="s">
        <v>1138</v>
      </c>
      <c r="B3408">
        <v>37</v>
      </c>
      <c r="C3408" t="s">
        <v>1275</v>
      </c>
      <c r="D3408" t="str">
        <f t="shared" si="265"/>
        <v>15.05.2022</v>
      </c>
      <c r="E3408" s="1">
        <v>0.8125</v>
      </c>
      <c r="F3408" t="s">
        <v>11</v>
      </c>
      <c r="G3408" t="s">
        <v>20</v>
      </c>
      <c r="H3408" t="s">
        <v>41</v>
      </c>
      <c r="I3408" t="str">
        <f t="shared" si="266"/>
        <v>0-0</v>
      </c>
      <c r="J3408" t="str">
        <f t="shared" si="267"/>
        <v>0</v>
      </c>
      <c r="K3408" t="str">
        <f t="shared" si="268"/>
        <v>0</v>
      </c>
      <c r="L3408" t="str">
        <f t="shared" si="269"/>
        <v>Draw</v>
      </c>
      <c r="M3408" t="str">
        <f>IF(COUNTIF($A$2:A3408,A3408)=1,
     VLOOKUP(A3408,Season_Winners!A:B,2,FALSE),
     "")</f>
        <v/>
      </c>
    </row>
    <row r="3409" spans="1:13" hidden="1" x14ac:dyDescent="0.3">
      <c r="A3409" t="s">
        <v>1138</v>
      </c>
      <c r="B3409">
        <v>37</v>
      </c>
      <c r="C3409" t="s">
        <v>1275</v>
      </c>
      <c r="D3409" t="str">
        <f t="shared" si="265"/>
        <v>15.05.2022</v>
      </c>
      <c r="E3409" s="1">
        <v>0.8125</v>
      </c>
      <c r="F3409" t="s">
        <v>1000</v>
      </c>
      <c r="G3409" t="s">
        <v>25</v>
      </c>
      <c r="H3409" s="2">
        <v>46023</v>
      </c>
      <c r="I3409" s="3" t="str">
        <f t="shared" si="266"/>
        <v/>
      </c>
      <c r="J3409" t="str">
        <f t="shared" si="267"/>
        <v/>
      </c>
      <c r="K3409" t="str">
        <f t="shared" si="268"/>
        <v/>
      </c>
      <c r="L3409" t="str">
        <f t="shared" si="269"/>
        <v/>
      </c>
      <c r="M3409" t="str">
        <f>IF(COUNTIF($A$2:A3409,A3409)=1,
     VLOOKUP(A3409,Season_Winners!A:B,2,FALSE),
     "")</f>
        <v/>
      </c>
    </row>
    <row r="3410" spans="1:13" hidden="1" x14ac:dyDescent="0.3">
      <c r="A3410" t="s">
        <v>1138</v>
      </c>
      <c r="B3410">
        <v>37</v>
      </c>
      <c r="C3410" t="s">
        <v>1275</v>
      </c>
      <c r="D3410" t="str">
        <f t="shared" si="265"/>
        <v>15.05.2022</v>
      </c>
      <c r="E3410" s="1">
        <v>0.8125</v>
      </c>
      <c r="F3410" t="s">
        <v>21</v>
      </c>
      <c r="G3410" t="s">
        <v>464</v>
      </c>
      <c r="H3410" s="2">
        <v>46025</v>
      </c>
      <c r="I3410" s="3" t="str">
        <f t="shared" si="266"/>
        <v/>
      </c>
      <c r="J3410" t="str">
        <f t="shared" si="267"/>
        <v/>
      </c>
      <c r="K3410" t="str">
        <f t="shared" si="268"/>
        <v/>
      </c>
      <c r="L3410" t="str">
        <f t="shared" si="269"/>
        <v/>
      </c>
      <c r="M3410" t="str">
        <f>IF(COUNTIF($A$2:A3410,A3410)=1,
     VLOOKUP(A3410,Season_Winners!A:B,2,FALSE),
     "")</f>
        <v/>
      </c>
    </row>
    <row r="3411" spans="1:13" hidden="1" x14ac:dyDescent="0.3">
      <c r="A3411" t="s">
        <v>1138</v>
      </c>
      <c r="B3411">
        <v>37</v>
      </c>
      <c r="C3411" t="s">
        <v>1275</v>
      </c>
      <c r="D3411" t="str">
        <f t="shared" si="265"/>
        <v>15.05.2022</v>
      </c>
      <c r="E3411" s="1">
        <v>0.8125</v>
      </c>
      <c r="F3411" t="s">
        <v>34</v>
      </c>
      <c r="G3411" t="s">
        <v>10</v>
      </c>
      <c r="H3411" s="2">
        <v>46054</v>
      </c>
      <c r="I3411" s="3" t="str">
        <f t="shared" si="266"/>
        <v/>
      </c>
      <c r="J3411" t="str">
        <f t="shared" si="267"/>
        <v/>
      </c>
      <c r="K3411" t="str">
        <f t="shared" si="268"/>
        <v/>
      </c>
      <c r="L3411" t="str">
        <f t="shared" si="269"/>
        <v/>
      </c>
      <c r="M3411" t="str">
        <f>IF(COUNTIF($A$2:A3411,A3411)=1,
     VLOOKUP(A3411,Season_Winners!A:B,2,FALSE),
     "")</f>
        <v/>
      </c>
    </row>
    <row r="3412" spans="1:13" x14ac:dyDescent="0.3">
      <c r="A3412" t="s">
        <v>1138</v>
      </c>
      <c r="B3412">
        <v>38</v>
      </c>
      <c r="C3412" t="s">
        <v>1276</v>
      </c>
      <c r="D3412" t="str">
        <f t="shared" si="265"/>
        <v>20.05.2022</v>
      </c>
      <c r="E3412" s="1">
        <v>0.875</v>
      </c>
      <c r="F3412" t="s">
        <v>25</v>
      </c>
      <c r="G3412" t="s">
        <v>26</v>
      </c>
      <c r="H3412" t="s">
        <v>41</v>
      </c>
      <c r="I3412" t="str">
        <f t="shared" si="266"/>
        <v>0-0</v>
      </c>
      <c r="J3412" t="str">
        <f t="shared" si="267"/>
        <v>0</v>
      </c>
      <c r="K3412" t="str">
        <f t="shared" si="268"/>
        <v>0</v>
      </c>
      <c r="L3412" t="str">
        <f t="shared" si="269"/>
        <v>Draw</v>
      </c>
      <c r="M3412" t="str">
        <f>IF(COUNTIF($A$2:A3412,A3412)=1,
     VLOOKUP(A3412,Season_Winners!A:B,2,FALSE),
     "")</f>
        <v/>
      </c>
    </row>
    <row r="3413" spans="1:13" hidden="1" x14ac:dyDescent="0.3">
      <c r="A3413" t="s">
        <v>1138</v>
      </c>
      <c r="B3413">
        <v>38</v>
      </c>
      <c r="C3413" t="s">
        <v>1276</v>
      </c>
      <c r="D3413" t="str">
        <f t="shared" si="265"/>
        <v>20.05.2022</v>
      </c>
      <c r="E3413" s="1">
        <v>0.875</v>
      </c>
      <c r="F3413" t="s">
        <v>30</v>
      </c>
      <c r="G3413" t="s">
        <v>21</v>
      </c>
      <c r="H3413" s="2">
        <v>46114</v>
      </c>
      <c r="I3413" s="3" t="str">
        <f t="shared" si="266"/>
        <v/>
      </c>
      <c r="J3413" t="str">
        <f t="shared" si="267"/>
        <v/>
      </c>
      <c r="K3413" t="str">
        <f t="shared" si="268"/>
        <v/>
      </c>
      <c r="L3413" t="str">
        <f t="shared" si="269"/>
        <v/>
      </c>
      <c r="M3413" t="str">
        <f>IF(COUNTIF($A$2:A3413,A3413)=1,
     VLOOKUP(A3413,Season_Winners!A:B,2,FALSE),
     "")</f>
        <v/>
      </c>
    </row>
    <row r="3414" spans="1:13" x14ac:dyDescent="0.3">
      <c r="A3414" t="s">
        <v>1138</v>
      </c>
      <c r="B3414">
        <v>38</v>
      </c>
      <c r="C3414" t="s">
        <v>1277</v>
      </c>
      <c r="D3414" t="str">
        <f t="shared" si="265"/>
        <v>21.05.2022</v>
      </c>
      <c r="E3414" s="1">
        <v>0.72916666666666663</v>
      </c>
      <c r="F3414" t="s">
        <v>16</v>
      </c>
      <c r="G3414" t="s">
        <v>35</v>
      </c>
      <c r="H3414" t="s">
        <v>12</v>
      </c>
      <c r="I3414" t="str">
        <f t="shared" si="266"/>
        <v>2-0</v>
      </c>
      <c r="J3414" t="str">
        <f t="shared" si="267"/>
        <v>2</v>
      </c>
      <c r="K3414" t="str">
        <f t="shared" si="268"/>
        <v>0</v>
      </c>
      <c r="L3414" t="str">
        <f t="shared" si="269"/>
        <v>Valencia CF</v>
      </c>
      <c r="M3414" t="str">
        <f>IF(COUNTIF($A$2:A3414,A3414)=1,
     VLOOKUP(A3414,Season_Winners!A:B,2,FALSE),
     "")</f>
        <v/>
      </c>
    </row>
    <row r="3415" spans="1:13" hidden="1" x14ac:dyDescent="0.3">
      <c r="A3415" t="s">
        <v>1138</v>
      </c>
      <c r="B3415">
        <v>38</v>
      </c>
      <c r="C3415" t="s">
        <v>1278</v>
      </c>
      <c r="D3415" t="str">
        <f t="shared" si="265"/>
        <v>22.05.2022</v>
      </c>
      <c r="E3415" s="1">
        <v>0.72916666666666663</v>
      </c>
      <c r="F3415" t="s">
        <v>31</v>
      </c>
      <c r="G3415" t="s">
        <v>11</v>
      </c>
      <c r="H3415" s="2">
        <v>46025</v>
      </c>
      <c r="I3415" s="3" t="str">
        <f t="shared" si="266"/>
        <v/>
      </c>
      <c r="J3415" t="str">
        <f t="shared" si="267"/>
        <v/>
      </c>
      <c r="K3415" t="str">
        <f t="shared" si="268"/>
        <v/>
      </c>
      <c r="L3415" t="str">
        <f t="shared" si="269"/>
        <v/>
      </c>
      <c r="M3415" t="str">
        <f>IF(COUNTIF($A$2:A3415,A3415)=1,
     VLOOKUP(A3415,Season_Winners!A:B,2,FALSE),
     "")</f>
        <v/>
      </c>
    </row>
    <row r="3416" spans="1:13" x14ac:dyDescent="0.3">
      <c r="A3416" t="s">
        <v>1138</v>
      </c>
      <c r="B3416">
        <v>38</v>
      </c>
      <c r="C3416" t="s">
        <v>1278</v>
      </c>
      <c r="D3416" t="str">
        <f t="shared" si="265"/>
        <v>22.05.2022</v>
      </c>
      <c r="E3416" s="1">
        <v>0.83333333333333337</v>
      </c>
      <c r="F3416" t="s">
        <v>464</v>
      </c>
      <c r="G3416" t="s">
        <v>1000</v>
      </c>
      <c r="H3416" t="s">
        <v>42</v>
      </c>
      <c r="I3416" t="str">
        <f t="shared" si="266"/>
        <v>0-1</v>
      </c>
      <c r="J3416" t="str">
        <f t="shared" si="267"/>
        <v>0</v>
      </c>
      <c r="K3416" t="str">
        <f t="shared" si="268"/>
        <v>1</v>
      </c>
      <c r="L3416" t="str">
        <f t="shared" si="269"/>
        <v>CÃ¡diz CF</v>
      </c>
      <c r="M3416" t="str">
        <f>IF(COUNTIF($A$2:A3416,A3416)=1,
     VLOOKUP(A3416,Season_Winners!A:B,2,FALSE),
     "")</f>
        <v/>
      </c>
    </row>
    <row r="3417" spans="1:13" x14ac:dyDescent="0.3">
      <c r="A3417" t="s">
        <v>1138</v>
      </c>
      <c r="B3417">
        <v>38</v>
      </c>
      <c r="C3417" t="s">
        <v>1278</v>
      </c>
      <c r="D3417" t="str">
        <f t="shared" si="265"/>
        <v>22.05.2022</v>
      </c>
      <c r="E3417" s="1">
        <v>0.83333333333333337</v>
      </c>
      <c r="F3417" t="s">
        <v>24</v>
      </c>
      <c r="G3417" t="s">
        <v>36</v>
      </c>
      <c r="H3417" t="s">
        <v>41</v>
      </c>
      <c r="I3417" t="str">
        <f t="shared" si="266"/>
        <v>0-0</v>
      </c>
      <c r="J3417" t="str">
        <f t="shared" si="267"/>
        <v>0</v>
      </c>
      <c r="K3417" t="str">
        <f t="shared" si="268"/>
        <v>0</v>
      </c>
      <c r="L3417" t="str">
        <f t="shared" si="269"/>
        <v>Draw</v>
      </c>
      <c r="M3417" t="str">
        <f>IF(COUNTIF($A$2:A3417,A3417)=1,
     VLOOKUP(A3417,Season_Winners!A:B,2,FALSE),
     "")</f>
        <v/>
      </c>
    </row>
    <row r="3418" spans="1:13" x14ac:dyDescent="0.3">
      <c r="A3418" t="s">
        <v>1138</v>
      </c>
      <c r="B3418">
        <v>38</v>
      </c>
      <c r="C3418" t="s">
        <v>1278</v>
      </c>
      <c r="D3418" t="str">
        <f t="shared" si="265"/>
        <v>22.05.2022</v>
      </c>
      <c r="E3418" s="1">
        <v>0.83333333333333337</v>
      </c>
      <c r="F3418" t="s">
        <v>23</v>
      </c>
      <c r="G3418" t="s">
        <v>881</v>
      </c>
      <c r="H3418" t="s">
        <v>54</v>
      </c>
      <c r="I3418" t="str">
        <f t="shared" si="266"/>
        <v>0-2</v>
      </c>
      <c r="J3418" t="str">
        <f t="shared" si="267"/>
        <v>0</v>
      </c>
      <c r="K3418" t="str">
        <f t="shared" si="268"/>
        <v>2</v>
      </c>
      <c r="L3418" t="str">
        <f t="shared" si="269"/>
        <v>RCD Mallorca</v>
      </c>
      <c r="M3418" t="str">
        <f>IF(COUNTIF($A$2:A3418,A3418)=1,
     VLOOKUP(A3418,Season_Winners!A:B,2,FALSE),
     "")</f>
        <v/>
      </c>
    </row>
    <row r="3419" spans="1:13" x14ac:dyDescent="0.3">
      <c r="A3419" t="s">
        <v>1138</v>
      </c>
      <c r="B3419">
        <v>38</v>
      </c>
      <c r="C3419" t="s">
        <v>1278</v>
      </c>
      <c r="D3419" t="str">
        <f t="shared" si="265"/>
        <v>22.05.2022</v>
      </c>
      <c r="E3419" s="1">
        <v>0.91666666666666663</v>
      </c>
      <c r="F3419" t="s">
        <v>20</v>
      </c>
      <c r="G3419" t="s">
        <v>34</v>
      </c>
      <c r="H3419" t="s">
        <v>54</v>
      </c>
      <c r="I3419" t="str">
        <f t="shared" si="266"/>
        <v>0-2</v>
      </c>
      <c r="J3419" t="str">
        <f t="shared" si="267"/>
        <v>0</v>
      </c>
      <c r="K3419" t="str">
        <f t="shared" si="268"/>
        <v>2</v>
      </c>
      <c r="L3419" t="str">
        <f t="shared" si="269"/>
        <v>Villarreal CF</v>
      </c>
      <c r="M3419" t="str">
        <f>IF(COUNTIF($A$2:A3419,A3419)=1,
     VLOOKUP(A3419,Season_Winners!A:B,2,FALSE),
     "")</f>
        <v/>
      </c>
    </row>
    <row r="3420" spans="1:13" hidden="1" x14ac:dyDescent="0.3">
      <c r="A3420" t="s">
        <v>1138</v>
      </c>
      <c r="B3420">
        <v>38</v>
      </c>
      <c r="C3420" t="s">
        <v>1278</v>
      </c>
      <c r="D3420" t="str">
        <f t="shared" si="265"/>
        <v>22.05.2022</v>
      </c>
      <c r="E3420" s="1">
        <v>0.91666666666666663</v>
      </c>
      <c r="F3420" t="s">
        <v>10</v>
      </c>
      <c r="G3420" t="s">
        <v>28</v>
      </c>
      <c r="H3420" s="2">
        <v>46054</v>
      </c>
      <c r="I3420" s="3" t="str">
        <f t="shared" si="266"/>
        <v/>
      </c>
      <c r="J3420" t="str">
        <f t="shared" si="267"/>
        <v/>
      </c>
      <c r="K3420" t="str">
        <f t="shared" si="268"/>
        <v/>
      </c>
      <c r="L3420" t="str">
        <f t="shared" si="269"/>
        <v/>
      </c>
      <c r="M3420" t="str">
        <f>IF(COUNTIF($A$2:A3420,A3420)=1,
     VLOOKUP(A3420,Season_Winners!A:B,2,FALSE),
     "")</f>
        <v/>
      </c>
    </row>
    <row r="3421" spans="1:13" x14ac:dyDescent="0.3">
      <c r="A3421" t="s">
        <v>1138</v>
      </c>
      <c r="B3421">
        <v>38</v>
      </c>
      <c r="C3421" t="s">
        <v>1278</v>
      </c>
      <c r="D3421" t="str">
        <f t="shared" si="265"/>
        <v>22.05.2022</v>
      </c>
      <c r="E3421" s="1">
        <v>0.91666666666666663</v>
      </c>
      <c r="F3421" t="s">
        <v>27</v>
      </c>
      <c r="G3421" t="s">
        <v>15</v>
      </c>
      <c r="H3421" t="s">
        <v>18</v>
      </c>
      <c r="I3421" t="str">
        <f t="shared" si="266"/>
        <v>1-0</v>
      </c>
      <c r="J3421" t="str">
        <f t="shared" si="267"/>
        <v>1</v>
      </c>
      <c r="K3421" t="str">
        <f t="shared" si="268"/>
        <v>0</v>
      </c>
      <c r="L3421" t="str">
        <f t="shared" si="269"/>
        <v>Sevilla FC</v>
      </c>
      <c r="M3421" t="str">
        <f>IF(COUNTIF($A$2:A3421,A3421)=1,
     VLOOKUP(A3421,Season_Winners!A:B,2,FALSE),
     "")</f>
        <v/>
      </c>
    </row>
    <row r="3422" spans="1:13" hidden="1" x14ac:dyDescent="0.3">
      <c r="A3422" t="s">
        <v>1279</v>
      </c>
      <c r="B3422">
        <v>1</v>
      </c>
      <c r="C3422" t="s">
        <v>1280</v>
      </c>
      <c r="D3422" t="str">
        <f t="shared" si="265"/>
        <v>12.08.2022</v>
      </c>
      <c r="E3422" s="1">
        <v>0.875</v>
      </c>
      <c r="F3422" t="s">
        <v>23</v>
      </c>
      <c r="G3422" t="s">
        <v>27</v>
      </c>
      <c r="H3422" s="2">
        <v>46024</v>
      </c>
      <c r="I3422" s="3" t="str">
        <f t="shared" si="266"/>
        <v/>
      </c>
      <c r="J3422" t="str">
        <f t="shared" si="267"/>
        <v/>
      </c>
      <c r="K3422" t="str">
        <f t="shared" si="268"/>
        <v/>
      </c>
      <c r="L3422" t="str">
        <f t="shared" si="269"/>
        <v/>
      </c>
      <c r="M3422" t="str">
        <f>IF(COUNTIF($A$2:A3422,A3422)=1,
     VLOOKUP(A3422,Season_Winners!A:B,2,FALSE),
     "")</f>
        <v>FC Barcelona</v>
      </c>
    </row>
    <row r="3423" spans="1:13" hidden="1" x14ac:dyDescent="0.3">
      <c r="A3423" t="s">
        <v>1279</v>
      </c>
      <c r="B3423">
        <v>1</v>
      </c>
      <c r="C3423" t="s">
        <v>1281</v>
      </c>
      <c r="D3423" t="str">
        <f t="shared" si="265"/>
        <v>13.08.2022</v>
      </c>
      <c r="E3423" s="1">
        <v>0.70833333333333337</v>
      </c>
      <c r="F3423" t="s">
        <v>35</v>
      </c>
      <c r="G3423" t="s">
        <v>36</v>
      </c>
      <c r="H3423" s="2">
        <v>46055</v>
      </c>
      <c r="I3423" s="3" t="str">
        <f t="shared" si="266"/>
        <v/>
      </c>
      <c r="J3423" t="str">
        <f t="shared" si="267"/>
        <v/>
      </c>
      <c r="K3423" t="str">
        <f t="shared" si="268"/>
        <v/>
      </c>
      <c r="L3423" t="str">
        <f t="shared" si="269"/>
        <v/>
      </c>
      <c r="M3423" t="str">
        <f>IF(COUNTIF($A$2:A3423,A3423)=1,
     VLOOKUP(A3423,Season_Winners!A:B,2,FALSE),
     "")</f>
        <v/>
      </c>
    </row>
    <row r="3424" spans="1:13" x14ac:dyDescent="0.3">
      <c r="A3424" t="s">
        <v>1279</v>
      </c>
      <c r="B3424">
        <v>1</v>
      </c>
      <c r="C3424" t="s">
        <v>1281</v>
      </c>
      <c r="D3424" t="str">
        <f t="shared" si="265"/>
        <v>13.08.2022</v>
      </c>
      <c r="E3424" s="1">
        <v>0.79166666666666663</v>
      </c>
      <c r="F3424" t="s">
        <v>14</v>
      </c>
      <c r="G3424" t="s">
        <v>34</v>
      </c>
      <c r="H3424" t="s">
        <v>46</v>
      </c>
      <c r="I3424" t="str">
        <f t="shared" si="266"/>
        <v>0-3</v>
      </c>
      <c r="J3424" t="str">
        <f t="shared" si="267"/>
        <v>0</v>
      </c>
      <c r="K3424" t="str">
        <f t="shared" si="268"/>
        <v>3</v>
      </c>
      <c r="L3424" t="str">
        <f t="shared" si="269"/>
        <v>Villarreal CF</v>
      </c>
      <c r="M3424" t="str">
        <f>IF(COUNTIF($A$2:A3424,A3424)=1,
     VLOOKUP(A3424,Season_Winners!A:B,2,FALSE),
     "")</f>
        <v/>
      </c>
    </row>
    <row r="3425" spans="1:13" x14ac:dyDescent="0.3">
      <c r="A3425" t="s">
        <v>1279</v>
      </c>
      <c r="B3425">
        <v>1</v>
      </c>
      <c r="C3425" t="s">
        <v>1281</v>
      </c>
      <c r="D3425" t="str">
        <f t="shared" si="265"/>
        <v>13.08.2022</v>
      </c>
      <c r="E3425" s="1">
        <v>0.875</v>
      </c>
      <c r="F3425" t="s">
        <v>20</v>
      </c>
      <c r="G3425" t="s">
        <v>30</v>
      </c>
      <c r="H3425" t="s">
        <v>41</v>
      </c>
      <c r="I3425" t="str">
        <f t="shared" si="266"/>
        <v>0-0</v>
      </c>
      <c r="J3425" t="str">
        <f t="shared" si="267"/>
        <v>0</v>
      </c>
      <c r="K3425" t="str">
        <f t="shared" si="268"/>
        <v>0</v>
      </c>
      <c r="L3425" t="str">
        <f t="shared" si="269"/>
        <v>Draw</v>
      </c>
      <c r="M3425" t="str">
        <f>IF(COUNTIF($A$2:A3425,A3425)=1,
     VLOOKUP(A3425,Season_Winners!A:B,2,FALSE),
     "")</f>
        <v/>
      </c>
    </row>
    <row r="3426" spans="1:13" x14ac:dyDescent="0.3">
      <c r="A3426" t="s">
        <v>1279</v>
      </c>
      <c r="B3426">
        <v>1</v>
      </c>
      <c r="C3426" t="s">
        <v>1282</v>
      </c>
      <c r="D3426" t="str">
        <f t="shared" si="265"/>
        <v>14.08.2022</v>
      </c>
      <c r="E3426" s="1">
        <v>0.72916666666666663</v>
      </c>
      <c r="F3426" t="s">
        <v>1000</v>
      </c>
      <c r="G3426" t="s">
        <v>10</v>
      </c>
      <c r="H3426" t="s">
        <v>42</v>
      </c>
      <c r="I3426" t="str">
        <f t="shared" si="266"/>
        <v>0-1</v>
      </c>
      <c r="J3426" t="str">
        <f t="shared" si="267"/>
        <v>0</v>
      </c>
      <c r="K3426" t="str">
        <f t="shared" si="268"/>
        <v>1</v>
      </c>
      <c r="L3426" t="str">
        <f t="shared" si="269"/>
        <v>Real Sociedad</v>
      </c>
      <c r="M3426" t="str">
        <f>IF(COUNTIF($A$2:A3426,A3426)=1,
     VLOOKUP(A3426,Season_Winners!A:B,2,FALSE),
     "")</f>
        <v/>
      </c>
    </row>
    <row r="3427" spans="1:13" x14ac:dyDescent="0.3">
      <c r="A3427" t="s">
        <v>1279</v>
      </c>
      <c r="B3427">
        <v>1</v>
      </c>
      <c r="C3427" t="s">
        <v>1282</v>
      </c>
      <c r="D3427" t="str">
        <f t="shared" si="265"/>
        <v>14.08.2022</v>
      </c>
      <c r="E3427" s="1">
        <v>0.8125</v>
      </c>
      <c r="F3427" t="s">
        <v>16</v>
      </c>
      <c r="G3427" t="s">
        <v>606</v>
      </c>
      <c r="H3427" t="s">
        <v>18</v>
      </c>
      <c r="I3427" t="str">
        <f t="shared" si="266"/>
        <v>1-0</v>
      </c>
      <c r="J3427" t="str">
        <f t="shared" si="267"/>
        <v>1</v>
      </c>
      <c r="K3427" t="str">
        <f t="shared" si="268"/>
        <v>0</v>
      </c>
      <c r="L3427" t="str">
        <f t="shared" si="269"/>
        <v>Valencia CF</v>
      </c>
      <c r="M3427" t="str">
        <f>IF(COUNTIF($A$2:A3427,A3427)=1,
     VLOOKUP(A3427,Season_Winners!A:B,2,FALSE),
     "")</f>
        <v/>
      </c>
    </row>
    <row r="3428" spans="1:13" hidden="1" x14ac:dyDescent="0.3">
      <c r="A3428" t="s">
        <v>1279</v>
      </c>
      <c r="B3428">
        <v>1</v>
      </c>
      <c r="C3428" t="s">
        <v>1282</v>
      </c>
      <c r="D3428" t="str">
        <f t="shared" si="265"/>
        <v>14.08.2022</v>
      </c>
      <c r="E3428" s="1">
        <v>0.91666666666666663</v>
      </c>
      <c r="F3428" t="s">
        <v>33</v>
      </c>
      <c r="G3428" t="s">
        <v>25</v>
      </c>
      <c r="H3428" s="2">
        <v>46054</v>
      </c>
      <c r="I3428" s="3" t="str">
        <f t="shared" si="266"/>
        <v/>
      </c>
      <c r="J3428" t="str">
        <f t="shared" si="267"/>
        <v/>
      </c>
      <c r="K3428" t="str">
        <f t="shared" si="268"/>
        <v/>
      </c>
      <c r="L3428" t="str">
        <f t="shared" si="269"/>
        <v/>
      </c>
      <c r="M3428" t="str">
        <f>IF(COUNTIF($A$2:A3428,A3428)=1,
     VLOOKUP(A3428,Season_Winners!A:B,2,FALSE),
     "")</f>
        <v/>
      </c>
    </row>
    <row r="3429" spans="1:13" x14ac:dyDescent="0.3">
      <c r="A3429" t="s">
        <v>1279</v>
      </c>
      <c r="B3429">
        <v>1</v>
      </c>
      <c r="C3429" t="s">
        <v>1283</v>
      </c>
      <c r="D3429" t="str">
        <f t="shared" si="265"/>
        <v>15.08.2022</v>
      </c>
      <c r="E3429" s="1">
        <v>0.72916666666666663</v>
      </c>
      <c r="F3429" t="s">
        <v>15</v>
      </c>
      <c r="G3429" t="s">
        <v>881</v>
      </c>
      <c r="H3429" t="s">
        <v>41</v>
      </c>
      <c r="I3429" t="str">
        <f t="shared" si="266"/>
        <v>0-0</v>
      </c>
      <c r="J3429" t="str">
        <f t="shared" si="267"/>
        <v>0</v>
      </c>
      <c r="K3429" t="str">
        <f t="shared" si="268"/>
        <v>0</v>
      </c>
      <c r="L3429" t="str">
        <f t="shared" si="269"/>
        <v>Draw</v>
      </c>
      <c r="M3429" t="str">
        <f>IF(COUNTIF($A$2:A3429,A3429)=1,
     VLOOKUP(A3429,Season_Winners!A:B,2,FALSE),
     "")</f>
        <v/>
      </c>
    </row>
    <row r="3430" spans="1:13" x14ac:dyDescent="0.3">
      <c r="A3430" t="s">
        <v>1279</v>
      </c>
      <c r="B3430">
        <v>1</v>
      </c>
      <c r="C3430" t="s">
        <v>1283</v>
      </c>
      <c r="D3430" t="str">
        <f t="shared" si="265"/>
        <v>15.08.2022</v>
      </c>
      <c r="E3430" s="1">
        <v>0.8125</v>
      </c>
      <c r="F3430" t="s">
        <v>11</v>
      </c>
      <c r="G3430" t="s">
        <v>1425</v>
      </c>
      <c r="H3430" t="s">
        <v>46</v>
      </c>
      <c r="I3430" t="str">
        <f t="shared" si="266"/>
        <v>0-3</v>
      </c>
      <c r="J3430" t="str">
        <f t="shared" si="267"/>
        <v>0</v>
      </c>
      <c r="K3430" t="str">
        <f t="shared" si="268"/>
        <v>3</v>
      </c>
      <c r="L3430" t="str">
        <f t="shared" si="269"/>
        <v>Atlético de Madrid</v>
      </c>
      <c r="M3430" t="str">
        <f>IF(COUNTIF($A$2:A3430,A3430)=1,
     VLOOKUP(A3430,Season_Winners!A:B,2,FALSE),
     "")</f>
        <v/>
      </c>
    </row>
    <row r="3431" spans="1:13" x14ac:dyDescent="0.3">
      <c r="A3431" t="s">
        <v>1279</v>
      </c>
      <c r="B3431">
        <v>1</v>
      </c>
      <c r="C3431" t="s">
        <v>1283</v>
      </c>
      <c r="D3431" t="str">
        <f t="shared" si="265"/>
        <v>15.08.2022</v>
      </c>
      <c r="E3431" s="1">
        <v>0.89583333333333337</v>
      </c>
      <c r="F3431" t="s">
        <v>26</v>
      </c>
      <c r="G3431" t="s">
        <v>31</v>
      </c>
      <c r="H3431" t="s">
        <v>32</v>
      </c>
      <c r="I3431" t="str">
        <f t="shared" si="266"/>
        <v>3-0</v>
      </c>
      <c r="J3431" t="str">
        <f t="shared" si="267"/>
        <v>3</v>
      </c>
      <c r="K3431" t="str">
        <f t="shared" si="268"/>
        <v>0</v>
      </c>
      <c r="L3431" t="str">
        <f t="shared" si="269"/>
        <v>Real Betis</v>
      </c>
      <c r="M3431" t="str">
        <f>IF(COUNTIF($A$2:A3431,A3431)=1,
     VLOOKUP(A3431,Season_Winners!A:B,2,FALSE),
     "")</f>
        <v/>
      </c>
    </row>
    <row r="3432" spans="1:13" x14ac:dyDescent="0.3">
      <c r="A3432" t="s">
        <v>1279</v>
      </c>
      <c r="B3432">
        <v>2</v>
      </c>
      <c r="C3432" t="s">
        <v>1285</v>
      </c>
      <c r="D3432" t="str">
        <f t="shared" si="265"/>
        <v>19.08.2022</v>
      </c>
      <c r="E3432" s="1">
        <v>0.83333333333333337</v>
      </c>
      <c r="F3432" t="s">
        <v>36</v>
      </c>
      <c r="G3432" t="s">
        <v>30</v>
      </c>
      <c r="H3432" t="s">
        <v>54</v>
      </c>
      <c r="I3432" t="str">
        <f t="shared" si="266"/>
        <v>0-2</v>
      </c>
      <c r="J3432" t="str">
        <f t="shared" si="267"/>
        <v>0</v>
      </c>
      <c r="K3432" t="str">
        <f t="shared" si="268"/>
        <v>2</v>
      </c>
      <c r="L3432" t="str">
        <f t="shared" si="269"/>
        <v>Rayo Vallecano</v>
      </c>
      <c r="M3432" t="str">
        <f>IF(COUNTIF($A$2:A3432,A3432)=1,
     VLOOKUP(A3432,Season_Winners!A:B,2,FALSE),
     "")</f>
        <v/>
      </c>
    </row>
    <row r="3433" spans="1:13" hidden="1" x14ac:dyDescent="0.3">
      <c r="A3433" t="s">
        <v>1279</v>
      </c>
      <c r="B3433">
        <v>2</v>
      </c>
      <c r="C3433" t="s">
        <v>1285</v>
      </c>
      <c r="D3433" t="str">
        <f t="shared" si="265"/>
        <v>19.08.2022</v>
      </c>
      <c r="E3433" s="1">
        <v>0.91666666666666663</v>
      </c>
      <c r="F3433" t="s">
        <v>27</v>
      </c>
      <c r="G3433" t="s">
        <v>14</v>
      </c>
      <c r="H3433" s="2">
        <v>46023</v>
      </c>
      <c r="I3433" s="3" t="str">
        <f t="shared" si="266"/>
        <v/>
      </c>
      <c r="J3433" t="str">
        <f t="shared" si="267"/>
        <v/>
      </c>
      <c r="K3433" t="str">
        <f t="shared" si="268"/>
        <v/>
      </c>
      <c r="L3433" t="str">
        <f t="shared" si="269"/>
        <v/>
      </c>
      <c r="M3433" t="str">
        <f>IF(COUNTIF($A$2:A3433,A3433)=1,
     VLOOKUP(A3433,Season_Winners!A:B,2,FALSE),
     "")</f>
        <v/>
      </c>
    </row>
    <row r="3434" spans="1:13" x14ac:dyDescent="0.3">
      <c r="A3434" t="s">
        <v>1279</v>
      </c>
      <c r="B3434">
        <v>2</v>
      </c>
      <c r="C3434" t="s">
        <v>1287</v>
      </c>
      <c r="D3434" t="str">
        <f t="shared" si="265"/>
        <v>20.08.2022</v>
      </c>
      <c r="E3434" s="1">
        <v>0.72916666666666663</v>
      </c>
      <c r="F3434" t="s">
        <v>23</v>
      </c>
      <c r="G3434" t="s">
        <v>1000</v>
      </c>
      <c r="H3434" t="s">
        <v>12</v>
      </c>
      <c r="I3434" t="str">
        <f t="shared" si="266"/>
        <v>2-0</v>
      </c>
      <c r="J3434" t="str">
        <f t="shared" si="267"/>
        <v>2</v>
      </c>
      <c r="K3434" t="str">
        <f t="shared" si="268"/>
        <v>0</v>
      </c>
      <c r="L3434" t="str">
        <f t="shared" si="269"/>
        <v>CA Osasuna</v>
      </c>
      <c r="M3434" t="str">
        <f>IF(COUNTIF($A$2:A3434,A3434)=1,
     VLOOKUP(A3434,Season_Winners!A:B,2,FALSE),
     "")</f>
        <v/>
      </c>
    </row>
    <row r="3435" spans="1:13" hidden="1" x14ac:dyDescent="0.3">
      <c r="A3435" t="s">
        <v>1279</v>
      </c>
      <c r="B3435">
        <v>2</v>
      </c>
      <c r="C3435" t="s">
        <v>1287</v>
      </c>
      <c r="D3435" t="str">
        <f t="shared" si="265"/>
        <v>20.08.2022</v>
      </c>
      <c r="E3435" s="1">
        <v>0.8125</v>
      </c>
      <c r="F3435" t="s">
        <v>881</v>
      </c>
      <c r="G3435" t="s">
        <v>26</v>
      </c>
      <c r="H3435" s="2">
        <v>46054</v>
      </c>
      <c r="I3435" s="3" t="str">
        <f t="shared" si="266"/>
        <v/>
      </c>
      <c r="J3435" t="str">
        <f t="shared" si="267"/>
        <v/>
      </c>
      <c r="K3435" t="str">
        <f t="shared" si="268"/>
        <v/>
      </c>
      <c r="L3435" t="str">
        <f t="shared" si="269"/>
        <v/>
      </c>
      <c r="M3435" t="str">
        <f>IF(COUNTIF($A$2:A3435,A3435)=1,
     VLOOKUP(A3435,Season_Winners!A:B,2,FALSE),
     "")</f>
        <v/>
      </c>
    </row>
    <row r="3436" spans="1:13" hidden="1" x14ac:dyDescent="0.3">
      <c r="A3436" t="s">
        <v>1279</v>
      </c>
      <c r="B3436">
        <v>2</v>
      </c>
      <c r="C3436" t="s">
        <v>1287</v>
      </c>
      <c r="D3436" t="str">
        <f t="shared" si="265"/>
        <v>20.08.2022</v>
      </c>
      <c r="E3436" s="1">
        <v>0.91666666666666663</v>
      </c>
      <c r="F3436" t="s">
        <v>35</v>
      </c>
      <c r="G3436" t="s">
        <v>25</v>
      </c>
      <c r="H3436" s="2">
        <v>46113</v>
      </c>
      <c r="I3436" s="3" t="str">
        <f t="shared" si="266"/>
        <v/>
      </c>
      <c r="J3436" t="str">
        <f t="shared" si="267"/>
        <v/>
      </c>
      <c r="K3436" t="str">
        <f t="shared" si="268"/>
        <v/>
      </c>
      <c r="L3436" t="str">
        <f t="shared" si="269"/>
        <v/>
      </c>
      <c r="M3436" t="str">
        <f>IF(COUNTIF($A$2:A3436,A3436)=1,
     VLOOKUP(A3436,Season_Winners!A:B,2,FALSE),
     "")</f>
        <v/>
      </c>
    </row>
    <row r="3437" spans="1:13" x14ac:dyDescent="0.3">
      <c r="A3437" t="s">
        <v>1279</v>
      </c>
      <c r="B3437">
        <v>2</v>
      </c>
      <c r="C3437" t="s">
        <v>1288</v>
      </c>
      <c r="D3437" t="str">
        <f t="shared" si="265"/>
        <v>21.08.2022</v>
      </c>
      <c r="E3437" s="1">
        <v>0.72916666666666663</v>
      </c>
      <c r="F3437" t="s">
        <v>15</v>
      </c>
      <c r="G3437" t="s">
        <v>16</v>
      </c>
      <c r="H3437" t="s">
        <v>18</v>
      </c>
      <c r="I3437" t="str">
        <f t="shared" si="266"/>
        <v>1-0</v>
      </c>
      <c r="J3437" t="str">
        <f t="shared" si="267"/>
        <v>1</v>
      </c>
      <c r="K3437" t="str">
        <f t="shared" si="268"/>
        <v>0</v>
      </c>
      <c r="L3437" t="str">
        <f t="shared" si="269"/>
        <v>Athletic Club</v>
      </c>
      <c r="M3437" t="str">
        <f>IF(COUNTIF($A$2:A3437,A3437)=1,
     VLOOKUP(A3437,Season_Winners!A:B,2,FALSE),
     "")</f>
        <v/>
      </c>
    </row>
    <row r="3438" spans="1:13" x14ac:dyDescent="0.3">
      <c r="A3438" t="s">
        <v>1279</v>
      </c>
      <c r="B3438">
        <v>2</v>
      </c>
      <c r="C3438" t="s">
        <v>1288</v>
      </c>
      <c r="D3438" t="str">
        <f t="shared" si="265"/>
        <v>21.08.2022</v>
      </c>
      <c r="E3438" s="1">
        <v>0.8125</v>
      </c>
      <c r="F3438" t="s">
        <v>1425</v>
      </c>
      <c r="G3438" t="s">
        <v>34</v>
      </c>
      <c r="H3438" t="s">
        <v>54</v>
      </c>
      <c r="I3438" t="str">
        <f t="shared" si="266"/>
        <v>0-2</v>
      </c>
      <c r="J3438" t="str">
        <f t="shared" si="267"/>
        <v>0</v>
      </c>
      <c r="K3438" t="str">
        <f t="shared" si="268"/>
        <v>2</v>
      </c>
      <c r="L3438" t="str">
        <f t="shared" si="269"/>
        <v>Villarreal CF</v>
      </c>
      <c r="M3438" t="str">
        <f>IF(COUNTIF($A$2:A3438,A3438)=1,
     VLOOKUP(A3438,Season_Winners!A:B,2,FALSE),
     "")</f>
        <v/>
      </c>
    </row>
    <row r="3439" spans="1:13" hidden="1" x14ac:dyDescent="0.3">
      <c r="A3439" t="s">
        <v>1279</v>
      </c>
      <c r="B3439">
        <v>2</v>
      </c>
      <c r="C3439" t="s">
        <v>1288</v>
      </c>
      <c r="D3439" t="str">
        <f t="shared" si="265"/>
        <v>21.08.2022</v>
      </c>
      <c r="E3439" s="1">
        <v>0.91666666666666663</v>
      </c>
      <c r="F3439" t="s">
        <v>10</v>
      </c>
      <c r="G3439" t="s">
        <v>20</v>
      </c>
      <c r="H3439" s="2">
        <v>46113</v>
      </c>
      <c r="I3439" s="3" t="str">
        <f t="shared" si="266"/>
        <v/>
      </c>
      <c r="J3439" t="str">
        <f t="shared" si="267"/>
        <v/>
      </c>
      <c r="K3439" t="str">
        <f t="shared" si="268"/>
        <v/>
      </c>
      <c r="L3439" t="str">
        <f t="shared" si="269"/>
        <v/>
      </c>
      <c r="M3439" t="str">
        <f>IF(COUNTIF($A$2:A3439,A3439)=1,
     VLOOKUP(A3439,Season_Winners!A:B,2,FALSE),
     "")</f>
        <v/>
      </c>
    </row>
    <row r="3440" spans="1:13" hidden="1" x14ac:dyDescent="0.3">
      <c r="A3440" t="s">
        <v>1279</v>
      </c>
      <c r="B3440">
        <v>2</v>
      </c>
      <c r="C3440" t="s">
        <v>1289</v>
      </c>
      <c r="D3440" t="str">
        <f t="shared" si="265"/>
        <v>22.08.2022</v>
      </c>
      <c r="E3440" s="1">
        <v>0.83333333333333337</v>
      </c>
      <c r="F3440" t="s">
        <v>31</v>
      </c>
      <c r="G3440" t="s">
        <v>33</v>
      </c>
      <c r="H3440" s="2">
        <v>46023</v>
      </c>
      <c r="I3440" s="3" t="str">
        <f t="shared" si="266"/>
        <v/>
      </c>
      <c r="J3440" t="str">
        <f t="shared" si="267"/>
        <v/>
      </c>
      <c r="K3440" t="str">
        <f t="shared" si="268"/>
        <v/>
      </c>
      <c r="L3440" t="str">
        <f t="shared" si="269"/>
        <v/>
      </c>
      <c r="M3440" t="str">
        <f>IF(COUNTIF($A$2:A3440,A3440)=1,
     VLOOKUP(A3440,Season_Winners!A:B,2,FALSE),
     "")</f>
        <v/>
      </c>
    </row>
    <row r="3441" spans="1:13" hidden="1" x14ac:dyDescent="0.3">
      <c r="A3441" t="s">
        <v>1279</v>
      </c>
      <c r="B3441">
        <v>2</v>
      </c>
      <c r="C3441" t="s">
        <v>1289</v>
      </c>
      <c r="D3441" t="str">
        <f t="shared" si="265"/>
        <v>22.08.2022</v>
      </c>
      <c r="E3441" s="1">
        <v>0.91666666666666663</v>
      </c>
      <c r="F3441" t="s">
        <v>606</v>
      </c>
      <c r="G3441" t="s">
        <v>11</v>
      </c>
      <c r="H3441" s="2">
        <v>46025</v>
      </c>
      <c r="I3441" s="3" t="str">
        <f t="shared" si="266"/>
        <v/>
      </c>
      <c r="J3441" t="str">
        <f t="shared" si="267"/>
        <v/>
      </c>
      <c r="K3441" t="str">
        <f t="shared" si="268"/>
        <v/>
      </c>
      <c r="L3441" t="str">
        <f t="shared" si="269"/>
        <v/>
      </c>
      <c r="M3441" t="str">
        <f>IF(COUNTIF($A$2:A3441,A3441)=1,
     VLOOKUP(A3441,Season_Winners!A:B,2,FALSE),
     "")</f>
        <v/>
      </c>
    </row>
    <row r="3442" spans="1:13" x14ac:dyDescent="0.3">
      <c r="A3442" t="s">
        <v>1279</v>
      </c>
      <c r="B3442">
        <v>3</v>
      </c>
      <c r="C3442" t="s">
        <v>1290</v>
      </c>
      <c r="D3442" t="str">
        <f t="shared" si="265"/>
        <v>26.08.2022</v>
      </c>
      <c r="E3442" s="1">
        <v>0.83333333333333337</v>
      </c>
      <c r="F3442" t="s">
        <v>606</v>
      </c>
      <c r="G3442" t="s">
        <v>35</v>
      </c>
      <c r="H3442" t="s">
        <v>42</v>
      </c>
      <c r="I3442" t="str">
        <f t="shared" si="266"/>
        <v>0-1</v>
      </c>
      <c r="J3442" t="str">
        <f t="shared" si="267"/>
        <v>0</v>
      </c>
      <c r="K3442" t="str">
        <f t="shared" si="268"/>
        <v>1</v>
      </c>
      <c r="L3442" t="str">
        <f t="shared" si="269"/>
        <v>RC Celta</v>
      </c>
      <c r="M3442" t="str">
        <f>IF(COUNTIF($A$2:A3442,A3442)=1,
     VLOOKUP(A3442,Season_Winners!A:B,2,FALSE),
     "")</f>
        <v/>
      </c>
    </row>
    <row r="3443" spans="1:13" x14ac:dyDescent="0.3">
      <c r="A3443" t="s">
        <v>1279</v>
      </c>
      <c r="B3443">
        <v>3</v>
      </c>
      <c r="C3443" t="s">
        <v>1290</v>
      </c>
      <c r="D3443" t="str">
        <f t="shared" si="265"/>
        <v>26.08.2022</v>
      </c>
      <c r="E3443" s="1">
        <v>0.91666666666666663</v>
      </c>
      <c r="F3443" t="s">
        <v>26</v>
      </c>
      <c r="G3443" t="s">
        <v>23</v>
      </c>
      <c r="H3443" t="s">
        <v>18</v>
      </c>
      <c r="I3443" t="str">
        <f t="shared" si="266"/>
        <v>1-0</v>
      </c>
      <c r="J3443" t="str">
        <f t="shared" si="267"/>
        <v>1</v>
      </c>
      <c r="K3443" t="str">
        <f t="shared" si="268"/>
        <v>0</v>
      </c>
      <c r="L3443" t="str">
        <f t="shared" si="269"/>
        <v>Real Betis</v>
      </c>
      <c r="M3443" t="str">
        <f>IF(COUNTIF($A$2:A3443,A3443)=1,
     VLOOKUP(A3443,Season_Winners!A:B,2,FALSE),
     "")</f>
        <v/>
      </c>
    </row>
    <row r="3444" spans="1:13" x14ac:dyDescent="0.3">
      <c r="A3444" t="s">
        <v>1279</v>
      </c>
      <c r="B3444">
        <v>3</v>
      </c>
      <c r="C3444" t="s">
        <v>1291</v>
      </c>
      <c r="D3444" t="str">
        <f t="shared" si="265"/>
        <v>27.08.2022</v>
      </c>
      <c r="E3444" s="1">
        <v>0.72916666666666663</v>
      </c>
      <c r="F3444" t="s">
        <v>31</v>
      </c>
      <c r="G3444" t="s">
        <v>10</v>
      </c>
      <c r="H3444" t="s">
        <v>42</v>
      </c>
      <c r="I3444" t="str">
        <f t="shared" si="266"/>
        <v>0-1</v>
      </c>
      <c r="J3444" t="str">
        <f t="shared" si="267"/>
        <v>0</v>
      </c>
      <c r="K3444" t="str">
        <f t="shared" si="268"/>
        <v>1</v>
      </c>
      <c r="L3444" t="str">
        <f t="shared" si="269"/>
        <v>Real Sociedad</v>
      </c>
      <c r="M3444" t="str">
        <f>IF(COUNTIF($A$2:A3444,A3444)=1,
     VLOOKUP(A3444,Season_Winners!A:B,2,FALSE),
     "")</f>
        <v/>
      </c>
    </row>
    <row r="3445" spans="1:13" x14ac:dyDescent="0.3">
      <c r="A3445" t="s">
        <v>1279</v>
      </c>
      <c r="B3445">
        <v>3</v>
      </c>
      <c r="C3445" t="s">
        <v>1291</v>
      </c>
      <c r="D3445" t="str">
        <f t="shared" si="265"/>
        <v>27.08.2022</v>
      </c>
      <c r="E3445" s="1">
        <v>0.8125</v>
      </c>
      <c r="F3445" t="s">
        <v>30</v>
      </c>
      <c r="G3445" t="s">
        <v>881</v>
      </c>
      <c r="H3445" t="s">
        <v>54</v>
      </c>
      <c r="I3445" t="str">
        <f t="shared" si="266"/>
        <v>0-2</v>
      </c>
      <c r="J3445" t="str">
        <f t="shared" si="267"/>
        <v>0</v>
      </c>
      <c r="K3445" t="str">
        <f t="shared" si="268"/>
        <v>2</v>
      </c>
      <c r="L3445" t="str">
        <f t="shared" si="269"/>
        <v>RCD Mallorca</v>
      </c>
      <c r="M3445" t="str">
        <f>IF(COUNTIF($A$2:A3445,A3445)=1,
     VLOOKUP(A3445,Season_Winners!A:B,2,FALSE),
     "")</f>
        <v/>
      </c>
    </row>
    <row r="3446" spans="1:13" hidden="1" x14ac:dyDescent="0.3">
      <c r="A3446" t="s">
        <v>1279</v>
      </c>
      <c r="B3446">
        <v>3</v>
      </c>
      <c r="C3446" t="s">
        <v>1291</v>
      </c>
      <c r="D3446" t="str">
        <f t="shared" si="265"/>
        <v>27.08.2022</v>
      </c>
      <c r="E3446" s="1">
        <v>0.91666666666666663</v>
      </c>
      <c r="F3446" t="s">
        <v>33</v>
      </c>
      <c r="G3446" t="s">
        <v>27</v>
      </c>
      <c r="H3446" s="2">
        <v>46024</v>
      </c>
      <c r="I3446" s="3" t="str">
        <f t="shared" si="266"/>
        <v/>
      </c>
      <c r="J3446" t="str">
        <f t="shared" si="267"/>
        <v/>
      </c>
      <c r="K3446" t="str">
        <f t="shared" si="268"/>
        <v/>
      </c>
      <c r="L3446" t="str">
        <f t="shared" si="269"/>
        <v/>
      </c>
      <c r="M3446" t="str">
        <f>IF(COUNTIF($A$2:A3446,A3446)=1,
     VLOOKUP(A3446,Season_Winners!A:B,2,FALSE),
     "")</f>
        <v/>
      </c>
    </row>
    <row r="3447" spans="1:13" x14ac:dyDescent="0.3">
      <c r="A3447" t="s">
        <v>1279</v>
      </c>
      <c r="B3447">
        <v>3</v>
      </c>
      <c r="C3447" t="s">
        <v>1292</v>
      </c>
      <c r="D3447" t="str">
        <f t="shared" si="265"/>
        <v>28.08.2022</v>
      </c>
      <c r="E3447" s="1">
        <v>0.72916666666666663</v>
      </c>
      <c r="F3447" t="s">
        <v>11</v>
      </c>
      <c r="G3447" t="s">
        <v>34</v>
      </c>
      <c r="H3447" t="s">
        <v>41</v>
      </c>
      <c r="I3447" t="str">
        <f t="shared" si="266"/>
        <v>0-0</v>
      </c>
      <c r="J3447" t="str">
        <f t="shared" si="267"/>
        <v>0</v>
      </c>
      <c r="K3447" t="str">
        <f t="shared" si="268"/>
        <v>0</v>
      </c>
      <c r="L3447" t="str">
        <f t="shared" si="269"/>
        <v>Draw</v>
      </c>
      <c r="M3447" t="str">
        <f>IF(COUNTIF($A$2:A3447,A3447)=1,
     VLOOKUP(A3447,Season_Winners!A:B,2,FALSE),
     "")</f>
        <v/>
      </c>
    </row>
    <row r="3448" spans="1:13" x14ac:dyDescent="0.3">
      <c r="A3448" t="s">
        <v>1279</v>
      </c>
      <c r="B3448">
        <v>3</v>
      </c>
      <c r="C3448" t="s">
        <v>1292</v>
      </c>
      <c r="D3448" t="str">
        <f t="shared" si="265"/>
        <v>28.08.2022</v>
      </c>
      <c r="E3448" s="1">
        <v>0.8125</v>
      </c>
      <c r="F3448" t="s">
        <v>20</v>
      </c>
      <c r="G3448" t="s">
        <v>14</v>
      </c>
      <c r="H3448" t="s">
        <v>88</v>
      </c>
      <c r="I3448" t="str">
        <f t="shared" si="266"/>
        <v>4-0</v>
      </c>
      <c r="J3448" t="str">
        <f t="shared" si="267"/>
        <v>4</v>
      </c>
      <c r="K3448" t="str">
        <f t="shared" si="268"/>
        <v>0</v>
      </c>
      <c r="L3448" t="str">
        <f t="shared" si="269"/>
        <v>FC Barcelona</v>
      </c>
      <c r="M3448" t="str">
        <f>IF(COUNTIF($A$2:A3448,A3448)=1,
     VLOOKUP(A3448,Season_Winners!A:B,2,FALSE),
     "")</f>
        <v/>
      </c>
    </row>
    <row r="3449" spans="1:13" hidden="1" x14ac:dyDescent="0.3">
      <c r="A3449" t="s">
        <v>1279</v>
      </c>
      <c r="B3449">
        <v>3</v>
      </c>
      <c r="C3449" t="s">
        <v>1292</v>
      </c>
      <c r="D3449" t="str">
        <f t="shared" si="265"/>
        <v>28.08.2022</v>
      </c>
      <c r="E3449" s="1">
        <v>0.91666666666666663</v>
      </c>
      <c r="F3449" t="s">
        <v>36</v>
      </c>
      <c r="G3449" t="s">
        <v>25</v>
      </c>
      <c r="H3449" s="2">
        <v>46082</v>
      </c>
      <c r="I3449" s="3" t="str">
        <f t="shared" si="266"/>
        <v/>
      </c>
      <c r="J3449" t="str">
        <f t="shared" si="267"/>
        <v/>
      </c>
      <c r="K3449" t="str">
        <f t="shared" si="268"/>
        <v/>
      </c>
      <c r="L3449" t="str">
        <f t="shared" si="269"/>
        <v/>
      </c>
      <c r="M3449" t="str">
        <f>IF(COUNTIF($A$2:A3449,A3449)=1,
     VLOOKUP(A3449,Season_Winners!A:B,2,FALSE),
     "")</f>
        <v/>
      </c>
    </row>
    <row r="3450" spans="1:13" x14ac:dyDescent="0.3">
      <c r="A3450" t="s">
        <v>1279</v>
      </c>
      <c r="B3450">
        <v>3</v>
      </c>
      <c r="C3450" t="s">
        <v>1293</v>
      </c>
      <c r="D3450" t="str">
        <f t="shared" si="265"/>
        <v>29.08.2022</v>
      </c>
      <c r="E3450" s="1">
        <v>0.83333333333333337</v>
      </c>
      <c r="F3450" t="s">
        <v>1000</v>
      </c>
      <c r="G3450" t="s">
        <v>15</v>
      </c>
      <c r="H3450" t="s">
        <v>53</v>
      </c>
      <c r="I3450" t="str">
        <f t="shared" si="266"/>
        <v>0-4</v>
      </c>
      <c r="J3450" t="str">
        <f t="shared" si="267"/>
        <v>0</v>
      </c>
      <c r="K3450" t="str">
        <f t="shared" si="268"/>
        <v>4</v>
      </c>
      <c r="L3450" t="str">
        <f t="shared" si="269"/>
        <v>Athletic Club</v>
      </c>
      <c r="M3450" t="str">
        <f>IF(COUNTIF($A$2:A3450,A3450)=1,
     VLOOKUP(A3450,Season_Winners!A:B,2,FALSE),
     "")</f>
        <v/>
      </c>
    </row>
    <row r="3451" spans="1:13" x14ac:dyDescent="0.3">
      <c r="A3451" t="s">
        <v>1279</v>
      </c>
      <c r="B3451">
        <v>3</v>
      </c>
      <c r="C3451" t="s">
        <v>1293</v>
      </c>
      <c r="D3451" t="str">
        <f t="shared" si="265"/>
        <v>29.08.2022</v>
      </c>
      <c r="E3451" s="1">
        <v>0.91666666666666663</v>
      </c>
      <c r="F3451" t="s">
        <v>16</v>
      </c>
      <c r="G3451" t="s">
        <v>1425</v>
      </c>
      <c r="H3451" t="s">
        <v>42</v>
      </c>
      <c r="I3451" t="str">
        <f t="shared" si="266"/>
        <v>0-1</v>
      </c>
      <c r="J3451" t="str">
        <f t="shared" si="267"/>
        <v>0</v>
      </c>
      <c r="K3451" t="str">
        <f t="shared" si="268"/>
        <v>1</v>
      </c>
      <c r="L3451" t="str">
        <f t="shared" si="269"/>
        <v>Atlético de Madrid</v>
      </c>
      <c r="M3451" t="str">
        <f>IF(COUNTIF($A$2:A3451,A3451)=1,
     VLOOKUP(A3451,Season_Winners!A:B,2,FALSE),
     "")</f>
        <v/>
      </c>
    </row>
    <row r="3452" spans="1:13" x14ac:dyDescent="0.3">
      <c r="A3452" t="s">
        <v>1279</v>
      </c>
      <c r="B3452">
        <v>4</v>
      </c>
      <c r="C3452" t="s">
        <v>1294</v>
      </c>
      <c r="D3452" t="str">
        <f t="shared" si="265"/>
        <v>02.09.2022</v>
      </c>
      <c r="E3452" s="1">
        <v>0.875</v>
      </c>
      <c r="F3452" t="s">
        <v>35</v>
      </c>
      <c r="G3452" t="s">
        <v>1000</v>
      </c>
      <c r="H3452" t="s">
        <v>32</v>
      </c>
      <c r="I3452" t="str">
        <f t="shared" si="266"/>
        <v>3-0</v>
      </c>
      <c r="J3452" t="str">
        <f t="shared" si="267"/>
        <v>3</v>
      </c>
      <c r="K3452" t="str">
        <f t="shared" si="268"/>
        <v>0</v>
      </c>
      <c r="L3452" t="str">
        <f t="shared" si="269"/>
        <v>RC Celta</v>
      </c>
      <c r="M3452" t="str">
        <f>IF(COUNTIF($A$2:A3452,A3452)=1,
     VLOOKUP(A3452,Season_Winners!A:B,2,FALSE),
     "")</f>
        <v/>
      </c>
    </row>
    <row r="3453" spans="1:13" hidden="1" x14ac:dyDescent="0.3">
      <c r="A3453" t="s">
        <v>1279</v>
      </c>
      <c r="B3453">
        <v>4</v>
      </c>
      <c r="C3453" t="s">
        <v>1295</v>
      </c>
      <c r="D3453" t="str">
        <f t="shared" si="265"/>
        <v>03.09.2022</v>
      </c>
      <c r="E3453" s="1">
        <v>0.58333333333333337</v>
      </c>
      <c r="F3453" t="s">
        <v>881</v>
      </c>
      <c r="G3453" t="s">
        <v>606</v>
      </c>
      <c r="H3453" s="2">
        <v>46023</v>
      </c>
      <c r="I3453" s="3" t="str">
        <f t="shared" si="266"/>
        <v/>
      </c>
      <c r="J3453" t="str">
        <f t="shared" si="267"/>
        <v/>
      </c>
      <c r="K3453" t="str">
        <f t="shared" si="268"/>
        <v/>
      </c>
      <c r="L3453" t="str">
        <f t="shared" si="269"/>
        <v/>
      </c>
      <c r="M3453" t="str">
        <f>IF(COUNTIF($A$2:A3453,A3453)=1,
     VLOOKUP(A3453,Season_Winners!A:B,2,FALSE),
     "")</f>
        <v/>
      </c>
    </row>
    <row r="3454" spans="1:13" hidden="1" x14ac:dyDescent="0.3">
      <c r="A3454" t="s">
        <v>1279</v>
      </c>
      <c r="B3454">
        <v>4</v>
      </c>
      <c r="C3454" t="s">
        <v>1295</v>
      </c>
      <c r="D3454" t="str">
        <f t="shared" si="265"/>
        <v>03.09.2022</v>
      </c>
      <c r="E3454" s="1">
        <v>0.67708333333333337</v>
      </c>
      <c r="F3454" t="s">
        <v>25</v>
      </c>
      <c r="G3454" t="s">
        <v>26</v>
      </c>
      <c r="H3454" s="2">
        <v>46024</v>
      </c>
      <c r="I3454" s="3" t="str">
        <f t="shared" si="266"/>
        <v/>
      </c>
      <c r="J3454" t="str">
        <f t="shared" si="267"/>
        <v/>
      </c>
      <c r="K3454" t="str">
        <f t="shared" si="268"/>
        <v/>
      </c>
      <c r="L3454" t="str">
        <f t="shared" si="269"/>
        <v/>
      </c>
      <c r="M3454" t="str">
        <f>IF(COUNTIF($A$2:A3454,A3454)=1,
     VLOOKUP(A3454,Season_Winners!A:B,2,FALSE),
     "")</f>
        <v/>
      </c>
    </row>
    <row r="3455" spans="1:13" hidden="1" x14ac:dyDescent="0.3">
      <c r="A3455" t="s">
        <v>1279</v>
      </c>
      <c r="B3455">
        <v>4</v>
      </c>
      <c r="C3455" t="s">
        <v>1295</v>
      </c>
      <c r="D3455" t="str">
        <f t="shared" si="265"/>
        <v>03.09.2022</v>
      </c>
      <c r="E3455" s="1">
        <v>0.77083333333333337</v>
      </c>
      <c r="F3455" t="s">
        <v>10</v>
      </c>
      <c r="G3455" t="s">
        <v>28</v>
      </c>
      <c r="H3455" s="2">
        <v>46023</v>
      </c>
      <c r="I3455" s="3" t="str">
        <f t="shared" si="266"/>
        <v/>
      </c>
      <c r="J3455" t="str">
        <f t="shared" si="267"/>
        <v/>
      </c>
      <c r="K3455" t="str">
        <f t="shared" si="268"/>
        <v/>
      </c>
      <c r="L3455" t="str">
        <f t="shared" si="269"/>
        <v/>
      </c>
      <c r="M3455" t="str">
        <f>IF(COUNTIF($A$2:A3455,A3455)=1,
     VLOOKUP(A3455,Season_Winners!A:B,2,FALSE),
     "")</f>
        <v/>
      </c>
    </row>
    <row r="3456" spans="1:13" x14ac:dyDescent="0.3">
      <c r="A3456" t="s">
        <v>1279</v>
      </c>
      <c r="B3456">
        <v>4</v>
      </c>
      <c r="C3456" t="s">
        <v>1295</v>
      </c>
      <c r="D3456" t="str">
        <f t="shared" si="265"/>
        <v>03.09.2022</v>
      </c>
      <c r="E3456" s="1">
        <v>0.875</v>
      </c>
      <c r="F3456" t="s">
        <v>27</v>
      </c>
      <c r="G3456" t="s">
        <v>20</v>
      </c>
      <c r="H3456" t="s">
        <v>46</v>
      </c>
      <c r="I3456" t="str">
        <f t="shared" si="266"/>
        <v>0-3</v>
      </c>
      <c r="J3456" t="str">
        <f t="shared" si="267"/>
        <v>0</v>
      </c>
      <c r="K3456" t="str">
        <f t="shared" si="268"/>
        <v>3</v>
      </c>
      <c r="L3456" t="str">
        <f t="shared" si="269"/>
        <v>FC Barcelona</v>
      </c>
      <c r="M3456" t="str">
        <f>IF(COUNTIF($A$2:A3456,A3456)=1,
     VLOOKUP(A3456,Season_Winners!A:B,2,FALSE),
     "")</f>
        <v/>
      </c>
    </row>
    <row r="3457" spans="1:13" hidden="1" x14ac:dyDescent="0.3">
      <c r="A3457" t="s">
        <v>1279</v>
      </c>
      <c r="B3457">
        <v>4</v>
      </c>
      <c r="C3457" t="s">
        <v>1296</v>
      </c>
      <c r="D3457" t="str">
        <f t="shared" si="265"/>
        <v>04.09.2022</v>
      </c>
      <c r="E3457" s="1">
        <v>0.58333333333333337</v>
      </c>
      <c r="F3457" t="s">
        <v>23</v>
      </c>
      <c r="G3457" t="s">
        <v>30</v>
      </c>
      <c r="H3457" s="2">
        <v>46024</v>
      </c>
      <c r="I3457" s="3" t="str">
        <f t="shared" si="266"/>
        <v/>
      </c>
      <c r="J3457" t="str">
        <f t="shared" si="267"/>
        <v/>
      </c>
      <c r="K3457" t="str">
        <f t="shared" si="268"/>
        <v/>
      </c>
      <c r="L3457" t="str">
        <f t="shared" si="269"/>
        <v/>
      </c>
      <c r="M3457" t="str">
        <f>IF(COUNTIF($A$2:A3457,A3457)=1,
     VLOOKUP(A3457,Season_Winners!A:B,2,FALSE),
     "")</f>
        <v/>
      </c>
    </row>
    <row r="3458" spans="1:13" x14ac:dyDescent="0.3">
      <c r="A3458" t="s">
        <v>1279</v>
      </c>
      <c r="B3458">
        <v>4</v>
      </c>
      <c r="C3458" t="s">
        <v>1296</v>
      </c>
      <c r="D3458" t="str">
        <f t="shared" ref="D3458:D3521" si="270">RIGHT(C3458,10)</f>
        <v>04.09.2022</v>
      </c>
      <c r="E3458" s="1">
        <v>0.67708333333333337</v>
      </c>
      <c r="F3458" t="s">
        <v>15</v>
      </c>
      <c r="G3458" t="s">
        <v>36</v>
      </c>
      <c r="H3458" t="s">
        <v>42</v>
      </c>
      <c r="I3458" t="str">
        <f t="shared" ref="I3458:I3521" si="271">IF(ISNUMBER(SEARCH("-",H3458)),H3458,"")</f>
        <v>0-1</v>
      </c>
      <c r="J3458" t="str">
        <f t="shared" ref="J3458:J3521" si="272">IF(I3458="","",LEFT(I3458,FIND("-",I3458)-1))</f>
        <v>0</v>
      </c>
      <c r="K3458" t="str">
        <f t="shared" ref="K3458:K3521" si="273">IF(I3458="","",RIGHT(I3458,LEN(I3458)-FIND("-",I3458)))</f>
        <v>1</v>
      </c>
      <c r="L3458" t="str">
        <f t="shared" ref="L3458:L3521" si="274">IF(I3458="","",IF(J3458&gt;K3458,F3458,IF(K3458&gt;J3458,G3458,"Draw")))</f>
        <v>RCD Espanyol de Barcelona</v>
      </c>
      <c r="M3458" t="str">
        <f>IF(COUNTIF($A$2:A3458,A3458)=1,
     VLOOKUP(A3458,Season_Winners!A:B,2,FALSE),
     "")</f>
        <v/>
      </c>
    </row>
    <row r="3459" spans="1:13" x14ac:dyDescent="0.3">
      <c r="A3459" t="s">
        <v>1279</v>
      </c>
      <c r="B3459">
        <v>4</v>
      </c>
      <c r="C3459" t="s">
        <v>1296</v>
      </c>
      <c r="D3459" t="str">
        <f t="shared" si="270"/>
        <v>04.09.2022</v>
      </c>
      <c r="E3459" s="1">
        <v>0.77083333333333337</v>
      </c>
      <c r="F3459" t="s">
        <v>34</v>
      </c>
      <c r="G3459" t="s">
        <v>31</v>
      </c>
      <c r="H3459" t="s">
        <v>88</v>
      </c>
      <c r="I3459" t="str">
        <f t="shared" si="271"/>
        <v>4-0</v>
      </c>
      <c r="J3459" t="str">
        <f t="shared" si="272"/>
        <v>4</v>
      </c>
      <c r="K3459" t="str">
        <f t="shared" si="273"/>
        <v>0</v>
      </c>
      <c r="L3459" t="str">
        <f t="shared" si="274"/>
        <v>Villarreal CF</v>
      </c>
      <c r="M3459" t="str">
        <f>IF(COUNTIF($A$2:A3459,A3459)=1,
     VLOOKUP(A3459,Season_Winners!A:B,2,FALSE),
     "")</f>
        <v/>
      </c>
    </row>
    <row r="3460" spans="1:13" hidden="1" x14ac:dyDescent="0.3">
      <c r="A3460" t="s">
        <v>1279</v>
      </c>
      <c r="B3460">
        <v>4</v>
      </c>
      <c r="C3460" t="s">
        <v>1296</v>
      </c>
      <c r="D3460" t="str">
        <f t="shared" si="270"/>
        <v>04.09.2022</v>
      </c>
      <c r="E3460" s="1">
        <v>0.875</v>
      </c>
      <c r="F3460" t="s">
        <v>16</v>
      </c>
      <c r="G3460" t="s">
        <v>11</v>
      </c>
      <c r="H3460" s="2">
        <v>46027</v>
      </c>
      <c r="I3460" s="3" t="str">
        <f t="shared" si="271"/>
        <v/>
      </c>
      <c r="J3460" t="str">
        <f t="shared" si="272"/>
        <v/>
      </c>
      <c r="K3460" t="str">
        <f t="shared" si="273"/>
        <v/>
      </c>
      <c r="L3460" t="str">
        <f t="shared" si="274"/>
        <v/>
      </c>
      <c r="M3460" t="str">
        <f>IF(COUNTIF($A$2:A3460,A3460)=1,
     VLOOKUP(A3460,Season_Winners!A:B,2,FALSE),
     "")</f>
        <v/>
      </c>
    </row>
    <row r="3461" spans="1:13" x14ac:dyDescent="0.3">
      <c r="A3461" t="s">
        <v>1279</v>
      </c>
      <c r="B3461">
        <v>4</v>
      </c>
      <c r="C3461" t="s">
        <v>1297</v>
      </c>
      <c r="D3461" t="str">
        <f t="shared" si="270"/>
        <v>05.09.2022</v>
      </c>
      <c r="E3461" s="1">
        <v>0.875</v>
      </c>
      <c r="F3461" t="s">
        <v>14</v>
      </c>
      <c r="G3461" t="s">
        <v>33</v>
      </c>
      <c r="H3461" t="s">
        <v>18</v>
      </c>
      <c r="I3461" t="str">
        <f t="shared" si="271"/>
        <v>1-0</v>
      </c>
      <c r="J3461" t="str">
        <f t="shared" si="272"/>
        <v>1</v>
      </c>
      <c r="K3461" t="str">
        <f t="shared" si="273"/>
        <v>0</v>
      </c>
      <c r="L3461" t="str">
        <f t="shared" si="274"/>
        <v>Real Valladolid CF</v>
      </c>
      <c r="M3461" t="str">
        <f>IF(COUNTIF($A$2:A3461,A3461)=1,
     VLOOKUP(A3461,Season_Winners!A:B,2,FALSE),
     "")</f>
        <v/>
      </c>
    </row>
    <row r="3462" spans="1:13" hidden="1" x14ac:dyDescent="0.3">
      <c r="A3462" t="s">
        <v>1279</v>
      </c>
      <c r="B3462">
        <v>5</v>
      </c>
      <c r="C3462" t="s">
        <v>1298</v>
      </c>
      <c r="D3462" t="str">
        <f t="shared" si="270"/>
        <v>09.09.2022</v>
      </c>
      <c r="E3462" s="1">
        <v>0.875</v>
      </c>
      <c r="F3462" t="s">
        <v>606</v>
      </c>
      <c r="G3462" t="s">
        <v>14</v>
      </c>
      <c r="H3462" s="2">
        <v>46024</v>
      </c>
      <c r="I3462" s="3" t="str">
        <f t="shared" si="271"/>
        <v/>
      </c>
      <c r="J3462" t="str">
        <f t="shared" si="272"/>
        <v/>
      </c>
      <c r="K3462" t="str">
        <f t="shared" si="273"/>
        <v/>
      </c>
      <c r="L3462" t="str">
        <f t="shared" si="274"/>
        <v/>
      </c>
      <c r="M3462" t="str">
        <f>IF(COUNTIF($A$2:A3462,A3462)=1,
     VLOOKUP(A3462,Season_Winners!A:B,2,FALSE),
     "")</f>
        <v/>
      </c>
    </row>
    <row r="3463" spans="1:13" hidden="1" x14ac:dyDescent="0.3">
      <c r="A3463" t="s">
        <v>1279</v>
      </c>
      <c r="B3463">
        <v>5</v>
      </c>
      <c r="C3463" t="s">
        <v>1299</v>
      </c>
      <c r="D3463" t="str">
        <f t="shared" si="270"/>
        <v>10.09.2022</v>
      </c>
      <c r="E3463" s="1">
        <v>0.58333333333333337</v>
      </c>
      <c r="F3463" t="s">
        <v>30</v>
      </c>
      <c r="G3463" t="s">
        <v>16</v>
      </c>
      <c r="H3463" s="2">
        <v>46024</v>
      </c>
      <c r="I3463" s="3" t="str">
        <f t="shared" si="271"/>
        <v/>
      </c>
      <c r="J3463" t="str">
        <f t="shared" si="272"/>
        <v/>
      </c>
      <c r="K3463" t="str">
        <f t="shared" si="273"/>
        <v/>
      </c>
      <c r="L3463" t="str">
        <f t="shared" si="274"/>
        <v/>
      </c>
      <c r="M3463" t="str">
        <f>IF(COUNTIF($A$2:A3463,A3463)=1,
     VLOOKUP(A3463,Season_Winners!A:B,2,FALSE),
     "")</f>
        <v/>
      </c>
    </row>
    <row r="3464" spans="1:13" hidden="1" x14ac:dyDescent="0.3">
      <c r="A3464" t="s">
        <v>1279</v>
      </c>
      <c r="B3464">
        <v>5</v>
      </c>
      <c r="C3464" t="s">
        <v>1299</v>
      </c>
      <c r="D3464" t="str">
        <f t="shared" si="270"/>
        <v>10.09.2022</v>
      </c>
      <c r="E3464" s="1">
        <v>0.67708333333333337</v>
      </c>
      <c r="F3464" t="s">
        <v>36</v>
      </c>
      <c r="G3464" t="s">
        <v>27</v>
      </c>
      <c r="H3464" s="2">
        <v>46083</v>
      </c>
      <c r="I3464" s="3" t="str">
        <f t="shared" si="271"/>
        <v/>
      </c>
      <c r="J3464" t="str">
        <f t="shared" si="272"/>
        <v/>
      </c>
      <c r="K3464" t="str">
        <f t="shared" si="273"/>
        <v/>
      </c>
      <c r="L3464" t="str">
        <f t="shared" si="274"/>
        <v/>
      </c>
      <c r="M3464" t="str">
        <f>IF(COUNTIF($A$2:A3464,A3464)=1,
     VLOOKUP(A3464,Season_Winners!A:B,2,FALSE),
     "")</f>
        <v/>
      </c>
    </row>
    <row r="3465" spans="1:13" x14ac:dyDescent="0.3">
      <c r="A3465" t="s">
        <v>1279</v>
      </c>
      <c r="B3465">
        <v>5</v>
      </c>
      <c r="C3465" t="s">
        <v>1299</v>
      </c>
      <c r="D3465" t="str">
        <f t="shared" si="270"/>
        <v>10.09.2022</v>
      </c>
      <c r="E3465" s="1">
        <v>0.77083333333333337</v>
      </c>
      <c r="F3465" t="s">
        <v>1000</v>
      </c>
      <c r="G3465" t="s">
        <v>20</v>
      </c>
      <c r="H3465" t="s">
        <v>53</v>
      </c>
      <c r="I3465" t="str">
        <f t="shared" si="271"/>
        <v>0-4</v>
      </c>
      <c r="J3465" t="str">
        <f t="shared" si="272"/>
        <v>0</v>
      </c>
      <c r="K3465" t="str">
        <f t="shared" si="273"/>
        <v>4</v>
      </c>
      <c r="L3465" t="str">
        <f t="shared" si="274"/>
        <v>FC Barcelona</v>
      </c>
      <c r="M3465" t="str">
        <f>IF(COUNTIF($A$2:A3465,A3465)=1,
     VLOOKUP(A3465,Season_Winners!A:B,2,FALSE),
     "")</f>
        <v/>
      </c>
    </row>
    <row r="3466" spans="1:13" hidden="1" x14ac:dyDescent="0.3">
      <c r="A3466" t="s">
        <v>1279</v>
      </c>
      <c r="B3466">
        <v>5</v>
      </c>
      <c r="C3466" t="s">
        <v>1299</v>
      </c>
      <c r="D3466" t="str">
        <f t="shared" si="270"/>
        <v>10.09.2022</v>
      </c>
      <c r="E3466" s="1">
        <v>0.875</v>
      </c>
      <c r="F3466" t="s">
        <v>28</v>
      </c>
      <c r="G3466" t="s">
        <v>35</v>
      </c>
      <c r="H3466" s="2">
        <v>46026</v>
      </c>
      <c r="I3466" s="3" t="str">
        <f t="shared" si="271"/>
        <v/>
      </c>
      <c r="J3466" t="str">
        <f t="shared" si="272"/>
        <v/>
      </c>
      <c r="K3466" t="str">
        <f t="shared" si="273"/>
        <v/>
      </c>
      <c r="L3466" t="str">
        <f t="shared" si="274"/>
        <v/>
      </c>
      <c r="M3466" t="str">
        <f>IF(COUNTIF($A$2:A3466,A3466)=1,
     VLOOKUP(A3466,Season_Winners!A:B,2,FALSE),
     "")</f>
        <v/>
      </c>
    </row>
    <row r="3467" spans="1:13" hidden="1" x14ac:dyDescent="0.3">
      <c r="A3467" t="s">
        <v>1279</v>
      </c>
      <c r="B3467">
        <v>5</v>
      </c>
      <c r="C3467" t="s">
        <v>1300</v>
      </c>
      <c r="D3467" t="str">
        <f t="shared" si="270"/>
        <v>11.09.2022</v>
      </c>
      <c r="E3467" s="1">
        <v>0.58333333333333337</v>
      </c>
      <c r="F3467" t="s">
        <v>25</v>
      </c>
      <c r="G3467" t="s">
        <v>881</v>
      </c>
      <c r="H3467" s="2">
        <v>46026</v>
      </c>
      <c r="I3467" s="3" t="str">
        <f t="shared" si="271"/>
        <v/>
      </c>
      <c r="J3467" t="str">
        <f t="shared" si="272"/>
        <v/>
      </c>
      <c r="K3467" t="str">
        <f t="shared" si="273"/>
        <v/>
      </c>
      <c r="L3467" t="str">
        <f t="shared" si="274"/>
        <v/>
      </c>
      <c r="M3467" t="str">
        <f>IF(COUNTIF($A$2:A3467,A3467)=1,
     VLOOKUP(A3467,Season_Winners!A:B,2,FALSE),
     "")</f>
        <v/>
      </c>
    </row>
    <row r="3468" spans="1:13" hidden="1" x14ac:dyDescent="0.3">
      <c r="A3468" t="s">
        <v>1279</v>
      </c>
      <c r="B3468">
        <v>5</v>
      </c>
      <c r="C3468" t="s">
        <v>1300</v>
      </c>
      <c r="D3468" t="str">
        <f t="shared" si="270"/>
        <v>11.09.2022</v>
      </c>
      <c r="E3468" s="1">
        <v>0.67708333333333337</v>
      </c>
      <c r="F3468" t="s">
        <v>31</v>
      </c>
      <c r="G3468" t="s">
        <v>15</v>
      </c>
      <c r="H3468" s="2">
        <v>46113</v>
      </c>
      <c r="I3468" s="3" t="str">
        <f t="shared" si="271"/>
        <v/>
      </c>
      <c r="J3468" t="str">
        <f t="shared" si="272"/>
        <v/>
      </c>
      <c r="K3468" t="str">
        <f t="shared" si="273"/>
        <v/>
      </c>
      <c r="L3468" t="str">
        <f t="shared" si="274"/>
        <v/>
      </c>
      <c r="M3468" t="str">
        <f>IF(COUNTIF($A$2:A3468,A3468)=1,
     VLOOKUP(A3468,Season_Winners!A:B,2,FALSE),
     "")</f>
        <v/>
      </c>
    </row>
    <row r="3469" spans="1:13" hidden="1" x14ac:dyDescent="0.3">
      <c r="A3469" t="s">
        <v>1279</v>
      </c>
      <c r="B3469">
        <v>5</v>
      </c>
      <c r="C3469" t="s">
        <v>1300</v>
      </c>
      <c r="D3469" t="str">
        <f t="shared" si="270"/>
        <v>11.09.2022</v>
      </c>
      <c r="E3469" s="1">
        <v>0.77083333333333337</v>
      </c>
      <c r="F3469" t="s">
        <v>11</v>
      </c>
      <c r="G3469" t="s">
        <v>10</v>
      </c>
      <c r="H3469" s="2">
        <v>46024</v>
      </c>
      <c r="I3469" s="3" t="str">
        <f t="shared" si="271"/>
        <v/>
      </c>
      <c r="J3469" t="str">
        <f t="shared" si="272"/>
        <v/>
      </c>
      <c r="K3469" t="str">
        <f t="shared" si="273"/>
        <v/>
      </c>
      <c r="L3469" t="str">
        <f t="shared" si="274"/>
        <v/>
      </c>
      <c r="M3469" t="str">
        <f>IF(COUNTIF($A$2:A3469,A3469)=1,
     VLOOKUP(A3469,Season_Winners!A:B,2,FALSE),
     "")</f>
        <v/>
      </c>
    </row>
    <row r="3470" spans="1:13" x14ac:dyDescent="0.3">
      <c r="A3470" t="s">
        <v>1279</v>
      </c>
      <c r="B3470">
        <v>5</v>
      </c>
      <c r="C3470" t="s">
        <v>1300</v>
      </c>
      <c r="D3470" t="str">
        <f t="shared" si="270"/>
        <v>11.09.2022</v>
      </c>
      <c r="E3470" s="1">
        <v>0.875</v>
      </c>
      <c r="F3470" t="s">
        <v>26</v>
      </c>
      <c r="G3470" t="s">
        <v>34</v>
      </c>
      <c r="H3470" t="s">
        <v>18</v>
      </c>
      <c r="I3470" t="str">
        <f t="shared" si="271"/>
        <v>1-0</v>
      </c>
      <c r="J3470" t="str">
        <f t="shared" si="272"/>
        <v>1</v>
      </c>
      <c r="K3470" t="str">
        <f t="shared" si="273"/>
        <v>0</v>
      </c>
      <c r="L3470" t="str">
        <f t="shared" si="274"/>
        <v>Real Betis</v>
      </c>
      <c r="M3470" t="str">
        <f>IF(COUNTIF($A$2:A3470,A3470)=1,
     VLOOKUP(A3470,Season_Winners!A:B,2,FALSE),
     "")</f>
        <v/>
      </c>
    </row>
    <row r="3471" spans="1:13" x14ac:dyDescent="0.3">
      <c r="A3471" t="s">
        <v>1279</v>
      </c>
      <c r="B3471">
        <v>5</v>
      </c>
      <c r="C3471" t="s">
        <v>1301</v>
      </c>
      <c r="D3471" t="str">
        <f t="shared" si="270"/>
        <v>12.09.2022</v>
      </c>
      <c r="E3471" s="1">
        <v>0.875</v>
      </c>
      <c r="F3471" t="s">
        <v>33</v>
      </c>
      <c r="G3471" t="s">
        <v>23</v>
      </c>
      <c r="H3471" t="s">
        <v>42</v>
      </c>
      <c r="I3471" t="str">
        <f t="shared" si="271"/>
        <v>0-1</v>
      </c>
      <c r="J3471" t="str">
        <f t="shared" si="272"/>
        <v>0</v>
      </c>
      <c r="K3471" t="str">
        <f t="shared" si="273"/>
        <v>1</v>
      </c>
      <c r="L3471" t="str">
        <f t="shared" si="274"/>
        <v>CA Osasuna</v>
      </c>
      <c r="M3471" t="str">
        <f>IF(COUNTIF($A$2:A3471,A3471)=1,
     VLOOKUP(A3471,Season_Winners!A:B,2,FALSE),
     "")</f>
        <v/>
      </c>
    </row>
    <row r="3472" spans="1:13" x14ac:dyDescent="0.3">
      <c r="A3472" t="s">
        <v>1279</v>
      </c>
      <c r="B3472">
        <v>6</v>
      </c>
      <c r="C3472" t="s">
        <v>1302</v>
      </c>
      <c r="D3472" t="str">
        <f t="shared" si="270"/>
        <v>16.09.2022</v>
      </c>
      <c r="E3472" s="1">
        <v>0.875</v>
      </c>
      <c r="F3472" t="s">
        <v>14</v>
      </c>
      <c r="G3472" t="s">
        <v>1000</v>
      </c>
      <c r="H3472" t="s">
        <v>42</v>
      </c>
      <c r="I3472" t="str">
        <f t="shared" si="271"/>
        <v>0-1</v>
      </c>
      <c r="J3472" t="str">
        <f t="shared" si="272"/>
        <v>0</v>
      </c>
      <c r="K3472" t="str">
        <f t="shared" si="273"/>
        <v>1</v>
      </c>
      <c r="L3472" t="str">
        <f t="shared" si="274"/>
        <v>CÃ¡diz CF</v>
      </c>
      <c r="M3472" t="str">
        <f>IF(COUNTIF($A$2:A3472,A3472)=1,
     VLOOKUP(A3472,Season_Winners!A:B,2,FALSE),
     "")</f>
        <v/>
      </c>
    </row>
    <row r="3473" spans="1:13" x14ac:dyDescent="0.3">
      <c r="A3473" t="s">
        <v>1279</v>
      </c>
      <c r="B3473">
        <v>6</v>
      </c>
      <c r="C3473" t="s">
        <v>1303</v>
      </c>
      <c r="D3473" t="str">
        <f t="shared" si="270"/>
        <v>17.09.2022</v>
      </c>
      <c r="E3473" s="1">
        <v>0.58333333333333337</v>
      </c>
      <c r="F3473" t="s">
        <v>881</v>
      </c>
      <c r="G3473" t="s">
        <v>33</v>
      </c>
      <c r="H3473" t="s">
        <v>18</v>
      </c>
      <c r="I3473" t="str">
        <f t="shared" si="271"/>
        <v>1-0</v>
      </c>
      <c r="J3473" t="str">
        <f t="shared" si="272"/>
        <v>1</v>
      </c>
      <c r="K3473" t="str">
        <f t="shared" si="273"/>
        <v>0</v>
      </c>
      <c r="L3473" t="str">
        <f t="shared" si="274"/>
        <v>RCD Mallorca</v>
      </c>
      <c r="M3473" t="str">
        <f>IF(COUNTIF($A$2:A3473,A3473)=1,
     VLOOKUP(A3473,Season_Winners!A:B,2,FALSE),
     "")</f>
        <v/>
      </c>
    </row>
    <row r="3474" spans="1:13" x14ac:dyDescent="0.3">
      <c r="A3474" t="s">
        <v>1279</v>
      </c>
      <c r="B3474">
        <v>6</v>
      </c>
      <c r="C3474" t="s">
        <v>1303</v>
      </c>
      <c r="D3474" t="str">
        <f t="shared" si="270"/>
        <v>17.09.2022</v>
      </c>
      <c r="E3474" s="1">
        <v>0.67708333333333337</v>
      </c>
      <c r="F3474" t="s">
        <v>20</v>
      </c>
      <c r="G3474" t="s">
        <v>31</v>
      </c>
      <c r="H3474" t="s">
        <v>32</v>
      </c>
      <c r="I3474" t="str">
        <f t="shared" si="271"/>
        <v>3-0</v>
      </c>
      <c r="J3474" t="str">
        <f t="shared" si="272"/>
        <v>3</v>
      </c>
      <c r="K3474" t="str">
        <f t="shared" si="273"/>
        <v>0</v>
      </c>
      <c r="L3474" t="str">
        <f t="shared" si="274"/>
        <v>FC Barcelona</v>
      </c>
      <c r="M3474" t="str">
        <f>IF(COUNTIF($A$2:A3474,A3474)=1,
     VLOOKUP(A3474,Season_Winners!A:B,2,FALSE),
     "")</f>
        <v/>
      </c>
    </row>
    <row r="3475" spans="1:13" x14ac:dyDescent="0.3">
      <c r="A3475" t="s">
        <v>1279</v>
      </c>
      <c r="B3475">
        <v>6</v>
      </c>
      <c r="C3475" t="s">
        <v>1303</v>
      </c>
      <c r="D3475" t="str">
        <f t="shared" si="270"/>
        <v>17.09.2022</v>
      </c>
      <c r="E3475" s="1">
        <v>0.77083333333333337</v>
      </c>
      <c r="F3475" t="s">
        <v>16</v>
      </c>
      <c r="G3475" t="s">
        <v>35</v>
      </c>
      <c r="H3475" t="s">
        <v>32</v>
      </c>
      <c r="I3475" t="str">
        <f t="shared" si="271"/>
        <v>3-0</v>
      </c>
      <c r="J3475" t="str">
        <f t="shared" si="272"/>
        <v>3</v>
      </c>
      <c r="K3475" t="str">
        <f t="shared" si="273"/>
        <v>0</v>
      </c>
      <c r="L3475" t="str">
        <f t="shared" si="274"/>
        <v>Valencia CF</v>
      </c>
      <c r="M3475" t="str">
        <f>IF(COUNTIF($A$2:A3475,A3475)=1,
     VLOOKUP(A3475,Season_Winners!A:B,2,FALSE),
     "")</f>
        <v/>
      </c>
    </row>
    <row r="3476" spans="1:13" hidden="1" x14ac:dyDescent="0.3">
      <c r="A3476" t="s">
        <v>1279</v>
      </c>
      <c r="B3476">
        <v>6</v>
      </c>
      <c r="C3476" t="s">
        <v>1303</v>
      </c>
      <c r="D3476" t="str">
        <f t="shared" si="270"/>
        <v>17.09.2022</v>
      </c>
      <c r="E3476" s="1">
        <v>0.875</v>
      </c>
      <c r="F3476" t="s">
        <v>15</v>
      </c>
      <c r="G3476" t="s">
        <v>30</v>
      </c>
      <c r="H3476" s="2">
        <v>46056</v>
      </c>
      <c r="I3476" s="3" t="str">
        <f t="shared" si="271"/>
        <v/>
      </c>
      <c r="J3476" t="str">
        <f t="shared" si="272"/>
        <v/>
      </c>
      <c r="K3476" t="str">
        <f t="shared" si="273"/>
        <v/>
      </c>
      <c r="L3476" t="str">
        <f t="shared" si="274"/>
        <v/>
      </c>
      <c r="M3476" t="str">
        <f>IF(COUNTIF($A$2:A3476,A3476)=1,
     VLOOKUP(A3476,Season_Winners!A:B,2,FALSE),
     "")</f>
        <v/>
      </c>
    </row>
    <row r="3477" spans="1:13" x14ac:dyDescent="0.3">
      <c r="A3477" t="s">
        <v>1279</v>
      </c>
      <c r="B3477">
        <v>6</v>
      </c>
      <c r="C3477" t="s">
        <v>1304</v>
      </c>
      <c r="D3477" t="str">
        <f t="shared" si="270"/>
        <v>18.09.2022</v>
      </c>
      <c r="E3477" s="1">
        <v>0.58333333333333337</v>
      </c>
      <c r="F3477" t="s">
        <v>23</v>
      </c>
      <c r="G3477" t="s">
        <v>11</v>
      </c>
      <c r="H3477" t="s">
        <v>54</v>
      </c>
      <c r="I3477" t="str">
        <f t="shared" si="271"/>
        <v>0-2</v>
      </c>
      <c r="J3477" t="str">
        <f t="shared" si="272"/>
        <v>0</v>
      </c>
      <c r="K3477" t="str">
        <f t="shared" si="273"/>
        <v>2</v>
      </c>
      <c r="L3477" t="str">
        <f t="shared" si="274"/>
        <v>Getafe CF</v>
      </c>
      <c r="M3477" t="str">
        <f>IF(COUNTIF($A$2:A3477,A3477)=1,
     VLOOKUP(A3477,Season_Winners!A:B,2,FALSE),
     "")</f>
        <v/>
      </c>
    </row>
    <row r="3478" spans="1:13" hidden="1" x14ac:dyDescent="0.3">
      <c r="A3478" t="s">
        <v>1279</v>
      </c>
      <c r="B3478">
        <v>6</v>
      </c>
      <c r="C3478" t="s">
        <v>1304</v>
      </c>
      <c r="D3478" t="str">
        <f t="shared" si="270"/>
        <v>18.09.2022</v>
      </c>
      <c r="E3478" s="1">
        <v>0.67708333333333337</v>
      </c>
      <c r="F3478" t="s">
        <v>34</v>
      </c>
      <c r="G3478" t="s">
        <v>27</v>
      </c>
      <c r="H3478" s="2">
        <v>46023</v>
      </c>
      <c r="I3478" s="3" t="str">
        <f t="shared" si="271"/>
        <v/>
      </c>
      <c r="J3478" t="str">
        <f t="shared" si="272"/>
        <v/>
      </c>
      <c r="K3478" t="str">
        <f t="shared" si="273"/>
        <v/>
      </c>
      <c r="L3478" t="str">
        <f t="shared" si="274"/>
        <v/>
      </c>
      <c r="M3478" t="str">
        <f>IF(COUNTIF($A$2:A3478,A3478)=1,
     VLOOKUP(A3478,Season_Winners!A:B,2,FALSE),
     "")</f>
        <v/>
      </c>
    </row>
    <row r="3479" spans="1:13" hidden="1" x14ac:dyDescent="0.3">
      <c r="A3479" t="s">
        <v>1279</v>
      </c>
      <c r="B3479">
        <v>6</v>
      </c>
      <c r="C3479" t="s">
        <v>1304</v>
      </c>
      <c r="D3479" t="str">
        <f t="shared" si="270"/>
        <v>18.09.2022</v>
      </c>
      <c r="E3479" s="1">
        <v>0.77083333333333337</v>
      </c>
      <c r="F3479" t="s">
        <v>26</v>
      </c>
      <c r="G3479" t="s">
        <v>606</v>
      </c>
      <c r="H3479" s="2">
        <v>46024</v>
      </c>
      <c r="I3479" s="3" t="str">
        <f t="shared" si="271"/>
        <v/>
      </c>
      <c r="J3479" t="str">
        <f t="shared" si="272"/>
        <v/>
      </c>
      <c r="K3479" t="str">
        <f t="shared" si="273"/>
        <v/>
      </c>
      <c r="L3479" t="str">
        <f t="shared" si="274"/>
        <v/>
      </c>
      <c r="M3479" t="str">
        <f>IF(COUNTIF($A$2:A3479,A3479)=1,
     VLOOKUP(A3479,Season_Winners!A:B,2,FALSE),
     "")</f>
        <v/>
      </c>
    </row>
    <row r="3480" spans="1:13" hidden="1" x14ac:dyDescent="0.3">
      <c r="A3480" t="s">
        <v>1279</v>
      </c>
      <c r="B3480">
        <v>6</v>
      </c>
      <c r="C3480" t="s">
        <v>1304</v>
      </c>
      <c r="D3480" t="str">
        <f t="shared" si="270"/>
        <v>18.09.2022</v>
      </c>
      <c r="E3480" s="1">
        <v>0.77083333333333337</v>
      </c>
      <c r="F3480" t="s">
        <v>10</v>
      </c>
      <c r="G3480" t="s">
        <v>36</v>
      </c>
      <c r="H3480" s="2">
        <v>46024</v>
      </c>
      <c r="I3480" s="3" t="str">
        <f t="shared" si="271"/>
        <v/>
      </c>
      <c r="J3480" t="str">
        <f t="shared" si="272"/>
        <v/>
      </c>
      <c r="K3480" t="str">
        <f t="shared" si="273"/>
        <v/>
      </c>
      <c r="L3480" t="str">
        <f t="shared" si="274"/>
        <v/>
      </c>
      <c r="M3480" t="str">
        <f>IF(COUNTIF($A$2:A3480,A3480)=1,
     VLOOKUP(A3480,Season_Winners!A:B,2,FALSE),
     "")</f>
        <v/>
      </c>
    </row>
    <row r="3481" spans="1:13" hidden="1" x14ac:dyDescent="0.3">
      <c r="A3481" t="s">
        <v>1279</v>
      </c>
      <c r="B3481">
        <v>6</v>
      </c>
      <c r="C3481" t="s">
        <v>1304</v>
      </c>
      <c r="D3481" t="str">
        <f t="shared" si="270"/>
        <v>18.09.2022</v>
      </c>
      <c r="E3481" s="1">
        <v>0.875</v>
      </c>
      <c r="F3481" t="s">
        <v>28</v>
      </c>
      <c r="G3481" t="s">
        <v>25</v>
      </c>
      <c r="H3481" s="2">
        <v>46054</v>
      </c>
      <c r="I3481" s="3" t="str">
        <f t="shared" si="271"/>
        <v/>
      </c>
      <c r="J3481" t="str">
        <f t="shared" si="272"/>
        <v/>
      </c>
      <c r="K3481" t="str">
        <f t="shared" si="273"/>
        <v/>
      </c>
      <c r="L3481" t="str">
        <f t="shared" si="274"/>
        <v/>
      </c>
      <c r="M3481" t="str">
        <f>IF(COUNTIF($A$2:A3481,A3481)=1,
     VLOOKUP(A3481,Season_Winners!A:B,2,FALSE),
     "")</f>
        <v/>
      </c>
    </row>
    <row r="3482" spans="1:13" x14ac:dyDescent="0.3">
      <c r="A3482" t="s">
        <v>1279</v>
      </c>
      <c r="B3482">
        <v>7</v>
      </c>
      <c r="C3482" t="s">
        <v>1305</v>
      </c>
      <c r="D3482" t="str">
        <f t="shared" si="270"/>
        <v>30.09.2022</v>
      </c>
      <c r="E3482" s="1">
        <v>0.875</v>
      </c>
      <c r="F3482" t="s">
        <v>15</v>
      </c>
      <c r="G3482" t="s">
        <v>33</v>
      </c>
      <c r="H3482" t="s">
        <v>88</v>
      </c>
      <c r="I3482" t="str">
        <f t="shared" si="271"/>
        <v>4-0</v>
      </c>
      <c r="J3482" t="str">
        <f t="shared" si="272"/>
        <v>4</v>
      </c>
      <c r="K3482" t="str">
        <f t="shared" si="273"/>
        <v>0</v>
      </c>
      <c r="L3482" t="str">
        <f t="shared" si="274"/>
        <v>Athletic Club</v>
      </c>
      <c r="M3482" t="str">
        <f>IF(COUNTIF($A$2:A3482,A3482)=1,
     VLOOKUP(A3482,Season_Winners!A:B,2,FALSE),
     "")</f>
        <v/>
      </c>
    </row>
    <row r="3483" spans="1:13" x14ac:dyDescent="0.3">
      <c r="A3483" t="s">
        <v>1279</v>
      </c>
      <c r="B3483">
        <v>7</v>
      </c>
      <c r="C3483" t="s">
        <v>1306</v>
      </c>
      <c r="D3483" t="str">
        <f t="shared" si="270"/>
        <v>01.10.2022</v>
      </c>
      <c r="E3483" s="1">
        <v>0.58333333333333337</v>
      </c>
      <c r="F3483" t="s">
        <v>1000</v>
      </c>
      <c r="G3483" t="s">
        <v>34</v>
      </c>
      <c r="H3483" t="s">
        <v>41</v>
      </c>
      <c r="I3483" t="str">
        <f t="shared" si="271"/>
        <v>0-0</v>
      </c>
      <c r="J3483" t="str">
        <f t="shared" si="272"/>
        <v>0</v>
      </c>
      <c r="K3483" t="str">
        <f t="shared" si="273"/>
        <v>0</v>
      </c>
      <c r="L3483" t="str">
        <f t="shared" si="274"/>
        <v>Draw</v>
      </c>
      <c r="M3483" t="str">
        <f>IF(COUNTIF($A$2:A3483,A3483)=1,
     VLOOKUP(A3483,Season_Winners!A:B,2,FALSE),
     "")</f>
        <v/>
      </c>
    </row>
    <row r="3484" spans="1:13" hidden="1" x14ac:dyDescent="0.3">
      <c r="A3484" t="s">
        <v>1279</v>
      </c>
      <c r="B3484">
        <v>7</v>
      </c>
      <c r="C3484" t="s">
        <v>1306</v>
      </c>
      <c r="D3484" t="str">
        <f t="shared" si="270"/>
        <v>01.10.2022</v>
      </c>
      <c r="E3484" s="1">
        <v>0.67708333333333337</v>
      </c>
      <c r="F3484" t="s">
        <v>11</v>
      </c>
      <c r="G3484" t="s">
        <v>14</v>
      </c>
      <c r="H3484" s="2">
        <v>46083</v>
      </c>
      <c r="I3484" s="3" t="str">
        <f t="shared" si="271"/>
        <v/>
      </c>
      <c r="J3484" t="str">
        <f t="shared" si="272"/>
        <v/>
      </c>
      <c r="K3484" t="str">
        <f t="shared" si="273"/>
        <v/>
      </c>
      <c r="L3484" t="str">
        <f t="shared" si="274"/>
        <v/>
      </c>
      <c r="M3484" t="str">
        <f>IF(COUNTIF($A$2:A3484,A3484)=1,
     VLOOKUP(A3484,Season_Winners!A:B,2,FALSE),
     "")</f>
        <v/>
      </c>
    </row>
    <row r="3485" spans="1:13" x14ac:dyDescent="0.3">
      <c r="A3485" t="s">
        <v>1279</v>
      </c>
      <c r="B3485">
        <v>7</v>
      </c>
      <c r="C3485" t="s">
        <v>1306</v>
      </c>
      <c r="D3485" t="str">
        <f t="shared" si="270"/>
        <v>01.10.2022</v>
      </c>
      <c r="E3485" s="1">
        <v>0.77083333333333337</v>
      </c>
      <c r="F3485" t="s">
        <v>27</v>
      </c>
      <c r="G3485" t="s">
        <v>1425</v>
      </c>
      <c r="H3485" t="s">
        <v>54</v>
      </c>
      <c r="I3485" t="str">
        <f t="shared" si="271"/>
        <v>0-2</v>
      </c>
      <c r="J3485" t="str">
        <f t="shared" si="272"/>
        <v>0</v>
      </c>
      <c r="K3485" t="str">
        <f t="shared" si="273"/>
        <v>2</v>
      </c>
      <c r="L3485" t="str">
        <f t="shared" si="274"/>
        <v>Atlético de Madrid</v>
      </c>
      <c r="M3485" t="str">
        <f>IF(COUNTIF($A$2:A3485,A3485)=1,
     VLOOKUP(A3485,Season_Winners!A:B,2,FALSE),
     "")</f>
        <v/>
      </c>
    </row>
    <row r="3486" spans="1:13" x14ac:dyDescent="0.3">
      <c r="A3486" t="s">
        <v>1279</v>
      </c>
      <c r="B3486">
        <v>7</v>
      </c>
      <c r="C3486" t="s">
        <v>1306</v>
      </c>
      <c r="D3486" t="str">
        <f t="shared" si="270"/>
        <v>01.10.2022</v>
      </c>
      <c r="E3486" s="1">
        <v>0.875</v>
      </c>
      <c r="F3486" t="s">
        <v>881</v>
      </c>
      <c r="G3486" t="s">
        <v>20</v>
      </c>
      <c r="H3486" t="s">
        <v>42</v>
      </c>
      <c r="I3486" t="str">
        <f t="shared" si="271"/>
        <v>0-1</v>
      </c>
      <c r="J3486" t="str">
        <f t="shared" si="272"/>
        <v>0</v>
      </c>
      <c r="K3486" t="str">
        <f t="shared" si="273"/>
        <v>1</v>
      </c>
      <c r="L3486" t="str">
        <f t="shared" si="274"/>
        <v>FC Barcelona</v>
      </c>
      <c r="M3486" t="str">
        <f>IF(COUNTIF($A$2:A3486,A3486)=1,
     VLOOKUP(A3486,Season_Winners!A:B,2,FALSE),
     "")</f>
        <v/>
      </c>
    </row>
    <row r="3487" spans="1:13" hidden="1" x14ac:dyDescent="0.3">
      <c r="A3487" t="s">
        <v>1279</v>
      </c>
      <c r="B3487">
        <v>7</v>
      </c>
      <c r="C3487" t="s">
        <v>1307</v>
      </c>
      <c r="D3487" t="str">
        <f t="shared" si="270"/>
        <v>02.10.2022</v>
      </c>
      <c r="E3487" s="1">
        <v>0.58333333333333337</v>
      </c>
      <c r="F3487" t="s">
        <v>36</v>
      </c>
      <c r="G3487" t="s">
        <v>16</v>
      </c>
      <c r="H3487" s="2">
        <v>46055</v>
      </c>
      <c r="I3487" s="3" t="str">
        <f t="shared" si="271"/>
        <v/>
      </c>
      <c r="J3487" t="str">
        <f t="shared" si="272"/>
        <v/>
      </c>
      <c r="K3487" t="str">
        <f t="shared" si="273"/>
        <v/>
      </c>
      <c r="L3487" t="str">
        <f t="shared" si="274"/>
        <v/>
      </c>
      <c r="M3487" t="str">
        <f>IF(COUNTIF($A$2:A3487,A3487)=1,
     VLOOKUP(A3487,Season_Winners!A:B,2,FALSE),
     "")</f>
        <v/>
      </c>
    </row>
    <row r="3488" spans="1:13" x14ac:dyDescent="0.3">
      <c r="A3488" t="s">
        <v>1279</v>
      </c>
      <c r="B3488">
        <v>7</v>
      </c>
      <c r="C3488" t="s">
        <v>1307</v>
      </c>
      <c r="D3488" t="str">
        <f t="shared" si="270"/>
        <v>02.10.2022</v>
      </c>
      <c r="E3488" s="1">
        <v>0.67708333333333337</v>
      </c>
      <c r="F3488" t="s">
        <v>35</v>
      </c>
      <c r="G3488" t="s">
        <v>26</v>
      </c>
      <c r="H3488" t="s">
        <v>18</v>
      </c>
      <c r="I3488" t="str">
        <f t="shared" si="271"/>
        <v>1-0</v>
      </c>
      <c r="J3488" t="str">
        <f t="shared" si="272"/>
        <v>1</v>
      </c>
      <c r="K3488" t="str">
        <f t="shared" si="273"/>
        <v>0</v>
      </c>
      <c r="L3488" t="str">
        <f t="shared" si="274"/>
        <v>RC Celta</v>
      </c>
      <c r="M3488" t="str">
        <f>IF(COUNTIF($A$2:A3488,A3488)=1,
     VLOOKUP(A3488,Season_Winners!A:B,2,FALSE),
     "")</f>
        <v/>
      </c>
    </row>
    <row r="3489" spans="1:13" hidden="1" x14ac:dyDescent="0.3">
      <c r="A3489" t="s">
        <v>1279</v>
      </c>
      <c r="B3489">
        <v>7</v>
      </c>
      <c r="C3489" t="s">
        <v>1307</v>
      </c>
      <c r="D3489" t="str">
        <f t="shared" si="270"/>
        <v>02.10.2022</v>
      </c>
      <c r="E3489" s="1">
        <v>0.77083333333333337</v>
      </c>
      <c r="F3489" t="s">
        <v>606</v>
      </c>
      <c r="G3489" t="s">
        <v>10</v>
      </c>
      <c r="H3489" s="2">
        <v>46145</v>
      </c>
      <c r="I3489" s="3" t="str">
        <f t="shared" si="271"/>
        <v/>
      </c>
      <c r="J3489" t="str">
        <f t="shared" si="272"/>
        <v/>
      </c>
      <c r="K3489" t="str">
        <f t="shared" si="273"/>
        <v/>
      </c>
      <c r="L3489" t="str">
        <f t="shared" si="274"/>
        <v/>
      </c>
      <c r="M3489" t="str">
        <f>IF(COUNTIF($A$2:A3489,A3489)=1,
     VLOOKUP(A3489,Season_Winners!A:B,2,FALSE),
     "")</f>
        <v/>
      </c>
    </row>
    <row r="3490" spans="1:13" hidden="1" x14ac:dyDescent="0.3">
      <c r="A3490" t="s">
        <v>1279</v>
      </c>
      <c r="B3490">
        <v>7</v>
      </c>
      <c r="C3490" t="s">
        <v>1307</v>
      </c>
      <c r="D3490" t="str">
        <f t="shared" si="270"/>
        <v>02.10.2022</v>
      </c>
      <c r="E3490" s="1">
        <v>0.875</v>
      </c>
      <c r="F3490" t="s">
        <v>25</v>
      </c>
      <c r="G3490" t="s">
        <v>23</v>
      </c>
      <c r="H3490" s="2">
        <v>46023</v>
      </c>
      <c r="I3490" s="3" t="str">
        <f t="shared" si="271"/>
        <v/>
      </c>
      <c r="J3490" t="str">
        <f t="shared" si="272"/>
        <v/>
      </c>
      <c r="K3490" t="str">
        <f t="shared" si="273"/>
        <v/>
      </c>
      <c r="L3490" t="str">
        <f t="shared" si="274"/>
        <v/>
      </c>
      <c r="M3490" t="str">
        <f>IF(COUNTIF($A$2:A3490,A3490)=1,
     VLOOKUP(A3490,Season_Winners!A:B,2,FALSE),
     "")</f>
        <v/>
      </c>
    </row>
    <row r="3491" spans="1:13" hidden="1" x14ac:dyDescent="0.3">
      <c r="A3491" t="s">
        <v>1279</v>
      </c>
      <c r="B3491">
        <v>7</v>
      </c>
      <c r="C3491" t="s">
        <v>1308</v>
      </c>
      <c r="D3491" t="str">
        <f t="shared" si="270"/>
        <v>03.10.2022</v>
      </c>
      <c r="E3491" s="1">
        <v>0.875</v>
      </c>
      <c r="F3491" t="s">
        <v>30</v>
      </c>
      <c r="G3491" t="s">
        <v>31</v>
      </c>
      <c r="H3491" s="2">
        <v>46024</v>
      </c>
      <c r="I3491" s="3" t="str">
        <f t="shared" si="271"/>
        <v/>
      </c>
      <c r="J3491" t="str">
        <f t="shared" si="272"/>
        <v/>
      </c>
      <c r="K3491" t="str">
        <f t="shared" si="273"/>
        <v/>
      </c>
      <c r="L3491" t="str">
        <f t="shared" si="274"/>
        <v/>
      </c>
      <c r="M3491" t="str">
        <f>IF(COUNTIF($A$2:A3491,A3491)=1,
     VLOOKUP(A3491,Season_Winners!A:B,2,FALSE),
     "")</f>
        <v/>
      </c>
    </row>
    <row r="3492" spans="1:13" hidden="1" x14ac:dyDescent="0.3">
      <c r="A3492" t="s">
        <v>1279</v>
      </c>
      <c r="B3492">
        <v>8</v>
      </c>
      <c r="C3492" t="s">
        <v>1309</v>
      </c>
      <c r="D3492" t="str">
        <f t="shared" si="270"/>
        <v>07.10.2022</v>
      </c>
      <c r="E3492" s="1">
        <v>0.875</v>
      </c>
      <c r="F3492" t="s">
        <v>23</v>
      </c>
      <c r="G3492" t="s">
        <v>16</v>
      </c>
      <c r="H3492" s="2">
        <v>46054</v>
      </c>
      <c r="I3492" s="3" t="str">
        <f t="shared" si="271"/>
        <v/>
      </c>
      <c r="J3492" t="str">
        <f t="shared" si="272"/>
        <v/>
      </c>
      <c r="K3492" t="str">
        <f t="shared" si="273"/>
        <v/>
      </c>
      <c r="L3492" t="str">
        <f t="shared" si="274"/>
        <v/>
      </c>
      <c r="M3492" t="str">
        <f>IF(COUNTIF($A$2:A3492,A3492)=1,
     VLOOKUP(A3492,Season_Winners!A:B,2,FALSE),
     "")</f>
        <v/>
      </c>
    </row>
    <row r="3493" spans="1:13" hidden="1" x14ac:dyDescent="0.3">
      <c r="A3493" t="s">
        <v>1279</v>
      </c>
      <c r="B3493">
        <v>8</v>
      </c>
      <c r="C3493" t="s">
        <v>1310</v>
      </c>
      <c r="D3493" t="str">
        <f t="shared" si="270"/>
        <v>08.10.2022</v>
      </c>
      <c r="E3493" s="1">
        <v>0.58333333333333337</v>
      </c>
      <c r="F3493" t="s">
        <v>33</v>
      </c>
      <c r="G3493" t="s">
        <v>30</v>
      </c>
      <c r="H3493" s="2">
        <v>46025</v>
      </c>
      <c r="I3493" s="3" t="str">
        <f t="shared" si="271"/>
        <v/>
      </c>
      <c r="J3493" t="str">
        <f t="shared" si="272"/>
        <v/>
      </c>
      <c r="K3493" t="str">
        <f t="shared" si="273"/>
        <v/>
      </c>
      <c r="L3493" t="str">
        <f t="shared" si="274"/>
        <v/>
      </c>
      <c r="M3493" t="str">
        <f>IF(COUNTIF($A$2:A3493,A3493)=1,
     VLOOKUP(A3493,Season_Winners!A:B,2,FALSE),
     "")</f>
        <v/>
      </c>
    </row>
    <row r="3494" spans="1:13" hidden="1" x14ac:dyDescent="0.3">
      <c r="A3494" t="s">
        <v>1279</v>
      </c>
      <c r="B3494">
        <v>8</v>
      </c>
      <c r="C3494" t="s">
        <v>1310</v>
      </c>
      <c r="D3494" t="str">
        <f t="shared" si="270"/>
        <v>08.10.2022</v>
      </c>
      <c r="E3494" s="1">
        <v>0.67708333333333337</v>
      </c>
      <c r="F3494" t="s">
        <v>28</v>
      </c>
      <c r="G3494" t="s">
        <v>606</v>
      </c>
      <c r="H3494" s="2">
        <v>46024</v>
      </c>
      <c r="I3494" s="3" t="str">
        <f t="shared" si="271"/>
        <v/>
      </c>
      <c r="J3494" t="str">
        <f t="shared" si="272"/>
        <v/>
      </c>
      <c r="K3494" t="str">
        <f t="shared" si="273"/>
        <v/>
      </c>
      <c r="L3494" t="str">
        <f t="shared" si="274"/>
        <v/>
      </c>
      <c r="M3494" t="str">
        <f>IF(COUNTIF($A$2:A3494,A3494)=1,
     VLOOKUP(A3494,Season_Winners!A:B,2,FALSE),
     "")</f>
        <v/>
      </c>
    </row>
    <row r="3495" spans="1:13" hidden="1" x14ac:dyDescent="0.3">
      <c r="A3495" t="s">
        <v>1279</v>
      </c>
      <c r="B3495">
        <v>8</v>
      </c>
      <c r="C3495" t="s">
        <v>1310</v>
      </c>
      <c r="D3495" t="str">
        <f t="shared" si="270"/>
        <v>08.10.2022</v>
      </c>
      <c r="E3495" s="1">
        <v>0.77083333333333337</v>
      </c>
      <c r="F3495" t="s">
        <v>27</v>
      </c>
      <c r="G3495" t="s">
        <v>15</v>
      </c>
      <c r="H3495" s="2">
        <v>46023</v>
      </c>
      <c r="I3495" s="3" t="str">
        <f t="shared" si="271"/>
        <v/>
      </c>
      <c r="J3495" t="str">
        <f t="shared" si="272"/>
        <v/>
      </c>
      <c r="K3495" t="str">
        <f t="shared" si="273"/>
        <v/>
      </c>
      <c r="L3495" t="str">
        <f t="shared" si="274"/>
        <v/>
      </c>
      <c r="M3495" t="str">
        <f>IF(COUNTIF($A$2:A3495,A3495)=1,
     VLOOKUP(A3495,Season_Winners!A:B,2,FALSE),
     "")</f>
        <v/>
      </c>
    </row>
    <row r="3496" spans="1:13" x14ac:dyDescent="0.3">
      <c r="A3496" t="s">
        <v>1279</v>
      </c>
      <c r="B3496">
        <v>8</v>
      </c>
      <c r="C3496" t="s">
        <v>1310</v>
      </c>
      <c r="D3496" t="str">
        <f t="shared" si="270"/>
        <v>08.10.2022</v>
      </c>
      <c r="E3496" s="1">
        <v>0.875</v>
      </c>
      <c r="F3496" t="s">
        <v>11</v>
      </c>
      <c r="G3496" t="s">
        <v>25</v>
      </c>
      <c r="H3496" t="s">
        <v>42</v>
      </c>
      <c r="I3496" t="str">
        <f t="shared" si="271"/>
        <v>0-1</v>
      </c>
      <c r="J3496" t="str">
        <f t="shared" si="272"/>
        <v>0</v>
      </c>
      <c r="K3496" t="str">
        <f t="shared" si="273"/>
        <v>1</v>
      </c>
      <c r="L3496" t="str">
        <f t="shared" si="274"/>
        <v>Real Madrid</v>
      </c>
      <c r="M3496" t="str">
        <f>IF(COUNTIF($A$2:A3496,A3496)=1,
     VLOOKUP(A3496,Season_Winners!A:B,2,FALSE),
     "")</f>
        <v/>
      </c>
    </row>
    <row r="3497" spans="1:13" x14ac:dyDescent="0.3">
      <c r="A3497" t="s">
        <v>1279</v>
      </c>
      <c r="B3497">
        <v>8</v>
      </c>
      <c r="C3497" t="s">
        <v>1311</v>
      </c>
      <c r="D3497" t="str">
        <f t="shared" si="270"/>
        <v>09.10.2022</v>
      </c>
      <c r="E3497" s="1">
        <v>0.58333333333333337</v>
      </c>
      <c r="F3497" t="s">
        <v>14</v>
      </c>
      <c r="G3497" t="s">
        <v>26</v>
      </c>
      <c r="H3497" t="s">
        <v>41</v>
      </c>
      <c r="I3497" t="str">
        <f t="shared" si="271"/>
        <v>0-0</v>
      </c>
      <c r="J3497" t="str">
        <f t="shared" si="272"/>
        <v>0</v>
      </c>
      <c r="K3497" t="str">
        <f t="shared" si="273"/>
        <v>0</v>
      </c>
      <c r="L3497" t="str">
        <f t="shared" si="274"/>
        <v>Draw</v>
      </c>
      <c r="M3497" t="str">
        <f>IF(COUNTIF($A$2:A3497,A3497)=1,
     VLOOKUP(A3497,Season_Winners!A:B,2,FALSE),
     "")</f>
        <v/>
      </c>
    </row>
    <row r="3498" spans="1:13" hidden="1" x14ac:dyDescent="0.3">
      <c r="A3498" t="s">
        <v>1279</v>
      </c>
      <c r="B3498">
        <v>8</v>
      </c>
      <c r="C3498" t="s">
        <v>1311</v>
      </c>
      <c r="D3498" t="str">
        <f t="shared" si="270"/>
        <v>09.10.2022</v>
      </c>
      <c r="E3498" s="1">
        <v>0.67708333333333337</v>
      </c>
      <c r="F3498" t="s">
        <v>1000</v>
      </c>
      <c r="G3498" t="s">
        <v>36</v>
      </c>
      <c r="H3498" s="2">
        <v>46055</v>
      </c>
      <c r="I3498" s="3" t="str">
        <f t="shared" si="271"/>
        <v/>
      </c>
      <c r="J3498" t="str">
        <f t="shared" si="272"/>
        <v/>
      </c>
      <c r="K3498" t="str">
        <f t="shared" si="273"/>
        <v/>
      </c>
      <c r="L3498" t="str">
        <f t="shared" si="274"/>
        <v/>
      </c>
      <c r="M3498" t="str">
        <f>IF(COUNTIF($A$2:A3498,A3498)=1,
     VLOOKUP(A3498,Season_Winners!A:B,2,FALSE),
     "")</f>
        <v/>
      </c>
    </row>
    <row r="3499" spans="1:13" x14ac:dyDescent="0.3">
      <c r="A3499" t="s">
        <v>1279</v>
      </c>
      <c r="B3499">
        <v>8</v>
      </c>
      <c r="C3499" t="s">
        <v>1311</v>
      </c>
      <c r="D3499" t="str">
        <f t="shared" si="270"/>
        <v>09.10.2022</v>
      </c>
      <c r="E3499" s="1">
        <v>0.77083333333333337</v>
      </c>
      <c r="F3499" t="s">
        <v>10</v>
      </c>
      <c r="G3499" t="s">
        <v>34</v>
      </c>
      <c r="H3499" t="s">
        <v>18</v>
      </c>
      <c r="I3499" t="str">
        <f t="shared" si="271"/>
        <v>1-0</v>
      </c>
      <c r="J3499" t="str">
        <f t="shared" si="272"/>
        <v>1</v>
      </c>
      <c r="K3499" t="str">
        <f t="shared" si="273"/>
        <v>0</v>
      </c>
      <c r="L3499" t="str">
        <f t="shared" si="274"/>
        <v>Real Sociedad</v>
      </c>
      <c r="M3499" t="str">
        <f>IF(COUNTIF($A$2:A3499,A3499)=1,
     VLOOKUP(A3499,Season_Winners!A:B,2,FALSE),
     "")</f>
        <v/>
      </c>
    </row>
    <row r="3500" spans="1:13" x14ac:dyDescent="0.3">
      <c r="A3500" t="s">
        <v>1279</v>
      </c>
      <c r="B3500">
        <v>8</v>
      </c>
      <c r="C3500" t="s">
        <v>1311</v>
      </c>
      <c r="D3500" t="str">
        <f t="shared" si="270"/>
        <v>09.10.2022</v>
      </c>
      <c r="E3500" s="1">
        <v>0.875</v>
      </c>
      <c r="F3500" t="s">
        <v>20</v>
      </c>
      <c r="G3500" t="s">
        <v>35</v>
      </c>
      <c r="H3500" t="s">
        <v>18</v>
      </c>
      <c r="I3500" t="str">
        <f t="shared" si="271"/>
        <v>1-0</v>
      </c>
      <c r="J3500" t="str">
        <f t="shared" si="272"/>
        <v>1</v>
      </c>
      <c r="K3500" t="str">
        <f t="shared" si="273"/>
        <v>0</v>
      </c>
      <c r="L3500" t="str">
        <f t="shared" si="274"/>
        <v>FC Barcelona</v>
      </c>
      <c r="M3500" t="str">
        <f>IF(COUNTIF($A$2:A3500,A3500)=1,
     VLOOKUP(A3500,Season_Winners!A:B,2,FALSE),
     "")</f>
        <v/>
      </c>
    </row>
    <row r="3501" spans="1:13" hidden="1" x14ac:dyDescent="0.3">
      <c r="A3501" t="s">
        <v>1279</v>
      </c>
      <c r="B3501">
        <v>8</v>
      </c>
      <c r="C3501" t="s">
        <v>1312</v>
      </c>
      <c r="D3501" t="str">
        <f t="shared" si="270"/>
        <v>10.10.2022</v>
      </c>
      <c r="E3501" s="1">
        <v>0.875</v>
      </c>
      <c r="F3501" t="s">
        <v>31</v>
      </c>
      <c r="G3501" t="s">
        <v>881</v>
      </c>
      <c r="H3501" s="2">
        <v>46023</v>
      </c>
      <c r="I3501" s="3" t="str">
        <f t="shared" si="271"/>
        <v/>
      </c>
      <c r="J3501" t="str">
        <f t="shared" si="272"/>
        <v/>
      </c>
      <c r="K3501" t="str">
        <f t="shared" si="273"/>
        <v/>
      </c>
      <c r="L3501" t="str">
        <f t="shared" si="274"/>
        <v/>
      </c>
      <c r="M3501" t="str">
        <f>IF(COUNTIF($A$2:A3501,A3501)=1,
     VLOOKUP(A3501,Season_Winners!A:B,2,FALSE),
     "")</f>
        <v/>
      </c>
    </row>
    <row r="3502" spans="1:13" x14ac:dyDescent="0.3">
      <c r="A3502" t="s">
        <v>1279</v>
      </c>
      <c r="B3502">
        <v>9</v>
      </c>
      <c r="C3502" t="s">
        <v>1313</v>
      </c>
      <c r="D3502" t="str">
        <f t="shared" si="270"/>
        <v>14.10.2022</v>
      </c>
      <c r="E3502" s="1">
        <v>0.875</v>
      </c>
      <c r="F3502" t="s">
        <v>30</v>
      </c>
      <c r="G3502" t="s">
        <v>11</v>
      </c>
      <c r="H3502" t="s">
        <v>41</v>
      </c>
      <c r="I3502" t="str">
        <f t="shared" si="271"/>
        <v>0-0</v>
      </c>
      <c r="J3502" t="str">
        <f t="shared" si="272"/>
        <v>0</v>
      </c>
      <c r="K3502" t="str">
        <f t="shared" si="273"/>
        <v>0</v>
      </c>
      <c r="L3502" t="str">
        <f t="shared" si="274"/>
        <v>Draw</v>
      </c>
      <c r="M3502" t="str">
        <f>IF(COUNTIF($A$2:A3502,A3502)=1,
     VLOOKUP(A3502,Season_Winners!A:B,2,FALSE),
     "")</f>
        <v/>
      </c>
    </row>
    <row r="3503" spans="1:13" hidden="1" x14ac:dyDescent="0.3">
      <c r="A3503" t="s">
        <v>1279</v>
      </c>
      <c r="B3503">
        <v>9</v>
      </c>
      <c r="C3503" t="s">
        <v>1314</v>
      </c>
      <c r="D3503" t="str">
        <f t="shared" si="270"/>
        <v>15.10.2022</v>
      </c>
      <c r="E3503" s="1">
        <v>0.58333333333333337</v>
      </c>
      <c r="F3503" t="s">
        <v>606</v>
      </c>
      <c r="G3503" t="s">
        <v>1000</v>
      </c>
      <c r="H3503" s="2">
        <v>46023</v>
      </c>
      <c r="I3503" s="3" t="str">
        <f t="shared" si="271"/>
        <v/>
      </c>
      <c r="J3503" t="str">
        <f t="shared" si="272"/>
        <v/>
      </c>
      <c r="K3503" t="str">
        <f t="shared" si="273"/>
        <v/>
      </c>
      <c r="L3503" t="str">
        <f t="shared" si="274"/>
        <v/>
      </c>
      <c r="M3503" t="str">
        <f>IF(COUNTIF($A$2:A3503,A3503)=1,
     VLOOKUP(A3503,Season_Winners!A:B,2,FALSE),
     "")</f>
        <v/>
      </c>
    </row>
    <row r="3504" spans="1:13" hidden="1" x14ac:dyDescent="0.3">
      <c r="A3504" t="s">
        <v>1279</v>
      </c>
      <c r="B3504">
        <v>9</v>
      </c>
      <c r="C3504" t="s">
        <v>1314</v>
      </c>
      <c r="D3504" t="str">
        <f t="shared" si="270"/>
        <v>15.10.2022</v>
      </c>
      <c r="E3504" s="1">
        <v>0.67708333333333337</v>
      </c>
      <c r="F3504" t="s">
        <v>16</v>
      </c>
      <c r="G3504" t="s">
        <v>31</v>
      </c>
      <c r="H3504" s="2">
        <v>46055</v>
      </c>
      <c r="I3504" s="3" t="str">
        <f t="shared" si="271"/>
        <v/>
      </c>
      <c r="J3504" t="str">
        <f t="shared" si="272"/>
        <v/>
      </c>
      <c r="K3504" t="str">
        <f t="shared" si="273"/>
        <v/>
      </c>
      <c r="L3504" t="str">
        <f t="shared" si="274"/>
        <v/>
      </c>
      <c r="M3504" t="str">
        <f>IF(COUNTIF($A$2:A3504,A3504)=1,
     VLOOKUP(A3504,Season_Winners!A:B,2,FALSE),
     "")</f>
        <v/>
      </c>
    </row>
    <row r="3505" spans="1:13" x14ac:dyDescent="0.3">
      <c r="A3505" t="s">
        <v>1279</v>
      </c>
      <c r="B3505">
        <v>9</v>
      </c>
      <c r="C3505" t="s">
        <v>1314</v>
      </c>
      <c r="D3505" t="str">
        <f t="shared" si="270"/>
        <v>15.10.2022</v>
      </c>
      <c r="E3505" s="1">
        <v>0.77083333333333337</v>
      </c>
      <c r="F3505" t="s">
        <v>881</v>
      </c>
      <c r="G3505" t="s">
        <v>27</v>
      </c>
      <c r="H3505" t="s">
        <v>42</v>
      </c>
      <c r="I3505" t="str">
        <f t="shared" si="271"/>
        <v>0-1</v>
      </c>
      <c r="J3505" t="str">
        <f t="shared" si="272"/>
        <v>0</v>
      </c>
      <c r="K3505" t="str">
        <f t="shared" si="273"/>
        <v>1</v>
      </c>
      <c r="L3505" t="str">
        <f t="shared" si="274"/>
        <v>Sevilla FC</v>
      </c>
      <c r="M3505" t="str">
        <f>IF(COUNTIF($A$2:A3505,A3505)=1,
     VLOOKUP(A3505,Season_Winners!A:B,2,FALSE),
     "")</f>
        <v/>
      </c>
    </row>
    <row r="3506" spans="1:13" x14ac:dyDescent="0.3">
      <c r="A3506" t="s">
        <v>1279</v>
      </c>
      <c r="B3506">
        <v>9</v>
      </c>
      <c r="C3506" t="s">
        <v>1314</v>
      </c>
      <c r="D3506" t="str">
        <f t="shared" si="270"/>
        <v>15.10.2022</v>
      </c>
      <c r="E3506" s="1">
        <v>0.875</v>
      </c>
      <c r="F3506" t="s">
        <v>15</v>
      </c>
      <c r="G3506" t="s">
        <v>1425</v>
      </c>
      <c r="H3506" t="s">
        <v>42</v>
      </c>
      <c r="I3506" t="str">
        <f t="shared" si="271"/>
        <v>0-1</v>
      </c>
      <c r="J3506" t="str">
        <f t="shared" si="272"/>
        <v>0</v>
      </c>
      <c r="K3506" t="str">
        <f t="shared" si="273"/>
        <v>1</v>
      </c>
      <c r="L3506" t="str">
        <f t="shared" si="274"/>
        <v>Atlético de Madrid</v>
      </c>
      <c r="M3506" t="str">
        <f>IF(COUNTIF($A$2:A3506,A3506)=1,
     VLOOKUP(A3506,Season_Winners!A:B,2,FALSE),
     "")</f>
        <v/>
      </c>
    </row>
    <row r="3507" spans="1:13" hidden="1" x14ac:dyDescent="0.3">
      <c r="A3507" t="s">
        <v>1279</v>
      </c>
      <c r="B3507">
        <v>9</v>
      </c>
      <c r="C3507" t="s">
        <v>1315</v>
      </c>
      <c r="D3507" t="str">
        <f t="shared" si="270"/>
        <v>16.10.2022</v>
      </c>
      <c r="E3507" s="1">
        <v>0.58333333333333337</v>
      </c>
      <c r="F3507" t="s">
        <v>35</v>
      </c>
      <c r="G3507" t="s">
        <v>10</v>
      </c>
      <c r="H3507" s="2">
        <v>46054</v>
      </c>
      <c r="I3507" s="3" t="str">
        <f t="shared" si="271"/>
        <v/>
      </c>
      <c r="J3507" t="str">
        <f t="shared" si="272"/>
        <v/>
      </c>
      <c r="K3507" t="str">
        <f t="shared" si="273"/>
        <v/>
      </c>
      <c r="L3507" t="str">
        <f t="shared" si="274"/>
        <v/>
      </c>
      <c r="M3507" t="str">
        <f>IF(COUNTIF($A$2:A3507,A3507)=1,
     VLOOKUP(A3507,Season_Winners!A:B,2,FALSE),
     "")</f>
        <v/>
      </c>
    </row>
    <row r="3508" spans="1:13" hidden="1" x14ac:dyDescent="0.3">
      <c r="A3508" t="s">
        <v>1279</v>
      </c>
      <c r="B3508">
        <v>9</v>
      </c>
      <c r="C3508" t="s">
        <v>1315</v>
      </c>
      <c r="D3508" t="str">
        <f t="shared" si="270"/>
        <v>16.10.2022</v>
      </c>
      <c r="E3508" s="1">
        <v>0.67708333333333337</v>
      </c>
      <c r="F3508" t="s">
        <v>25</v>
      </c>
      <c r="G3508" t="s">
        <v>20</v>
      </c>
      <c r="H3508" s="2">
        <v>46025</v>
      </c>
      <c r="I3508" s="3" t="str">
        <f t="shared" si="271"/>
        <v/>
      </c>
      <c r="J3508" t="str">
        <f t="shared" si="272"/>
        <v/>
      </c>
      <c r="K3508" t="str">
        <f t="shared" si="273"/>
        <v/>
      </c>
      <c r="L3508" t="str">
        <f t="shared" si="274"/>
        <v/>
      </c>
      <c r="M3508" t="str">
        <f>IF(COUNTIF($A$2:A3508,A3508)=1,
     VLOOKUP(A3508,Season_Winners!A:B,2,FALSE),
     "")</f>
        <v/>
      </c>
    </row>
    <row r="3509" spans="1:13" x14ac:dyDescent="0.3">
      <c r="A3509" t="s">
        <v>1279</v>
      </c>
      <c r="B3509">
        <v>9</v>
      </c>
      <c r="C3509" t="s">
        <v>1315</v>
      </c>
      <c r="D3509" t="str">
        <f t="shared" si="270"/>
        <v>16.10.2022</v>
      </c>
      <c r="E3509" s="1">
        <v>0.77083333333333337</v>
      </c>
      <c r="F3509" t="s">
        <v>36</v>
      </c>
      <c r="G3509" t="s">
        <v>14</v>
      </c>
      <c r="H3509" t="s">
        <v>18</v>
      </c>
      <c r="I3509" t="str">
        <f t="shared" si="271"/>
        <v>1-0</v>
      </c>
      <c r="J3509" t="str">
        <f t="shared" si="272"/>
        <v>1</v>
      </c>
      <c r="K3509" t="str">
        <f t="shared" si="273"/>
        <v>0</v>
      </c>
      <c r="L3509" t="str">
        <f t="shared" si="274"/>
        <v>RCD Espanyol de Barcelona</v>
      </c>
      <c r="M3509" t="str">
        <f>IF(COUNTIF($A$2:A3509,A3509)=1,
     VLOOKUP(A3509,Season_Winners!A:B,2,FALSE),
     "")</f>
        <v/>
      </c>
    </row>
    <row r="3510" spans="1:13" hidden="1" x14ac:dyDescent="0.3">
      <c r="A3510" t="s">
        <v>1279</v>
      </c>
      <c r="B3510">
        <v>9</v>
      </c>
      <c r="C3510" t="s">
        <v>1315</v>
      </c>
      <c r="D3510" t="str">
        <f t="shared" si="270"/>
        <v>16.10.2022</v>
      </c>
      <c r="E3510" s="1">
        <v>0.875</v>
      </c>
      <c r="F3510" t="s">
        <v>26</v>
      </c>
      <c r="G3510" t="s">
        <v>33</v>
      </c>
      <c r="H3510" s="2">
        <v>46025</v>
      </c>
      <c r="I3510" s="3" t="str">
        <f t="shared" si="271"/>
        <v/>
      </c>
      <c r="J3510" t="str">
        <f t="shared" si="272"/>
        <v/>
      </c>
      <c r="K3510" t="str">
        <f t="shared" si="273"/>
        <v/>
      </c>
      <c r="L3510" t="str">
        <f t="shared" si="274"/>
        <v/>
      </c>
      <c r="M3510" t="str">
        <f>IF(COUNTIF($A$2:A3510,A3510)=1,
     VLOOKUP(A3510,Season_Winners!A:B,2,FALSE),
     "")</f>
        <v/>
      </c>
    </row>
    <row r="3511" spans="1:13" x14ac:dyDescent="0.3">
      <c r="A3511" t="s">
        <v>1279</v>
      </c>
      <c r="B3511">
        <v>9</v>
      </c>
      <c r="C3511" t="s">
        <v>1316</v>
      </c>
      <c r="D3511" t="str">
        <f t="shared" si="270"/>
        <v>17.10.2022</v>
      </c>
      <c r="E3511" s="1">
        <v>0.875</v>
      </c>
      <c r="F3511" t="s">
        <v>34</v>
      </c>
      <c r="G3511" t="s">
        <v>23</v>
      </c>
      <c r="H3511" t="s">
        <v>12</v>
      </c>
      <c r="I3511" t="str">
        <f t="shared" si="271"/>
        <v>2-0</v>
      </c>
      <c r="J3511" t="str">
        <f t="shared" si="272"/>
        <v>2</v>
      </c>
      <c r="K3511" t="str">
        <f t="shared" si="273"/>
        <v>0</v>
      </c>
      <c r="L3511" t="str">
        <f t="shared" si="274"/>
        <v>Villarreal CF</v>
      </c>
      <c r="M3511" t="str">
        <f>IF(COUNTIF($A$2:A3511,A3511)=1,
     VLOOKUP(A3511,Season_Winners!A:B,2,FALSE),
     "")</f>
        <v/>
      </c>
    </row>
    <row r="3512" spans="1:13" hidden="1" x14ac:dyDescent="0.3">
      <c r="A3512" t="s">
        <v>1279</v>
      </c>
      <c r="B3512">
        <v>10</v>
      </c>
      <c r="C3512" t="s">
        <v>1317</v>
      </c>
      <c r="D3512" t="str">
        <f t="shared" si="270"/>
        <v>18.10.2022</v>
      </c>
      <c r="E3512" s="1">
        <v>0.79166666666666663</v>
      </c>
      <c r="F3512" t="s">
        <v>27</v>
      </c>
      <c r="G3512" t="s">
        <v>16</v>
      </c>
      <c r="H3512" s="2">
        <v>46023</v>
      </c>
      <c r="I3512" s="3" t="str">
        <f t="shared" si="271"/>
        <v/>
      </c>
      <c r="J3512" t="str">
        <f t="shared" si="272"/>
        <v/>
      </c>
      <c r="K3512" t="str">
        <f t="shared" si="273"/>
        <v/>
      </c>
      <c r="L3512" t="str">
        <f t="shared" si="274"/>
        <v/>
      </c>
      <c r="M3512" t="str">
        <f>IF(COUNTIF($A$2:A3512,A3512)=1,
     VLOOKUP(A3512,Season_Winners!A:B,2,FALSE),
     "")</f>
        <v/>
      </c>
    </row>
    <row r="3513" spans="1:13" hidden="1" x14ac:dyDescent="0.3">
      <c r="A3513" t="s">
        <v>1279</v>
      </c>
      <c r="B3513">
        <v>10</v>
      </c>
      <c r="C3513" t="s">
        <v>1317</v>
      </c>
      <c r="D3513" t="str">
        <f t="shared" si="270"/>
        <v>18.10.2022</v>
      </c>
      <c r="E3513" s="1">
        <v>0.83333333333333337</v>
      </c>
      <c r="F3513" t="s">
        <v>11</v>
      </c>
      <c r="G3513" t="s">
        <v>15</v>
      </c>
      <c r="H3513" s="2">
        <v>46055</v>
      </c>
      <c r="I3513" s="3" t="str">
        <f t="shared" si="271"/>
        <v/>
      </c>
      <c r="J3513" t="str">
        <f t="shared" si="272"/>
        <v/>
      </c>
      <c r="K3513" t="str">
        <f t="shared" si="273"/>
        <v/>
      </c>
      <c r="L3513" t="str">
        <f t="shared" si="274"/>
        <v/>
      </c>
      <c r="M3513" t="str">
        <f>IF(COUNTIF($A$2:A3513,A3513)=1,
     VLOOKUP(A3513,Season_Winners!A:B,2,FALSE),
     "")</f>
        <v/>
      </c>
    </row>
    <row r="3514" spans="1:13" hidden="1" x14ac:dyDescent="0.3">
      <c r="A3514" t="s">
        <v>1279</v>
      </c>
      <c r="B3514">
        <v>10</v>
      </c>
      <c r="C3514" t="s">
        <v>1317</v>
      </c>
      <c r="D3514" t="str">
        <f t="shared" si="270"/>
        <v>18.10.2022</v>
      </c>
      <c r="E3514" s="1">
        <v>0.875</v>
      </c>
      <c r="F3514" t="s">
        <v>28</v>
      </c>
      <c r="G3514" t="s">
        <v>30</v>
      </c>
      <c r="H3514" s="2">
        <v>46023</v>
      </c>
      <c r="I3514" s="3" t="str">
        <f t="shared" si="271"/>
        <v/>
      </c>
      <c r="J3514" t="str">
        <f t="shared" si="272"/>
        <v/>
      </c>
      <c r="K3514" t="str">
        <f t="shared" si="273"/>
        <v/>
      </c>
      <c r="L3514" t="str">
        <f t="shared" si="274"/>
        <v/>
      </c>
      <c r="M3514" t="str">
        <f>IF(COUNTIF($A$2:A3514,A3514)=1,
     VLOOKUP(A3514,Season_Winners!A:B,2,FALSE),
     "")</f>
        <v/>
      </c>
    </row>
    <row r="3515" spans="1:13" x14ac:dyDescent="0.3">
      <c r="A3515" t="s">
        <v>1279</v>
      </c>
      <c r="B3515">
        <v>10</v>
      </c>
      <c r="C3515" t="s">
        <v>1318</v>
      </c>
      <c r="D3515" t="str">
        <f t="shared" si="270"/>
        <v>19.10.2022</v>
      </c>
      <c r="E3515" s="1">
        <v>0.79166666666666663</v>
      </c>
      <c r="F3515" t="s">
        <v>1000</v>
      </c>
      <c r="G3515" t="s">
        <v>26</v>
      </c>
      <c r="H3515" t="s">
        <v>41</v>
      </c>
      <c r="I3515" t="str">
        <f t="shared" si="271"/>
        <v>0-0</v>
      </c>
      <c r="J3515" t="str">
        <f t="shared" si="272"/>
        <v>0</v>
      </c>
      <c r="K3515" t="str">
        <f t="shared" si="273"/>
        <v>0</v>
      </c>
      <c r="L3515" t="str">
        <f t="shared" si="274"/>
        <v>Draw</v>
      </c>
      <c r="M3515" t="str">
        <f>IF(COUNTIF($A$2:A3515,A3515)=1,
     VLOOKUP(A3515,Season_Winners!A:B,2,FALSE),
     "")</f>
        <v/>
      </c>
    </row>
    <row r="3516" spans="1:13" hidden="1" x14ac:dyDescent="0.3">
      <c r="A3516" t="s">
        <v>1279</v>
      </c>
      <c r="B3516">
        <v>10</v>
      </c>
      <c r="C3516" t="s">
        <v>1318</v>
      </c>
      <c r="D3516" t="str">
        <f t="shared" si="270"/>
        <v>19.10.2022</v>
      </c>
      <c r="E3516" s="1">
        <v>0.79166666666666663</v>
      </c>
      <c r="F3516" t="s">
        <v>14</v>
      </c>
      <c r="G3516" t="s">
        <v>35</v>
      </c>
      <c r="H3516" s="2">
        <v>46026</v>
      </c>
      <c r="I3516" s="3" t="str">
        <f t="shared" si="271"/>
        <v/>
      </c>
      <c r="J3516" t="str">
        <f t="shared" si="272"/>
        <v/>
      </c>
      <c r="K3516" t="str">
        <f t="shared" si="273"/>
        <v/>
      </c>
      <c r="L3516" t="str">
        <f t="shared" si="274"/>
        <v/>
      </c>
      <c r="M3516" t="str">
        <f>IF(COUNTIF($A$2:A3516,A3516)=1,
     VLOOKUP(A3516,Season_Winners!A:B,2,FALSE),
     "")</f>
        <v/>
      </c>
    </row>
    <row r="3517" spans="1:13" x14ac:dyDescent="0.3">
      <c r="A3517" t="s">
        <v>1279</v>
      </c>
      <c r="B3517">
        <v>10</v>
      </c>
      <c r="C3517" t="s">
        <v>1318</v>
      </c>
      <c r="D3517" t="str">
        <f t="shared" si="270"/>
        <v>19.10.2022</v>
      </c>
      <c r="E3517" s="1">
        <v>0.83333333333333337</v>
      </c>
      <c r="F3517" t="s">
        <v>10</v>
      </c>
      <c r="G3517" t="s">
        <v>881</v>
      </c>
      <c r="H3517" t="s">
        <v>18</v>
      </c>
      <c r="I3517" t="str">
        <f t="shared" si="271"/>
        <v>1-0</v>
      </c>
      <c r="J3517" t="str">
        <f t="shared" si="272"/>
        <v>1</v>
      </c>
      <c r="K3517" t="str">
        <f t="shared" si="273"/>
        <v>0</v>
      </c>
      <c r="L3517" t="str">
        <f t="shared" si="274"/>
        <v>Real Sociedad</v>
      </c>
      <c r="M3517" t="str">
        <f>IF(COUNTIF($A$2:A3517,A3517)=1,
     VLOOKUP(A3517,Season_Winners!A:B,2,FALSE),
     "")</f>
        <v/>
      </c>
    </row>
    <row r="3518" spans="1:13" x14ac:dyDescent="0.3">
      <c r="A3518" t="s">
        <v>1279</v>
      </c>
      <c r="B3518">
        <v>10</v>
      </c>
      <c r="C3518" t="s">
        <v>1318</v>
      </c>
      <c r="D3518" t="str">
        <f t="shared" si="270"/>
        <v>19.10.2022</v>
      </c>
      <c r="E3518" s="1">
        <v>0.875</v>
      </c>
      <c r="F3518" t="s">
        <v>31</v>
      </c>
      <c r="G3518" t="s">
        <v>25</v>
      </c>
      <c r="H3518" t="s">
        <v>46</v>
      </c>
      <c r="I3518" t="str">
        <f t="shared" si="271"/>
        <v>0-3</v>
      </c>
      <c r="J3518" t="str">
        <f t="shared" si="272"/>
        <v>0</v>
      </c>
      <c r="K3518" t="str">
        <f t="shared" si="273"/>
        <v>3</v>
      </c>
      <c r="L3518" t="str">
        <f t="shared" si="274"/>
        <v>Real Madrid</v>
      </c>
      <c r="M3518" t="str">
        <f>IF(COUNTIF($A$2:A3518,A3518)=1,
     VLOOKUP(A3518,Season_Winners!A:B,2,FALSE),
     "")</f>
        <v/>
      </c>
    </row>
    <row r="3519" spans="1:13" hidden="1" x14ac:dyDescent="0.3">
      <c r="A3519" t="s">
        <v>1279</v>
      </c>
      <c r="B3519">
        <v>10</v>
      </c>
      <c r="C3519" t="s">
        <v>1319</v>
      </c>
      <c r="D3519" t="str">
        <f t="shared" si="270"/>
        <v>20.10.2022</v>
      </c>
      <c r="E3519" s="1">
        <v>0.79166666666666663</v>
      </c>
      <c r="F3519" t="s">
        <v>33</v>
      </c>
      <c r="G3519" t="s">
        <v>606</v>
      </c>
      <c r="H3519" s="2">
        <v>46056</v>
      </c>
      <c r="I3519" s="3" t="str">
        <f t="shared" si="271"/>
        <v/>
      </c>
      <c r="J3519" t="str">
        <f t="shared" si="272"/>
        <v/>
      </c>
      <c r="K3519" t="str">
        <f t="shared" si="273"/>
        <v/>
      </c>
      <c r="L3519" t="str">
        <f t="shared" si="274"/>
        <v/>
      </c>
      <c r="M3519" t="str">
        <f>IF(COUNTIF($A$2:A3519,A3519)=1,
     VLOOKUP(A3519,Season_Winners!A:B,2,FALSE),
     "")</f>
        <v/>
      </c>
    </row>
    <row r="3520" spans="1:13" x14ac:dyDescent="0.3">
      <c r="A3520" t="s">
        <v>1279</v>
      </c>
      <c r="B3520">
        <v>10</v>
      </c>
      <c r="C3520" t="s">
        <v>1319</v>
      </c>
      <c r="D3520" t="str">
        <f t="shared" si="270"/>
        <v>20.10.2022</v>
      </c>
      <c r="E3520" s="1">
        <v>0.83333333333333337</v>
      </c>
      <c r="F3520" t="s">
        <v>23</v>
      </c>
      <c r="G3520" t="s">
        <v>36</v>
      </c>
      <c r="H3520" t="s">
        <v>18</v>
      </c>
      <c r="I3520" t="str">
        <f t="shared" si="271"/>
        <v>1-0</v>
      </c>
      <c r="J3520" t="str">
        <f t="shared" si="272"/>
        <v>1</v>
      </c>
      <c r="K3520" t="str">
        <f t="shared" si="273"/>
        <v>0</v>
      </c>
      <c r="L3520" t="str">
        <f t="shared" si="274"/>
        <v>CA Osasuna</v>
      </c>
      <c r="M3520" t="str">
        <f>IF(COUNTIF($A$2:A3520,A3520)=1,
     VLOOKUP(A3520,Season_Winners!A:B,2,FALSE),
     "")</f>
        <v/>
      </c>
    </row>
    <row r="3521" spans="1:13" x14ac:dyDescent="0.3">
      <c r="A3521" t="s">
        <v>1279</v>
      </c>
      <c r="B3521">
        <v>10</v>
      </c>
      <c r="C3521" t="s">
        <v>1319</v>
      </c>
      <c r="D3521" t="str">
        <f t="shared" si="270"/>
        <v>20.10.2022</v>
      </c>
      <c r="E3521" s="1">
        <v>0.875</v>
      </c>
      <c r="F3521" t="s">
        <v>20</v>
      </c>
      <c r="G3521" t="s">
        <v>34</v>
      </c>
      <c r="H3521" t="s">
        <v>32</v>
      </c>
      <c r="I3521" t="str">
        <f t="shared" si="271"/>
        <v>3-0</v>
      </c>
      <c r="J3521" t="str">
        <f t="shared" si="272"/>
        <v>3</v>
      </c>
      <c r="K3521" t="str">
        <f t="shared" si="273"/>
        <v>0</v>
      </c>
      <c r="L3521" t="str">
        <f t="shared" si="274"/>
        <v>FC Barcelona</v>
      </c>
      <c r="M3521" t="str">
        <f>IF(COUNTIF($A$2:A3521,A3521)=1,
     VLOOKUP(A3521,Season_Winners!A:B,2,FALSE),
     "")</f>
        <v/>
      </c>
    </row>
    <row r="3522" spans="1:13" hidden="1" x14ac:dyDescent="0.3">
      <c r="A3522" t="s">
        <v>1279</v>
      </c>
      <c r="B3522">
        <v>11</v>
      </c>
      <c r="C3522" t="s">
        <v>1320</v>
      </c>
      <c r="D3522" t="str">
        <f t="shared" ref="D3522:D3585" si="275">RIGHT(C3522,10)</f>
        <v>22.10.2022</v>
      </c>
      <c r="E3522" s="1">
        <v>0.58333333333333337</v>
      </c>
      <c r="F3522" t="s">
        <v>30</v>
      </c>
      <c r="G3522" t="s">
        <v>1000</v>
      </c>
      <c r="H3522" s="2">
        <v>46027</v>
      </c>
      <c r="I3522" s="3" t="str">
        <f t="shared" ref="I3522:I3585" si="276">IF(ISNUMBER(SEARCH("-",H3522)),H3522,"")</f>
        <v/>
      </c>
      <c r="J3522" t="str">
        <f t="shared" ref="J3522:J3585" si="277">IF(I3522="","",LEFT(I3522,FIND("-",I3522)-1))</f>
        <v/>
      </c>
      <c r="K3522" t="str">
        <f t="shared" ref="K3522:K3585" si="278">IF(I3522="","",RIGHT(I3522,LEN(I3522)-FIND("-",I3522)))</f>
        <v/>
      </c>
      <c r="L3522" t="str">
        <f t="shared" ref="L3522:L3585" si="279">IF(I3522="","",IF(J3522&gt;K3522,F3522,IF(K3522&gt;J3522,G3522,"Draw")))</f>
        <v/>
      </c>
      <c r="M3522" t="str">
        <f>IF(COUNTIF($A$2:A3522,A3522)=1,
     VLOOKUP(A3522,Season_Winners!A:B,2,FALSE),
     "")</f>
        <v/>
      </c>
    </row>
    <row r="3523" spans="1:13" x14ac:dyDescent="0.3">
      <c r="A3523" t="s">
        <v>1279</v>
      </c>
      <c r="B3523">
        <v>11</v>
      </c>
      <c r="C3523" t="s">
        <v>1320</v>
      </c>
      <c r="D3523" t="str">
        <f t="shared" si="275"/>
        <v>22.10.2022</v>
      </c>
      <c r="E3523" s="1">
        <v>0.67708333333333337</v>
      </c>
      <c r="F3523" t="s">
        <v>14</v>
      </c>
      <c r="G3523" t="s">
        <v>10</v>
      </c>
      <c r="H3523" t="s">
        <v>18</v>
      </c>
      <c r="I3523" t="str">
        <f t="shared" si="276"/>
        <v>1-0</v>
      </c>
      <c r="J3523" t="str">
        <f t="shared" si="277"/>
        <v>1</v>
      </c>
      <c r="K3523" t="str">
        <f t="shared" si="278"/>
        <v>0</v>
      </c>
      <c r="L3523" t="str">
        <f t="shared" si="279"/>
        <v>Real Valladolid CF</v>
      </c>
      <c r="M3523" t="str">
        <f>IF(COUNTIF($A$2:A3523,A3523)=1,
     VLOOKUP(A3523,Season_Winners!A:B,2,FALSE),
     "")</f>
        <v/>
      </c>
    </row>
    <row r="3524" spans="1:13" hidden="1" x14ac:dyDescent="0.3">
      <c r="A3524" t="s">
        <v>1279</v>
      </c>
      <c r="B3524">
        <v>11</v>
      </c>
      <c r="C3524" t="s">
        <v>1320</v>
      </c>
      <c r="D3524" t="str">
        <f t="shared" si="275"/>
        <v>22.10.2022</v>
      </c>
      <c r="E3524" s="1">
        <v>0.77083333333333337</v>
      </c>
      <c r="F3524" t="s">
        <v>16</v>
      </c>
      <c r="G3524" t="s">
        <v>881</v>
      </c>
      <c r="H3524" s="2">
        <v>46054</v>
      </c>
      <c r="I3524" s="3" t="str">
        <f t="shared" si="276"/>
        <v/>
      </c>
      <c r="J3524" t="str">
        <f t="shared" si="277"/>
        <v/>
      </c>
      <c r="K3524" t="str">
        <f t="shared" si="278"/>
        <v/>
      </c>
      <c r="L3524" t="str">
        <f t="shared" si="279"/>
        <v/>
      </c>
      <c r="M3524" t="str">
        <f>IF(COUNTIF($A$2:A3524,A3524)=1,
     VLOOKUP(A3524,Season_Winners!A:B,2,FALSE),
     "")</f>
        <v/>
      </c>
    </row>
    <row r="3525" spans="1:13" hidden="1" x14ac:dyDescent="0.3">
      <c r="A3525" t="s">
        <v>1279</v>
      </c>
      <c r="B3525">
        <v>11</v>
      </c>
      <c r="C3525" t="s">
        <v>1320</v>
      </c>
      <c r="D3525" t="str">
        <f t="shared" si="275"/>
        <v>22.10.2022</v>
      </c>
      <c r="E3525" s="1">
        <v>0.875</v>
      </c>
      <c r="F3525" t="s">
        <v>25</v>
      </c>
      <c r="G3525" t="s">
        <v>27</v>
      </c>
      <c r="H3525" s="2">
        <v>46025</v>
      </c>
      <c r="I3525" s="3" t="str">
        <f t="shared" si="276"/>
        <v/>
      </c>
      <c r="J3525" t="str">
        <f t="shared" si="277"/>
        <v/>
      </c>
      <c r="K3525" t="str">
        <f t="shared" si="278"/>
        <v/>
      </c>
      <c r="L3525" t="str">
        <f t="shared" si="279"/>
        <v/>
      </c>
      <c r="M3525" t="str">
        <f>IF(COUNTIF($A$2:A3525,A3525)=1,
     VLOOKUP(A3525,Season_Winners!A:B,2,FALSE),
     "")</f>
        <v/>
      </c>
    </row>
    <row r="3526" spans="1:13" hidden="1" x14ac:dyDescent="0.3">
      <c r="A3526" t="s">
        <v>1279</v>
      </c>
      <c r="B3526">
        <v>11</v>
      </c>
      <c r="C3526" t="s">
        <v>1321</v>
      </c>
      <c r="D3526" t="str">
        <f t="shared" si="275"/>
        <v>23.10.2022</v>
      </c>
      <c r="E3526" s="1">
        <v>0.58333333333333337</v>
      </c>
      <c r="F3526" t="s">
        <v>36</v>
      </c>
      <c r="G3526" t="s">
        <v>31</v>
      </c>
      <c r="H3526" s="2">
        <v>46055</v>
      </c>
      <c r="I3526" s="3" t="str">
        <f t="shared" si="276"/>
        <v/>
      </c>
      <c r="J3526" t="str">
        <f t="shared" si="277"/>
        <v/>
      </c>
      <c r="K3526" t="str">
        <f t="shared" si="278"/>
        <v/>
      </c>
      <c r="L3526" t="str">
        <f t="shared" si="279"/>
        <v/>
      </c>
      <c r="M3526" t="str">
        <f>IF(COUNTIF($A$2:A3526,A3526)=1,
     VLOOKUP(A3526,Season_Winners!A:B,2,FALSE),
     "")</f>
        <v/>
      </c>
    </row>
    <row r="3527" spans="1:13" hidden="1" x14ac:dyDescent="0.3">
      <c r="A3527" t="s">
        <v>1279</v>
      </c>
      <c r="B3527">
        <v>11</v>
      </c>
      <c r="C3527" t="s">
        <v>1321</v>
      </c>
      <c r="D3527" t="str">
        <f t="shared" si="275"/>
        <v>23.10.2022</v>
      </c>
      <c r="E3527" s="1">
        <v>0.67708333333333337</v>
      </c>
      <c r="F3527" t="s">
        <v>26</v>
      </c>
      <c r="G3527" t="s">
        <v>28</v>
      </c>
      <c r="H3527" s="2">
        <v>46054</v>
      </c>
      <c r="I3527" s="3" t="str">
        <f t="shared" si="276"/>
        <v/>
      </c>
      <c r="J3527" t="str">
        <f t="shared" si="277"/>
        <v/>
      </c>
      <c r="K3527" t="str">
        <f t="shared" si="278"/>
        <v/>
      </c>
      <c r="L3527" t="str">
        <f t="shared" si="279"/>
        <v/>
      </c>
      <c r="M3527" t="str">
        <f>IF(COUNTIF($A$2:A3527,A3527)=1,
     VLOOKUP(A3527,Season_Winners!A:B,2,FALSE),
     "")</f>
        <v/>
      </c>
    </row>
    <row r="3528" spans="1:13" hidden="1" x14ac:dyDescent="0.3">
      <c r="A3528" t="s">
        <v>1279</v>
      </c>
      <c r="B3528">
        <v>11</v>
      </c>
      <c r="C3528" t="s">
        <v>1321</v>
      </c>
      <c r="D3528" t="str">
        <f t="shared" si="275"/>
        <v>23.10.2022</v>
      </c>
      <c r="E3528" s="1">
        <v>0.77083333333333337</v>
      </c>
      <c r="F3528" t="s">
        <v>606</v>
      </c>
      <c r="G3528" t="s">
        <v>23</v>
      </c>
      <c r="H3528" s="2">
        <v>46023</v>
      </c>
      <c r="I3528" s="3" t="str">
        <f t="shared" si="276"/>
        <v/>
      </c>
      <c r="J3528" t="str">
        <f t="shared" si="277"/>
        <v/>
      </c>
      <c r="K3528" t="str">
        <f t="shared" si="278"/>
        <v/>
      </c>
      <c r="L3528" t="str">
        <f t="shared" si="279"/>
        <v/>
      </c>
      <c r="M3528" t="str">
        <f>IF(COUNTIF($A$2:A3528,A3528)=1,
     VLOOKUP(A3528,Season_Winners!A:B,2,FALSE),
     "")</f>
        <v/>
      </c>
    </row>
    <row r="3529" spans="1:13" hidden="1" x14ac:dyDescent="0.3">
      <c r="A3529" t="s">
        <v>1279</v>
      </c>
      <c r="B3529">
        <v>11</v>
      </c>
      <c r="C3529" t="s">
        <v>1321</v>
      </c>
      <c r="D3529" t="str">
        <f t="shared" si="275"/>
        <v>23.10.2022</v>
      </c>
      <c r="E3529" s="1">
        <v>0.77083333333333337</v>
      </c>
      <c r="F3529" t="s">
        <v>34</v>
      </c>
      <c r="G3529" t="s">
        <v>33</v>
      </c>
      <c r="H3529" s="2">
        <v>46024</v>
      </c>
      <c r="I3529" s="3" t="str">
        <f t="shared" si="276"/>
        <v/>
      </c>
      <c r="J3529" t="str">
        <f t="shared" si="277"/>
        <v/>
      </c>
      <c r="K3529" t="str">
        <f t="shared" si="278"/>
        <v/>
      </c>
      <c r="L3529" t="str">
        <f t="shared" si="279"/>
        <v/>
      </c>
      <c r="M3529" t="str">
        <f>IF(COUNTIF($A$2:A3529,A3529)=1,
     VLOOKUP(A3529,Season_Winners!A:B,2,FALSE),
     "")</f>
        <v/>
      </c>
    </row>
    <row r="3530" spans="1:13" x14ac:dyDescent="0.3">
      <c r="A3530" t="s">
        <v>1279</v>
      </c>
      <c r="B3530">
        <v>11</v>
      </c>
      <c r="C3530" t="s">
        <v>1321</v>
      </c>
      <c r="D3530" t="str">
        <f t="shared" si="275"/>
        <v>23.10.2022</v>
      </c>
      <c r="E3530" s="1">
        <v>0.875</v>
      </c>
      <c r="F3530" t="s">
        <v>20</v>
      </c>
      <c r="G3530" t="s">
        <v>15</v>
      </c>
      <c r="H3530" t="s">
        <v>88</v>
      </c>
      <c r="I3530" t="str">
        <f t="shared" si="276"/>
        <v>4-0</v>
      </c>
      <c r="J3530" t="str">
        <f t="shared" si="277"/>
        <v>4</v>
      </c>
      <c r="K3530" t="str">
        <f t="shared" si="278"/>
        <v>0</v>
      </c>
      <c r="L3530" t="str">
        <f t="shared" si="279"/>
        <v>FC Barcelona</v>
      </c>
      <c r="M3530" t="str">
        <f>IF(COUNTIF($A$2:A3530,A3530)=1,
     VLOOKUP(A3530,Season_Winners!A:B,2,FALSE),
     "")</f>
        <v/>
      </c>
    </row>
    <row r="3531" spans="1:13" hidden="1" x14ac:dyDescent="0.3">
      <c r="A3531" t="s">
        <v>1279</v>
      </c>
      <c r="B3531">
        <v>11</v>
      </c>
      <c r="C3531" t="s">
        <v>1322</v>
      </c>
      <c r="D3531" t="str">
        <f t="shared" si="275"/>
        <v>24.10.2022</v>
      </c>
      <c r="E3531" s="1">
        <v>0.875</v>
      </c>
      <c r="F3531" t="s">
        <v>35</v>
      </c>
      <c r="G3531" t="s">
        <v>11</v>
      </c>
      <c r="H3531" s="2">
        <v>46023</v>
      </c>
      <c r="I3531" s="3" t="str">
        <f t="shared" si="276"/>
        <v/>
      </c>
      <c r="J3531" t="str">
        <f t="shared" si="277"/>
        <v/>
      </c>
      <c r="K3531" t="str">
        <f t="shared" si="278"/>
        <v/>
      </c>
      <c r="L3531" t="str">
        <f t="shared" si="279"/>
        <v/>
      </c>
      <c r="M3531" t="str">
        <f>IF(COUNTIF($A$2:A3531,A3531)=1,
     VLOOKUP(A3531,Season_Winners!A:B,2,FALSE),
     "")</f>
        <v/>
      </c>
    </row>
    <row r="3532" spans="1:13" hidden="1" x14ac:dyDescent="0.3">
      <c r="A3532" t="s">
        <v>1279</v>
      </c>
      <c r="B3532">
        <v>12</v>
      </c>
      <c r="C3532" t="s">
        <v>1323</v>
      </c>
      <c r="D3532" t="str">
        <f t="shared" si="275"/>
        <v>28.10.2022</v>
      </c>
      <c r="E3532" s="1">
        <v>0.875</v>
      </c>
      <c r="F3532" t="s">
        <v>881</v>
      </c>
      <c r="G3532" t="s">
        <v>36</v>
      </c>
      <c r="H3532" s="2">
        <v>46023</v>
      </c>
      <c r="I3532" s="3" t="str">
        <f t="shared" si="276"/>
        <v/>
      </c>
      <c r="J3532" t="str">
        <f t="shared" si="277"/>
        <v/>
      </c>
      <c r="K3532" t="str">
        <f t="shared" si="278"/>
        <v/>
      </c>
      <c r="L3532" t="str">
        <f t="shared" si="279"/>
        <v/>
      </c>
      <c r="M3532" t="str">
        <f>IF(COUNTIF($A$2:A3532,A3532)=1,
     VLOOKUP(A3532,Season_Winners!A:B,2,FALSE),
     "")</f>
        <v/>
      </c>
    </row>
    <row r="3533" spans="1:13" hidden="1" x14ac:dyDescent="0.3">
      <c r="A3533" t="s">
        <v>1279</v>
      </c>
      <c r="B3533">
        <v>12</v>
      </c>
      <c r="C3533" t="s">
        <v>1324</v>
      </c>
      <c r="D3533" t="str">
        <f t="shared" si="275"/>
        <v>29.10.2022</v>
      </c>
      <c r="E3533" s="1">
        <v>0.58333333333333337</v>
      </c>
      <c r="F3533" t="s">
        <v>33</v>
      </c>
      <c r="G3533" t="s">
        <v>35</v>
      </c>
      <c r="H3533" s="2">
        <v>46025</v>
      </c>
      <c r="I3533" s="3" t="str">
        <f t="shared" si="276"/>
        <v/>
      </c>
      <c r="J3533" t="str">
        <f t="shared" si="277"/>
        <v/>
      </c>
      <c r="K3533" t="str">
        <f t="shared" si="278"/>
        <v/>
      </c>
      <c r="L3533" t="str">
        <f t="shared" si="279"/>
        <v/>
      </c>
      <c r="M3533" t="str">
        <f>IF(COUNTIF($A$2:A3533,A3533)=1,
     VLOOKUP(A3533,Season_Winners!A:B,2,FALSE),
     "")</f>
        <v/>
      </c>
    </row>
    <row r="3534" spans="1:13" hidden="1" x14ac:dyDescent="0.3">
      <c r="A3534" t="s">
        <v>1279</v>
      </c>
      <c r="B3534">
        <v>12</v>
      </c>
      <c r="C3534" t="s">
        <v>1324</v>
      </c>
      <c r="D3534" t="str">
        <f t="shared" si="275"/>
        <v>29.10.2022</v>
      </c>
      <c r="E3534" s="1">
        <v>0.67708333333333337</v>
      </c>
      <c r="F3534" t="s">
        <v>1000</v>
      </c>
      <c r="G3534" t="s">
        <v>28</v>
      </c>
      <c r="H3534" s="2">
        <v>46056</v>
      </c>
      <c r="I3534" s="3" t="str">
        <f t="shared" si="276"/>
        <v/>
      </c>
      <c r="J3534" t="str">
        <f t="shared" si="277"/>
        <v/>
      </c>
      <c r="K3534" t="str">
        <f t="shared" si="278"/>
        <v/>
      </c>
      <c r="L3534" t="str">
        <f t="shared" si="279"/>
        <v/>
      </c>
      <c r="M3534" t="str">
        <f>IF(COUNTIF($A$2:A3534,A3534)=1,
     VLOOKUP(A3534,Season_Winners!A:B,2,FALSE),
     "")</f>
        <v/>
      </c>
    </row>
    <row r="3535" spans="1:13" x14ac:dyDescent="0.3">
      <c r="A3535" t="s">
        <v>1279</v>
      </c>
      <c r="B3535">
        <v>12</v>
      </c>
      <c r="C3535" t="s">
        <v>1324</v>
      </c>
      <c r="D3535" t="str">
        <f t="shared" si="275"/>
        <v>29.10.2022</v>
      </c>
      <c r="E3535" s="1">
        <v>0.77083333333333337</v>
      </c>
      <c r="F3535" t="s">
        <v>27</v>
      </c>
      <c r="G3535" t="s">
        <v>30</v>
      </c>
      <c r="H3535" t="s">
        <v>42</v>
      </c>
      <c r="I3535" t="str">
        <f t="shared" si="276"/>
        <v>0-1</v>
      </c>
      <c r="J3535" t="str">
        <f t="shared" si="277"/>
        <v>0</v>
      </c>
      <c r="K3535" t="str">
        <f t="shared" si="278"/>
        <v>1</v>
      </c>
      <c r="L3535" t="str">
        <f t="shared" si="279"/>
        <v>Rayo Vallecano</v>
      </c>
      <c r="M3535" t="str">
        <f>IF(COUNTIF($A$2:A3535,A3535)=1,
     VLOOKUP(A3535,Season_Winners!A:B,2,FALSE),
     "")</f>
        <v/>
      </c>
    </row>
    <row r="3536" spans="1:13" x14ac:dyDescent="0.3">
      <c r="A3536" t="s">
        <v>1279</v>
      </c>
      <c r="B3536">
        <v>12</v>
      </c>
      <c r="C3536" t="s">
        <v>1324</v>
      </c>
      <c r="D3536" t="str">
        <f t="shared" si="275"/>
        <v>29.10.2022</v>
      </c>
      <c r="E3536" s="1">
        <v>0.875</v>
      </c>
      <c r="F3536" t="s">
        <v>16</v>
      </c>
      <c r="G3536" t="s">
        <v>20</v>
      </c>
      <c r="H3536" t="s">
        <v>42</v>
      </c>
      <c r="I3536" t="str">
        <f t="shared" si="276"/>
        <v>0-1</v>
      </c>
      <c r="J3536" t="str">
        <f t="shared" si="277"/>
        <v>0</v>
      </c>
      <c r="K3536" t="str">
        <f t="shared" si="278"/>
        <v>1</v>
      </c>
      <c r="L3536" t="str">
        <f t="shared" si="279"/>
        <v>FC Barcelona</v>
      </c>
      <c r="M3536" t="str">
        <f>IF(COUNTIF($A$2:A3536,A3536)=1,
     VLOOKUP(A3536,Season_Winners!A:B,2,FALSE),
     "")</f>
        <v/>
      </c>
    </row>
    <row r="3537" spans="1:13" x14ac:dyDescent="0.3">
      <c r="A3537" t="s">
        <v>1279</v>
      </c>
      <c r="B3537">
        <v>12</v>
      </c>
      <c r="C3537" t="s">
        <v>1325</v>
      </c>
      <c r="D3537" t="str">
        <f t="shared" si="275"/>
        <v>30.10.2022</v>
      </c>
      <c r="E3537" s="1">
        <v>0.58333333333333337</v>
      </c>
      <c r="F3537" t="s">
        <v>23</v>
      </c>
      <c r="G3537" t="s">
        <v>14</v>
      </c>
      <c r="H3537" t="s">
        <v>12</v>
      </c>
      <c r="I3537" t="str">
        <f t="shared" si="276"/>
        <v>2-0</v>
      </c>
      <c r="J3537" t="str">
        <f t="shared" si="277"/>
        <v>2</v>
      </c>
      <c r="K3537" t="str">
        <f t="shared" si="278"/>
        <v>0</v>
      </c>
      <c r="L3537" t="str">
        <f t="shared" si="279"/>
        <v>CA Osasuna</v>
      </c>
      <c r="M3537" t="str">
        <f>IF(COUNTIF($A$2:A3537,A3537)=1,
     VLOOKUP(A3537,Season_Winners!A:B,2,FALSE),
     "")</f>
        <v/>
      </c>
    </row>
    <row r="3538" spans="1:13" hidden="1" x14ac:dyDescent="0.3">
      <c r="A3538" t="s">
        <v>1279</v>
      </c>
      <c r="B3538">
        <v>12</v>
      </c>
      <c r="C3538" t="s">
        <v>1325</v>
      </c>
      <c r="D3538" t="str">
        <f t="shared" si="275"/>
        <v>30.10.2022</v>
      </c>
      <c r="E3538" s="1">
        <v>0.67708333333333337</v>
      </c>
      <c r="F3538" t="s">
        <v>25</v>
      </c>
      <c r="G3538" t="s">
        <v>606</v>
      </c>
      <c r="H3538" s="2">
        <v>46023</v>
      </c>
      <c r="I3538" s="3" t="str">
        <f t="shared" si="276"/>
        <v/>
      </c>
      <c r="J3538" t="str">
        <f t="shared" si="277"/>
        <v/>
      </c>
      <c r="K3538" t="str">
        <f t="shared" si="278"/>
        <v/>
      </c>
      <c r="L3538" t="str">
        <f t="shared" si="279"/>
        <v/>
      </c>
      <c r="M3538" t="str">
        <f>IF(COUNTIF($A$2:A3538,A3538)=1,
     VLOOKUP(A3538,Season_Winners!A:B,2,FALSE),
     "")</f>
        <v/>
      </c>
    </row>
    <row r="3539" spans="1:13" x14ac:dyDescent="0.3">
      <c r="A3539" t="s">
        <v>1279</v>
      </c>
      <c r="B3539">
        <v>12</v>
      </c>
      <c r="C3539" t="s">
        <v>1325</v>
      </c>
      <c r="D3539" t="str">
        <f t="shared" si="275"/>
        <v>30.10.2022</v>
      </c>
      <c r="E3539" s="1">
        <v>0.77083333333333337</v>
      </c>
      <c r="F3539" t="s">
        <v>15</v>
      </c>
      <c r="G3539" t="s">
        <v>34</v>
      </c>
      <c r="H3539" t="s">
        <v>18</v>
      </c>
      <c r="I3539" t="str">
        <f t="shared" si="276"/>
        <v>1-0</v>
      </c>
      <c r="J3539" t="str">
        <f t="shared" si="277"/>
        <v>1</v>
      </c>
      <c r="K3539" t="str">
        <f t="shared" si="278"/>
        <v>0</v>
      </c>
      <c r="L3539" t="str">
        <f t="shared" si="279"/>
        <v>Athletic Club</v>
      </c>
      <c r="M3539" t="str">
        <f>IF(COUNTIF($A$2:A3539,A3539)=1,
     VLOOKUP(A3539,Season_Winners!A:B,2,FALSE),
     "")</f>
        <v/>
      </c>
    </row>
    <row r="3540" spans="1:13" x14ac:dyDescent="0.3">
      <c r="A3540" t="s">
        <v>1279</v>
      </c>
      <c r="B3540">
        <v>12</v>
      </c>
      <c r="C3540" t="s">
        <v>1325</v>
      </c>
      <c r="D3540" t="str">
        <f t="shared" si="275"/>
        <v>30.10.2022</v>
      </c>
      <c r="E3540" s="1">
        <v>0.875</v>
      </c>
      <c r="F3540" t="s">
        <v>10</v>
      </c>
      <c r="G3540" t="s">
        <v>26</v>
      </c>
      <c r="H3540" t="s">
        <v>54</v>
      </c>
      <c r="I3540" t="str">
        <f t="shared" si="276"/>
        <v>0-2</v>
      </c>
      <c r="J3540" t="str">
        <f t="shared" si="277"/>
        <v>0</v>
      </c>
      <c r="K3540" t="str">
        <f t="shared" si="278"/>
        <v>2</v>
      </c>
      <c r="L3540" t="str">
        <f t="shared" si="279"/>
        <v>Real Betis</v>
      </c>
      <c r="M3540" t="str">
        <f>IF(COUNTIF($A$2:A3540,A3540)=1,
     VLOOKUP(A3540,Season_Winners!A:B,2,FALSE),
     "")</f>
        <v/>
      </c>
    </row>
    <row r="3541" spans="1:13" x14ac:dyDescent="0.3">
      <c r="A3541" t="s">
        <v>1279</v>
      </c>
      <c r="B3541">
        <v>12</v>
      </c>
      <c r="C3541" t="s">
        <v>1326</v>
      </c>
      <c r="D3541" t="str">
        <f t="shared" si="275"/>
        <v>31.10.2022</v>
      </c>
      <c r="E3541" s="1">
        <v>0.875</v>
      </c>
      <c r="F3541" t="s">
        <v>31</v>
      </c>
      <c r="G3541" t="s">
        <v>11</v>
      </c>
      <c r="H3541" t="s">
        <v>42</v>
      </c>
      <c r="I3541" t="str">
        <f t="shared" si="276"/>
        <v>0-1</v>
      </c>
      <c r="J3541" t="str">
        <f t="shared" si="277"/>
        <v>0</v>
      </c>
      <c r="K3541" t="str">
        <f t="shared" si="278"/>
        <v>1</v>
      </c>
      <c r="L3541" t="str">
        <f t="shared" si="279"/>
        <v>Getafe CF</v>
      </c>
      <c r="M3541" t="str">
        <f>IF(COUNTIF($A$2:A3541,A3541)=1,
     VLOOKUP(A3541,Season_Winners!A:B,2,FALSE),
     "")</f>
        <v/>
      </c>
    </row>
    <row r="3542" spans="1:13" hidden="1" x14ac:dyDescent="0.3">
      <c r="A3542" t="s">
        <v>1279</v>
      </c>
      <c r="B3542">
        <v>13</v>
      </c>
      <c r="C3542" t="s">
        <v>1327</v>
      </c>
      <c r="D3542" t="str">
        <f t="shared" si="275"/>
        <v>04.11.2022</v>
      </c>
      <c r="E3542" s="1">
        <v>0.875</v>
      </c>
      <c r="F3542" t="s">
        <v>606</v>
      </c>
      <c r="G3542" t="s">
        <v>15</v>
      </c>
      <c r="H3542" s="2">
        <v>46024</v>
      </c>
      <c r="I3542" s="3" t="str">
        <f t="shared" si="276"/>
        <v/>
      </c>
      <c r="J3542" t="str">
        <f t="shared" si="277"/>
        <v/>
      </c>
      <c r="K3542" t="str">
        <f t="shared" si="278"/>
        <v/>
      </c>
      <c r="L3542" t="str">
        <f t="shared" si="279"/>
        <v/>
      </c>
      <c r="M3542" t="str">
        <f>IF(COUNTIF($A$2:A3542,A3542)=1,
     VLOOKUP(A3542,Season_Winners!A:B,2,FALSE),
     "")</f>
        <v/>
      </c>
    </row>
    <row r="3543" spans="1:13" x14ac:dyDescent="0.3">
      <c r="A3543" t="s">
        <v>1279</v>
      </c>
      <c r="B3543">
        <v>13</v>
      </c>
      <c r="C3543" t="s">
        <v>1328</v>
      </c>
      <c r="D3543" t="str">
        <f t="shared" si="275"/>
        <v>05.11.2022</v>
      </c>
      <c r="E3543" s="1">
        <v>0.58333333333333337</v>
      </c>
      <c r="F3543" t="s">
        <v>11</v>
      </c>
      <c r="G3543" t="s">
        <v>1000</v>
      </c>
      <c r="H3543" t="s">
        <v>41</v>
      </c>
      <c r="I3543" t="str">
        <f t="shared" si="276"/>
        <v>0-0</v>
      </c>
      <c r="J3543" t="str">
        <f t="shared" si="277"/>
        <v>0</v>
      </c>
      <c r="K3543" t="str">
        <f t="shared" si="278"/>
        <v>0</v>
      </c>
      <c r="L3543" t="str">
        <f t="shared" si="279"/>
        <v>Draw</v>
      </c>
      <c r="M3543" t="str">
        <f>IF(COUNTIF($A$2:A3543,A3543)=1,
     VLOOKUP(A3543,Season_Winners!A:B,2,FALSE),
     "")</f>
        <v/>
      </c>
    </row>
    <row r="3544" spans="1:13" hidden="1" x14ac:dyDescent="0.3">
      <c r="A3544" t="s">
        <v>1279</v>
      </c>
      <c r="B3544">
        <v>13</v>
      </c>
      <c r="C3544" t="s">
        <v>1328</v>
      </c>
      <c r="D3544" t="str">
        <f t="shared" si="275"/>
        <v>05.11.2022</v>
      </c>
      <c r="E3544" s="1">
        <v>0.67708333333333337</v>
      </c>
      <c r="F3544" t="s">
        <v>14</v>
      </c>
      <c r="G3544" t="s">
        <v>31</v>
      </c>
      <c r="H3544" s="2">
        <v>46024</v>
      </c>
      <c r="I3544" s="3" t="str">
        <f t="shared" si="276"/>
        <v/>
      </c>
      <c r="J3544" t="str">
        <f t="shared" si="277"/>
        <v/>
      </c>
      <c r="K3544" t="str">
        <f t="shared" si="278"/>
        <v/>
      </c>
      <c r="L3544" t="str">
        <f t="shared" si="279"/>
        <v/>
      </c>
      <c r="M3544" t="str">
        <f>IF(COUNTIF($A$2:A3544,A3544)=1,
     VLOOKUP(A3544,Season_Winners!A:B,2,FALSE),
     "")</f>
        <v/>
      </c>
    </row>
    <row r="3545" spans="1:13" hidden="1" x14ac:dyDescent="0.3">
      <c r="A3545" t="s">
        <v>1279</v>
      </c>
      <c r="B3545">
        <v>13</v>
      </c>
      <c r="C3545" t="s">
        <v>1328</v>
      </c>
      <c r="D3545" t="str">
        <f t="shared" si="275"/>
        <v>05.11.2022</v>
      </c>
      <c r="E3545" s="1">
        <v>0.77083333333333337</v>
      </c>
      <c r="F3545" t="s">
        <v>35</v>
      </c>
      <c r="G3545" t="s">
        <v>23</v>
      </c>
      <c r="H3545" s="2">
        <v>46054</v>
      </c>
      <c r="I3545" s="3" t="str">
        <f t="shared" si="276"/>
        <v/>
      </c>
      <c r="J3545" t="str">
        <f t="shared" si="277"/>
        <v/>
      </c>
      <c r="K3545" t="str">
        <f t="shared" si="278"/>
        <v/>
      </c>
      <c r="L3545" t="str">
        <f t="shared" si="279"/>
        <v/>
      </c>
      <c r="M3545" t="str">
        <f>IF(COUNTIF($A$2:A3545,A3545)=1,
     VLOOKUP(A3545,Season_Winners!A:B,2,FALSE),
     "")</f>
        <v/>
      </c>
    </row>
    <row r="3546" spans="1:13" x14ac:dyDescent="0.3">
      <c r="A3546" t="s">
        <v>1279</v>
      </c>
      <c r="B3546">
        <v>13</v>
      </c>
      <c r="C3546" t="s">
        <v>1328</v>
      </c>
      <c r="D3546" t="str">
        <f t="shared" si="275"/>
        <v>05.11.2022</v>
      </c>
      <c r="E3546" s="1">
        <v>0.875</v>
      </c>
      <c r="F3546" t="s">
        <v>20</v>
      </c>
      <c r="G3546" t="s">
        <v>33</v>
      </c>
      <c r="H3546" t="s">
        <v>12</v>
      </c>
      <c r="I3546" t="str">
        <f t="shared" si="276"/>
        <v>2-0</v>
      </c>
      <c r="J3546" t="str">
        <f t="shared" si="277"/>
        <v>2</v>
      </c>
      <c r="K3546" t="str">
        <f t="shared" si="278"/>
        <v>0</v>
      </c>
      <c r="L3546" t="str">
        <f t="shared" si="279"/>
        <v>FC Barcelona</v>
      </c>
      <c r="M3546" t="str">
        <f>IF(COUNTIF($A$2:A3546,A3546)=1,
     VLOOKUP(A3546,Season_Winners!A:B,2,FALSE),
     "")</f>
        <v/>
      </c>
    </row>
    <row r="3547" spans="1:13" hidden="1" x14ac:dyDescent="0.3">
      <c r="A3547" t="s">
        <v>1279</v>
      </c>
      <c r="B3547">
        <v>13</v>
      </c>
      <c r="C3547" t="s">
        <v>1329</v>
      </c>
      <c r="D3547" t="str">
        <f t="shared" si="275"/>
        <v>06.11.2022</v>
      </c>
      <c r="E3547" s="1">
        <v>0.58333333333333337</v>
      </c>
      <c r="F3547" t="s">
        <v>28</v>
      </c>
      <c r="G3547" t="s">
        <v>36</v>
      </c>
      <c r="H3547" s="2">
        <v>46023</v>
      </c>
      <c r="I3547" s="3" t="str">
        <f t="shared" si="276"/>
        <v/>
      </c>
      <c r="J3547" t="str">
        <f t="shared" si="277"/>
        <v/>
      </c>
      <c r="K3547" t="str">
        <f t="shared" si="278"/>
        <v/>
      </c>
      <c r="L3547" t="str">
        <f t="shared" si="279"/>
        <v/>
      </c>
      <c r="M3547" t="str">
        <f>IF(COUNTIF($A$2:A3547,A3547)=1,
     VLOOKUP(A3547,Season_Winners!A:B,2,FALSE),
     "")</f>
        <v/>
      </c>
    </row>
    <row r="3548" spans="1:13" hidden="1" x14ac:dyDescent="0.3">
      <c r="A3548" t="s">
        <v>1279</v>
      </c>
      <c r="B3548">
        <v>13</v>
      </c>
      <c r="C3548" t="s">
        <v>1329</v>
      </c>
      <c r="D3548" t="str">
        <f t="shared" si="275"/>
        <v>06.11.2022</v>
      </c>
      <c r="E3548" s="1">
        <v>0.67708333333333337</v>
      </c>
      <c r="F3548" t="s">
        <v>10</v>
      </c>
      <c r="G3548" t="s">
        <v>16</v>
      </c>
      <c r="H3548" s="2">
        <v>46023</v>
      </c>
      <c r="I3548" s="3" t="str">
        <f t="shared" si="276"/>
        <v/>
      </c>
      <c r="J3548" t="str">
        <f t="shared" si="277"/>
        <v/>
      </c>
      <c r="K3548" t="str">
        <f t="shared" si="278"/>
        <v/>
      </c>
      <c r="L3548" t="str">
        <f t="shared" si="279"/>
        <v/>
      </c>
      <c r="M3548" t="str">
        <f>IF(COUNTIF($A$2:A3548,A3548)=1,
     VLOOKUP(A3548,Season_Winners!A:B,2,FALSE),
     "")</f>
        <v/>
      </c>
    </row>
    <row r="3549" spans="1:13" x14ac:dyDescent="0.3">
      <c r="A3549" t="s">
        <v>1279</v>
      </c>
      <c r="B3549">
        <v>13</v>
      </c>
      <c r="C3549" t="s">
        <v>1329</v>
      </c>
      <c r="D3549" t="str">
        <f t="shared" si="275"/>
        <v>06.11.2022</v>
      </c>
      <c r="E3549" s="1">
        <v>0.77083333333333337</v>
      </c>
      <c r="F3549" t="s">
        <v>34</v>
      </c>
      <c r="G3549" t="s">
        <v>881</v>
      </c>
      <c r="H3549" t="s">
        <v>54</v>
      </c>
      <c r="I3549" t="str">
        <f t="shared" si="276"/>
        <v>0-2</v>
      </c>
      <c r="J3549" t="str">
        <f t="shared" si="277"/>
        <v>0</v>
      </c>
      <c r="K3549" t="str">
        <f t="shared" si="278"/>
        <v>2</v>
      </c>
      <c r="L3549" t="str">
        <f t="shared" si="279"/>
        <v>RCD Mallorca</v>
      </c>
      <c r="M3549" t="str">
        <f>IF(COUNTIF($A$2:A3549,A3549)=1,
     VLOOKUP(A3549,Season_Winners!A:B,2,FALSE),
     "")</f>
        <v/>
      </c>
    </row>
    <row r="3550" spans="1:13" hidden="1" x14ac:dyDescent="0.3">
      <c r="A3550" t="s">
        <v>1279</v>
      </c>
      <c r="B3550">
        <v>13</v>
      </c>
      <c r="C3550" t="s">
        <v>1329</v>
      </c>
      <c r="D3550" t="str">
        <f t="shared" si="275"/>
        <v>06.11.2022</v>
      </c>
      <c r="E3550" s="1">
        <v>0.875</v>
      </c>
      <c r="F3550" t="s">
        <v>26</v>
      </c>
      <c r="G3550" t="s">
        <v>27</v>
      </c>
      <c r="H3550" s="2">
        <v>46023</v>
      </c>
      <c r="I3550" s="3" t="str">
        <f t="shared" si="276"/>
        <v/>
      </c>
      <c r="J3550" t="str">
        <f t="shared" si="277"/>
        <v/>
      </c>
      <c r="K3550" t="str">
        <f t="shared" si="278"/>
        <v/>
      </c>
      <c r="L3550" t="str">
        <f t="shared" si="279"/>
        <v/>
      </c>
      <c r="M3550" t="str">
        <f>IF(COUNTIF($A$2:A3550,A3550)=1,
     VLOOKUP(A3550,Season_Winners!A:B,2,FALSE),
     "")</f>
        <v/>
      </c>
    </row>
    <row r="3551" spans="1:13" hidden="1" x14ac:dyDescent="0.3">
      <c r="A3551" t="s">
        <v>1279</v>
      </c>
      <c r="B3551">
        <v>13</v>
      </c>
      <c r="C3551" t="s">
        <v>1330</v>
      </c>
      <c r="D3551" t="str">
        <f t="shared" si="275"/>
        <v>07.11.2022</v>
      </c>
      <c r="E3551" s="1">
        <v>0.875</v>
      </c>
      <c r="F3551" t="s">
        <v>30</v>
      </c>
      <c r="G3551" t="s">
        <v>25</v>
      </c>
      <c r="H3551" s="2">
        <v>46056</v>
      </c>
      <c r="I3551" s="3" t="str">
        <f t="shared" si="276"/>
        <v/>
      </c>
      <c r="J3551" t="str">
        <f t="shared" si="277"/>
        <v/>
      </c>
      <c r="K3551" t="str">
        <f t="shared" si="278"/>
        <v/>
      </c>
      <c r="L3551" t="str">
        <f t="shared" si="279"/>
        <v/>
      </c>
      <c r="M3551" t="str">
        <f>IF(COUNTIF($A$2:A3551,A3551)=1,
     VLOOKUP(A3551,Season_Winners!A:B,2,FALSE),
     "")</f>
        <v/>
      </c>
    </row>
    <row r="3552" spans="1:13" hidden="1" x14ac:dyDescent="0.3">
      <c r="A3552" t="s">
        <v>1279</v>
      </c>
      <c r="B3552">
        <v>14</v>
      </c>
      <c r="C3552" t="s">
        <v>1331</v>
      </c>
      <c r="D3552" t="str">
        <f t="shared" si="275"/>
        <v>08.11.2022</v>
      </c>
      <c r="E3552" s="1">
        <v>0.79166666666666663</v>
      </c>
      <c r="F3552" t="s">
        <v>31</v>
      </c>
      <c r="G3552" t="s">
        <v>606</v>
      </c>
      <c r="H3552" s="2">
        <v>46054</v>
      </c>
      <c r="I3552" s="3" t="str">
        <f t="shared" si="276"/>
        <v/>
      </c>
      <c r="J3552" t="str">
        <f t="shared" si="277"/>
        <v/>
      </c>
      <c r="K3552" t="str">
        <f t="shared" si="278"/>
        <v/>
      </c>
      <c r="L3552" t="str">
        <f t="shared" si="279"/>
        <v/>
      </c>
      <c r="M3552" t="str">
        <f>IF(COUNTIF($A$2:A3552,A3552)=1,
     VLOOKUP(A3552,Season_Winners!A:B,2,FALSE),
     "")</f>
        <v/>
      </c>
    </row>
    <row r="3553" spans="1:13" x14ac:dyDescent="0.3">
      <c r="A3553" t="s">
        <v>1279</v>
      </c>
      <c r="B3553">
        <v>14</v>
      </c>
      <c r="C3553" t="s">
        <v>1331</v>
      </c>
      <c r="D3553" t="str">
        <f t="shared" si="275"/>
        <v>08.11.2022</v>
      </c>
      <c r="E3553" s="1">
        <v>0.83333333333333337</v>
      </c>
      <c r="F3553" t="s">
        <v>15</v>
      </c>
      <c r="G3553" t="s">
        <v>14</v>
      </c>
      <c r="H3553" t="s">
        <v>32</v>
      </c>
      <c r="I3553" t="str">
        <f t="shared" si="276"/>
        <v>3-0</v>
      </c>
      <c r="J3553" t="str">
        <f t="shared" si="277"/>
        <v>3</v>
      </c>
      <c r="K3553" t="str">
        <f t="shared" si="278"/>
        <v>0</v>
      </c>
      <c r="L3553" t="str">
        <f t="shared" si="279"/>
        <v>Athletic Club</v>
      </c>
      <c r="M3553" t="str">
        <f>IF(COUNTIF($A$2:A3553,A3553)=1,
     VLOOKUP(A3553,Season_Winners!A:B,2,FALSE),
     "")</f>
        <v/>
      </c>
    </row>
    <row r="3554" spans="1:13" hidden="1" x14ac:dyDescent="0.3">
      <c r="A3554" t="s">
        <v>1279</v>
      </c>
      <c r="B3554">
        <v>14</v>
      </c>
      <c r="C3554" t="s">
        <v>1331</v>
      </c>
      <c r="D3554" t="str">
        <f t="shared" si="275"/>
        <v>08.11.2022</v>
      </c>
      <c r="E3554" s="1">
        <v>0.89583333333333337</v>
      </c>
      <c r="F3554" t="s">
        <v>23</v>
      </c>
      <c r="G3554" t="s">
        <v>20</v>
      </c>
      <c r="H3554" s="2">
        <v>46054</v>
      </c>
      <c r="I3554" s="3" t="str">
        <f t="shared" si="276"/>
        <v/>
      </c>
      <c r="J3554" t="str">
        <f t="shared" si="277"/>
        <v/>
      </c>
      <c r="K3554" t="str">
        <f t="shared" si="278"/>
        <v/>
      </c>
      <c r="L3554" t="str">
        <f t="shared" si="279"/>
        <v/>
      </c>
      <c r="M3554" t="str">
        <f>IF(COUNTIF($A$2:A3554,A3554)=1,
     VLOOKUP(A3554,Season_Winners!A:B,2,FALSE),
     "")</f>
        <v/>
      </c>
    </row>
    <row r="3555" spans="1:13" x14ac:dyDescent="0.3">
      <c r="A3555" t="s">
        <v>1279</v>
      </c>
      <c r="B3555">
        <v>14</v>
      </c>
      <c r="C3555" t="s">
        <v>1332</v>
      </c>
      <c r="D3555" t="str">
        <f t="shared" si="275"/>
        <v>09.11.2022</v>
      </c>
      <c r="E3555" s="1">
        <v>0.79166666666666663</v>
      </c>
      <c r="F3555" t="s">
        <v>33</v>
      </c>
      <c r="G3555" t="s">
        <v>11</v>
      </c>
      <c r="H3555" t="s">
        <v>18</v>
      </c>
      <c r="I3555" t="str">
        <f t="shared" si="276"/>
        <v>1-0</v>
      </c>
      <c r="J3555" t="str">
        <f t="shared" si="277"/>
        <v>1</v>
      </c>
      <c r="K3555" t="str">
        <f t="shared" si="278"/>
        <v>0</v>
      </c>
      <c r="L3555" t="str">
        <f t="shared" si="279"/>
        <v>UD AlmerÃ­a</v>
      </c>
      <c r="M3555" t="str">
        <f>IF(COUNTIF($A$2:A3555,A3555)=1,
     VLOOKUP(A3555,Season_Winners!A:B,2,FALSE),
     "")</f>
        <v/>
      </c>
    </row>
    <row r="3556" spans="1:13" hidden="1" x14ac:dyDescent="0.3">
      <c r="A3556" t="s">
        <v>1279</v>
      </c>
      <c r="B3556">
        <v>14</v>
      </c>
      <c r="C3556" t="s">
        <v>1332</v>
      </c>
      <c r="D3556" t="str">
        <f t="shared" si="275"/>
        <v>09.11.2022</v>
      </c>
      <c r="E3556" s="1">
        <v>0.79166666666666663</v>
      </c>
      <c r="F3556" t="s">
        <v>27</v>
      </c>
      <c r="G3556" t="s">
        <v>10</v>
      </c>
      <c r="H3556" s="2">
        <v>46054</v>
      </c>
      <c r="I3556" s="3" t="str">
        <f t="shared" si="276"/>
        <v/>
      </c>
      <c r="J3556" t="str">
        <f t="shared" si="277"/>
        <v/>
      </c>
      <c r="K3556" t="str">
        <f t="shared" si="278"/>
        <v/>
      </c>
      <c r="L3556" t="str">
        <f t="shared" si="279"/>
        <v/>
      </c>
      <c r="M3556" t="str">
        <f>IF(COUNTIF($A$2:A3556,A3556)=1,
     VLOOKUP(A3556,Season_Winners!A:B,2,FALSE),
     "")</f>
        <v/>
      </c>
    </row>
    <row r="3557" spans="1:13" x14ac:dyDescent="0.3">
      <c r="A3557" t="s">
        <v>1279</v>
      </c>
      <c r="B3557">
        <v>14</v>
      </c>
      <c r="C3557" t="s">
        <v>1332</v>
      </c>
      <c r="D3557" t="str">
        <f t="shared" si="275"/>
        <v>09.11.2022</v>
      </c>
      <c r="E3557" s="1">
        <v>0.83333333333333337</v>
      </c>
      <c r="F3557" t="s">
        <v>36</v>
      </c>
      <c r="G3557" t="s">
        <v>34</v>
      </c>
      <c r="H3557" t="s">
        <v>42</v>
      </c>
      <c r="I3557" t="str">
        <f t="shared" si="276"/>
        <v>0-1</v>
      </c>
      <c r="J3557" t="str">
        <f t="shared" si="277"/>
        <v>0</v>
      </c>
      <c r="K3557" t="str">
        <f t="shared" si="278"/>
        <v>1</v>
      </c>
      <c r="L3557" t="str">
        <f t="shared" si="279"/>
        <v>Villarreal CF</v>
      </c>
      <c r="M3557" t="str">
        <f>IF(COUNTIF($A$2:A3557,A3557)=1,
     VLOOKUP(A3557,Season_Winners!A:B,2,FALSE),
     "")</f>
        <v/>
      </c>
    </row>
    <row r="3558" spans="1:13" x14ac:dyDescent="0.3">
      <c r="A3558" t="s">
        <v>1279</v>
      </c>
      <c r="B3558">
        <v>14</v>
      </c>
      <c r="C3558" t="s">
        <v>1332</v>
      </c>
      <c r="D3558" t="str">
        <f t="shared" si="275"/>
        <v>09.11.2022</v>
      </c>
      <c r="E3558" s="1">
        <v>0.89583333333333337</v>
      </c>
      <c r="F3558" t="s">
        <v>881</v>
      </c>
      <c r="G3558" t="s">
        <v>1425</v>
      </c>
      <c r="H3558" t="s">
        <v>18</v>
      </c>
      <c r="I3558" t="str">
        <f t="shared" si="276"/>
        <v>1-0</v>
      </c>
      <c r="J3558" t="str">
        <f t="shared" si="277"/>
        <v>1</v>
      </c>
      <c r="K3558" t="str">
        <f t="shared" si="278"/>
        <v>0</v>
      </c>
      <c r="L3558" t="str">
        <f t="shared" si="279"/>
        <v>RCD Mallorca</v>
      </c>
      <c r="M3558" t="str">
        <f>IF(COUNTIF($A$2:A3558,A3558)=1,
     VLOOKUP(A3558,Season_Winners!A:B,2,FALSE),
     "")</f>
        <v/>
      </c>
    </row>
    <row r="3559" spans="1:13" x14ac:dyDescent="0.3">
      <c r="A3559" t="s">
        <v>1279</v>
      </c>
      <c r="B3559">
        <v>14</v>
      </c>
      <c r="C3559" t="s">
        <v>1333</v>
      </c>
      <c r="D3559" t="str">
        <f t="shared" si="275"/>
        <v>10.11.2022</v>
      </c>
      <c r="E3559" s="1">
        <v>0.79166666666666663</v>
      </c>
      <c r="F3559" t="s">
        <v>30</v>
      </c>
      <c r="G3559" t="s">
        <v>35</v>
      </c>
      <c r="H3559" t="s">
        <v>41</v>
      </c>
      <c r="I3559" t="str">
        <f t="shared" si="276"/>
        <v>0-0</v>
      </c>
      <c r="J3559" t="str">
        <f t="shared" si="277"/>
        <v>0</v>
      </c>
      <c r="K3559" t="str">
        <f t="shared" si="278"/>
        <v>0</v>
      </c>
      <c r="L3559" t="str">
        <f t="shared" si="279"/>
        <v>Draw</v>
      </c>
      <c r="M3559" t="str">
        <f>IF(COUNTIF($A$2:A3559,A3559)=1,
     VLOOKUP(A3559,Season_Winners!A:B,2,FALSE),
     "")</f>
        <v/>
      </c>
    </row>
    <row r="3560" spans="1:13" x14ac:dyDescent="0.3">
      <c r="A3560" t="s">
        <v>1279</v>
      </c>
      <c r="B3560">
        <v>14</v>
      </c>
      <c r="C3560" t="s">
        <v>1333</v>
      </c>
      <c r="D3560" t="str">
        <f t="shared" si="275"/>
        <v>10.11.2022</v>
      </c>
      <c r="E3560" s="1">
        <v>0.83333333333333337</v>
      </c>
      <c r="F3560" t="s">
        <v>16</v>
      </c>
      <c r="G3560" t="s">
        <v>26</v>
      </c>
      <c r="H3560" t="s">
        <v>32</v>
      </c>
      <c r="I3560" t="str">
        <f t="shared" si="276"/>
        <v>3-0</v>
      </c>
      <c r="J3560" t="str">
        <f t="shared" si="277"/>
        <v>3</v>
      </c>
      <c r="K3560" t="str">
        <f t="shared" si="278"/>
        <v>0</v>
      </c>
      <c r="L3560" t="str">
        <f t="shared" si="279"/>
        <v>Valencia CF</v>
      </c>
      <c r="M3560" t="str">
        <f>IF(COUNTIF($A$2:A3560,A3560)=1,
     VLOOKUP(A3560,Season_Winners!A:B,2,FALSE),
     "")</f>
        <v/>
      </c>
    </row>
    <row r="3561" spans="1:13" hidden="1" x14ac:dyDescent="0.3">
      <c r="A3561" t="s">
        <v>1279</v>
      </c>
      <c r="B3561">
        <v>14</v>
      </c>
      <c r="C3561" t="s">
        <v>1333</v>
      </c>
      <c r="D3561" t="str">
        <f t="shared" si="275"/>
        <v>10.11.2022</v>
      </c>
      <c r="E3561" s="1">
        <v>0.89583333333333337</v>
      </c>
      <c r="F3561" t="s">
        <v>25</v>
      </c>
      <c r="G3561" t="s">
        <v>1000</v>
      </c>
      <c r="H3561" s="2">
        <v>46024</v>
      </c>
      <c r="I3561" s="3" t="str">
        <f t="shared" si="276"/>
        <v/>
      </c>
      <c r="J3561" t="str">
        <f t="shared" si="277"/>
        <v/>
      </c>
      <c r="K3561" t="str">
        <f t="shared" si="278"/>
        <v/>
      </c>
      <c r="L3561" t="str">
        <f t="shared" si="279"/>
        <v/>
      </c>
      <c r="M3561" t="str">
        <f>IF(COUNTIF($A$2:A3561,A3561)=1,
     VLOOKUP(A3561,Season_Winners!A:B,2,FALSE),
     "")</f>
        <v/>
      </c>
    </row>
    <row r="3562" spans="1:13" hidden="1" x14ac:dyDescent="0.3">
      <c r="A3562" t="s">
        <v>1279</v>
      </c>
      <c r="B3562">
        <v>15</v>
      </c>
      <c r="C3562" t="s">
        <v>1334</v>
      </c>
      <c r="D3562" t="str">
        <f t="shared" si="275"/>
        <v>29.12.2022</v>
      </c>
      <c r="E3562" s="1">
        <v>0.70833333333333337</v>
      </c>
      <c r="F3562" t="s">
        <v>606</v>
      </c>
      <c r="G3562" t="s">
        <v>30</v>
      </c>
      <c r="H3562" s="2">
        <v>46055</v>
      </c>
      <c r="I3562" s="3" t="str">
        <f t="shared" si="276"/>
        <v/>
      </c>
      <c r="J3562" t="str">
        <f t="shared" si="277"/>
        <v/>
      </c>
      <c r="K3562" t="str">
        <f t="shared" si="278"/>
        <v/>
      </c>
      <c r="L3562" t="str">
        <f t="shared" si="279"/>
        <v/>
      </c>
      <c r="M3562" t="str">
        <f>IF(COUNTIF($A$2:A3562,A3562)=1,
     VLOOKUP(A3562,Season_Winners!A:B,2,FALSE),
     "")</f>
        <v/>
      </c>
    </row>
    <row r="3563" spans="1:13" x14ac:dyDescent="0.3">
      <c r="A3563" t="s">
        <v>1279</v>
      </c>
      <c r="B3563">
        <v>15</v>
      </c>
      <c r="C3563" t="s">
        <v>1334</v>
      </c>
      <c r="D3563" t="str">
        <f t="shared" si="275"/>
        <v>29.12.2022</v>
      </c>
      <c r="E3563" s="1">
        <v>0.80208333333333337</v>
      </c>
      <c r="F3563" t="s">
        <v>26</v>
      </c>
      <c r="G3563" t="s">
        <v>15</v>
      </c>
      <c r="H3563" t="s">
        <v>41</v>
      </c>
      <c r="I3563" t="str">
        <f t="shared" si="276"/>
        <v>0-0</v>
      </c>
      <c r="J3563" t="str">
        <f t="shared" si="277"/>
        <v>0</v>
      </c>
      <c r="K3563" t="str">
        <f t="shared" si="278"/>
        <v>0</v>
      </c>
      <c r="L3563" t="str">
        <f t="shared" si="279"/>
        <v>Draw</v>
      </c>
      <c r="M3563" t="str">
        <f>IF(COUNTIF($A$2:A3563,A3563)=1,
     VLOOKUP(A3563,Season_Winners!A:B,2,FALSE),
     "")</f>
        <v/>
      </c>
    </row>
    <row r="3564" spans="1:13" x14ac:dyDescent="0.3">
      <c r="A3564" t="s">
        <v>1279</v>
      </c>
      <c r="B3564">
        <v>15</v>
      </c>
      <c r="C3564" t="s">
        <v>1334</v>
      </c>
      <c r="D3564" t="str">
        <f t="shared" si="275"/>
        <v>29.12.2022</v>
      </c>
      <c r="E3564" s="1">
        <v>0.89583333333333337</v>
      </c>
      <c r="F3564" t="s">
        <v>1425</v>
      </c>
      <c r="G3564" t="s">
        <v>31</v>
      </c>
      <c r="H3564" t="s">
        <v>12</v>
      </c>
      <c r="I3564" t="str">
        <f t="shared" si="276"/>
        <v>2-0</v>
      </c>
      <c r="J3564" t="str">
        <f t="shared" si="277"/>
        <v>2</v>
      </c>
      <c r="K3564" t="str">
        <f t="shared" si="278"/>
        <v>0</v>
      </c>
      <c r="L3564" t="str">
        <f t="shared" si="279"/>
        <v>Atlético de Madrid</v>
      </c>
      <c r="M3564" t="str">
        <f>IF(COUNTIF($A$2:A3564,A3564)=1,
     VLOOKUP(A3564,Season_Winners!A:B,2,FALSE),
     "")</f>
        <v/>
      </c>
    </row>
    <row r="3565" spans="1:13" x14ac:dyDescent="0.3">
      <c r="A3565" t="s">
        <v>1279</v>
      </c>
      <c r="B3565">
        <v>15</v>
      </c>
      <c r="C3565" t="s">
        <v>1335</v>
      </c>
      <c r="D3565" t="str">
        <f t="shared" si="275"/>
        <v>30.12.2022</v>
      </c>
      <c r="E3565" s="1">
        <v>0.70833333333333337</v>
      </c>
      <c r="F3565" t="s">
        <v>11</v>
      </c>
      <c r="G3565" t="s">
        <v>881</v>
      </c>
      <c r="H3565" t="s">
        <v>12</v>
      </c>
      <c r="I3565" t="str">
        <f t="shared" si="276"/>
        <v>2-0</v>
      </c>
      <c r="J3565" t="str">
        <f t="shared" si="277"/>
        <v>2</v>
      </c>
      <c r="K3565" t="str">
        <f t="shared" si="278"/>
        <v>0</v>
      </c>
      <c r="L3565" t="str">
        <f t="shared" si="279"/>
        <v>Getafe CF</v>
      </c>
      <c r="M3565" t="str">
        <f>IF(COUNTIF($A$2:A3565,A3565)=1,
     VLOOKUP(A3565,Season_Winners!A:B,2,FALSE),
     "")</f>
        <v/>
      </c>
    </row>
    <row r="3566" spans="1:13" hidden="1" x14ac:dyDescent="0.3">
      <c r="A3566" t="s">
        <v>1279</v>
      </c>
      <c r="B3566">
        <v>15</v>
      </c>
      <c r="C3566" t="s">
        <v>1335</v>
      </c>
      <c r="D3566" t="str">
        <f t="shared" si="275"/>
        <v>30.12.2022</v>
      </c>
      <c r="E3566" s="1">
        <v>0.80208333333333337</v>
      </c>
      <c r="F3566" t="s">
        <v>35</v>
      </c>
      <c r="G3566" t="s">
        <v>27</v>
      </c>
      <c r="H3566" s="2">
        <v>46023</v>
      </c>
      <c r="I3566" s="3" t="str">
        <f t="shared" si="276"/>
        <v/>
      </c>
      <c r="J3566" t="str">
        <f t="shared" si="277"/>
        <v/>
      </c>
      <c r="K3566" t="str">
        <f t="shared" si="278"/>
        <v/>
      </c>
      <c r="L3566" t="str">
        <f t="shared" si="279"/>
        <v/>
      </c>
      <c r="M3566" t="str">
        <f>IF(COUNTIF($A$2:A3566,A3566)=1,
     VLOOKUP(A3566,Season_Winners!A:B,2,FALSE),
     "")</f>
        <v/>
      </c>
    </row>
    <row r="3567" spans="1:13" hidden="1" x14ac:dyDescent="0.3">
      <c r="A3567" t="s">
        <v>1279</v>
      </c>
      <c r="B3567">
        <v>15</v>
      </c>
      <c r="C3567" t="s">
        <v>1335</v>
      </c>
      <c r="D3567" t="str">
        <f t="shared" si="275"/>
        <v>30.12.2022</v>
      </c>
      <c r="E3567" s="1">
        <v>0.80208333333333337</v>
      </c>
      <c r="F3567" t="s">
        <v>1000</v>
      </c>
      <c r="G3567" t="s">
        <v>33</v>
      </c>
      <c r="H3567" s="2">
        <v>46023</v>
      </c>
      <c r="I3567" s="3" t="str">
        <f t="shared" si="276"/>
        <v/>
      </c>
      <c r="J3567" t="str">
        <f t="shared" si="277"/>
        <v/>
      </c>
      <c r="K3567" t="str">
        <f t="shared" si="278"/>
        <v/>
      </c>
      <c r="L3567" t="str">
        <f t="shared" si="279"/>
        <v/>
      </c>
      <c r="M3567" t="str">
        <f>IF(COUNTIF($A$2:A3567,A3567)=1,
     VLOOKUP(A3567,Season_Winners!A:B,2,FALSE),
     "")</f>
        <v/>
      </c>
    </row>
    <row r="3568" spans="1:13" x14ac:dyDescent="0.3">
      <c r="A3568" t="s">
        <v>1279</v>
      </c>
      <c r="B3568">
        <v>15</v>
      </c>
      <c r="C3568" t="s">
        <v>1335</v>
      </c>
      <c r="D3568" t="str">
        <f t="shared" si="275"/>
        <v>30.12.2022</v>
      </c>
      <c r="E3568" s="1">
        <v>0.89583333333333337</v>
      </c>
      <c r="F3568" t="s">
        <v>14</v>
      </c>
      <c r="G3568" t="s">
        <v>25</v>
      </c>
      <c r="H3568" t="s">
        <v>54</v>
      </c>
      <c r="I3568" t="str">
        <f t="shared" si="276"/>
        <v>0-2</v>
      </c>
      <c r="J3568" t="str">
        <f t="shared" si="277"/>
        <v>0</v>
      </c>
      <c r="K3568" t="str">
        <f t="shared" si="278"/>
        <v>2</v>
      </c>
      <c r="L3568" t="str">
        <f t="shared" si="279"/>
        <v>Real Madrid</v>
      </c>
      <c r="M3568" t="str">
        <f>IF(COUNTIF($A$2:A3568,A3568)=1,
     VLOOKUP(A3568,Season_Winners!A:B,2,FALSE),
     "")</f>
        <v/>
      </c>
    </row>
    <row r="3569" spans="1:13" hidden="1" x14ac:dyDescent="0.3">
      <c r="A3569" t="s">
        <v>1279</v>
      </c>
      <c r="B3569">
        <v>15</v>
      </c>
      <c r="C3569" t="s">
        <v>1336</v>
      </c>
      <c r="D3569" t="str">
        <f t="shared" si="275"/>
        <v>31.12.2022</v>
      </c>
      <c r="E3569" s="1">
        <v>0.58333333333333337</v>
      </c>
      <c r="F3569" t="s">
        <v>20</v>
      </c>
      <c r="G3569" t="s">
        <v>36</v>
      </c>
      <c r="H3569" s="2">
        <v>46023</v>
      </c>
      <c r="I3569" s="3" t="str">
        <f t="shared" si="276"/>
        <v/>
      </c>
      <c r="J3569" t="str">
        <f t="shared" si="277"/>
        <v/>
      </c>
      <c r="K3569" t="str">
        <f t="shared" si="278"/>
        <v/>
      </c>
      <c r="L3569" t="str">
        <f t="shared" si="279"/>
        <v/>
      </c>
      <c r="M3569" t="str">
        <f>IF(COUNTIF($A$2:A3569,A3569)=1,
     VLOOKUP(A3569,Season_Winners!A:B,2,FALSE),
     "")</f>
        <v/>
      </c>
    </row>
    <row r="3570" spans="1:13" x14ac:dyDescent="0.3">
      <c r="A3570" t="s">
        <v>1279</v>
      </c>
      <c r="B3570">
        <v>15</v>
      </c>
      <c r="C3570" t="s">
        <v>1336</v>
      </c>
      <c r="D3570" t="str">
        <f t="shared" si="275"/>
        <v>31.12.2022</v>
      </c>
      <c r="E3570" s="1">
        <v>0.67708333333333337</v>
      </c>
      <c r="F3570" t="s">
        <v>10</v>
      </c>
      <c r="G3570" t="s">
        <v>23</v>
      </c>
      <c r="H3570" t="s">
        <v>12</v>
      </c>
      <c r="I3570" t="str">
        <f t="shared" si="276"/>
        <v>2-0</v>
      </c>
      <c r="J3570" t="str">
        <f t="shared" si="277"/>
        <v>2</v>
      </c>
      <c r="K3570" t="str">
        <f t="shared" si="278"/>
        <v>0</v>
      </c>
      <c r="L3570" t="str">
        <f t="shared" si="279"/>
        <v>Real Sociedad</v>
      </c>
      <c r="M3570" t="str">
        <f>IF(COUNTIF($A$2:A3570,A3570)=1,
     VLOOKUP(A3570,Season_Winners!A:B,2,FALSE),
     "")</f>
        <v/>
      </c>
    </row>
    <row r="3571" spans="1:13" hidden="1" x14ac:dyDescent="0.3">
      <c r="A3571" t="s">
        <v>1279</v>
      </c>
      <c r="B3571">
        <v>15</v>
      </c>
      <c r="C3571" t="s">
        <v>1336</v>
      </c>
      <c r="D3571" t="str">
        <f t="shared" si="275"/>
        <v>31.12.2022</v>
      </c>
      <c r="E3571" s="1">
        <v>0.67708333333333337</v>
      </c>
      <c r="F3571" t="s">
        <v>34</v>
      </c>
      <c r="G3571" t="s">
        <v>16</v>
      </c>
      <c r="H3571" s="2">
        <v>46024</v>
      </c>
      <c r="I3571" s="3" t="str">
        <f t="shared" si="276"/>
        <v/>
      </c>
      <c r="J3571" t="str">
        <f t="shared" si="277"/>
        <v/>
      </c>
      <c r="K3571" t="str">
        <f t="shared" si="278"/>
        <v/>
      </c>
      <c r="L3571" t="str">
        <f t="shared" si="279"/>
        <v/>
      </c>
      <c r="M3571" t="str">
        <f>IF(COUNTIF($A$2:A3571,A3571)=1,
     VLOOKUP(A3571,Season_Winners!A:B,2,FALSE),
     "")</f>
        <v/>
      </c>
    </row>
    <row r="3572" spans="1:13" x14ac:dyDescent="0.3">
      <c r="A3572" t="s">
        <v>1279</v>
      </c>
      <c r="B3572">
        <v>16</v>
      </c>
      <c r="C3572" t="s">
        <v>1337</v>
      </c>
      <c r="D3572" t="str">
        <f t="shared" si="275"/>
        <v>06.01.2023</v>
      </c>
      <c r="E3572" s="1">
        <v>0.77083333333333337</v>
      </c>
      <c r="F3572" t="s">
        <v>31</v>
      </c>
      <c r="G3572" t="s">
        <v>35</v>
      </c>
      <c r="H3572" t="s">
        <v>42</v>
      </c>
      <c r="I3572" t="str">
        <f t="shared" si="276"/>
        <v>0-1</v>
      </c>
      <c r="J3572" t="str">
        <f t="shared" si="277"/>
        <v>0</v>
      </c>
      <c r="K3572" t="str">
        <f t="shared" si="278"/>
        <v>1</v>
      </c>
      <c r="L3572" t="str">
        <f t="shared" si="279"/>
        <v>RC Celta</v>
      </c>
      <c r="M3572" t="str">
        <f>IF(COUNTIF($A$2:A3572,A3572)=1,
     VLOOKUP(A3572,Season_Winners!A:B,2,FALSE),
     "")</f>
        <v/>
      </c>
    </row>
    <row r="3573" spans="1:13" x14ac:dyDescent="0.3">
      <c r="A3573" t="s">
        <v>1279</v>
      </c>
      <c r="B3573">
        <v>16</v>
      </c>
      <c r="C3573" t="s">
        <v>1337</v>
      </c>
      <c r="D3573" t="str">
        <f t="shared" si="275"/>
        <v>06.01.2023</v>
      </c>
      <c r="E3573" s="1">
        <v>0.875</v>
      </c>
      <c r="F3573" t="s">
        <v>16</v>
      </c>
      <c r="G3573" t="s">
        <v>1000</v>
      </c>
      <c r="H3573" t="s">
        <v>42</v>
      </c>
      <c r="I3573" t="str">
        <f t="shared" si="276"/>
        <v>0-1</v>
      </c>
      <c r="J3573" t="str">
        <f t="shared" si="277"/>
        <v>0</v>
      </c>
      <c r="K3573" t="str">
        <f t="shared" si="278"/>
        <v>1</v>
      </c>
      <c r="L3573" t="str">
        <f t="shared" si="279"/>
        <v>CÃ¡diz CF</v>
      </c>
      <c r="M3573" t="str">
        <f>IF(COUNTIF($A$2:A3573,A3573)=1,
     VLOOKUP(A3573,Season_Winners!A:B,2,FALSE),
     "")</f>
        <v/>
      </c>
    </row>
    <row r="3574" spans="1:13" hidden="1" x14ac:dyDescent="0.3">
      <c r="A3574" t="s">
        <v>1279</v>
      </c>
      <c r="B3574">
        <v>16</v>
      </c>
      <c r="C3574" t="s">
        <v>1338</v>
      </c>
      <c r="D3574" t="str">
        <f t="shared" si="275"/>
        <v>07.01.2023</v>
      </c>
      <c r="E3574" s="1">
        <v>0.67708333333333337</v>
      </c>
      <c r="F3574" t="s">
        <v>34</v>
      </c>
      <c r="G3574" t="s">
        <v>25</v>
      </c>
      <c r="H3574" s="2">
        <v>46024</v>
      </c>
      <c r="I3574" s="3" t="str">
        <f t="shared" si="276"/>
        <v/>
      </c>
      <c r="J3574" t="str">
        <f t="shared" si="277"/>
        <v/>
      </c>
      <c r="K3574" t="str">
        <f t="shared" si="278"/>
        <v/>
      </c>
      <c r="L3574" t="str">
        <f t="shared" si="279"/>
        <v/>
      </c>
      <c r="M3574" t="str">
        <f>IF(COUNTIF($A$2:A3574,A3574)=1,
     VLOOKUP(A3574,Season_Winners!A:B,2,FALSE),
     "")</f>
        <v/>
      </c>
    </row>
    <row r="3575" spans="1:13" x14ac:dyDescent="0.3">
      <c r="A3575" t="s">
        <v>1279</v>
      </c>
      <c r="B3575">
        <v>16</v>
      </c>
      <c r="C3575" t="s">
        <v>1338</v>
      </c>
      <c r="D3575" t="str">
        <f t="shared" si="275"/>
        <v>07.01.2023</v>
      </c>
      <c r="E3575" s="1">
        <v>0.77083333333333337</v>
      </c>
      <c r="F3575" t="s">
        <v>881</v>
      </c>
      <c r="G3575" t="s">
        <v>14</v>
      </c>
      <c r="H3575" t="s">
        <v>18</v>
      </c>
      <c r="I3575" t="str">
        <f t="shared" si="276"/>
        <v>1-0</v>
      </c>
      <c r="J3575" t="str">
        <f t="shared" si="277"/>
        <v>1</v>
      </c>
      <c r="K3575" t="str">
        <f t="shared" si="278"/>
        <v>0</v>
      </c>
      <c r="L3575" t="str">
        <f t="shared" si="279"/>
        <v>RCD Mallorca</v>
      </c>
      <c r="M3575" t="str">
        <f>IF(COUNTIF($A$2:A3575,A3575)=1,
     VLOOKUP(A3575,Season_Winners!A:B,2,FALSE),
     "")</f>
        <v/>
      </c>
    </row>
    <row r="3576" spans="1:13" hidden="1" x14ac:dyDescent="0.3">
      <c r="A3576" t="s">
        <v>1279</v>
      </c>
      <c r="B3576">
        <v>16</v>
      </c>
      <c r="C3576" t="s">
        <v>1338</v>
      </c>
      <c r="D3576" t="str">
        <f t="shared" si="275"/>
        <v>07.01.2023</v>
      </c>
      <c r="E3576" s="1">
        <v>0.875</v>
      </c>
      <c r="F3576" t="s">
        <v>36</v>
      </c>
      <c r="G3576" t="s">
        <v>606</v>
      </c>
      <c r="H3576" s="2">
        <v>46055</v>
      </c>
      <c r="I3576" s="3" t="str">
        <f t="shared" si="276"/>
        <v/>
      </c>
      <c r="J3576" t="str">
        <f t="shared" si="277"/>
        <v/>
      </c>
      <c r="K3576" t="str">
        <f t="shared" si="278"/>
        <v/>
      </c>
      <c r="L3576" t="str">
        <f t="shared" si="279"/>
        <v/>
      </c>
      <c r="M3576" t="str">
        <f>IF(COUNTIF($A$2:A3576,A3576)=1,
     VLOOKUP(A3576,Season_Winners!A:B,2,FALSE),
     "")</f>
        <v/>
      </c>
    </row>
    <row r="3577" spans="1:13" x14ac:dyDescent="0.3">
      <c r="A3577" t="s">
        <v>1279</v>
      </c>
      <c r="B3577">
        <v>16</v>
      </c>
      <c r="C3577" t="s">
        <v>1339</v>
      </c>
      <c r="D3577" t="str">
        <f t="shared" si="275"/>
        <v>08.01.2023</v>
      </c>
      <c r="E3577" s="1">
        <v>0.58333333333333337</v>
      </c>
      <c r="F3577" t="s">
        <v>33</v>
      </c>
      <c r="G3577" t="s">
        <v>10</v>
      </c>
      <c r="H3577" t="s">
        <v>54</v>
      </c>
      <c r="I3577" t="str">
        <f t="shared" si="276"/>
        <v>0-2</v>
      </c>
      <c r="J3577" t="str">
        <f t="shared" si="277"/>
        <v>0</v>
      </c>
      <c r="K3577" t="str">
        <f t="shared" si="278"/>
        <v>2</v>
      </c>
      <c r="L3577" t="str">
        <f t="shared" si="279"/>
        <v>Real Sociedad</v>
      </c>
      <c r="M3577" t="str">
        <f>IF(COUNTIF($A$2:A3577,A3577)=1,
     VLOOKUP(A3577,Season_Winners!A:B,2,FALSE),
     "")</f>
        <v/>
      </c>
    </row>
    <row r="3578" spans="1:13" hidden="1" x14ac:dyDescent="0.3">
      <c r="A3578" t="s">
        <v>1279</v>
      </c>
      <c r="B3578">
        <v>16</v>
      </c>
      <c r="C3578" t="s">
        <v>1339</v>
      </c>
      <c r="D3578" t="str">
        <f t="shared" si="275"/>
        <v>08.01.2023</v>
      </c>
      <c r="E3578" s="1">
        <v>0.67708333333333337</v>
      </c>
      <c r="F3578" t="s">
        <v>30</v>
      </c>
      <c r="G3578" t="s">
        <v>26</v>
      </c>
      <c r="H3578" s="2">
        <v>46054</v>
      </c>
      <c r="I3578" s="3" t="str">
        <f t="shared" si="276"/>
        <v/>
      </c>
      <c r="J3578" t="str">
        <f t="shared" si="277"/>
        <v/>
      </c>
      <c r="K3578" t="str">
        <f t="shared" si="278"/>
        <v/>
      </c>
      <c r="L3578" t="str">
        <f t="shared" si="279"/>
        <v/>
      </c>
      <c r="M3578" t="str">
        <f>IF(COUNTIF($A$2:A3578,A3578)=1,
     VLOOKUP(A3578,Season_Winners!A:B,2,FALSE),
     "")</f>
        <v/>
      </c>
    </row>
    <row r="3579" spans="1:13" hidden="1" x14ac:dyDescent="0.3">
      <c r="A3579" t="s">
        <v>1279</v>
      </c>
      <c r="B3579">
        <v>16</v>
      </c>
      <c r="C3579" t="s">
        <v>1339</v>
      </c>
      <c r="D3579" t="str">
        <f t="shared" si="275"/>
        <v>08.01.2023</v>
      </c>
      <c r="E3579" s="1">
        <v>0.77083333333333337</v>
      </c>
      <c r="F3579" t="s">
        <v>27</v>
      </c>
      <c r="G3579" t="s">
        <v>11</v>
      </c>
      <c r="H3579" s="2">
        <v>46024</v>
      </c>
      <c r="I3579" s="3" t="str">
        <f t="shared" si="276"/>
        <v/>
      </c>
      <c r="J3579" t="str">
        <f t="shared" si="277"/>
        <v/>
      </c>
      <c r="K3579" t="str">
        <f t="shared" si="278"/>
        <v/>
      </c>
      <c r="L3579" t="str">
        <f t="shared" si="279"/>
        <v/>
      </c>
      <c r="M3579" t="str">
        <f>IF(COUNTIF($A$2:A3579,A3579)=1,
     VLOOKUP(A3579,Season_Winners!A:B,2,FALSE),
     "")</f>
        <v/>
      </c>
    </row>
    <row r="3580" spans="1:13" x14ac:dyDescent="0.3">
      <c r="A3580" t="s">
        <v>1279</v>
      </c>
      <c r="B3580">
        <v>16</v>
      </c>
      <c r="C3580" t="s">
        <v>1339</v>
      </c>
      <c r="D3580" t="str">
        <f t="shared" si="275"/>
        <v>08.01.2023</v>
      </c>
      <c r="E3580" s="1">
        <v>0.875</v>
      </c>
      <c r="F3580" t="s">
        <v>1425</v>
      </c>
      <c r="G3580" t="s">
        <v>20</v>
      </c>
      <c r="H3580" t="s">
        <v>42</v>
      </c>
      <c r="I3580" t="str">
        <f t="shared" si="276"/>
        <v>0-1</v>
      </c>
      <c r="J3580" t="str">
        <f t="shared" si="277"/>
        <v>0</v>
      </c>
      <c r="K3580" t="str">
        <f t="shared" si="278"/>
        <v>1</v>
      </c>
      <c r="L3580" t="str">
        <f t="shared" si="279"/>
        <v>FC Barcelona</v>
      </c>
      <c r="M3580" t="str">
        <f>IF(COUNTIF($A$2:A3580,A3580)=1,
     VLOOKUP(A3580,Season_Winners!A:B,2,FALSE),
     "")</f>
        <v/>
      </c>
    </row>
    <row r="3581" spans="1:13" x14ac:dyDescent="0.3">
      <c r="A3581" t="s">
        <v>1279</v>
      </c>
      <c r="B3581">
        <v>16</v>
      </c>
      <c r="C3581" t="s">
        <v>1340</v>
      </c>
      <c r="D3581" t="str">
        <f t="shared" si="275"/>
        <v>09.01.2023</v>
      </c>
      <c r="E3581" s="1">
        <v>0.875</v>
      </c>
      <c r="F3581" t="s">
        <v>15</v>
      </c>
      <c r="G3581" t="s">
        <v>23</v>
      </c>
      <c r="H3581" t="s">
        <v>41</v>
      </c>
      <c r="I3581" t="str">
        <f t="shared" si="276"/>
        <v>0-0</v>
      </c>
      <c r="J3581" t="str">
        <f t="shared" si="277"/>
        <v>0</v>
      </c>
      <c r="K3581" t="str">
        <f t="shared" si="278"/>
        <v>0</v>
      </c>
      <c r="L3581" t="str">
        <f t="shared" si="279"/>
        <v>Draw</v>
      </c>
      <c r="M3581" t="str">
        <f>IF(COUNTIF($A$2:A3581,A3581)=1,
     VLOOKUP(A3581,Season_Winners!A:B,2,FALSE),
     "")</f>
        <v/>
      </c>
    </row>
    <row r="3582" spans="1:13" hidden="1" x14ac:dyDescent="0.3">
      <c r="A3582" t="s">
        <v>1279</v>
      </c>
      <c r="B3582">
        <v>17</v>
      </c>
      <c r="C3582" t="s">
        <v>1341</v>
      </c>
      <c r="D3582" t="str">
        <f t="shared" si="275"/>
        <v>13.01.2023</v>
      </c>
      <c r="E3582" s="1">
        <v>0.875</v>
      </c>
      <c r="F3582" t="s">
        <v>35</v>
      </c>
      <c r="G3582" t="s">
        <v>34</v>
      </c>
      <c r="H3582" s="2">
        <v>46023</v>
      </c>
      <c r="I3582" s="3" t="str">
        <f t="shared" si="276"/>
        <v/>
      </c>
      <c r="J3582" t="str">
        <f t="shared" si="277"/>
        <v/>
      </c>
      <c r="K3582" t="str">
        <f t="shared" si="278"/>
        <v/>
      </c>
      <c r="L3582" t="str">
        <f t="shared" si="279"/>
        <v/>
      </c>
      <c r="M3582" t="str">
        <f>IF(COUNTIF($A$2:A3582,A3582)=1,
     VLOOKUP(A3582,Season_Winners!A:B,2,FALSE),
     "")</f>
        <v/>
      </c>
    </row>
    <row r="3583" spans="1:13" x14ac:dyDescent="0.3">
      <c r="A3583" t="s">
        <v>1279</v>
      </c>
      <c r="B3583">
        <v>17</v>
      </c>
      <c r="C3583" t="s">
        <v>1342</v>
      </c>
      <c r="D3583" t="str">
        <f t="shared" si="275"/>
        <v>14.01.2023</v>
      </c>
      <c r="E3583" s="1">
        <v>0.58333333333333337</v>
      </c>
      <c r="F3583" t="s">
        <v>14</v>
      </c>
      <c r="G3583" t="s">
        <v>30</v>
      </c>
      <c r="H3583" t="s">
        <v>42</v>
      </c>
      <c r="I3583" t="str">
        <f t="shared" si="276"/>
        <v>0-1</v>
      </c>
      <c r="J3583" t="str">
        <f t="shared" si="277"/>
        <v>0</v>
      </c>
      <c r="K3583" t="str">
        <f t="shared" si="278"/>
        <v>1</v>
      </c>
      <c r="L3583" t="str">
        <f t="shared" si="279"/>
        <v>Rayo Vallecano</v>
      </c>
      <c r="M3583" t="str">
        <f>IF(COUNTIF($A$2:A3583,A3583)=1,
     VLOOKUP(A3583,Season_Winners!A:B,2,FALSE),
     "")</f>
        <v/>
      </c>
    </row>
    <row r="3584" spans="1:13" hidden="1" x14ac:dyDescent="0.3">
      <c r="A3584" t="s">
        <v>1279</v>
      </c>
      <c r="B3584">
        <v>17</v>
      </c>
      <c r="C3584" t="s">
        <v>1342</v>
      </c>
      <c r="D3584" t="str">
        <f t="shared" si="275"/>
        <v>14.01.2023</v>
      </c>
      <c r="E3584" s="1">
        <v>0.67708333333333337</v>
      </c>
      <c r="F3584" t="s">
        <v>606</v>
      </c>
      <c r="G3584" t="s">
        <v>27</v>
      </c>
      <c r="H3584" s="2">
        <v>46024</v>
      </c>
      <c r="I3584" s="3" t="str">
        <f t="shared" si="276"/>
        <v/>
      </c>
      <c r="J3584" t="str">
        <f t="shared" si="277"/>
        <v/>
      </c>
      <c r="K3584" t="str">
        <f t="shared" si="278"/>
        <v/>
      </c>
      <c r="L3584" t="str">
        <f t="shared" si="279"/>
        <v/>
      </c>
      <c r="M3584" t="str">
        <f>IF(COUNTIF($A$2:A3584,A3584)=1,
     VLOOKUP(A3584,Season_Winners!A:B,2,FALSE),
     "")</f>
        <v/>
      </c>
    </row>
    <row r="3585" spans="1:13" x14ac:dyDescent="0.3">
      <c r="A3585" t="s">
        <v>1279</v>
      </c>
      <c r="B3585">
        <v>17</v>
      </c>
      <c r="C3585" t="s">
        <v>1342</v>
      </c>
      <c r="D3585" t="str">
        <f t="shared" si="275"/>
        <v>14.01.2023</v>
      </c>
      <c r="E3585" s="1">
        <v>0.77083333333333337</v>
      </c>
      <c r="F3585" t="s">
        <v>23</v>
      </c>
      <c r="G3585" t="s">
        <v>881</v>
      </c>
      <c r="H3585" t="s">
        <v>18</v>
      </c>
      <c r="I3585" t="str">
        <f t="shared" si="276"/>
        <v>1-0</v>
      </c>
      <c r="J3585" t="str">
        <f t="shared" si="277"/>
        <v>1</v>
      </c>
      <c r="K3585" t="str">
        <f t="shared" si="278"/>
        <v>0</v>
      </c>
      <c r="L3585" t="str">
        <f t="shared" si="279"/>
        <v>CA Osasuna</v>
      </c>
      <c r="M3585" t="str">
        <f>IF(COUNTIF($A$2:A3585,A3585)=1,
     VLOOKUP(A3585,Season_Winners!A:B,2,FALSE),
     "")</f>
        <v/>
      </c>
    </row>
    <row r="3586" spans="1:13" hidden="1" x14ac:dyDescent="0.3">
      <c r="A3586" t="s">
        <v>1279</v>
      </c>
      <c r="B3586">
        <v>17</v>
      </c>
      <c r="C3586" t="s">
        <v>1342</v>
      </c>
      <c r="D3586" t="str">
        <f t="shared" ref="D3586:D3649" si="280">RIGHT(C3586,10)</f>
        <v>14.01.2023</v>
      </c>
      <c r="E3586" s="1">
        <v>0.875</v>
      </c>
      <c r="F3586" t="s">
        <v>10</v>
      </c>
      <c r="G3586" t="s">
        <v>15</v>
      </c>
      <c r="H3586" s="2">
        <v>46025</v>
      </c>
      <c r="I3586" s="3" t="str">
        <f t="shared" ref="I3586:I3649" si="281">IF(ISNUMBER(SEARCH("-",H3586)),H3586,"")</f>
        <v/>
      </c>
      <c r="J3586" t="str">
        <f t="shared" ref="J3586:J3649" si="282">IF(I3586="","",LEFT(I3586,FIND("-",I3586)-1))</f>
        <v/>
      </c>
      <c r="K3586" t="str">
        <f t="shared" ref="K3586:K3649" si="283">IF(I3586="","",RIGHT(I3586,LEN(I3586)-FIND("-",I3586)))</f>
        <v/>
      </c>
      <c r="L3586" t="str">
        <f t="shared" ref="L3586:L3649" si="284">IF(I3586="","",IF(J3586&gt;K3586,F3586,IF(K3586&gt;J3586,G3586,"Draw")))</f>
        <v/>
      </c>
      <c r="M3586" t="str">
        <f>IF(COUNTIF($A$2:A3586,A3586)=1,
     VLOOKUP(A3586,Season_Winners!A:B,2,FALSE),
     "")</f>
        <v/>
      </c>
    </row>
    <row r="3587" spans="1:13" hidden="1" x14ac:dyDescent="0.3">
      <c r="A3587" t="s">
        <v>1279</v>
      </c>
      <c r="B3587">
        <v>17</v>
      </c>
      <c r="C3587" t="s">
        <v>1343</v>
      </c>
      <c r="D3587" t="str">
        <f t="shared" si="280"/>
        <v>15.01.2023</v>
      </c>
      <c r="E3587" s="1">
        <v>0.58333333333333337</v>
      </c>
      <c r="F3587" t="s">
        <v>11</v>
      </c>
      <c r="G3587" t="s">
        <v>36</v>
      </c>
      <c r="H3587" s="2">
        <v>46054</v>
      </c>
      <c r="I3587" s="3" t="str">
        <f t="shared" si="281"/>
        <v/>
      </c>
      <c r="J3587" t="str">
        <f t="shared" si="282"/>
        <v/>
      </c>
      <c r="K3587" t="str">
        <f t="shared" si="283"/>
        <v/>
      </c>
      <c r="L3587" t="str">
        <f t="shared" si="284"/>
        <v/>
      </c>
      <c r="M3587" t="str">
        <f>IF(COUNTIF($A$2:A3587,A3587)=1,
     VLOOKUP(A3587,Season_Winners!A:B,2,FALSE),
     "")</f>
        <v/>
      </c>
    </row>
    <row r="3588" spans="1:13" hidden="1" x14ac:dyDescent="0.3">
      <c r="A3588" t="s">
        <v>1279</v>
      </c>
      <c r="B3588">
        <v>17</v>
      </c>
      <c r="C3588" t="s">
        <v>1343</v>
      </c>
      <c r="D3588" t="str">
        <f t="shared" si="280"/>
        <v>15.01.2023</v>
      </c>
      <c r="E3588" s="1">
        <v>0.67708333333333337</v>
      </c>
      <c r="F3588" t="s">
        <v>33</v>
      </c>
      <c r="G3588" t="s">
        <v>28</v>
      </c>
      <c r="H3588" s="2">
        <v>46023</v>
      </c>
      <c r="I3588" s="3" t="str">
        <f t="shared" si="281"/>
        <v/>
      </c>
      <c r="J3588" t="str">
        <f t="shared" si="282"/>
        <v/>
      </c>
      <c r="K3588" t="str">
        <f t="shared" si="283"/>
        <v/>
      </c>
      <c r="L3588" t="str">
        <f t="shared" si="284"/>
        <v/>
      </c>
      <c r="M3588" t="str">
        <f>IF(COUNTIF($A$2:A3588,A3588)=1,
     VLOOKUP(A3588,Season_Winners!A:B,2,FALSE),
     "")</f>
        <v/>
      </c>
    </row>
    <row r="3589" spans="1:13" hidden="1" x14ac:dyDescent="0.3">
      <c r="A3589" t="s">
        <v>1279</v>
      </c>
      <c r="B3589">
        <v>17</v>
      </c>
      <c r="C3589" t="s">
        <v>1344</v>
      </c>
      <c r="D3589" t="str">
        <f t="shared" si="280"/>
        <v>16.01.2023</v>
      </c>
      <c r="E3589" s="1">
        <v>0.875</v>
      </c>
      <c r="F3589" t="s">
        <v>1000</v>
      </c>
      <c r="G3589" t="s">
        <v>31</v>
      </c>
      <c r="H3589" s="2">
        <v>46023</v>
      </c>
      <c r="I3589" s="3" t="str">
        <f t="shared" si="281"/>
        <v/>
      </c>
      <c r="J3589" t="str">
        <f t="shared" si="282"/>
        <v/>
      </c>
      <c r="K3589" t="str">
        <f t="shared" si="283"/>
        <v/>
      </c>
      <c r="L3589" t="str">
        <f t="shared" si="284"/>
        <v/>
      </c>
      <c r="M3589" t="str">
        <f>IF(COUNTIF($A$2:A3589,A3589)=1,
     VLOOKUP(A3589,Season_Winners!A:B,2,FALSE),
     "")</f>
        <v/>
      </c>
    </row>
    <row r="3590" spans="1:13" hidden="1" x14ac:dyDescent="0.3">
      <c r="A3590" t="s">
        <v>1279</v>
      </c>
      <c r="B3590">
        <v>17</v>
      </c>
      <c r="C3590" t="s">
        <v>1345</v>
      </c>
      <c r="D3590" t="str">
        <f t="shared" si="280"/>
        <v>01.02.2023</v>
      </c>
      <c r="E3590" s="1">
        <v>0.875</v>
      </c>
      <c r="F3590" t="s">
        <v>26</v>
      </c>
      <c r="G3590" t="s">
        <v>20</v>
      </c>
      <c r="H3590" s="2">
        <v>46054</v>
      </c>
      <c r="I3590" s="3" t="str">
        <f t="shared" si="281"/>
        <v/>
      </c>
      <c r="J3590" t="str">
        <f t="shared" si="282"/>
        <v/>
      </c>
      <c r="K3590" t="str">
        <f t="shared" si="283"/>
        <v/>
      </c>
      <c r="L3590" t="str">
        <f t="shared" si="284"/>
        <v/>
      </c>
      <c r="M3590" t="str">
        <f>IF(COUNTIF($A$2:A3590,A3590)=1,
     VLOOKUP(A3590,Season_Winners!A:B,2,FALSE),
     "")</f>
        <v/>
      </c>
    </row>
    <row r="3591" spans="1:13" x14ac:dyDescent="0.3">
      <c r="A3591" t="s">
        <v>1279</v>
      </c>
      <c r="B3591">
        <v>17</v>
      </c>
      <c r="C3591" t="s">
        <v>1346</v>
      </c>
      <c r="D3591" t="str">
        <f t="shared" si="280"/>
        <v>02.02.2023</v>
      </c>
      <c r="E3591" s="1">
        <v>0.875</v>
      </c>
      <c r="F3591" t="s">
        <v>25</v>
      </c>
      <c r="G3591" t="s">
        <v>16</v>
      </c>
      <c r="H3591" t="s">
        <v>12</v>
      </c>
      <c r="I3591" t="str">
        <f t="shared" si="281"/>
        <v>2-0</v>
      </c>
      <c r="J3591" t="str">
        <f t="shared" si="282"/>
        <v>2</v>
      </c>
      <c r="K3591" t="str">
        <f t="shared" si="283"/>
        <v>0</v>
      </c>
      <c r="L3591" t="str">
        <f t="shared" si="284"/>
        <v>Real Madrid</v>
      </c>
      <c r="M3591" t="str">
        <f>IF(COUNTIF($A$2:A3591,A3591)=1,
     VLOOKUP(A3591,Season_Winners!A:B,2,FALSE),
     "")</f>
        <v/>
      </c>
    </row>
    <row r="3592" spans="1:13" x14ac:dyDescent="0.3">
      <c r="A3592" t="s">
        <v>1279</v>
      </c>
      <c r="B3592">
        <v>18</v>
      </c>
      <c r="C3592" t="s">
        <v>1347</v>
      </c>
      <c r="D3592" t="str">
        <f t="shared" si="280"/>
        <v>20.01.2023</v>
      </c>
      <c r="E3592" s="1">
        <v>0.875</v>
      </c>
      <c r="F3592" t="s">
        <v>881</v>
      </c>
      <c r="G3592" t="s">
        <v>35</v>
      </c>
      <c r="H3592" t="s">
        <v>18</v>
      </c>
      <c r="I3592" t="str">
        <f t="shared" si="281"/>
        <v>1-0</v>
      </c>
      <c r="J3592" t="str">
        <f t="shared" si="282"/>
        <v>1</v>
      </c>
      <c r="K3592" t="str">
        <f t="shared" si="283"/>
        <v>0</v>
      </c>
      <c r="L3592" t="str">
        <f t="shared" si="284"/>
        <v>RCD Mallorca</v>
      </c>
      <c r="M3592" t="str">
        <f>IF(COUNTIF($A$2:A3592,A3592)=1,
     VLOOKUP(A3592,Season_Winners!A:B,2,FALSE),
     "")</f>
        <v/>
      </c>
    </row>
    <row r="3593" spans="1:13" x14ac:dyDescent="0.3">
      <c r="A3593" t="s">
        <v>1279</v>
      </c>
      <c r="B3593">
        <v>18</v>
      </c>
      <c r="C3593" t="s">
        <v>1348</v>
      </c>
      <c r="D3593" t="str">
        <f t="shared" si="280"/>
        <v>21.01.2023</v>
      </c>
      <c r="E3593" s="1">
        <v>0.58333333333333337</v>
      </c>
      <c r="F3593" t="s">
        <v>30</v>
      </c>
      <c r="G3593" t="s">
        <v>10</v>
      </c>
      <c r="H3593" t="s">
        <v>54</v>
      </c>
      <c r="I3593" t="str">
        <f t="shared" si="281"/>
        <v>0-2</v>
      </c>
      <c r="J3593" t="str">
        <f t="shared" si="282"/>
        <v>0</v>
      </c>
      <c r="K3593" t="str">
        <f t="shared" si="283"/>
        <v>2</v>
      </c>
      <c r="L3593" t="str">
        <f t="shared" si="284"/>
        <v>Real Sociedad</v>
      </c>
      <c r="M3593" t="str">
        <f>IF(COUNTIF($A$2:A3593,A3593)=1,
     VLOOKUP(A3593,Season_Winners!A:B,2,FALSE),
     "")</f>
        <v/>
      </c>
    </row>
    <row r="3594" spans="1:13" x14ac:dyDescent="0.3">
      <c r="A3594" t="s">
        <v>1279</v>
      </c>
      <c r="B3594">
        <v>18</v>
      </c>
      <c r="C3594" t="s">
        <v>1348</v>
      </c>
      <c r="D3594" t="str">
        <f t="shared" si="280"/>
        <v>21.01.2023</v>
      </c>
      <c r="E3594" s="1">
        <v>0.67708333333333337</v>
      </c>
      <c r="F3594" t="s">
        <v>36</v>
      </c>
      <c r="G3594" t="s">
        <v>26</v>
      </c>
      <c r="H3594" t="s">
        <v>18</v>
      </c>
      <c r="I3594" t="str">
        <f t="shared" si="281"/>
        <v>1-0</v>
      </c>
      <c r="J3594" t="str">
        <f t="shared" si="282"/>
        <v>1</v>
      </c>
      <c r="K3594" t="str">
        <f t="shared" si="283"/>
        <v>0</v>
      </c>
      <c r="L3594" t="str">
        <f t="shared" si="284"/>
        <v>RCD Espanyol de Barcelona</v>
      </c>
      <c r="M3594" t="str">
        <f>IF(COUNTIF($A$2:A3594,A3594)=1,
     VLOOKUP(A3594,Season_Winners!A:B,2,FALSE),
     "")</f>
        <v/>
      </c>
    </row>
    <row r="3595" spans="1:13" x14ac:dyDescent="0.3">
      <c r="A3595" t="s">
        <v>1279</v>
      </c>
      <c r="B3595">
        <v>18</v>
      </c>
      <c r="C3595" t="s">
        <v>1348</v>
      </c>
      <c r="D3595" t="str">
        <f t="shared" si="280"/>
        <v>21.01.2023</v>
      </c>
      <c r="E3595" s="1">
        <v>0.77083333333333337</v>
      </c>
      <c r="F3595" t="s">
        <v>1425</v>
      </c>
      <c r="G3595" t="s">
        <v>14</v>
      </c>
      <c r="H3595" t="s">
        <v>32</v>
      </c>
      <c r="I3595" t="str">
        <f t="shared" si="281"/>
        <v>3-0</v>
      </c>
      <c r="J3595" t="str">
        <f t="shared" si="282"/>
        <v>3</v>
      </c>
      <c r="K3595" t="str">
        <f t="shared" si="283"/>
        <v>0</v>
      </c>
      <c r="L3595" t="str">
        <f t="shared" si="284"/>
        <v>Atlético de Madrid</v>
      </c>
      <c r="M3595" t="str">
        <f>IF(COUNTIF($A$2:A3595,A3595)=1,
     VLOOKUP(A3595,Season_Winners!A:B,2,FALSE),
     "")</f>
        <v/>
      </c>
    </row>
    <row r="3596" spans="1:13" x14ac:dyDescent="0.3">
      <c r="A3596" t="s">
        <v>1279</v>
      </c>
      <c r="B3596">
        <v>18</v>
      </c>
      <c r="C3596" t="s">
        <v>1348</v>
      </c>
      <c r="D3596" t="str">
        <f t="shared" si="280"/>
        <v>21.01.2023</v>
      </c>
      <c r="E3596" s="1">
        <v>0.875</v>
      </c>
      <c r="F3596" t="s">
        <v>27</v>
      </c>
      <c r="G3596" t="s">
        <v>1000</v>
      </c>
      <c r="H3596" t="s">
        <v>18</v>
      </c>
      <c r="I3596" t="str">
        <f t="shared" si="281"/>
        <v>1-0</v>
      </c>
      <c r="J3596" t="str">
        <f t="shared" si="282"/>
        <v>1</v>
      </c>
      <c r="K3596" t="str">
        <f t="shared" si="283"/>
        <v>0</v>
      </c>
      <c r="L3596" t="str">
        <f t="shared" si="284"/>
        <v>Sevilla FC</v>
      </c>
      <c r="M3596" t="str">
        <f>IF(COUNTIF($A$2:A3596,A3596)=1,
     VLOOKUP(A3596,Season_Winners!A:B,2,FALSE),
     "")</f>
        <v/>
      </c>
    </row>
    <row r="3597" spans="1:13" x14ac:dyDescent="0.3">
      <c r="A3597" t="s">
        <v>1279</v>
      </c>
      <c r="B3597">
        <v>18</v>
      </c>
      <c r="C3597" t="s">
        <v>1349</v>
      </c>
      <c r="D3597" t="str">
        <f t="shared" si="280"/>
        <v>22.01.2023</v>
      </c>
      <c r="E3597" s="1">
        <v>0.58333333333333337</v>
      </c>
      <c r="F3597" t="s">
        <v>34</v>
      </c>
      <c r="G3597" t="s">
        <v>606</v>
      </c>
      <c r="H3597" t="s">
        <v>18</v>
      </c>
      <c r="I3597" t="str">
        <f t="shared" si="281"/>
        <v>1-0</v>
      </c>
      <c r="J3597" t="str">
        <f t="shared" si="282"/>
        <v>1</v>
      </c>
      <c r="K3597" t="str">
        <f t="shared" si="283"/>
        <v>0</v>
      </c>
      <c r="L3597" t="str">
        <f t="shared" si="284"/>
        <v>Villarreal CF</v>
      </c>
      <c r="M3597" t="str">
        <f>IF(COUNTIF($A$2:A3597,A3597)=1,
     VLOOKUP(A3597,Season_Winners!A:B,2,FALSE),
     "")</f>
        <v/>
      </c>
    </row>
    <row r="3598" spans="1:13" hidden="1" x14ac:dyDescent="0.3">
      <c r="A3598" t="s">
        <v>1279</v>
      </c>
      <c r="B3598">
        <v>18</v>
      </c>
      <c r="C3598" t="s">
        <v>1349</v>
      </c>
      <c r="D3598" t="str">
        <f t="shared" si="280"/>
        <v>22.01.2023</v>
      </c>
      <c r="E3598" s="1">
        <v>0.67708333333333337</v>
      </c>
      <c r="F3598" t="s">
        <v>31</v>
      </c>
      <c r="G3598" t="s">
        <v>23</v>
      </c>
      <c r="H3598" s="2">
        <v>46023</v>
      </c>
      <c r="I3598" s="3" t="str">
        <f t="shared" si="281"/>
        <v/>
      </c>
      <c r="J3598" t="str">
        <f t="shared" si="282"/>
        <v/>
      </c>
      <c r="K3598" t="str">
        <f t="shared" si="283"/>
        <v/>
      </c>
      <c r="L3598" t="str">
        <f t="shared" si="284"/>
        <v/>
      </c>
      <c r="M3598" t="str">
        <f>IF(COUNTIF($A$2:A3598,A3598)=1,
     VLOOKUP(A3598,Season_Winners!A:B,2,FALSE),
     "")</f>
        <v/>
      </c>
    </row>
    <row r="3599" spans="1:13" x14ac:dyDescent="0.3">
      <c r="A3599" t="s">
        <v>1279</v>
      </c>
      <c r="B3599">
        <v>18</v>
      </c>
      <c r="C3599" t="s">
        <v>1349</v>
      </c>
      <c r="D3599" t="str">
        <f t="shared" si="280"/>
        <v>22.01.2023</v>
      </c>
      <c r="E3599" s="1">
        <v>0.77083333333333337</v>
      </c>
      <c r="F3599" t="s">
        <v>20</v>
      </c>
      <c r="G3599" t="s">
        <v>11</v>
      </c>
      <c r="H3599" t="s">
        <v>18</v>
      </c>
      <c r="I3599" t="str">
        <f t="shared" si="281"/>
        <v>1-0</v>
      </c>
      <c r="J3599" t="str">
        <f t="shared" si="282"/>
        <v>1</v>
      </c>
      <c r="K3599" t="str">
        <f t="shared" si="283"/>
        <v>0</v>
      </c>
      <c r="L3599" t="str">
        <f t="shared" si="284"/>
        <v>FC Barcelona</v>
      </c>
      <c r="M3599" t="str">
        <f>IF(COUNTIF($A$2:A3599,A3599)=1,
     VLOOKUP(A3599,Season_Winners!A:B,2,FALSE),
     "")</f>
        <v/>
      </c>
    </row>
    <row r="3600" spans="1:13" x14ac:dyDescent="0.3">
      <c r="A3600" t="s">
        <v>1279</v>
      </c>
      <c r="B3600">
        <v>18</v>
      </c>
      <c r="C3600" t="s">
        <v>1349</v>
      </c>
      <c r="D3600" t="str">
        <f t="shared" si="280"/>
        <v>22.01.2023</v>
      </c>
      <c r="E3600" s="1">
        <v>0.875</v>
      </c>
      <c r="F3600" t="s">
        <v>15</v>
      </c>
      <c r="G3600" t="s">
        <v>25</v>
      </c>
      <c r="H3600" t="s">
        <v>54</v>
      </c>
      <c r="I3600" t="str">
        <f t="shared" si="281"/>
        <v>0-2</v>
      </c>
      <c r="J3600" t="str">
        <f t="shared" si="282"/>
        <v>0</v>
      </c>
      <c r="K3600" t="str">
        <f t="shared" si="283"/>
        <v>2</v>
      </c>
      <c r="L3600" t="str">
        <f t="shared" si="284"/>
        <v>Real Madrid</v>
      </c>
      <c r="M3600" t="str">
        <f>IF(COUNTIF($A$2:A3600,A3600)=1,
     VLOOKUP(A3600,Season_Winners!A:B,2,FALSE),
     "")</f>
        <v/>
      </c>
    </row>
    <row r="3601" spans="1:13" hidden="1" x14ac:dyDescent="0.3">
      <c r="A3601" t="s">
        <v>1279</v>
      </c>
      <c r="B3601">
        <v>18</v>
      </c>
      <c r="C3601" t="s">
        <v>1350</v>
      </c>
      <c r="D3601" t="str">
        <f t="shared" si="280"/>
        <v>23.01.2023</v>
      </c>
      <c r="E3601" s="1">
        <v>0.875</v>
      </c>
      <c r="F3601" t="s">
        <v>16</v>
      </c>
      <c r="G3601" t="s">
        <v>33</v>
      </c>
      <c r="H3601" s="2">
        <v>46055</v>
      </c>
      <c r="I3601" s="3" t="str">
        <f t="shared" si="281"/>
        <v/>
      </c>
      <c r="J3601" t="str">
        <f t="shared" si="282"/>
        <v/>
      </c>
      <c r="K3601" t="str">
        <f t="shared" si="283"/>
        <v/>
      </c>
      <c r="L3601" t="str">
        <f t="shared" si="284"/>
        <v/>
      </c>
      <c r="M3601" t="str">
        <f>IF(COUNTIF($A$2:A3601,A3601)=1,
     VLOOKUP(A3601,Season_Winners!A:B,2,FALSE),
     "")</f>
        <v/>
      </c>
    </row>
    <row r="3602" spans="1:13" hidden="1" x14ac:dyDescent="0.3">
      <c r="A3602" t="s">
        <v>1279</v>
      </c>
      <c r="B3602">
        <v>19</v>
      </c>
      <c r="C3602" t="s">
        <v>1351</v>
      </c>
      <c r="D3602" t="str">
        <f t="shared" si="280"/>
        <v>27.01.2023</v>
      </c>
      <c r="E3602" s="1">
        <v>0.875</v>
      </c>
      <c r="F3602" t="s">
        <v>33</v>
      </c>
      <c r="G3602" t="s">
        <v>36</v>
      </c>
      <c r="H3602" s="2">
        <v>46025</v>
      </c>
      <c r="I3602" s="3" t="str">
        <f t="shared" si="281"/>
        <v/>
      </c>
      <c r="J3602" t="str">
        <f t="shared" si="282"/>
        <v/>
      </c>
      <c r="K3602" t="str">
        <f t="shared" si="283"/>
        <v/>
      </c>
      <c r="L3602" t="str">
        <f t="shared" si="284"/>
        <v/>
      </c>
      <c r="M3602" t="str">
        <f>IF(COUNTIF($A$2:A3602,A3602)=1,
     VLOOKUP(A3602,Season_Winners!A:B,2,FALSE),
     "")</f>
        <v/>
      </c>
    </row>
    <row r="3603" spans="1:13" x14ac:dyDescent="0.3">
      <c r="A3603" t="s">
        <v>1279</v>
      </c>
      <c r="B3603">
        <v>19</v>
      </c>
      <c r="C3603" t="s">
        <v>1352</v>
      </c>
      <c r="D3603" t="str">
        <f t="shared" si="280"/>
        <v>28.01.2023</v>
      </c>
      <c r="E3603" s="1">
        <v>0.58333333333333337</v>
      </c>
      <c r="F3603" t="s">
        <v>1000</v>
      </c>
      <c r="G3603" t="s">
        <v>881</v>
      </c>
      <c r="H3603" t="s">
        <v>12</v>
      </c>
      <c r="I3603" t="str">
        <f t="shared" si="281"/>
        <v>2-0</v>
      </c>
      <c r="J3603" t="str">
        <f t="shared" si="282"/>
        <v>2</v>
      </c>
      <c r="K3603" t="str">
        <f t="shared" si="283"/>
        <v>0</v>
      </c>
      <c r="L3603" t="str">
        <f t="shared" si="284"/>
        <v>CÃ¡diz CF</v>
      </c>
      <c r="M3603" t="str">
        <f>IF(COUNTIF($A$2:A3603,A3603)=1,
     VLOOKUP(A3603,Season_Winners!A:B,2,FALSE),
     "")</f>
        <v/>
      </c>
    </row>
    <row r="3604" spans="1:13" x14ac:dyDescent="0.3">
      <c r="A3604" t="s">
        <v>1279</v>
      </c>
      <c r="B3604">
        <v>19</v>
      </c>
      <c r="C3604" t="s">
        <v>1352</v>
      </c>
      <c r="D3604" t="str">
        <f t="shared" si="280"/>
        <v>28.01.2023</v>
      </c>
      <c r="E3604" s="1">
        <v>0.67708333333333337</v>
      </c>
      <c r="F3604" t="s">
        <v>606</v>
      </c>
      <c r="G3604" t="s">
        <v>20</v>
      </c>
      <c r="H3604" t="s">
        <v>42</v>
      </c>
      <c r="I3604" t="str">
        <f t="shared" si="281"/>
        <v>0-1</v>
      </c>
      <c r="J3604" t="str">
        <f t="shared" si="282"/>
        <v>0</v>
      </c>
      <c r="K3604" t="str">
        <f t="shared" si="283"/>
        <v>1</v>
      </c>
      <c r="L3604" t="str">
        <f t="shared" si="284"/>
        <v>FC Barcelona</v>
      </c>
      <c r="M3604" t="str">
        <f>IF(COUNTIF($A$2:A3604,A3604)=1,
     VLOOKUP(A3604,Season_Winners!A:B,2,FALSE),
     "")</f>
        <v/>
      </c>
    </row>
    <row r="3605" spans="1:13" x14ac:dyDescent="0.3">
      <c r="A3605" t="s">
        <v>1279</v>
      </c>
      <c r="B3605">
        <v>19</v>
      </c>
      <c r="C3605" t="s">
        <v>1352</v>
      </c>
      <c r="D3605" t="str">
        <f t="shared" si="280"/>
        <v>28.01.2023</v>
      </c>
      <c r="E3605" s="1">
        <v>0.77083333333333337</v>
      </c>
      <c r="F3605" t="s">
        <v>27</v>
      </c>
      <c r="G3605" t="s">
        <v>31</v>
      </c>
      <c r="H3605" t="s">
        <v>32</v>
      </c>
      <c r="I3605" t="str">
        <f t="shared" si="281"/>
        <v>3-0</v>
      </c>
      <c r="J3605" t="str">
        <f t="shared" si="282"/>
        <v>3</v>
      </c>
      <c r="K3605" t="str">
        <f t="shared" si="283"/>
        <v>0</v>
      </c>
      <c r="L3605" t="str">
        <f t="shared" si="284"/>
        <v>Sevilla FC</v>
      </c>
      <c r="M3605" t="str">
        <f>IF(COUNTIF($A$2:A3605,A3605)=1,
     VLOOKUP(A3605,Season_Winners!A:B,2,FALSE),
     "")</f>
        <v/>
      </c>
    </row>
    <row r="3606" spans="1:13" x14ac:dyDescent="0.3">
      <c r="A3606" t="s">
        <v>1279</v>
      </c>
      <c r="B3606">
        <v>19</v>
      </c>
      <c r="C3606" t="s">
        <v>1352</v>
      </c>
      <c r="D3606" t="str">
        <f t="shared" si="280"/>
        <v>28.01.2023</v>
      </c>
      <c r="E3606" s="1">
        <v>0.875</v>
      </c>
      <c r="F3606" t="s">
        <v>11</v>
      </c>
      <c r="G3606" t="s">
        <v>26</v>
      </c>
      <c r="H3606" t="s">
        <v>42</v>
      </c>
      <c r="I3606" t="str">
        <f t="shared" si="281"/>
        <v>0-1</v>
      </c>
      <c r="J3606" t="str">
        <f t="shared" si="282"/>
        <v>0</v>
      </c>
      <c r="K3606" t="str">
        <f t="shared" si="283"/>
        <v>1</v>
      </c>
      <c r="L3606" t="str">
        <f t="shared" si="284"/>
        <v>Real Betis</v>
      </c>
      <c r="M3606" t="str">
        <f>IF(COUNTIF($A$2:A3606,A3606)=1,
     VLOOKUP(A3606,Season_Winners!A:B,2,FALSE),
     "")</f>
        <v/>
      </c>
    </row>
    <row r="3607" spans="1:13" x14ac:dyDescent="0.3">
      <c r="A3607" t="s">
        <v>1279</v>
      </c>
      <c r="B3607">
        <v>19</v>
      </c>
      <c r="C3607" t="s">
        <v>1353</v>
      </c>
      <c r="D3607" t="str">
        <f t="shared" si="280"/>
        <v>29.01.2023</v>
      </c>
      <c r="E3607" s="1">
        <v>0.58333333333333337</v>
      </c>
      <c r="F3607" t="s">
        <v>14</v>
      </c>
      <c r="G3607" t="s">
        <v>16</v>
      </c>
      <c r="H3607" t="s">
        <v>18</v>
      </c>
      <c r="I3607" t="str">
        <f t="shared" si="281"/>
        <v>1-0</v>
      </c>
      <c r="J3607" t="str">
        <f t="shared" si="282"/>
        <v>1</v>
      </c>
      <c r="K3607" t="str">
        <f t="shared" si="283"/>
        <v>0</v>
      </c>
      <c r="L3607" t="str">
        <f t="shared" si="284"/>
        <v>Real Valladolid CF</v>
      </c>
      <c r="M3607" t="str">
        <f>IF(COUNTIF($A$2:A3607,A3607)=1,
     VLOOKUP(A3607,Season_Winners!A:B,2,FALSE),
     "")</f>
        <v/>
      </c>
    </row>
    <row r="3608" spans="1:13" x14ac:dyDescent="0.3">
      <c r="A3608" t="s">
        <v>1279</v>
      </c>
      <c r="B3608">
        <v>19</v>
      </c>
      <c r="C3608" t="s">
        <v>1353</v>
      </c>
      <c r="D3608" t="str">
        <f t="shared" si="280"/>
        <v>29.01.2023</v>
      </c>
      <c r="E3608" s="1">
        <v>0.67708333333333337</v>
      </c>
      <c r="F3608" t="s">
        <v>23</v>
      </c>
      <c r="G3608" t="s">
        <v>1425</v>
      </c>
      <c r="H3608" t="s">
        <v>42</v>
      </c>
      <c r="I3608" t="str">
        <f t="shared" si="281"/>
        <v>0-1</v>
      </c>
      <c r="J3608" t="str">
        <f t="shared" si="282"/>
        <v>0</v>
      </c>
      <c r="K3608" t="str">
        <f t="shared" si="283"/>
        <v>1</v>
      </c>
      <c r="L3608" t="str">
        <f t="shared" si="284"/>
        <v>Atlético de Madrid</v>
      </c>
      <c r="M3608" t="str">
        <f>IF(COUNTIF($A$2:A3608,A3608)=1,
     VLOOKUP(A3608,Season_Winners!A:B,2,FALSE),
     "")</f>
        <v/>
      </c>
    </row>
    <row r="3609" spans="1:13" x14ac:dyDescent="0.3">
      <c r="A3609" t="s">
        <v>1279</v>
      </c>
      <c r="B3609">
        <v>19</v>
      </c>
      <c r="C3609" t="s">
        <v>1353</v>
      </c>
      <c r="D3609" t="str">
        <f t="shared" si="280"/>
        <v>29.01.2023</v>
      </c>
      <c r="E3609" s="1">
        <v>0.77083333333333337</v>
      </c>
      <c r="F3609" t="s">
        <v>35</v>
      </c>
      <c r="G3609" t="s">
        <v>15</v>
      </c>
      <c r="H3609" t="s">
        <v>18</v>
      </c>
      <c r="I3609" t="str">
        <f t="shared" si="281"/>
        <v>1-0</v>
      </c>
      <c r="J3609" t="str">
        <f t="shared" si="282"/>
        <v>1</v>
      </c>
      <c r="K3609" t="str">
        <f t="shared" si="283"/>
        <v>0</v>
      </c>
      <c r="L3609" t="str">
        <f t="shared" si="284"/>
        <v>RC Celta</v>
      </c>
      <c r="M3609" t="str">
        <f>IF(COUNTIF($A$2:A3609,A3609)=1,
     VLOOKUP(A3609,Season_Winners!A:B,2,FALSE),
     "")</f>
        <v/>
      </c>
    </row>
    <row r="3610" spans="1:13" x14ac:dyDescent="0.3">
      <c r="A3610" t="s">
        <v>1279</v>
      </c>
      <c r="B3610">
        <v>19</v>
      </c>
      <c r="C3610" t="s">
        <v>1353</v>
      </c>
      <c r="D3610" t="str">
        <f t="shared" si="280"/>
        <v>29.01.2023</v>
      </c>
      <c r="E3610" s="1">
        <v>0.875</v>
      </c>
      <c r="F3610" t="s">
        <v>25</v>
      </c>
      <c r="G3610" t="s">
        <v>10</v>
      </c>
      <c r="H3610" t="s">
        <v>41</v>
      </c>
      <c r="I3610" t="str">
        <f t="shared" si="281"/>
        <v>0-0</v>
      </c>
      <c r="J3610" t="str">
        <f t="shared" si="282"/>
        <v>0</v>
      </c>
      <c r="K3610" t="str">
        <f t="shared" si="283"/>
        <v>0</v>
      </c>
      <c r="L3610" t="str">
        <f t="shared" si="284"/>
        <v>Draw</v>
      </c>
      <c r="M3610" t="str">
        <f>IF(COUNTIF($A$2:A3610,A3610)=1,
     VLOOKUP(A3610,Season_Winners!A:B,2,FALSE),
     "")</f>
        <v/>
      </c>
    </row>
    <row r="3611" spans="1:13" x14ac:dyDescent="0.3">
      <c r="A3611" t="s">
        <v>1279</v>
      </c>
      <c r="B3611">
        <v>19</v>
      </c>
      <c r="C3611" t="s">
        <v>1354</v>
      </c>
      <c r="D3611" t="str">
        <f t="shared" si="280"/>
        <v>30.01.2023</v>
      </c>
      <c r="E3611" s="1">
        <v>0.875</v>
      </c>
      <c r="F3611" t="s">
        <v>34</v>
      </c>
      <c r="G3611" t="s">
        <v>30</v>
      </c>
      <c r="H3611" t="s">
        <v>42</v>
      </c>
      <c r="I3611" t="str">
        <f t="shared" si="281"/>
        <v>0-1</v>
      </c>
      <c r="J3611" t="str">
        <f t="shared" si="282"/>
        <v>0</v>
      </c>
      <c r="K3611" t="str">
        <f t="shared" si="283"/>
        <v>1</v>
      </c>
      <c r="L3611" t="str">
        <f t="shared" si="284"/>
        <v>Rayo Vallecano</v>
      </c>
      <c r="M3611" t="str">
        <f>IF(COUNTIF($A$2:A3611,A3611)=1,
     VLOOKUP(A3611,Season_Winners!A:B,2,FALSE),
     "")</f>
        <v/>
      </c>
    </row>
    <row r="3612" spans="1:13" hidden="1" x14ac:dyDescent="0.3">
      <c r="A3612" t="s">
        <v>1279</v>
      </c>
      <c r="B3612">
        <v>20</v>
      </c>
      <c r="C3612" t="s">
        <v>1355</v>
      </c>
      <c r="D3612" t="str">
        <f t="shared" si="280"/>
        <v>03.02.2023</v>
      </c>
      <c r="E3612" s="1">
        <v>0.875</v>
      </c>
      <c r="F3612" t="s">
        <v>15</v>
      </c>
      <c r="G3612" t="s">
        <v>1000</v>
      </c>
      <c r="H3612" s="2">
        <v>46026</v>
      </c>
      <c r="I3612" s="3" t="str">
        <f t="shared" si="281"/>
        <v/>
      </c>
      <c r="J3612" t="str">
        <f t="shared" si="282"/>
        <v/>
      </c>
      <c r="K3612" t="str">
        <f t="shared" si="283"/>
        <v/>
      </c>
      <c r="L3612" t="str">
        <f t="shared" si="284"/>
        <v/>
      </c>
      <c r="M3612" t="str">
        <f>IF(COUNTIF($A$2:A3612,A3612)=1,
     VLOOKUP(A3612,Season_Winners!A:B,2,FALSE),
     "")</f>
        <v/>
      </c>
    </row>
    <row r="3613" spans="1:13" hidden="1" x14ac:dyDescent="0.3">
      <c r="A3613" t="s">
        <v>1279</v>
      </c>
      <c r="B3613">
        <v>20</v>
      </c>
      <c r="C3613" t="s">
        <v>1356</v>
      </c>
      <c r="D3613" t="str">
        <f t="shared" si="280"/>
        <v>04.02.2023</v>
      </c>
      <c r="E3613" s="1">
        <v>0.58333333333333337</v>
      </c>
      <c r="F3613" t="s">
        <v>36</v>
      </c>
      <c r="G3613" t="s">
        <v>23</v>
      </c>
      <c r="H3613" s="2">
        <v>46023</v>
      </c>
      <c r="I3613" s="3" t="str">
        <f t="shared" si="281"/>
        <v/>
      </c>
      <c r="J3613" t="str">
        <f t="shared" si="282"/>
        <v/>
      </c>
      <c r="K3613" t="str">
        <f t="shared" si="283"/>
        <v/>
      </c>
      <c r="L3613" t="str">
        <f t="shared" si="284"/>
        <v/>
      </c>
      <c r="M3613" t="str">
        <f>IF(COUNTIF($A$2:A3613,A3613)=1,
     VLOOKUP(A3613,Season_Winners!A:B,2,FALSE),
     "")</f>
        <v/>
      </c>
    </row>
    <row r="3614" spans="1:13" hidden="1" x14ac:dyDescent="0.3">
      <c r="A3614" t="s">
        <v>1279</v>
      </c>
      <c r="B3614">
        <v>20</v>
      </c>
      <c r="C3614" t="s">
        <v>1356</v>
      </c>
      <c r="D3614" t="str">
        <f t="shared" si="280"/>
        <v>04.02.2023</v>
      </c>
      <c r="E3614" s="1">
        <v>0.67708333333333337</v>
      </c>
      <c r="F3614" t="s">
        <v>31</v>
      </c>
      <c r="G3614" t="s">
        <v>34</v>
      </c>
      <c r="H3614" s="2">
        <v>46025</v>
      </c>
      <c r="I3614" s="3" t="str">
        <f t="shared" si="281"/>
        <v/>
      </c>
      <c r="J3614" t="str">
        <f t="shared" si="282"/>
        <v/>
      </c>
      <c r="K3614" t="str">
        <f t="shared" si="283"/>
        <v/>
      </c>
      <c r="L3614" t="str">
        <f t="shared" si="284"/>
        <v/>
      </c>
      <c r="M3614" t="str">
        <f>IF(COUNTIF($A$2:A3614,A3614)=1,
     VLOOKUP(A3614,Season_Winners!A:B,2,FALSE),
     "")</f>
        <v/>
      </c>
    </row>
    <row r="3615" spans="1:13" hidden="1" x14ac:dyDescent="0.3">
      <c r="A3615" t="s">
        <v>1279</v>
      </c>
      <c r="B3615">
        <v>20</v>
      </c>
      <c r="C3615" t="s">
        <v>1356</v>
      </c>
      <c r="D3615" t="str">
        <f t="shared" si="280"/>
        <v>04.02.2023</v>
      </c>
      <c r="E3615" s="1">
        <v>0.77083333333333337</v>
      </c>
      <c r="F3615" t="s">
        <v>28</v>
      </c>
      <c r="G3615" t="s">
        <v>11</v>
      </c>
      <c r="H3615" s="2">
        <v>46023</v>
      </c>
      <c r="I3615" s="3" t="str">
        <f t="shared" si="281"/>
        <v/>
      </c>
      <c r="J3615" t="str">
        <f t="shared" si="282"/>
        <v/>
      </c>
      <c r="K3615" t="str">
        <f t="shared" si="283"/>
        <v/>
      </c>
      <c r="L3615" t="str">
        <f t="shared" si="284"/>
        <v/>
      </c>
      <c r="M3615" t="str">
        <f>IF(COUNTIF($A$2:A3615,A3615)=1,
     VLOOKUP(A3615,Season_Winners!A:B,2,FALSE),
     "")</f>
        <v/>
      </c>
    </row>
    <row r="3616" spans="1:13" hidden="1" x14ac:dyDescent="0.3">
      <c r="A3616" t="s">
        <v>1279</v>
      </c>
      <c r="B3616">
        <v>20</v>
      </c>
      <c r="C3616" t="s">
        <v>1356</v>
      </c>
      <c r="D3616" t="str">
        <f t="shared" si="280"/>
        <v>04.02.2023</v>
      </c>
      <c r="E3616" s="1">
        <v>0.875</v>
      </c>
      <c r="F3616" t="s">
        <v>26</v>
      </c>
      <c r="G3616" t="s">
        <v>35</v>
      </c>
      <c r="H3616" s="2">
        <v>46115</v>
      </c>
      <c r="I3616" s="3" t="str">
        <f t="shared" si="281"/>
        <v/>
      </c>
      <c r="J3616" t="str">
        <f t="shared" si="282"/>
        <v/>
      </c>
      <c r="K3616" t="str">
        <f t="shared" si="283"/>
        <v/>
      </c>
      <c r="L3616" t="str">
        <f t="shared" si="284"/>
        <v/>
      </c>
      <c r="M3616" t="str">
        <f>IF(COUNTIF($A$2:A3616,A3616)=1,
     VLOOKUP(A3616,Season_Winners!A:B,2,FALSE),
     "")</f>
        <v/>
      </c>
    </row>
    <row r="3617" spans="1:13" x14ac:dyDescent="0.3">
      <c r="A3617" t="s">
        <v>1279</v>
      </c>
      <c r="B3617">
        <v>20</v>
      </c>
      <c r="C3617" t="s">
        <v>1357</v>
      </c>
      <c r="D3617" t="str">
        <f t="shared" si="280"/>
        <v>05.02.2023</v>
      </c>
      <c r="E3617" s="1">
        <v>0.58333333333333337</v>
      </c>
      <c r="F3617" t="s">
        <v>881</v>
      </c>
      <c r="G3617" t="s">
        <v>25</v>
      </c>
      <c r="H3617" t="s">
        <v>18</v>
      </c>
      <c r="I3617" t="str">
        <f t="shared" si="281"/>
        <v>1-0</v>
      </c>
      <c r="J3617" t="str">
        <f t="shared" si="282"/>
        <v>1</v>
      </c>
      <c r="K3617" t="str">
        <f t="shared" si="283"/>
        <v>0</v>
      </c>
      <c r="L3617" t="str">
        <f t="shared" si="284"/>
        <v>RCD Mallorca</v>
      </c>
      <c r="M3617" t="str">
        <f>IF(COUNTIF($A$2:A3617,A3617)=1,
     VLOOKUP(A3617,Season_Winners!A:B,2,FALSE),
     "")</f>
        <v/>
      </c>
    </row>
    <row r="3618" spans="1:13" x14ac:dyDescent="0.3">
      <c r="A3618" t="s">
        <v>1279</v>
      </c>
      <c r="B3618">
        <v>20</v>
      </c>
      <c r="C3618" t="s">
        <v>1357</v>
      </c>
      <c r="D3618" t="str">
        <f t="shared" si="280"/>
        <v>05.02.2023</v>
      </c>
      <c r="E3618" s="1">
        <v>0.67708333333333337</v>
      </c>
      <c r="F3618" t="s">
        <v>606</v>
      </c>
      <c r="G3618" t="s">
        <v>16</v>
      </c>
      <c r="H3618" t="s">
        <v>18</v>
      </c>
      <c r="I3618" t="str">
        <f t="shared" si="281"/>
        <v>1-0</v>
      </c>
      <c r="J3618" t="str">
        <f t="shared" si="282"/>
        <v>1</v>
      </c>
      <c r="K3618" t="str">
        <f t="shared" si="283"/>
        <v>0</v>
      </c>
      <c r="L3618" t="str">
        <f t="shared" si="284"/>
        <v>Girona FC</v>
      </c>
      <c r="M3618" t="str">
        <f>IF(COUNTIF($A$2:A3618,A3618)=1,
     VLOOKUP(A3618,Season_Winners!A:B,2,FALSE),
     "")</f>
        <v/>
      </c>
    </row>
    <row r="3619" spans="1:13" x14ac:dyDescent="0.3">
      <c r="A3619" t="s">
        <v>1279</v>
      </c>
      <c r="B3619">
        <v>20</v>
      </c>
      <c r="C3619" t="s">
        <v>1357</v>
      </c>
      <c r="D3619" t="str">
        <f t="shared" si="280"/>
        <v>05.02.2023</v>
      </c>
      <c r="E3619" s="1">
        <v>0.77083333333333337</v>
      </c>
      <c r="F3619" t="s">
        <v>10</v>
      </c>
      <c r="G3619" t="s">
        <v>14</v>
      </c>
      <c r="H3619" t="s">
        <v>42</v>
      </c>
      <c r="I3619" t="str">
        <f t="shared" si="281"/>
        <v>0-1</v>
      </c>
      <c r="J3619" t="str">
        <f t="shared" si="282"/>
        <v>0</v>
      </c>
      <c r="K3619" t="str">
        <f t="shared" si="283"/>
        <v>1</v>
      </c>
      <c r="L3619" t="str">
        <f t="shared" si="284"/>
        <v>Real Valladolid CF</v>
      </c>
      <c r="M3619" t="str">
        <f>IF(COUNTIF($A$2:A3619,A3619)=1,
     VLOOKUP(A3619,Season_Winners!A:B,2,FALSE),
     "")</f>
        <v/>
      </c>
    </row>
    <row r="3620" spans="1:13" x14ac:dyDescent="0.3">
      <c r="A3620" t="s">
        <v>1279</v>
      </c>
      <c r="B3620">
        <v>20</v>
      </c>
      <c r="C3620" t="s">
        <v>1357</v>
      </c>
      <c r="D3620" t="str">
        <f t="shared" si="280"/>
        <v>05.02.2023</v>
      </c>
      <c r="E3620" s="1">
        <v>0.875</v>
      </c>
      <c r="F3620" t="s">
        <v>20</v>
      </c>
      <c r="G3620" t="s">
        <v>27</v>
      </c>
      <c r="H3620" t="s">
        <v>32</v>
      </c>
      <c r="I3620" t="str">
        <f t="shared" si="281"/>
        <v>3-0</v>
      </c>
      <c r="J3620" t="str">
        <f t="shared" si="282"/>
        <v>3</v>
      </c>
      <c r="K3620" t="str">
        <f t="shared" si="283"/>
        <v>0</v>
      </c>
      <c r="L3620" t="str">
        <f t="shared" si="284"/>
        <v>FC Barcelona</v>
      </c>
      <c r="M3620" t="str">
        <f>IF(COUNTIF($A$2:A3620,A3620)=1,
     VLOOKUP(A3620,Season_Winners!A:B,2,FALSE),
     "")</f>
        <v/>
      </c>
    </row>
    <row r="3621" spans="1:13" x14ac:dyDescent="0.3">
      <c r="A3621" t="s">
        <v>1279</v>
      </c>
      <c r="B3621">
        <v>20</v>
      </c>
      <c r="C3621" t="s">
        <v>1358</v>
      </c>
      <c r="D3621" t="str">
        <f t="shared" si="280"/>
        <v>06.02.2023</v>
      </c>
      <c r="E3621" s="1">
        <v>0.875</v>
      </c>
      <c r="F3621" t="s">
        <v>30</v>
      </c>
      <c r="G3621" t="s">
        <v>33</v>
      </c>
      <c r="H3621" t="s">
        <v>12</v>
      </c>
      <c r="I3621" t="str">
        <f t="shared" si="281"/>
        <v>2-0</v>
      </c>
      <c r="J3621" t="str">
        <f t="shared" si="282"/>
        <v>2</v>
      </c>
      <c r="K3621" t="str">
        <f t="shared" si="283"/>
        <v>0</v>
      </c>
      <c r="L3621" t="str">
        <f t="shared" si="284"/>
        <v>Rayo Vallecano</v>
      </c>
      <c r="M3621" t="str">
        <f>IF(COUNTIF($A$2:A3621,A3621)=1,
     VLOOKUP(A3621,Season_Winners!A:B,2,FALSE),
     "")</f>
        <v/>
      </c>
    </row>
    <row r="3622" spans="1:13" x14ac:dyDescent="0.3">
      <c r="A3622" t="s">
        <v>1279</v>
      </c>
      <c r="B3622">
        <v>21</v>
      </c>
      <c r="C3622" t="s">
        <v>1359</v>
      </c>
      <c r="D3622" t="str">
        <f t="shared" si="280"/>
        <v>10.02.2023</v>
      </c>
      <c r="E3622" s="1">
        <v>0.875</v>
      </c>
      <c r="F3622" t="s">
        <v>1000</v>
      </c>
      <c r="G3622" t="s">
        <v>606</v>
      </c>
      <c r="H3622" t="s">
        <v>12</v>
      </c>
      <c r="I3622" t="str">
        <f t="shared" si="281"/>
        <v>2-0</v>
      </c>
      <c r="J3622" t="str">
        <f t="shared" si="282"/>
        <v>2</v>
      </c>
      <c r="K3622" t="str">
        <f t="shared" si="283"/>
        <v>0</v>
      </c>
      <c r="L3622" t="str">
        <f t="shared" si="284"/>
        <v>CÃ¡diz CF</v>
      </c>
      <c r="M3622" t="str">
        <f>IF(COUNTIF($A$2:A3622,A3622)=1,
     VLOOKUP(A3622,Season_Winners!A:B,2,FALSE),
     "")</f>
        <v/>
      </c>
    </row>
    <row r="3623" spans="1:13" hidden="1" x14ac:dyDescent="0.3">
      <c r="A3623" t="s">
        <v>1279</v>
      </c>
      <c r="B3623">
        <v>21</v>
      </c>
      <c r="C3623" t="s">
        <v>1360</v>
      </c>
      <c r="D3623" t="str">
        <f t="shared" si="280"/>
        <v>11.02.2023</v>
      </c>
      <c r="E3623" s="1">
        <v>0.67708333333333337</v>
      </c>
      <c r="F3623" t="s">
        <v>33</v>
      </c>
      <c r="G3623" t="s">
        <v>26</v>
      </c>
      <c r="H3623" s="2">
        <v>46083</v>
      </c>
      <c r="I3623" s="3" t="str">
        <f t="shared" si="281"/>
        <v/>
      </c>
      <c r="J3623" t="str">
        <f t="shared" si="282"/>
        <v/>
      </c>
      <c r="K3623" t="str">
        <f t="shared" si="283"/>
        <v/>
      </c>
      <c r="L3623" t="str">
        <f t="shared" si="284"/>
        <v/>
      </c>
      <c r="M3623" t="str">
        <f>IF(COUNTIF($A$2:A3623,A3623)=1,
     VLOOKUP(A3623,Season_Winners!A:B,2,FALSE),
     "")</f>
        <v/>
      </c>
    </row>
    <row r="3624" spans="1:13" x14ac:dyDescent="0.3">
      <c r="A3624" t="s">
        <v>1279</v>
      </c>
      <c r="B3624">
        <v>21</v>
      </c>
      <c r="C3624" t="s">
        <v>1360</v>
      </c>
      <c r="D3624" t="str">
        <f t="shared" si="280"/>
        <v>11.02.2023</v>
      </c>
      <c r="E3624" s="1">
        <v>0.77083333333333337</v>
      </c>
      <c r="F3624" t="s">
        <v>27</v>
      </c>
      <c r="G3624" t="s">
        <v>881</v>
      </c>
      <c r="H3624" t="s">
        <v>12</v>
      </c>
      <c r="I3624" t="str">
        <f t="shared" si="281"/>
        <v>2-0</v>
      </c>
      <c r="J3624" t="str">
        <f t="shared" si="282"/>
        <v>2</v>
      </c>
      <c r="K3624" t="str">
        <f t="shared" si="283"/>
        <v>0</v>
      </c>
      <c r="L3624" t="str">
        <f t="shared" si="284"/>
        <v>Sevilla FC</v>
      </c>
      <c r="M3624" t="str">
        <f>IF(COUNTIF($A$2:A3624,A3624)=1,
     VLOOKUP(A3624,Season_Winners!A:B,2,FALSE),
     "")</f>
        <v/>
      </c>
    </row>
    <row r="3625" spans="1:13" hidden="1" x14ac:dyDescent="0.3">
      <c r="A3625" t="s">
        <v>1279</v>
      </c>
      <c r="B3625">
        <v>21</v>
      </c>
      <c r="C3625" t="s">
        <v>1360</v>
      </c>
      <c r="D3625" t="str">
        <f t="shared" si="280"/>
        <v>11.02.2023</v>
      </c>
      <c r="E3625" s="1">
        <v>0.875</v>
      </c>
      <c r="F3625" t="s">
        <v>16</v>
      </c>
      <c r="G3625" t="s">
        <v>15</v>
      </c>
      <c r="H3625" s="2">
        <v>46054</v>
      </c>
      <c r="I3625" s="3" t="str">
        <f t="shared" si="281"/>
        <v/>
      </c>
      <c r="J3625" t="str">
        <f t="shared" si="282"/>
        <v/>
      </c>
      <c r="K3625" t="str">
        <f t="shared" si="283"/>
        <v/>
      </c>
      <c r="L3625" t="str">
        <f t="shared" si="284"/>
        <v/>
      </c>
      <c r="M3625" t="str">
        <f>IF(COUNTIF($A$2:A3625,A3625)=1,
     VLOOKUP(A3625,Season_Winners!A:B,2,FALSE),
     "")</f>
        <v/>
      </c>
    </row>
    <row r="3626" spans="1:13" hidden="1" x14ac:dyDescent="0.3">
      <c r="A3626" t="s">
        <v>1279</v>
      </c>
      <c r="B3626">
        <v>21</v>
      </c>
      <c r="C3626" t="s">
        <v>1361</v>
      </c>
      <c r="D3626" t="str">
        <f t="shared" si="280"/>
        <v>12.02.2023</v>
      </c>
      <c r="E3626" s="1">
        <v>0.58333333333333337</v>
      </c>
      <c r="F3626" t="s">
        <v>11</v>
      </c>
      <c r="G3626" t="s">
        <v>30</v>
      </c>
      <c r="H3626" s="2">
        <v>46023</v>
      </c>
      <c r="I3626" s="3" t="str">
        <f t="shared" si="281"/>
        <v/>
      </c>
      <c r="J3626" t="str">
        <f t="shared" si="282"/>
        <v/>
      </c>
      <c r="K3626" t="str">
        <f t="shared" si="283"/>
        <v/>
      </c>
      <c r="L3626" t="str">
        <f t="shared" si="284"/>
        <v/>
      </c>
      <c r="M3626" t="str">
        <f>IF(COUNTIF($A$2:A3626,A3626)=1,
     VLOOKUP(A3626,Season_Winners!A:B,2,FALSE),
     "")</f>
        <v/>
      </c>
    </row>
    <row r="3627" spans="1:13" x14ac:dyDescent="0.3">
      <c r="A3627" t="s">
        <v>1279</v>
      </c>
      <c r="B3627">
        <v>21</v>
      </c>
      <c r="C3627" t="s">
        <v>1361</v>
      </c>
      <c r="D3627" t="str">
        <f t="shared" si="280"/>
        <v>12.02.2023</v>
      </c>
      <c r="E3627" s="1">
        <v>0.67708333333333337</v>
      </c>
      <c r="F3627" t="s">
        <v>35</v>
      </c>
      <c r="G3627" t="s">
        <v>1425</v>
      </c>
      <c r="H3627" t="s">
        <v>42</v>
      </c>
      <c r="I3627" t="str">
        <f t="shared" si="281"/>
        <v>0-1</v>
      </c>
      <c r="J3627" t="str">
        <f t="shared" si="282"/>
        <v>0</v>
      </c>
      <c r="K3627" t="str">
        <f t="shared" si="283"/>
        <v>1</v>
      </c>
      <c r="L3627" t="str">
        <f t="shared" si="284"/>
        <v>Atlético de Madrid</v>
      </c>
      <c r="M3627" t="str">
        <f>IF(COUNTIF($A$2:A3627,A3627)=1,
     VLOOKUP(A3627,Season_Winners!A:B,2,FALSE),
     "")</f>
        <v/>
      </c>
    </row>
    <row r="3628" spans="1:13" x14ac:dyDescent="0.3">
      <c r="A3628" t="s">
        <v>1279</v>
      </c>
      <c r="B3628">
        <v>21</v>
      </c>
      <c r="C3628" t="s">
        <v>1361</v>
      </c>
      <c r="D3628" t="str">
        <f t="shared" si="280"/>
        <v>12.02.2023</v>
      </c>
      <c r="E3628" s="1">
        <v>0.77083333333333337</v>
      </c>
      <c r="F3628" t="s">
        <v>14</v>
      </c>
      <c r="G3628" t="s">
        <v>23</v>
      </c>
      <c r="H3628" t="s">
        <v>41</v>
      </c>
      <c r="I3628" t="str">
        <f t="shared" si="281"/>
        <v>0-0</v>
      </c>
      <c r="J3628" t="str">
        <f t="shared" si="282"/>
        <v>0</v>
      </c>
      <c r="K3628" t="str">
        <f t="shared" si="283"/>
        <v>0</v>
      </c>
      <c r="L3628" t="str">
        <f t="shared" si="284"/>
        <v>Draw</v>
      </c>
      <c r="M3628" t="str">
        <f>IF(COUNTIF($A$2:A3628,A3628)=1,
     VLOOKUP(A3628,Season_Winners!A:B,2,FALSE),
     "")</f>
        <v/>
      </c>
    </row>
    <row r="3629" spans="1:13" x14ac:dyDescent="0.3">
      <c r="A3629" t="s">
        <v>1279</v>
      </c>
      <c r="B3629">
        <v>21</v>
      </c>
      <c r="C3629" t="s">
        <v>1361</v>
      </c>
      <c r="D3629" t="str">
        <f t="shared" si="280"/>
        <v>12.02.2023</v>
      </c>
      <c r="E3629" s="1">
        <v>0.875</v>
      </c>
      <c r="F3629" t="s">
        <v>34</v>
      </c>
      <c r="G3629" t="s">
        <v>20</v>
      </c>
      <c r="H3629" t="s">
        <v>42</v>
      </c>
      <c r="I3629" t="str">
        <f t="shared" si="281"/>
        <v>0-1</v>
      </c>
      <c r="J3629" t="str">
        <f t="shared" si="282"/>
        <v>0</v>
      </c>
      <c r="K3629" t="str">
        <f t="shared" si="283"/>
        <v>1</v>
      </c>
      <c r="L3629" t="str">
        <f t="shared" si="284"/>
        <v>FC Barcelona</v>
      </c>
      <c r="M3629" t="str">
        <f>IF(COUNTIF($A$2:A3629,A3629)=1,
     VLOOKUP(A3629,Season_Winners!A:B,2,FALSE),
     "")</f>
        <v/>
      </c>
    </row>
    <row r="3630" spans="1:13" hidden="1" x14ac:dyDescent="0.3">
      <c r="A3630" t="s">
        <v>1279</v>
      </c>
      <c r="B3630">
        <v>21</v>
      </c>
      <c r="C3630" t="s">
        <v>1362</v>
      </c>
      <c r="D3630" t="str">
        <f t="shared" si="280"/>
        <v>13.02.2023</v>
      </c>
      <c r="E3630" s="1">
        <v>0.875</v>
      </c>
      <c r="F3630" t="s">
        <v>36</v>
      </c>
      <c r="G3630" t="s">
        <v>10</v>
      </c>
      <c r="H3630" s="2">
        <v>46083</v>
      </c>
      <c r="I3630" s="3" t="str">
        <f t="shared" si="281"/>
        <v/>
      </c>
      <c r="J3630" t="str">
        <f t="shared" si="282"/>
        <v/>
      </c>
      <c r="K3630" t="str">
        <f t="shared" si="283"/>
        <v/>
      </c>
      <c r="L3630" t="str">
        <f t="shared" si="284"/>
        <v/>
      </c>
      <c r="M3630" t="str">
        <f>IF(COUNTIF($A$2:A3630,A3630)=1,
     VLOOKUP(A3630,Season_Winners!A:B,2,FALSE),
     "")</f>
        <v/>
      </c>
    </row>
    <row r="3631" spans="1:13" x14ac:dyDescent="0.3">
      <c r="A3631" t="s">
        <v>1279</v>
      </c>
      <c r="B3631">
        <v>21</v>
      </c>
      <c r="C3631" t="s">
        <v>1363</v>
      </c>
      <c r="D3631" t="str">
        <f t="shared" si="280"/>
        <v>15.02.2023</v>
      </c>
      <c r="E3631" s="1">
        <v>0.875</v>
      </c>
      <c r="F3631" t="s">
        <v>25</v>
      </c>
      <c r="G3631" t="s">
        <v>31</v>
      </c>
      <c r="H3631" t="s">
        <v>88</v>
      </c>
      <c r="I3631" t="str">
        <f t="shared" si="281"/>
        <v>4-0</v>
      </c>
      <c r="J3631" t="str">
        <f t="shared" si="282"/>
        <v>4</v>
      </c>
      <c r="K3631" t="str">
        <f t="shared" si="283"/>
        <v>0</v>
      </c>
      <c r="L3631" t="str">
        <f t="shared" si="284"/>
        <v>Real Madrid</v>
      </c>
      <c r="M3631" t="str">
        <f>IF(COUNTIF($A$2:A3631,A3631)=1,
     VLOOKUP(A3631,Season_Winners!A:B,2,FALSE),
     "")</f>
        <v/>
      </c>
    </row>
    <row r="3632" spans="1:13" hidden="1" x14ac:dyDescent="0.3">
      <c r="A3632" t="s">
        <v>1279</v>
      </c>
      <c r="B3632">
        <v>22</v>
      </c>
      <c r="C3632" t="s">
        <v>1364</v>
      </c>
      <c r="D3632" t="str">
        <f t="shared" si="280"/>
        <v>17.02.2023</v>
      </c>
      <c r="E3632" s="1">
        <v>0.875</v>
      </c>
      <c r="F3632" t="s">
        <v>606</v>
      </c>
      <c r="G3632" t="s">
        <v>33</v>
      </c>
      <c r="H3632" s="2">
        <v>46059</v>
      </c>
      <c r="I3632" s="3" t="str">
        <f t="shared" si="281"/>
        <v/>
      </c>
      <c r="J3632" t="str">
        <f t="shared" si="282"/>
        <v/>
      </c>
      <c r="K3632" t="str">
        <f t="shared" si="283"/>
        <v/>
      </c>
      <c r="L3632" t="str">
        <f t="shared" si="284"/>
        <v/>
      </c>
      <c r="M3632" t="str">
        <f>IF(COUNTIF($A$2:A3632,A3632)=1,
     VLOOKUP(A3632,Season_Winners!A:B,2,FALSE),
     "")</f>
        <v/>
      </c>
    </row>
    <row r="3633" spans="1:13" hidden="1" x14ac:dyDescent="0.3">
      <c r="A3633" t="s">
        <v>1279</v>
      </c>
      <c r="B3633">
        <v>22</v>
      </c>
      <c r="C3633" t="s">
        <v>1365</v>
      </c>
      <c r="D3633" t="str">
        <f t="shared" si="280"/>
        <v>18.02.2023</v>
      </c>
      <c r="E3633" s="1">
        <v>0.58333333333333337</v>
      </c>
      <c r="F3633" t="s">
        <v>10</v>
      </c>
      <c r="G3633" t="s">
        <v>35</v>
      </c>
      <c r="H3633" s="2">
        <v>46023</v>
      </c>
      <c r="I3633" s="3" t="str">
        <f t="shared" si="281"/>
        <v/>
      </c>
      <c r="J3633" t="str">
        <f t="shared" si="282"/>
        <v/>
      </c>
      <c r="K3633" t="str">
        <f t="shared" si="283"/>
        <v/>
      </c>
      <c r="L3633" t="str">
        <f t="shared" si="284"/>
        <v/>
      </c>
      <c r="M3633" t="str">
        <f>IF(COUNTIF($A$2:A3633,A3633)=1,
     VLOOKUP(A3633,Season_Winners!A:B,2,FALSE),
     "")</f>
        <v/>
      </c>
    </row>
    <row r="3634" spans="1:13" hidden="1" x14ac:dyDescent="0.3">
      <c r="A3634" t="s">
        <v>1279</v>
      </c>
      <c r="B3634">
        <v>22</v>
      </c>
      <c r="C3634" t="s">
        <v>1365</v>
      </c>
      <c r="D3634" t="str">
        <f t="shared" si="280"/>
        <v>18.02.2023</v>
      </c>
      <c r="E3634" s="1">
        <v>0.67708333333333337</v>
      </c>
      <c r="F3634" t="s">
        <v>26</v>
      </c>
      <c r="G3634" t="s">
        <v>14</v>
      </c>
      <c r="H3634" s="2">
        <v>46024</v>
      </c>
      <c r="I3634" s="3" t="str">
        <f t="shared" si="281"/>
        <v/>
      </c>
      <c r="J3634" t="str">
        <f t="shared" si="282"/>
        <v/>
      </c>
      <c r="K3634" t="str">
        <f t="shared" si="283"/>
        <v/>
      </c>
      <c r="L3634" t="str">
        <f t="shared" si="284"/>
        <v/>
      </c>
      <c r="M3634" t="str">
        <f>IF(COUNTIF($A$2:A3634,A3634)=1,
     VLOOKUP(A3634,Season_Winners!A:B,2,FALSE),
     "")</f>
        <v/>
      </c>
    </row>
    <row r="3635" spans="1:13" hidden="1" x14ac:dyDescent="0.3">
      <c r="A3635" t="s">
        <v>1279</v>
      </c>
      <c r="B3635">
        <v>22</v>
      </c>
      <c r="C3635" t="s">
        <v>1365</v>
      </c>
      <c r="D3635" t="str">
        <f t="shared" si="280"/>
        <v>18.02.2023</v>
      </c>
      <c r="E3635" s="1">
        <v>0.77083333333333337</v>
      </c>
      <c r="F3635" t="s">
        <v>881</v>
      </c>
      <c r="G3635" t="s">
        <v>34</v>
      </c>
      <c r="H3635" s="2">
        <v>46057</v>
      </c>
      <c r="I3635" s="3" t="str">
        <f t="shared" si="281"/>
        <v/>
      </c>
      <c r="J3635" t="str">
        <f t="shared" si="282"/>
        <v/>
      </c>
      <c r="K3635" t="str">
        <f t="shared" si="283"/>
        <v/>
      </c>
      <c r="L3635" t="str">
        <f t="shared" si="284"/>
        <v/>
      </c>
      <c r="M3635" t="str">
        <f>IF(COUNTIF($A$2:A3635,A3635)=1,
     VLOOKUP(A3635,Season_Winners!A:B,2,FALSE),
     "")</f>
        <v/>
      </c>
    </row>
    <row r="3636" spans="1:13" x14ac:dyDescent="0.3">
      <c r="A3636" t="s">
        <v>1279</v>
      </c>
      <c r="B3636">
        <v>22</v>
      </c>
      <c r="C3636" t="s">
        <v>1365</v>
      </c>
      <c r="D3636" t="str">
        <f t="shared" si="280"/>
        <v>18.02.2023</v>
      </c>
      <c r="E3636" s="1">
        <v>0.875</v>
      </c>
      <c r="F3636" t="s">
        <v>23</v>
      </c>
      <c r="G3636" t="s">
        <v>25</v>
      </c>
      <c r="H3636" t="s">
        <v>54</v>
      </c>
      <c r="I3636" t="str">
        <f t="shared" si="281"/>
        <v>0-2</v>
      </c>
      <c r="J3636" t="str">
        <f t="shared" si="282"/>
        <v>0</v>
      </c>
      <c r="K3636" t="str">
        <f t="shared" si="283"/>
        <v>2</v>
      </c>
      <c r="L3636" t="str">
        <f t="shared" si="284"/>
        <v>Real Madrid</v>
      </c>
      <c r="M3636" t="str">
        <f>IF(COUNTIF($A$2:A3636,A3636)=1,
     VLOOKUP(A3636,Season_Winners!A:B,2,FALSE),
     "")</f>
        <v/>
      </c>
    </row>
    <row r="3637" spans="1:13" x14ac:dyDescent="0.3">
      <c r="A3637" t="s">
        <v>1279</v>
      </c>
      <c r="B3637">
        <v>22</v>
      </c>
      <c r="C3637" t="s">
        <v>1366</v>
      </c>
      <c r="D3637" t="str">
        <f t="shared" si="280"/>
        <v>19.02.2023</v>
      </c>
      <c r="E3637" s="1">
        <v>0.58333333333333337</v>
      </c>
      <c r="F3637" t="s">
        <v>31</v>
      </c>
      <c r="G3637" t="s">
        <v>36</v>
      </c>
      <c r="H3637" t="s">
        <v>42</v>
      </c>
      <c r="I3637" t="str">
        <f t="shared" si="281"/>
        <v>0-1</v>
      </c>
      <c r="J3637" t="str">
        <f t="shared" si="282"/>
        <v>0</v>
      </c>
      <c r="K3637" t="str">
        <f t="shared" si="283"/>
        <v>1</v>
      </c>
      <c r="L3637" t="str">
        <f t="shared" si="284"/>
        <v>RCD Espanyol de Barcelona</v>
      </c>
      <c r="M3637" t="str">
        <f>IF(COUNTIF($A$2:A3637,A3637)=1,
     VLOOKUP(A3637,Season_Winners!A:B,2,FALSE),
     "")</f>
        <v/>
      </c>
    </row>
    <row r="3638" spans="1:13" hidden="1" x14ac:dyDescent="0.3">
      <c r="A3638" t="s">
        <v>1279</v>
      </c>
      <c r="B3638">
        <v>22</v>
      </c>
      <c r="C3638" t="s">
        <v>1366</v>
      </c>
      <c r="D3638" t="str">
        <f t="shared" si="280"/>
        <v>19.02.2023</v>
      </c>
      <c r="E3638" s="1">
        <v>0.67708333333333337</v>
      </c>
      <c r="F3638" t="s">
        <v>30</v>
      </c>
      <c r="G3638" t="s">
        <v>27</v>
      </c>
      <c r="H3638" s="2">
        <v>46023</v>
      </c>
      <c r="I3638" s="3" t="str">
        <f t="shared" si="281"/>
        <v/>
      </c>
      <c r="J3638" t="str">
        <f t="shared" si="282"/>
        <v/>
      </c>
      <c r="K3638" t="str">
        <f t="shared" si="283"/>
        <v/>
      </c>
      <c r="L3638" t="str">
        <f t="shared" si="284"/>
        <v/>
      </c>
      <c r="M3638" t="str">
        <f>IF(COUNTIF($A$2:A3638,A3638)=1,
     VLOOKUP(A3638,Season_Winners!A:B,2,FALSE),
     "")</f>
        <v/>
      </c>
    </row>
    <row r="3639" spans="1:13" x14ac:dyDescent="0.3">
      <c r="A3639" t="s">
        <v>1279</v>
      </c>
      <c r="B3639">
        <v>22</v>
      </c>
      <c r="C3639" t="s">
        <v>1366</v>
      </c>
      <c r="D3639" t="str">
        <f t="shared" si="280"/>
        <v>19.02.2023</v>
      </c>
      <c r="E3639" s="1">
        <v>0.77083333333333337</v>
      </c>
      <c r="F3639" t="s">
        <v>1425</v>
      </c>
      <c r="G3639" t="s">
        <v>15</v>
      </c>
      <c r="H3639" t="s">
        <v>18</v>
      </c>
      <c r="I3639" t="str">
        <f t="shared" si="281"/>
        <v>1-0</v>
      </c>
      <c r="J3639" t="str">
        <f t="shared" si="282"/>
        <v>1</v>
      </c>
      <c r="K3639" t="str">
        <f t="shared" si="283"/>
        <v>0</v>
      </c>
      <c r="L3639" t="str">
        <f t="shared" si="284"/>
        <v>Atlético de Madrid</v>
      </c>
      <c r="M3639" t="str">
        <f>IF(COUNTIF($A$2:A3639,A3639)=1,
     VLOOKUP(A3639,Season_Winners!A:B,2,FALSE),
     "")</f>
        <v/>
      </c>
    </row>
    <row r="3640" spans="1:13" x14ac:dyDescent="0.3">
      <c r="A3640" t="s">
        <v>1279</v>
      </c>
      <c r="B3640">
        <v>22</v>
      </c>
      <c r="C3640" t="s">
        <v>1366</v>
      </c>
      <c r="D3640" t="str">
        <f t="shared" si="280"/>
        <v>19.02.2023</v>
      </c>
      <c r="E3640" s="1">
        <v>0.875</v>
      </c>
      <c r="F3640" t="s">
        <v>20</v>
      </c>
      <c r="G3640" t="s">
        <v>1000</v>
      </c>
      <c r="H3640" t="s">
        <v>12</v>
      </c>
      <c r="I3640" t="str">
        <f t="shared" si="281"/>
        <v>2-0</v>
      </c>
      <c r="J3640" t="str">
        <f t="shared" si="282"/>
        <v>2</v>
      </c>
      <c r="K3640" t="str">
        <f t="shared" si="283"/>
        <v>0</v>
      </c>
      <c r="L3640" t="str">
        <f t="shared" si="284"/>
        <v>FC Barcelona</v>
      </c>
      <c r="M3640" t="str">
        <f>IF(COUNTIF($A$2:A3640,A3640)=1,
     VLOOKUP(A3640,Season_Winners!A:B,2,FALSE),
     "")</f>
        <v/>
      </c>
    </row>
    <row r="3641" spans="1:13" x14ac:dyDescent="0.3">
      <c r="A3641" t="s">
        <v>1279</v>
      </c>
      <c r="B3641">
        <v>22</v>
      </c>
      <c r="C3641" t="s">
        <v>1367</v>
      </c>
      <c r="D3641" t="str">
        <f t="shared" si="280"/>
        <v>20.02.2023</v>
      </c>
      <c r="E3641" s="1">
        <v>0.875</v>
      </c>
      <c r="F3641" t="s">
        <v>11</v>
      </c>
      <c r="G3641" t="s">
        <v>16</v>
      </c>
      <c r="H3641" t="s">
        <v>18</v>
      </c>
      <c r="I3641" t="str">
        <f t="shared" si="281"/>
        <v>1-0</v>
      </c>
      <c r="J3641" t="str">
        <f t="shared" si="282"/>
        <v>1</v>
      </c>
      <c r="K3641" t="str">
        <f t="shared" si="283"/>
        <v>0</v>
      </c>
      <c r="L3641" t="str">
        <f t="shared" si="284"/>
        <v>Getafe CF</v>
      </c>
      <c r="M3641" t="str">
        <f>IF(COUNTIF($A$2:A3641,A3641)=1,
     VLOOKUP(A3641,Season_Winners!A:B,2,FALSE),
     "")</f>
        <v/>
      </c>
    </row>
    <row r="3642" spans="1:13" hidden="1" x14ac:dyDescent="0.3">
      <c r="A3642" t="s">
        <v>1279</v>
      </c>
      <c r="B3642">
        <v>23</v>
      </c>
      <c r="C3642" t="s">
        <v>1368</v>
      </c>
      <c r="D3642" t="str">
        <f t="shared" si="280"/>
        <v>24.02.2023</v>
      </c>
      <c r="E3642" s="1">
        <v>0.875</v>
      </c>
      <c r="F3642" t="s">
        <v>31</v>
      </c>
      <c r="G3642" t="s">
        <v>26</v>
      </c>
      <c r="H3642" s="2">
        <v>46083</v>
      </c>
      <c r="I3642" s="3" t="str">
        <f t="shared" si="281"/>
        <v/>
      </c>
      <c r="J3642" t="str">
        <f t="shared" si="282"/>
        <v/>
      </c>
      <c r="K3642" t="str">
        <f t="shared" si="283"/>
        <v/>
      </c>
      <c r="L3642" t="str">
        <f t="shared" si="284"/>
        <v/>
      </c>
      <c r="M3642" t="str">
        <f>IF(COUNTIF($A$2:A3642,A3642)=1,
     VLOOKUP(A3642,Season_Winners!A:B,2,FALSE),
     "")</f>
        <v/>
      </c>
    </row>
    <row r="3643" spans="1:13" hidden="1" x14ac:dyDescent="0.3">
      <c r="A3643" t="s">
        <v>1279</v>
      </c>
      <c r="B3643">
        <v>23</v>
      </c>
      <c r="C3643" t="s">
        <v>1369</v>
      </c>
      <c r="D3643" t="str">
        <f t="shared" si="280"/>
        <v>25.02.2023</v>
      </c>
      <c r="E3643" s="1">
        <v>0.58333333333333337</v>
      </c>
      <c r="F3643" t="s">
        <v>36</v>
      </c>
      <c r="G3643" t="s">
        <v>881</v>
      </c>
      <c r="H3643" s="2">
        <v>46024</v>
      </c>
      <c r="I3643" s="3" t="str">
        <f t="shared" si="281"/>
        <v/>
      </c>
      <c r="J3643" t="str">
        <f t="shared" si="282"/>
        <v/>
      </c>
      <c r="K3643" t="str">
        <f t="shared" si="283"/>
        <v/>
      </c>
      <c r="L3643" t="str">
        <f t="shared" si="284"/>
        <v/>
      </c>
      <c r="M3643" t="str">
        <f>IF(COUNTIF($A$2:A3643,A3643)=1,
     VLOOKUP(A3643,Season_Winners!A:B,2,FALSE),
     "")</f>
        <v/>
      </c>
    </row>
    <row r="3644" spans="1:13" x14ac:dyDescent="0.3">
      <c r="A3644" t="s">
        <v>1279</v>
      </c>
      <c r="B3644">
        <v>23</v>
      </c>
      <c r="C3644" t="s">
        <v>1369</v>
      </c>
      <c r="D3644" t="str">
        <f t="shared" si="280"/>
        <v>25.02.2023</v>
      </c>
      <c r="E3644" s="1">
        <v>0.67708333333333337</v>
      </c>
      <c r="F3644" t="s">
        <v>1000</v>
      </c>
      <c r="G3644" t="s">
        <v>30</v>
      </c>
      <c r="H3644" t="s">
        <v>18</v>
      </c>
      <c r="I3644" t="str">
        <f t="shared" si="281"/>
        <v>1-0</v>
      </c>
      <c r="J3644" t="str">
        <f t="shared" si="282"/>
        <v>1</v>
      </c>
      <c r="K3644" t="str">
        <f t="shared" si="283"/>
        <v>0</v>
      </c>
      <c r="L3644" t="str">
        <f t="shared" si="284"/>
        <v>CÃ¡diz CF</v>
      </c>
      <c r="M3644" t="str">
        <f>IF(COUNTIF($A$2:A3644,A3644)=1,
     VLOOKUP(A3644,Season_Winners!A:B,2,FALSE),
     "")</f>
        <v/>
      </c>
    </row>
    <row r="3645" spans="1:13" hidden="1" x14ac:dyDescent="0.3">
      <c r="A3645" t="s">
        <v>1279</v>
      </c>
      <c r="B3645">
        <v>23</v>
      </c>
      <c r="C3645" t="s">
        <v>1369</v>
      </c>
      <c r="D3645" t="str">
        <f t="shared" si="280"/>
        <v>25.02.2023</v>
      </c>
      <c r="E3645" s="1">
        <v>0.77083333333333337</v>
      </c>
      <c r="F3645" t="s">
        <v>25</v>
      </c>
      <c r="G3645" t="s">
        <v>28</v>
      </c>
      <c r="H3645" s="2">
        <v>46023</v>
      </c>
      <c r="I3645" s="3" t="str">
        <f t="shared" si="281"/>
        <v/>
      </c>
      <c r="J3645" t="str">
        <f t="shared" si="282"/>
        <v/>
      </c>
      <c r="K3645" t="str">
        <f t="shared" si="283"/>
        <v/>
      </c>
      <c r="L3645" t="str">
        <f t="shared" si="284"/>
        <v/>
      </c>
      <c r="M3645" t="str">
        <f>IF(COUNTIF($A$2:A3645,A3645)=1,
     VLOOKUP(A3645,Season_Winners!A:B,2,FALSE),
     "")</f>
        <v/>
      </c>
    </row>
    <row r="3646" spans="1:13" x14ac:dyDescent="0.3">
      <c r="A3646" t="s">
        <v>1279</v>
      </c>
      <c r="B3646">
        <v>23</v>
      </c>
      <c r="C3646" t="s">
        <v>1369</v>
      </c>
      <c r="D3646" t="str">
        <f t="shared" si="280"/>
        <v>25.02.2023</v>
      </c>
      <c r="E3646" s="1">
        <v>0.875</v>
      </c>
      <c r="F3646" t="s">
        <v>16</v>
      </c>
      <c r="G3646" t="s">
        <v>10</v>
      </c>
      <c r="H3646" t="s">
        <v>18</v>
      </c>
      <c r="I3646" t="str">
        <f t="shared" si="281"/>
        <v>1-0</v>
      </c>
      <c r="J3646" t="str">
        <f t="shared" si="282"/>
        <v>1</v>
      </c>
      <c r="K3646" t="str">
        <f t="shared" si="283"/>
        <v>0</v>
      </c>
      <c r="L3646" t="str">
        <f t="shared" si="284"/>
        <v>Valencia CF</v>
      </c>
      <c r="M3646" t="str">
        <f>IF(COUNTIF($A$2:A3646,A3646)=1,
     VLOOKUP(A3646,Season_Winners!A:B,2,FALSE),
     "")</f>
        <v/>
      </c>
    </row>
    <row r="3647" spans="1:13" hidden="1" x14ac:dyDescent="0.3">
      <c r="A3647" t="s">
        <v>1279</v>
      </c>
      <c r="B3647">
        <v>23</v>
      </c>
      <c r="C3647" t="s">
        <v>1370</v>
      </c>
      <c r="D3647" t="str">
        <f t="shared" si="280"/>
        <v>26.02.2023</v>
      </c>
      <c r="E3647" s="1">
        <v>0.58333333333333337</v>
      </c>
      <c r="F3647" t="s">
        <v>15</v>
      </c>
      <c r="G3647" t="s">
        <v>606</v>
      </c>
      <c r="H3647" s="2">
        <v>46083</v>
      </c>
      <c r="I3647" s="3" t="str">
        <f t="shared" si="281"/>
        <v/>
      </c>
      <c r="J3647" t="str">
        <f t="shared" si="282"/>
        <v/>
      </c>
      <c r="K3647" t="str">
        <f t="shared" si="283"/>
        <v/>
      </c>
      <c r="L3647" t="str">
        <f t="shared" si="284"/>
        <v/>
      </c>
      <c r="M3647" t="str">
        <f>IF(COUNTIF($A$2:A3647,A3647)=1,
     VLOOKUP(A3647,Season_Winners!A:B,2,FALSE),
     "")</f>
        <v/>
      </c>
    </row>
    <row r="3648" spans="1:13" x14ac:dyDescent="0.3">
      <c r="A3648" t="s">
        <v>1279</v>
      </c>
      <c r="B3648">
        <v>23</v>
      </c>
      <c r="C3648" t="s">
        <v>1370</v>
      </c>
      <c r="D3648" t="str">
        <f t="shared" si="280"/>
        <v>26.02.2023</v>
      </c>
      <c r="E3648" s="1">
        <v>0.67708333333333337</v>
      </c>
      <c r="F3648" t="s">
        <v>35</v>
      </c>
      <c r="G3648" t="s">
        <v>14</v>
      </c>
      <c r="H3648" t="s">
        <v>32</v>
      </c>
      <c r="I3648" t="str">
        <f t="shared" si="281"/>
        <v>3-0</v>
      </c>
      <c r="J3648" t="str">
        <f t="shared" si="282"/>
        <v>3</v>
      </c>
      <c r="K3648" t="str">
        <f t="shared" si="283"/>
        <v>0</v>
      </c>
      <c r="L3648" t="str">
        <f t="shared" si="284"/>
        <v>RC Celta</v>
      </c>
      <c r="M3648" t="str">
        <f>IF(COUNTIF($A$2:A3648,A3648)=1,
     VLOOKUP(A3648,Season_Winners!A:B,2,FALSE),
     "")</f>
        <v/>
      </c>
    </row>
    <row r="3649" spans="1:13" x14ac:dyDescent="0.3">
      <c r="A3649" t="s">
        <v>1279</v>
      </c>
      <c r="B3649">
        <v>23</v>
      </c>
      <c r="C3649" t="s">
        <v>1370</v>
      </c>
      <c r="D3649" t="str">
        <f t="shared" si="280"/>
        <v>26.02.2023</v>
      </c>
      <c r="E3649" s="1">
        <v>0.77083333333333337</v>
      </c>
      <c r="F3649" t="s">
        <v>33</v>
      </c>
      <c r="G3649" t="s">
        <v>20</v>
      </c>
      <c r="H3649" t="s">
        <v>18</v>
      </c>
      <c r="I3649" t="str">
        <f t="shared" si="281"/>
        <v>1-0</v>
      </c>
      <c r="J3649" t="str">
        <f t="shared" si="282"/>
        <v>1</v>
      </c>
      <c r="K3649" t="str">
        <f t="shared" si="283"/>
        <v>0</v>
      </c>
      <c r="L3649" t="str">
        <f t="shared" si="284"/>
        <v>UD AlmerÃ­a</v>
      </c>
      <c r="M3649" t="str">
        <f>IF(COUNTIF($A$2:A3649,A3649)=1,
     VLOOKUP(A3649,Season_Winners!A:B,2,FALSE),
     "")</f>
        <v/>
      </c>
    </row>
    <row r="3650" spans="1:13" hidden="1" x14ac:dyDescent="0.3">
      <c r="A3650" t="s">
        <v>1279</v>
      </c>
      <c r="B3650">
        <v>23</v>
      </c>
      <c r="C3650" t="s">
        <v>1370</v>
      </c>
      <c r="D3650" t="str">
        <f t="shared" ref="D3650:D3713" si="285">RIGHT(C3650,10)</f>
        <v>26.02.2023</v>
      </c>
      <c r="E3650" s="1">
        <v>0.875</v>
      </c>
      <c r="F3650" t="s">
        <v>27</v>
      </c>
      <c r="G3650" t="s">
        <v>23</v>
      </c>
      <c r="H3650" s="2">
        <v>46083</v>
      </c>
      <c r="I3650" s="3" t="str">
        <f t="shared" ref="I3650:I3713" si="286">IF(ISNUMBER(SEARCH("-",H3650)),H3650,"")</f>
        <v/>
      </c>
      <c r="J3650" t="str">
        <f t="shared" ref="J3650:J3713" si="287">IF(I3650="","",LEFT(I3650,FIND("-",I3650)-1))</f>
        <v/>
      </c>
      <c r="K3650" t="str">
        <f t="shared" ref="K3650:K3713" si="288">IF(I3650="","",RIGHT(I3650,LEN(I3650)-FIND("-",I3650)))</f>
        <v/>
      </c>
      <c r="L3650" t="str">
        <f t="shared" ref="L3650:L3713" si="289">IF(I3650="","",IF(J3650&gt;K3650,F3650,IF(K3650&gt;J3650,G3650,"Draw")))</f>
        <v/>
      </c>
      <c r="M3650" t="str">
        <f>IF(COUNTIF($A$2:A3650,A3650)=1,
     VLOOKUP(A3650,Season_Winners!A:B,2,FALSE),
     "")</f>
        <v/>
      </c>
    </row>
    <row r="3651" spans="1:13" hidden="1" x14ac:dyDescent="0.3">
      <c r="A3651" t="s">
        <v>1279</v>
      </c>
      <c r="B3651">
        <v>23</v>
      </c>
      <c r="C3651" t="s">
        <v>1371</v>
      </c>
      <c r="D3651" t="str">
        <f t="shared" si="285"/>
        <v>27.02.2023</v>
      </c>
      <c r="E3651" s="1">
        <v>0.875</v>
      </c>
      <c r="F3651" t="s">
        <v>34</v>
      </c>
      <c r="G3651" t="s">
        <v>11</v>
      </c>
      <c r="H3651" s="2">
        <v>46024</v>
      </c>
      <c r="I3651" s="3" t="str">
        <f t="shared" si="286"/>
        <v/>
      </c>
      <c r="J3651" t="str">
        <f t="shared" si="287"/>
        <v/>
      </c>
      <c r="K3651" t="str">
        <f t="shared" si="288"/>
        <v/>
      </c>
      <c r="L3651" t="str">
        <f t="shared" si="289"/>
        <v/>
      </c>
      <c r="M3651" t="str">
        <f>IF(COUNTIF($A$2:A3651,A3651)=1,
     VLOOKUP(A3651,Season_Winners!A:B,2,FALSE),
     "")</f>
        <v/>
      </c>
    </row>
    <row r="3652" spans="1:13" x14ac:dyDescent="0.3">
      <c r="A3652" t="s">
        <v>1279</v>
      </c>
      <c r="B3652">
        <v>24</v>
      </c>
      <c r="C3652" t="s">
        <v>1372</v>
      </c>
      <c r="D3652" t="str">
        <f t="shared" si="285"/>
        <v>03.03.2023</v>
      </c>
      <c r="E3652" s="1">
        <v>0.875</v>
      </c>
      <c r="F3652" t="s">
        <v>10</v>
      </c>
      <c r="G3652" t="s">
        <v>1000</v>
      </c>
      <c r="H3652" t="s">
        <v>41</v>
      </c>
      <c r="I3652" t="str">
        <f t="shared" si="286"/>
        <v>0-0</v>
      </c>
      <c r="J3652" t="str">
        <f t="shared" si="287"/>
        <v>0</v>
      </c>
      <c r="K3652" t="str">
        <f t="shared" si="288"/>
        <v>0</v>
      </c>
      <c r="L3652" t="str">
        <f t="shared" si="289"/>
        <v>Draw</v>
      </c>
      <c r="M3652" t="str">
        <f>IF(COUNTIF($A$2:A3652,A3652)=1,
     VLOOKUP(A3652,Season_Winners!A:B,2,FALSE),
     "")</f>
        <v/>
      </c>
    </row>
    <row r="3653" spans="1:13" hidden="1" x14ac:dyDescent="0.3">
      <c r="A3653" t="s">
        <v>1279</v>
      </c>
      <c r="B3653">
        <v>24</v>
      </c>
      <c r="C3653" t="s">
        <v>1373</v>
      </c>
      <c r="D3653" t="str">
        <f t="shared" si="285"/>
        <v>04.03.2023</v>
      </c>
      <c r="E3653" s="1">
        <v>0.58333333333333337</v>
      </c>
      <c r="F3653" t="s">
        <v>11</v>
      </c>
      <c r="G3653" t="s">
        <v>606</v>
      </c>
      <c r="H3653" s="2">
        <v>46056</v>
      </c>
      <c r="I3653" s="3" t="str">
        <f t="shared" si="286"/>
        <v/>
      </c>
      <c r="J3653" t="str">
        <f t="shared" si="287"/>
        <v/>
      </c>
      <c r="K3653" t="str">
        <f t="shared" si="288"/>
        <v/>
      </c>
      <c r="L3653" t="str">
        <f t="shared" si="289"/>
        <v/>
      </c>
      <c r="M3653" t="str">
        <f>IF(COUNTIF($A$2:A3653,A3653)=1,
     VLOOKUP(A3653,Season_Winners!A:B,2,FALSE),
     "")</f>
        <v/>
      </c>
    </row>
    <row r="3654" spans="1:13" x14ac:dyDescent="0.3">
      <c r="A3654" t="s">
        <v>1279</v>
      </c>
      <c r="B3654">
        <v>24</v>
      </c>
      <c r="C3654" t="s">
        <v>1373</v>
      </c>
      <c r="D3654" t="str">
        <f t="shared" si="285"/>
        <v>04.03.2023</v>
      </c>
      <c r="E3654" s="1">
        <v>0.67708333333333337</v>
      </c>
      <c r="F3654" t="s">
        <v>33</v>
      </c>
      <c r="G3654" t="s">
        <v>34</v>
      </c>
      <c r="H3654" t="s">
        <v>54</v>
      </c>
      <c r="I3654" t="str">
        <f t="shared" si="286"/>
        <v>0-2</v>
      </c>
      <c r="J3654" t="str">
        <f t="shared" si="287"/>
        <v>0</v>
      </c>
      <c r="K3654" t="str">
        <f t="shared" si="288"/>
        <v>2</v>
      </c>
      <c r="L3654" t="str">
        <f t="shared" si="289"/>
        <v>Villarreal CF</v>
      </c>
      <c r="M3654" t="str">
        <f>IF(COUNTIF($A$2:A3654,A3654)=1,
     VLOOKUP(A3654,Season_Winners!A:B,2,FALSE),
     "")</f>
        <v/>
      </c>
    </row>
    <row r="3655" spans="1:13" x14ac:dyDescent="0.3">
      <c r="A3655" t="s">
        <v>1279</v>
      </c>
      <c r="B3655">
        <v>24</v>
      </c>
      <c r="C3655" t="s">
        <v>1373</v>
      </c>
      <c r="D3655" t="str">
        <f t="shared" si="285"/>
        <v>04.03.2023</v>
      </c>
      <c r="E3655" s="1">
        <v>0.77083333333333337</v>
      </c>
      <c r="F3655" t="s">
        <v>881</v>
      </c>
      <c r="G3655" t="s">
        <v>31</v>
      </c>
      <c r="H3655" t="s">
        <v>42</v>
      </c>
      <c r="I3655" t="str">
        <f t="shared" si="286"/>
        <v>0-1</v>
      </c>
      <c r="J3655" t="str">
        <f t="shared" si="287"/>
        <v>0</v>
      </c>
      <c r="K3655" t="str">
        <f t="shared" si="288"/>
        <v>1</v>
      </c>
      <c r="L3655" t="str">
        <f t="shared" si="289"/>
        <v>Elche CF</v>
      </c>
      <c r="M3655" t="str">
        <f>IF(COUNTIF($A$2:A3655,A3655)=1,
     VLOOKUP(A3655,Season_Winners!A:B,2,FALSE),
     "")</f>
        <v/>
      </c>
    </row>
    <row r="3656" spans="1:13" hidden="1" x14ac:dyDescent="0.3">
      <c r="A3656" t="s">
        <v>1279</v>
      </c>
      <c r="B3656">
        <v>24</v>
      </c>
      <c r="C3656" t="s">
        <v>1373</v>
      </c>
      <c r="D3656" t="str">
        <f t="shared" si="285"/>
        <v>04.03.2023</v>
      </c>
      <c r="E3656" s="1">
        <v>0.875</v>
      </c>
      <c r="F3656" t="s">
        <v>28</v>
      </c>
      <c r="G3656" t="s">
        <v>27</v>
      </c>
      <c r="H3656" s="2">
        <v>46028</v>
      </c>
      <c r="I3656" s="3" t="str">
        <f t="shared" si="286"/>
        <v/>
      </c>
      <c r="J3656" t="str">
        <f t="shared" si="287"/>
        <v/>
      </c>
      <c r="K3656" t="str">
        <f t="shared" si="288"/>
        <v/>
      </c>
      <c r="L3656" t="str">
        <f t="shared" si="289"/>
        <v/>
      </c>
      <c r="M3656" t="str">
        <f>IF(COUNTIF($A$2:A3656,A3656)=1,
     VLOOKUP(A3656,Season_Winners!A:B,2,FALSE),
     "")</f>
        <v/>
      </c>
    </row>
    <row r="3657" spans="1:13" hidden="1" x14ac:dyDescent="0.3">
      <c r="A3657" t="s">
        <v>1279</v>
      </c>
      <c r="B3657">
        <v>24</v>
      </c>
      <c r="C3657" t="s">
        <v>1374</v>
      </c>
      <c r="D3657" t="str">
        <f t="shared" si="285"/>
        <v>05.03.2023</v>
      </c>
      <c r="E3657" s="1">
        <v>0.58333333333333337</v>
      </c>
      <c r="F3657" t="s">
        <v>14</v>
      </c>
      <c r="G3657" t="s">
        <v>36</v>
      </c>
      <c r="H3657" s="2">
        <v>46024</v>
      </c>
      <c r="I3657" s="3" t="str">
        <f t="shared" si="286"/>
        <v/>
      </c>
      <c r="J3657" t="str">
        <f t="shared" si="287"/>
        <v/>
      </c>
      <c r="K3657" t="str">
        <f t="shared" si="288"/>
        <v/>
      </c>
      <c r="L3657" t="str">
        <f t="shared" si="289"/>
        <v/>
      </c>
      <c r="M3657" t="str">
        <f>IF(COUNTIF($A$2:A3657,A3657)=1,
     VLOOKUP(A3657,Season_Winners!A:B,2,FALSE),
     "")</f>
        <v/>
      </c>
    </row>
    <row r="3658" spans="1:13" x14ac:dyDescent="0.3">
      <c r="A3658" t="s">
        <v>1279</v>
      </c>
      <c r="B3658">
        <v>24</v>
      </c>
      <c r="C3658" t="s">
        <v>1374</v>
      </c>
      <c r="D3658" t="str">
        <f t="shared" si="285"/>
        <v>05.03.2023</v>
      </c>
      <c r="E3658" s="1">
        <v>0.67708333333333337</v>
      </c>
      <c r="F3658" t="s">
        <v>20</v>
      </c>
      <c r="G3658" t="s">
        <v>16</v>
      </c>
      <c r="H3658" t="s">
        <v>18</v>
      </c>
      <c r="I3658" t="str">
        <f t="shared" si="286"/>
        <v>1-0</v>
      </c>
      <c r="J3658" t="str">
        <f t="shared" si="287"/>
        <v>1</v>
      </c>
      <c r="K3658" t="str">
        <f t="shared" si="288"/>
        <v>0</v>
      </c>
      <c r="L3658" t="str">
        <f t="shared" si="289"/>
        <v>FC Barcelona</v>
      </c>
      <c r="M3658" t="str">
        <f>IF(COUNTIF($A$2:A3658,A3658)=1,
     VLOOKUP(A3658,Season_Winners!A:B,2,FALSE),
     "")</f>
        <v/>
      </c>
    </row>
    <row r="3659" spans="1:13" x14ac:dyDescent="0.3">
      <c r="A3659" t="s">
        <v>1279</v>
      </c>
      <c r="B3659">
        <v>24</v>
      </c>
      <c r="C3659" t="s">
        <v>1374</v>
      </c>
      <c r="D3659" t="str">
        <f t="shared" si="285"/>
        <v>05.03.2023</v>
      </c>
      <c r="E3659" s="1">
        <v>0.77083333333333337</v>
      </c>
      <c r="F3659" t="s">
        <v>30</v>
      </c>
      <c r="G3659" t="s">
        <v>15</v>
      </c>
      <c r="H3659" t="s">
        <v>41</v>
      </c>
      <c r="I3659" t="str">
        <f t="shared" si="286"/>
        <v>0-0</v>
      </c>
      <c r="J3659" t="str">
        <f t="shared" si="287"/>
        <v>0</v>
      </c>
      <c r="K3659" t="str">
        <f t="shared" si="288"/>
        <v>0</v>
      </c>
      <c r="L3659" t="str">
        <f t="shared" si="289"/>
        <v>Draw</v>
      </c>
      <c r="M3659" t="str">
        <f>IF(COUNTIF($A$2:A3659,A3659)=1,
     VLOOKUP(A3659,Season_Winners!A:B,2,FALSE),
     "")</f>
        <v/>
      </c>
    </row>
    <row r="3660" spans="1:13" x14ac:dyDescent="0.3">
      <c r="A3660" t="s">
        <v>1279</v>
      </c>
      <c r="B3660">
        <v>24</v>
      </c>
      <c r="C3660" t="s">
        <v>1374</v>
      </c>
      <c r="D3660" t="str">
        <f t="shared" si="285"/>
        <v>05.03.2023</v>
      </c>
      <c r="E3660" s="1">
        <v>0.875</v>
      </c>
      <c r="F3660" t="s">
        <v>26</v>
      </c>
      <c r="G3660" t="s">
        <v>25</v>
      </c>
      <c r="H3660" t="s">
        <v>41</v>
      </c>
      <c r="I3660" t="str">
        <f t="shared" si="286"/>
        <v>0-0</v>
      </c>
      <c r="J3660" t="str">
        <f t="shared" si="287"/>
        <v>0</v>
      </c>
      <c r="K3660" t="str">
        <f t="shared" si="288"/>
        <v>0</v>
      </c>
      <c r="L3660" t="str">
        <f t="shared" si="289"/>
        <v>Draw</v>
      </c>
      <c r="M3660" t="str">
        <f>IF(COUNTIF($A$2:A3660,A3660)=1,
     VLOOKUP(A3660,Season_Winners!A:B,2,FALSE),
     "")</f>
        <v/>
      </c>
    </row>
    <row r="3661" spans="1:13" x14ac:dyDescent="0.3">
      <c r="A3661" t="s">
        <v>1279</v>
      </c>
      <c r="B3661">
        <v>24</v>
      </c>
      <c r="C3661" t="s">
        <v>1375</v>
      </c>
      <c r="D3661" t="str">
        <f t="shared" si="285"/>
        <v>06.03.2023</v>
      </c>
      <c r="E3661" s="1">
        <v>0.875</v>
      </c>
      <c r="F3661" t="s">
        <v>23</v>
      </c>
      <c r="G3661" t="s">
        <v>35</v>
      </c>
      <c r="H3661" t="s">
        <v>41</v>
      </c>
      <c r="I3661" t="str">
        <f t="shared" si="286"/>
        <v>0-0</v>
      </c>
      <c r="J3661" t="str">
        <f t="shared" si="287"/>
        <v>0</v>
      </c>
      <c r="K3661" t="str">
        <f t="shared" si="288"/>
        <v>0</v>
      </c>
      <c r="L3661" t="str">
        <f t="shared" si="289"/>
        <v>Draw</v>
      </c>
      <c r="M3661" t="str">
        <f>IF(COUNTIF($A$2:A3661,A3661)=1,
     VLOOKUP(A3661,Season_Winners!A:B,2,FALSE),
     "")</f>
        <v/>
      </c>
    </row>
    <row r="3662" spans="1:13" hidden="1" x14ac:dyDescent="0.3">
      <c r="A3662" t="s">
        <v>1279</v>
      </c>
      <c r="B3662">
        <v>25</v>
      </c>
      <c r="C3662" t="s">
        <v>1376</v>
      </c>
      <c r="D3662" t="str">
        <f t="shared" si="285"/>
        <v>10.03.2023</v>
      </c>
      <c r="E3662" s="1">
        <v>0.875</v>
      </c>
      <c r="F3662" t="s">
        <v>1000</v>
      </c>
      <c r="G3662" t="s">
        <v>11</v>
      </c>
      <c r="H3662" s="2">
        <v>46055</v>
      </c>
      <c r="I3662" s="3" t="str">
        <f t="shared" si="286"/>
        <v/>
      </c>
      <c r="J3662" t="str">
        <f t="shared" si="287"/>
        <v/>
      </c>
      <c r="K3662" t="str">
        <f t="shared" si="288"/>
        <v/>
      </c>
      <c r="L3662" t="str">
        <f t="shared" si="289"/>
        <v/>
      </c>
      <c r="M3662" t="str">
        <f>IF(COUNTIF($A$2:A3662,A3662)=1,
     VLOOKUP(A3662,Season_Winners!A:B,2,FALSE),
     "")</f>
        <v/>
      </c>
    </row>
    <row r="3663" spans="1:13" hidden="1" x14ac:dyDescent="0.3">
      <c r="A3663" t="s">
        <v>1279</v>
      </c>
      <c r="B3663">
        <v>25</v>
      </c>
      <c r="C3663" t="s">
        <v>1377</v>
      </c>
      <c r="D3663" t="str">
        <f t="shared" si="285"/>
        <v>11.03.2023</v>
      </c>
      <c r="E3663" s="1">
        <v>0.58333333333333337</v>
      </c>
      <c r="F3663" t="s">
        <v>25</v>
      </c>
      <c r="G3663" t="s">
        <v>36</v>
      </c>
      <c r="H3663" s="2">
        <v>46025</v>
      </c>
      <c r="I3663" s="3" t="str">
        <f t="shared" si="286"/>
        <v/>
      </c>
      <c r="J3663" t="str">
        <f t="shared" si="287"/>
        <v/>
      </c>
      <c r="K3663" t="str">
        <f t="shared" si="288"/>
        <v/>
      </c>
      <c r="L3663" t="str">
        <f t="shared" si="289"/>
        <v/>
      </c>
      <c r="M3663" t="str">
        <f>IF(COUNTIF($A$2:A3663,A3663)=1,
     VLOOKUP(A3663,Season_Winners!A:B,2,FALSE),
     "")</f>
        <v/>
      </c>
    </row>
    <row r="3664" spans="1:13" hidden="1" x14ac:dyDescent="0.3">
      <c r="A3664" t="s">
        <v>1279</v>
      </c>
      <c r="B3664">
        <v>25</v>
      </c>
      <c r="C3664" t="s">
        <v>1377</v>
      </c>
      <c r="D3664" t="str">
        <f t="shared" si="285"/>
        <v>11.03.2023</v>
      </c>
      <c r="E3664" s="1">
        <v>0.67708333333333337</v>
      </c>
      <c r="F3664" t="s">
        <v>31</v>
      </c>
      <c r="G3664" t="s">
        <v>14</v>
      </c>
      <c r="H3664" s="2">
        <v>46023</v>
      </c>
      <c r="I3664" s="3" t="str">
        <f t="shared" si="286"/>
        <v/>
      </c>
      <c r="J3664" t="str">
        <f t="shared" si="287"/>
        <v/>
      </c>
      <c r="K3664" t="str">
        <f t="shared" si="288"/>
        <v/>
      </c>
      <c r="L3664" t="str">
        <f t="shared" si="289"/>
        <v/>
      </c>
      <c r="M3664" t="str">
        <f>IF(COUNTIF($A$2:A3664,A3664)=1,
     VLOOKUP(A3664,Season_Winners!A:B,2,FALSE),
     "")</f>
        <v/>
      </c>
    </row>
    <row r="3665" spans="1:13" x14ac:dyDescent="0.3">
      <c r="A3665" t="s">
        <v>1279</v>
      </c>
      <c r="B3665">
        <v>25</v>
      </c>
      <c r="C3665" t="s">
        <v>1377</v>
      </c>
      <c r="D3665" t="str">
        <f t="shared" si="285"/>
        <v>11.03.2023</v>
      </c>
      <c r="E3665" s="1">
        <v>0.77083333333333337</v>
      </c>
      <c r="F3665" t="s">
        <v>35</v>
      </c>
      <c r="G3665" t="s">
        <v>30</v>
      </c>
      <c r="H3665" t="s">
        <v>32</v>
      </c>
      <c r="I3665" t="str">
        <f t="shared" si="286"/>
        <v>3-0</v>
      </c>
      <c r="J3665" t="str">
        <f t="shared" si="287"/>
        <v>3</v>
      </c>
      <c r="K3665" t="str">
        <f t="shared" si="288"/>
        <v>0</v>
      </c>
      <c r="L3665" t="str">
        <f t="shared" si="289"/>
        <v>RC Celta</v>
      </c>
      <c r="M3665" t="str">
        <f>IF(COUNTIF($A$2:A3665,A3665)=1,
     VLOOKUP(A3665,Season_Winners!A:B,2,FALSE),
     "")</f>
        <v/>
      </c>
    </row>
    <row r="3666" spans="1:13" x14ac:dyDescent="0.3">
      <c r="A3666" t="s">
        <v>1279</v>
      </c>
      <c r="B3666">
        <v>25</v>
      </c>
      <c r="C3666" t="s">
        <v>1377</v>
      </c>
      <c r="D3666" t="str">
        <f t="shared" si="285"/>
        <v>11.03.2023</v>
      </c>
      <c r="E3666" s="1">
        <v>0.875</v>
      </c>
      <c r="F3666" t="s">
        <v>16</v>
      </c>
      <c r="G3666" t="s">
        <v>23</v>
      </c>
      <c r="H3666" t="s">
        <v>18</v>
      </c>
      <c r="I3666" t="str">
        <f t="shared" si="286"/>
        <v>1-0</v>
      </c>
      <c r="J3666" t="str">
        <f t="shared" si="287"/>
        <v>1</v>
      </c>
      <c r="K3666" t="str">
        <f t="shared" si="288"/>
        <v>0</v>
      </c>
      <c r="L3666" t="str">
        <f t="shared" si="289"/>
        <v>Valencia CF</v>
      </c>
      <c r="M3666" t="str">
        <f>IF(COUNTIF($A$2:A3666,A3666)=1,
     VLOOKUP(A3666,Season_Winners!A:B,2,FALSE),
     "")</f>
        <v/>
      </c>
    </row>
    <row r="3667" spans="1:13" hidden="1" x14ac:dyDescent="0.3">
      <c r="A3667" t="s">
        <v>1279</v>
      </c>
      <c r="B3667">
        <v>25</v>
      </c>
      <c r="C3667" t="s">
        <v>1378</v>
      </c>
      <c r="D3667" t="str">
        <f t="shared" si="285"/>
        <v>12.03.2023</v>
      </c>
      <c r="E3667" s="1">
        <v>0.58333333333333337</v>
      </c>
      <c r="F3667" t="s">
        <v>881</v>
      </c>
      <c r="G3667" t="s">
        <v>10</v>
      </c>
      <c r="H3667" s="2">
        <v>46023</v>
      </c>
      <c r="I3667" s="3" t="str">
        <f t="shared" si="286"/>
        <v/>
      </c>
      <c r="J3667" t="str">
        <f t="shared" si="287"/>
        <v/>
      </c>
      <c r="K3667" t="str">
        <f t="shared" si="288"/>
        <v/>
      </c>
      <c r="L3667" t="str">
        <f t="shared" si="289"/>
        <v/>
      </c>
      <c r="M3667" t="str">
        <f>IF(COUNTIF($A$2:A3667,A3667)=1,
     VLOOKUP(A3667,Season_Winners!A:B,2,FALSE),
     "")</f>
        <v/>
      </c>
    </row>
    <row r="3668" spans="1:13" hidden="1" x14ac:dyDescent="0.3">
      <c r="A3668" t="s">
        <v>1279</v>
      </c>
      <c r="B3668">
        <v>25</v>
      </c>
      <c r="C3668" t="s">
        <v>1378</v>
      </c>
      <c r="D3668" t="str">
        <f t="shared" si="285"/>
        <v>12.03.2023</v>
      </c>
      <c r="E3668" s="1">
        <v>0.67708333333333337</v>
      </c>
      <c r="F3668" t="s">
        <v>27</v>
      </c>
      <c r="G3668" t="s">
        <v>33</v>
      </c>
      <c r="H3668" s="2">
        <v>46024</v>
      </c>
      <c r="I3668" s="3" t="str">
        <f t="shared" si="286"/>
        <v/>
      </c>
      <c r="J3668" t="str">
        <f t="shared" si="287"/>
        <v/>
      </c>
      <c r="K3668" t="str">
        <f t="shared" si="288"/>
        <v/>
      </c>
      <c r="L3668" t="str">
        <f t="shared" si="289"/>
        <v/>
      </c>
      <c r="M3668" t="str">
        <f>IF(COUNTIF($A$2:A3668,A3668)=1,
     VLOOKUP(A3668,Season_Winners!A:B,2,FALSE),
     "")</f>
        <v/>
      </c>
    </row>
    <row r="3669" spans="1:13" hidden="1" x14ac:dyDescent="0.3">
      <c r="A3669" t="s">
        <v>1279</v>
      </c>
      <c r="B3669">
        <v>25</v>
      </c>
      <c r="C3669" t="s">
        <v>1378</v>
      </c>
      <c r="D3669" t="str">
        <f t="shared" si="285"/>
        <v>12.03.2023</v>
      </c>
      <c r="E3669" s="1">
        <v>0.77083333333333337</v>
      </c>
      <c r="F3669" t="s">
        <v>34</v>
      </c>
      <c r="G3669" t="s">
        <v>26</v>
      </c>
      <c r="H3669" s="2">
        <v>46023</v>
      </c>
      <c r="I3669" s="3" t="str">
        <f t="shared" si="286"/>
        <v/>
      </c>
      <c r="J3669" t="str">
        <f t="shared" si="287"/>
        <v/>
      </c>
      <c r="K3669" t="str">
        <f t="shared" si="288"/>
        <v/>
      </c>
      <c r="L3669" t="str">
        <f t="shared" si="289"/>
        <v/>
      </c>
      <c r="M3669" t="str">
        <f>IF(COUNTIF($A$2:A3669,A3669)=1,
     VLOOKUP(A3669,Season_Winners!A:B,2,FALSE),
     "")</f>
        <v/>
      </c>
    </row>
    <row r="3670" spans="1:13" x14ac:dyDescent="0.3">
      <c r="A3670" t="s">
        <v>1279</v>
      </c>
      <c r="B3670">
        <v>25</v>
      </c>
      <c r="C3670" t="s">
        <v>1378</v>
      </c>
      <c r="D3670" t="str">
        <f t="shared" si="285"/>
        <v>12.03.2023</v>
      </c>
      <c r="E3670" s="1">
        <v>0.875</v>
      </c>
      <c r="F3670" t="s">
        <v>15</v>
      </c>
      <c r="G3670" t="s">
        <v>20</v>
      </c>
      <c r="H3670" t="s">
        <v>42</v>
      </c>
      <c r="I3670" t="str">
        <f t="shared" si="286"/>
        <v>0-1</v>
      </c>
      <c r="J3670" t="str">
        <f t="shared" si="287"/>
        <v>0</v>
      </c>
      <c r="K3670" t="str">
        <f t="shared" si="288"/>
        <v>1</v>
      </c>
      <c r="L3670" t="str">
        <f t="shared" si="289"/>
        <v>FC Barcelona</v>
      </c>
      <c r="M3670" t="str">
        <f>IF(COUNTIF($A$2:A3670,A3670)=1,
     VLOOKUP(A3670,Season_Winners!A:B,2,FALSE),
     "")</f>
        <v/>
      </c>
    </row>
    <row r="3671" spans="1:13" x14ac:dyDescent="0.3">
      <c r="A3671" t="s">
        <v>1279</v>
      </c>
      <c r="B3671">
        <v>25</v>
      </c>
      <c r="C3671" t="s">
        <v>1379</v>
      </c>
      <c r="D3671" t="str">
        <f t="shared" si="285"/>
        <v>13.03.2023</v>
      </c>
      <c r="E3671" s="1">
        <v>0.875</v>
      </c>
      <c r="F3671" t="s">
        <v>606</v>
      </c>
      <c r="G3671" t="s">
        <v>1425</v>
      </c>
      <c r="H3671" t="s">
        <v>42</v>
      </c>
      <c r="I3671" t="str">
        <f t="shared" si="286"/>
        <v>0-1</v>
      </c>
      <c r="J3671" t="str">
        <f t="shared" si="287"/>
        <v>0</v>
      </c>
      <c r="K3671" t="str">
        <f t="shared" si="288"/>
        <v>1</v>
      </c>
      <c r="L3671" t="str">
        <f t="shared" si="289"/>
        <v>Atlético de Madrid</v>
      </c>
      <c r="M3671" t="str">
        <f>IF(COUNTIF($A$2:A3671,A3671)=1,
     VLOOKUP(A3671,Season_Winners!A:B,2,FALSE),
     "")</f>
        <v/>
      </c>
    </row>
    <row r="3672" spans="1:13" hidden="1" x14ac:dyDescent="0.3">
      <c r="A3672" t="s">
        <v>1279</v>
      </c>
      <c r="B3672">
        <v>26</v>
      </c>
      <c r="C3672" t="s">
        <v>1380</v>
      </c>
      <c r="D3672" t="str">
        <f t="shared" si="285"/>
        <v>17.03.2023</v>
      </c>
      <c r="E3672" s="1">
        <v>0.875</v>
      </c>
      <c r="F3672" t="s">
        <v>14</v>
      </c>
      <c r="G3672" t="s">
        <v>15</v>
      </c>
      <c r="H3672" s="2">
        <v>46082</v>
      </c>
      <c r="I3672" s="3" t="str">
        <f t="shared" si="286"/>
        <v/>
      </c>
      <c r="J3672" t="str">
        <f t="shared" si="287"/>
        <v/>
      </c>
      <c r="K3672" t="str">
        <f t="shared" si="288"/>
        <v/>
      </c>
      <c r="L3672" t="str">
        <f t="shared" si="289"/>
        <v/>
      </c>
      <c r="M3672" t="str">
        <f>IF(COUNTIF($A$2:A3672,A3672)=1,
     VLOOKUP(A3672,Season_Winners!A:B,2,FALSE),
     "")</f>
        <v/>
      </c>
    </row>
    <row r="3673" spans="1:13" hidden="1" x14ac:dyDescent="0.3">
      <c r="A3673" t="s">
        <v>1279</v>
      </c>
      <c r="B3673">
        <v>26</v>
      </c>
      <c r="C3673" t="s">
        <v>1381</v>
      </c>
      <c r="D3673" t="str">
        <f t="shared" si="285"/>
        <v>18.03.2023</v>
      </c>
      <c r="E3673" s="1">
        <v>0.58333333333333337</v>
      </c>
      <c r="F3673" t="s">
        <v>33</v>
      </c>
      <c r="G3673" t="s">
        <v>1000</v>
      </c>
      <c r="H3673" s="2">
        <v>46023</v>
      </c>
      <c r="I3673" s="3" t="str">
        <f t="shared" si="286"/>
        <v/>
      </c>
      <c r="J3673" t="str">
        <f t="shared" si="287"/>
        <v/>
      </c>
      <c r="K3673" t="str">
        <f t="shared" si="288"/>
        <v/>
      </c>
      <c r="L3673" t="str">
        <f t="shared" si="289"/>
        <v/>
      </c>
      <c r="M3673" t="str">
        <f>IF(COUNTIF($A$2:A3673,A3673)=1,
     VLOOKUP(A3673,Season_Winners!A:B,2,FALSE),
     "")</f>
        <v/>
      </c>
    </row>
    <row r="3674" spans="1:13" hidden="1" x14ac:dyDescent="0.3">
      <c r="A3674" t="s">
        <v>1279</v>
      </c>
      <c r="B3674">
        <v>26</v>
      </c>
      <c r="C3674" t="s">
        <v>1381</v>
      </c>
      <c r="D3674" t="str">
        <f t="shared" si="285"/>
        <v>18.03.2023</v>
      </c>
      <c r="E3674" s="1">
        <v>0.67708333333333337</v>
      </c>
      <c r="F3674" t="s">
        <v>30</v>
      </c>
      <c r="G3674" t="s">
        <v>606</v>
      </c>
      <c r="H3674" s="2">
        <v>46055</v>
      </c>
      <c r="I3674" s="3" t="str">
        <f t="shared" si="286"/>
        <v/>
      </c>
      <c r="J3674" t="str">
        <f t="shared" si="287"/>
        <v/>
      </c>
      <c r="K3674" t="str">
        <f t="shared" si="288"/>
        <v/>
      </c>
      <c r="L3674" t="str">
        <f t="shared" si="289"/>
        <v/>
      </c>
      <c r="M3674" t="str">
        <f>IF(COUNTIF($A$2:A3674,A3674)=1,
     VLOOKUP(A3674,Season_Winners!A:B,2,FALSE),
     "")</f>
        <v/>
      </c>
    </row>
    <row r="3675" spans="1:13" hidden="1" x14ac:dyDescent="0.3">
      <c r="A3675" t="s">
        <v>1279</v>
      </c>
      <c r="B3675">
        <v>26</v>
      </c>
      <c r="C3675" t="s">
        <v>1381</v>
      </c>
      <c r="D3675" t="str">
        <f t="shared" si="285"/>
        <v>18.03.2023</v>
      </c>
      <c r="E3675" s="1">
        <v>0.77083333333333337</v>
      </c>
      <c r="F3675" t="s">
        <v>36</v>
      </c>
      <c r="G3675" t="s">
        <v>35</v>
      </c>
      <c r="H3675" s="2">
        <v>46082</v>
      </c>
      <c r="I3675" s="3" t="str">
        <f t="shared" si="286"/>
        <v/>
      </c>
      <c r="J3675" t="str">
        <f t="shared" si="287"/>
        <v/>
      </c>
      <c r="K3675" t="str">
        <f t="shared" si="288"/>
        <v/>
      </c>
      <c r="L3675" t="str">
        <f t="shared" si="289"/>
        <v/>
      </c>
      <c r="M3675" t="str">
        <f>IF(COUNTIF($A$2:A3675,A3675)=1,
     VLOOKUP(A3675,Season_Winners!A:B,2,FALSE),
     "")</f>
        <v/>
      </c>
    </row>
    <row r="3676" spans="1:13" x14ac:dyDescent="0.3">
      <c r="A3676" t="s">
        <v>1279</v>
      </c>
      <c r="B3676">
        <v>26</v>
      </c>
      <c r="C3676" t="s">
        <v>1381</v>
      </c>
      <c r="D3676" t="str">
        <f t="shared" si="285"/>
        <v>18.03.2023</v>
      </c>
      <c r="E3676" s="1">
        <v>0.875</v>
      </c>
      <c r="F3676" t="s">
        <v>1425</v>
      </c>
      <c r="G3676" t="s">
        <v>16</v>
      </c>
      <c r="H3676" t="s">
        <v>32</v>
      </c>
      <c r="I3676" t="str">
        <f t="shared" si="286"/>
        <v>3-0</v>
      </c>
      <c r="J3676" t="str">
        <f t="shared" si="287"/>
        <v>3</v>
      </c>
      <c r="K3676" t="str">
        <f t="shared" si="288"/>
        <v>0</v>
      </c>
      <c r="L3676" t="str">
        <f t="shared" si="289"/>
        <v>Atlético de Madrid</v>
      </c>
      <c r="M3676" t="str">
        <f>IF(COUNTIF($A$2:A3676,A3676)=1,
     VLOOKUP(A3676,Season_Winners!A:B,2,FALSE),
     "")</f>
        <v/>
      </c>
    </row>
    <row r="3677" spans="1:13" x14ac:dyDescent="0.3">
      <c r="A3677" t="s">
        <v>1279</v>
      </c>
      <c r="B3677">
        <v>26</v>
      </c>
      <c r="C3677" t="s">
        <v>1382</v>
      </c>
      <c r="D3677" t="str">
        <f t="shared" si="285"/>
        <v>19.03.2023</v>
      </c>
      <c r="E3677" s="1">
        <v>0.58333333333333337</v>
      </c>
      <c r="F3677" t="s">
        <v>26</v>
      </c>
      <c r="G3677" t="s">
        <v>881</v>
      </c>
      <c r="H3677" t="s">
        <v>18</v>
      </c>
      <c r="I3677" t="str">
        <f t="shared" si="286"/>
        <v>1-0</v>
      </c>
      <c r="J3677" t="str">
        <f t="shared" si="287"/>
        <v>1</v>
      </c>
      <c r="K3677" t="str">
        <f t="shared" si="288"/>
        <v>0</v>
      </c>
      <c r="L3677" t="str">
        <f t="shared" si="289"/>
        <v>Real Betis</v>
      </c>
      <c r="M3677" t="str">
        <f>IF(COUNTIF($A$2:A3677,A3677)=1,
     VLOOKUP(A3677,Season_Winners!A:B,2,FALSE),
     "")</f>
        <v/>
      </c>
    </row>
    <row r="3678" spans="1:13" x14ac:dyDescent="0.3">
      <c r="A3678" t="s">
        <v>1279</v>
      </c>
      <c r="B3678">
        <v>26</v>
      </c>
      <c r="C3678" t="s">
        <v>1382</v>
      </c>
      <c r="D3678" t="str">
        <f t="shared" si="285"/>
        <v>19.03.2023</v>
      </c>
      <c r="E3678" s="1">
        <v>0.67708333333333337</v>
      </c>
      <c r="F3678" t="s">
        <v>23</v>
      </c>
      <c r="G3678" t="s">
        <v>34</v>
      </c>
      <c r="H3678" t="s">
        <v>46</v>
      </c>
      <c r="I3678" t="str">
        <f t="shared" si="286"/>
        <v>0-3</v>
      </c>
      <c r="J3678" t="str">
        <f t="shared" si="287"/>
        <v>0</v>
      </c>
      <c r="K3678" t="str">
        <f t="shared" si="288"/>
        <v>3</v>
      </c>
      <c r="L3678" t="str">
        <f t="shared" si="289"/>
        <v>Villarreal CF</v>
      </c>
      <c r="M3678" t="str">
        <f>IF(COUNTIF($A$2:A3678,A3678)=1,
     VLOOKUP(A3678,Season_Winners!A:B,2,FALSE),
     "")</f>
        <v/>
      </c>
    </row>
    <row r="3679" spans="1:13" x14ac:dyDescent="0.3">
      <c r="A3679" t="s">
        <v>1279</v>
      </c>
      <c r="B3679">
        <v>26</v>
      </c>
      <c r="C3679" t="s">
        <v>1382</v>
      </c>
      <c r="D3679" t="str">
        <f t="shared" si="285"/>
        <v>19.03.2023</v>
      </c>
      <c r="E3679" s="1">
        <v>0.67708333333333337</v>
      </c>
      <c r="F3679" t="s">
        <v>10</v>
      </c>
      <c r="G3679" t="s">
        <v>31</v>
      </c>
      <c r="H3679" t="s">
        <v>12</v>
      </c>
      <c r="I3679" t="str">
        <f t="shared" si="286"/>
        <v>2-0</v>
      </c>
      <c r="J3679" t="str">
        <f t="shared" si="287"/>
        <v>2</v>
      </c>
      <c r="K3679" t="str">
        <f t="shared" si="288"/>
        <v>0</v>
      </c>
      <c r="L3679" t="str">
        <f t="shared" si="289"/>
        <v>Real Sociedad</v>
      </c>
      <c r="M3679" t="str">
        <f>IF(COUNTIF($A$2:A3679,A3679)=1,
     VLOOKUP(A3679,Season_Winners!A:B,2,FALSE),
     "")</f>
        <v/>
      </c>
    </row>
    <row r="3680" spans="1:13" x14ac:dyDescent="0.3">
      <c r="A3680" t="s">
        <v>1279</v>
      </c>
      <c r="B3680">
        <v>26</v>
      </c>
      <c r="C3680" t="s">
        <v>1382</v>
      </c>
      <c r="D3680" t="str">
        <f t="shared" si="285"/>
        <v>19.03.2023</v>
      </c>
      <c r="E3680" s="1">
        <v>0.77083333333333337</v>
      </c>
      <c r="F3680" t="s">
        <v>11</v>
      </c>
      <c r="G3680" t="s">
        <v>27</v>
      </c>
      <c r="H3680" t="s">
        <v>12</v>
      </c>
      <c r="I3680" t="str">
        <f t="shared" si="286"/>
        <v>2-0</v>
      </c>
      <c r="J3680" t="str">
        <f t="shared" si="287"/>
        <v>2</v>
      </c>
      <c r="K3680" t="str">
        <f t="shared" si="288"/>
        <v>0</v>
      </c>
      <c r="L3680" t="str">
        <f t="shared" si="289"/>
        <v>Getafe CF</v>
      </c>
      <c r="M3680" t="str">
        <f>IF(COUNTIF($A$2:A3680,A3680)=1,
     VLOOKUP(A3680,Season_Winners!A:B,2,FALSE),
     "")</f>
        <v/>
      </c>
    </row>
    <row r="3681" spans="1:13" hidden="1" x14ac:dyDescent="0.3">
      <c r="A3681" t="s">
        <v>1279</v>
      </c>
      <c r="B3681">
        <v>26</v>
      </c>
      <c r="C3681" t="s">
        <v>1382</v>
      </c>
      <c r="D3681" t="str">
        <f t="shared" si="285"/>
        <v>19.03.2023</v>
      </c>
      <c r="E3681" s="1">
        <v>0.875</v>
      </c>
      <c r="F3681" t="s">
        <v>20</v>
      </c>
      <c r="G3681" t="s">
        <v>25</v>
      </c>
      <c r="H3681" s="2">
        <v>46024</v>
      </c>
      <c r="I3681" s="3" t="str">
        <f t="shared" si="286"/>
        <v/>
      </c>
      <c r="J3681" t="str">
        <f t="shared" si="287"/>
        <v/>
      </c>
      <c r="K3681" t="str">
        <f t="shared" si="288"/>
        <v/>
      </c>
      <c r="L3681" t="str">
        <f t="shared" si="289"/>
        <v/>
      </c>
      <c r="M3681" t="str">
        <f>IF(COUNTIF($A$2:A3681,A3681)=1,
     VLOOKUP(A3681,Season_Winners!A:B,2,FALSE),
     "")</f>
        <v/>
      </c>
    </row>
    <row r="3682" spans="1:13" x14ac:dyDescent="0.3">
      <c r="A3682" t="s">
        <v>1279</v>
      </c>
      <c r="B3682">
        <v>27</v>
      </c>
      <c r="C3682" t="s">
        <v>1383</v>
      </c>
      <c r="D3682" t="str">
        <f t="shared" si="285"/>
        <v>31.03.2023</v>
      </c>
      <c r="E3682" s="1">
        <v>0.875</v>
      </c>
      <c r="F3682" t="s">
        <v>881</v>
      </c>
      <c r="G3682" t="s">
        <v>23</v>
      </c>
      <c r="H3682" t="s">
        <v>41</v>
      </c>
      <c r="I3682" t="str">
        <f t="shared" si="286"/>
        <v>0-0</v>
      </c>
      <c r="J3682" t="str">
        <f t="shared" si="287"/>
        <v>0</v>
      </c>
      <c r="K3682" t="str">
        <f t="shared" si="288"/>
        <v>0</v>
      </c>
      <c r="L3682" t="str">
        <f t="shared" si="289"/>
        <v>Draw</v>
      </c>
      <c r="M3682" t="str">
        <f>IF(COUNTIF($A$2:A3682,A3682)=1,
     VLOOKUP(A3682,Season_Winners!A:B,2,FALSE),
     "")</f>
        <v/>
      </c>
    </row>
    <row r="3683" spans="1:13" hidden="1" x14ac:dyDescent="0.3">
      <c r="A3683" t="s">
        <v>1279</v>
      </c>
      <c r="B3683">
        <v>27</v>
      </c>
      <c r="C3683" t="s">
        <v>1384</v>
      </c>
      <c r="D3683" t="str">
        <f t="shared" si="285"/>
        <v>01.04.2023</v>
      </c>
      <c r="E3683" s="1">
        <v>0.58333333333333337</v>
      </c>
      <c r="F3683" t="s">
        <v>606</v>
      </c>
      <c r="G3683" t="s">
        <v>36</v>
      </c>
      <c r="H3683" s="2">
        <v>46024</v>
      </c>
      <c r="I3683" s="3" t="str">
        <f t="shared" si="286"/>
        <v/>
      </c>
      <c r="J3683" t="str">
        <f t="shared" si="287"/>
        <v/>
      </c>
      <c r="K3683" t="str">
        <f t="shared" si="288"/>
        <v/>
      </c>
      <c r="L3683" t="str">
        <f t="shared" si="289"/>
        <v/>
      </c>
      <c r="M3683" t="str">
        <f>IF(COUNTIF($A$2:A3683,A3683)=1,
     VLOOKUP(A3683,Season_Winners!A:B,2,FALSE),
     "")</f>
        <v/>
      </c>
    </row>
    <row r="3684" spans="1:13" x14ac:dyDescent="0.3">
      <c r="A3684" t="s">
        <v>1279</v>
      </c>
      <c r="B3684">
        <v>27</v>
      </c>
      <c r="C3684" t="s">
        <v>1384</v>
      </c>
      <c r="D3684" t="str">
        <f t="shared" si="285"/>
        <v>01.04.2023</v>
      </c>
      <c r="E3684" s="1">
        <v>0.67708333333333337</v>
      </c>
      <c r="F3684" t="s">
        <v>15</v>
      </c>
      <c r="G3684" t="s">
        <v>11</v>
      </c>
      <c r="H3684" t="s">
        <v>41</v>
      </c>
      <c r="I3684" t="str">
        <f t="shared" si="286"/>
        <v>0-0</v>
      </c>
      <c r="J3684" t="str">
        <f t="shared" si="287"/>
        <v>0</v>
      </c>
      <c r="K3684" t="str">
        <f t="shared" si="288"/>
        <v>0</v>
      </c>
      <c r="L3684" t="str">
        <f t="shared" si="289"/>
        <v>Draw</v>
      </c>
      <c r="M3684" t="str">
        <f>IF(COUNTIF($A$2:A3684,A3684)=1,
     VLOOKUP(A3684,Season_Winners!A:B,2,FALSE),
     "")</f>
        <v/>
      </c>
    </row>
    <row r="3685" spans="1:13" x14ac:dyDescent="0.3">
      <c r="A3685" t="s">
        <v>1279</v>
      </c>
      <c r="B3685">
        <v>27</v>
      </c>
      <c r="C3685" t="s">
        <v>1384</v>
      </c>
      <c r="D3685" t="str">
        <f t="shared" si="285"/>
        <v>01.04.2023</v>
      </c>
      <c r="E3685" s="1">
        <v>0.77083333333333337</v>
      </c>
      <c r="F3685" t="s">
        <v>1000</v>
      </c>
      <c r="G3685" t="s">
        <v>27</v>
      </c>
      <c r="H3685" t="s">
        <v>54</v>
      </c>
      <c r="I3685" t="str">
        <f t="shared" si="286"/>
        <v>0-2</v>
      </c>
      <c r="J3685" t="str">
        <f t="shared" si="287"/>
        <v>0</v>
      </c>
      <c r="K3685" t="str">
        <f t="shared" si="288"/>
        <v>2</v>
      </c>
      <c r="L3685" t="str">
        <f t="shared" si="289"/>
        <v>Sevilla FC</v>
      </c>
      <c r="M3685" t="str">
        <f>IF(COUNTIF($A$2:A3685,A3685)=1,
     VLOOKUP(A3685,Season_Winners!A:B,2,FALSE),
     "")</f>
        <v/>
      </c>
    </row>
    <row r="3686" spans="1:13" x14ac:dyDescent="0.3">
      <c r="A3686" t="s">
        <v>1279</v>
      </c>
      <c r="B3686">
        <v>27</v>
      </c>
      <c r="C3686" t="s">
        <v>1384</v>
      </c>
      <c r="D3686" t="str">
        <f t="shared" si="285"/>
        <v>01.04.2023</v>
      </c>
      <c r="E3686" s="1">
        <v>0.875</v>
      </c>
      <c r="F3686" t="s">
        <v>31</v>
      </c>
      <c r="G3686" t="s">
        <v>20</v>
      </c>
      <c r="H3686" t="s">
        <v>53</v>
      </c>
      <c r="I3686" t="str">
        <f t="shared" si="286"/>
        <v>0-4</v>
      </c>
      <c r="J3686" t="str">
        <f t="shared" si="287"/>
        <v>0</v>
      </c>
      <c r="K3686" t="str">
        <f t="shared" si="288"/>
        <v>4</v>
      </c>
      <c r="L3686" t="str">
        <f t="shared" si="289"/>
        <v>FC Barcelona</v>
      </c>
      <c r="M3686" t="str">
        <f>IF(COUNTIF($A$2:A3686,A3686)=1,
     VLOOKUP(A3686,Season_Winners!A:B,2,FALSE),
     "")</f>
        <v/>
      </c>
    </row>
    <row r="3687" spans="1:13" hidden="1" x14ac:dyDescent="0.3">
      <c r="A3687" t="s">
        <v>1279</v>
      </c>
      <c r="B3687">
        <v>27</v>
      </c>
      <c r="C3687" t="s">
        <v>1385</v>
      </c>
      <c r="D3687" t="str">
        <f t="shared" si="285"/>
        <v>02.04.2023</v>
      </c>
      <c r="E3687" s="1">
        <v>0.58333333333333337</v>
      </c>
      <c r="F3687" t="s">
        <v>35</v>
      </c>
      <c r="G3687" t="s">
        <v>33</v>
      </c>
      <c r="H3687" s="2">
        <v>46055</v>
      </c>
      <c r="I3687" s="3" t="str">
        <f t="shared" si="286"/>
        <v/>
      </c>
      <c r="J3687" t="str">
        <f t="shared" si="287"/>
        <v/>
      </c>
      <c r="K3687" t="str">
        <f t="shared" si="288"/>
        <v/>
      </c>
      <c r="L3687" t="str">
        <f t="shared" si="289"/>
        <v/>
      </c>
      <c r="M3687" t="str">
        <f>IF(COUNTIF($A$2:A3687,A3687)=1,
     VLOOKUP(A3687,Season_Winners!A:B,2,FALSE),
     "")</f>
        <v/>
      </c>
    </row>
    <row r="3688" spans="1:13" x14ac:dyDescent="0.3">
      <c r="A3688" t="s">
        <v>1279</v>
      </c>
      <c r="B3688">
        <v>27</v>
      </c>
      <c r="C3688" t="s">
        <v>1385</v>
      </c>
      <c r="D3688" t="str">
        <f t="shared" si="285"/>
        <v>02.04.2023</v>
      </c>
      <c r="E3688" s="1">
        <v>0.67708333333333337</v>
      </c>
      <c r="F3688" t="s">
        <v>25</v>
      </c>
      <c r="G3688" t="s">
        <v>14</v>
      </c>
      <c r="H3688" t="s">
        <v>126</v>
      </c>
      <c r="I3688" t="str">
        <f t="shared" si="286"/>
        <v>6-0</v>
      </c>
      <c r="J3688" t="str">
        <f t="shared" si="287"/>
        <v>6</v>
      </c>
      <c r="K3688" t="str">
        <f t="shared" si="288"/>
        <v>0</v>
      </c>
      <c r="L3688" t="str">
        <f t="shared" si="289"/>
        <v>Real Madrid</v>
      </c>
      <c r="M3688" t="str">
        <f>IF(COUNTIF($A$2:A3688,A3688)=1,
     VLOOKUP(A3688,Season_Winners!A:B,2,FALSE),
     "")</f>
        <v/>
      </c>
    </row>
    <row r="3689" spans="1:13" x14ac:dyDescent="0.3">
      <c r="A3689" t="s">
        <v>1279</v>
      </c>
      <c r="B3689">
        <v>27</v>
      </c>
      <c r="C3689" t="s">
        <v>1385</v>
      </c>
      <c r="D3689" t="str">
        <f t="shared" si="285"/>
        <v>02.04.2023</v>
      </c>
      <c r="E3689" s="1">
        <v>0.77083333333333337</v>
      </c>
      <c r="F3689" t="s">
        <v>34</v>
      </c>
      <c r="G3689" t="s">
        <v>10</v>
      </c>
      <c r="H3689" t="s">
        <v>12</v>
      </c>
      <c r="I3689" t="str">
        <f t="shared" si="286"/>
        <v>2-0</v>
      </c>
      <c r="J3689" t="str">
        <f t="shared" si="287"/>
        <v>2</v>
      </c>
      <c r="K3689" t="str">
        <f t="shared" si="288"/>
        <v>0</v>
      </c>
      <c r="L3689" t="str">
        <f t="shared" si="289"/>
        <v>Villarreal CF</v>
      </c>
      <c r="M3689" t="str">
        <f>IF(COUNTIF($A$2:A3689,A3689)=1,
     VLOOKUP(A3689,Season_Winners!A:B,2,FALSE),
     "")</f>
        <v/>
      </c>
    </row>
    <row r="3690" spans="1:13" x14ac:dyDescent="0.3">
      <c r="A3690" t="s">
        <v>1279</v>
      </c>
      <c r="B3690">
        <v>27</v>
      </c>
      <c r="C3690" t="s">
        <v>1385</v>
      </c>
      <c r="D3690" t="str">
        <f t="shared" si="285"/>
        <v>02.04.2023</v>
      </c>
      <c r="E3690" s="1">
        <v>0.875</v>
      </c>
      <c r="F3690" t="s">
        <v>1425</v>
      </c>
      <c r="G3690" t="s">
        <v>26</v>
      </c>
      <c r="H3690" t="s">
        <v>18</v>
      </c>
      <c r="I3690" t="str">
        <f t="shared" si="286"/>
        <v>1-0</v>
      </c>
      <c r="J3690" t="str">
        <f t="shared" si="287"/>
        <v>1</v>
      </c>
      <c r="K3690" t="str">
        <f t="shared" si="288"/>
        <v>0</v>
      </c>
      <c r="L3690" t="str">
        <f>IF(I3690="","",IF(J3690&gt;K3690,F3690,IF(K3690&gt;J3690,G3690,"Draw")))</f>
        <v>Atlético de Madrid</v>
      </c>
      <c r="M3690" t="str">
        <f>IF(COUNTIF($A$2:A3690,A3690)=1,
     VLOOKUP(A3690,Season_Winners!A:B,2,FALSE),
     "")</f>
        <v/>
      </c>
    </row>
    <row r="3691" spans="1:13" hidden="1" x14ac:dyDescent="0.3">
      <c r="A3691" t="s">
        <v>1279</v>
      </c>
      <c r="B3691">
        <v>27</v>
      </c>
      <c r="C3691" t="s">
        <v>1386</v>
      </c>
      <c r="D3691" t="str">
        <f t="shared" si="285"/>
        <v>03.04.2023</v>
      </c>
      <c r="E3691" s="1">
        <v>0.875</v>
      </c>
      <c r="F3691" t="s">
        <v>16</v>
      </c>
      <c r="G3691" t="s">
        <v>30</v>
      </c>
      <c r="H3691" s="2">
        <v>46023</v>
      </c>
      <c r="I3691" s="3" t="str">
        <f t="shared" si="286"/>
        <v/>
      </c>
      <c r="J3691" t="str">
        <f t="shared" si="287"/>
        <v/>
      </c>
      <c r="K3691" t="str">
        <f t="shared" si="288"/>
        <v/>
      </c>
      <c r="L3691" t="str">
        <f t="shared" si="289"/>
        <v/>
      </c>
      <c r="M3691" t="str">
        <f>IF(COUNTIF($A$2:A3691,A3691)=1,
     VLOOKUP(A3691,Season_Winners!A:B,2,FALSE),
     "")</f>
        <v/>
      </c>
    </row>
    <row r="3692" spans="1:13" hidden="1" x14ac:dyDescent="0.3">
      <c r="A3692" t="s">
        <v>1279</v>
      </c>
      <c r="B3692">
        <v>28</v>
      </c>
      <c r="C3692" t="s">
        <v>1387</v>
      </c>
      <c r="D3692" t="str">
        <f t="shared" si="285"/>
        <v>07.04.2023</v>
      </c>
      <c r="E3692" s="1">
        <v>0.875</v>
      </c>
      <c r="F3692" t="s">
        <v>27</v>
      </c>
      <c r="G3692" t="s">
        <v>35</v>
      </c>
      <c r="H3692" s="2">
        <v>46055</v>
      </c>
      <c r="I3692" s="3" t="str">
        <f t="shared" si="286"/>
        <v/>
      </c>
      <c r="J3692" t="str">
        <f t="shared" si="287"/>
        <v/>
      </c>
      <c r="K3692" t="str">
        <f t="shared" si="288"/>
        <v/>
      </c>
      <c r="L3692" t="str">
        <f t="shared" si="289"/>
        <v/>
      </c>
      <c r="M3692" t="str">
        <f>IF(COUNTIF($A$2:A3692,A3692)=1,
     VLOOKUP(A3692,Season_Winners!A:B,2,FALSE),
     "")</f>
        <v/>
      </c>
    </row>
    <row r="3693" spans="1:13" hidden="1" x14ac:dyDescent="0.3">
      <c r="A3693" t="s">
        <v>1279</v>
      </c>
      <c r="B3693">
        <v>28</v>
      </c>
      <c r="C3693" t="s">
        <v>1388</v>
      </c>
      <c r="D3693" t="str">
        <f t="shared" si="285"/>
        <v>08.04.2023</v>
      </c>
      <c r="E3693" s="1">
        <v>0.58333333333333337</v>
      </c>
      <c r="F3693" t="s">
        <v>23</v>
      </c>
      <c r="G3693" t="s">
        <v>31</v>
      </c>
      <c r="H3693" s="2">
        <v>46024</v>
      </c>
      <c r="I3693" s="3" t="str">
        <f t="shared" si="286"/>
        <v/>
      </c>
      <c r="J3693" t="str">
        <f t="shared" si="287"/>
        <v/>
      </c>
      <c r="K3693" t="str">
        <f t="shared" si="288"/>
        <v/>
      </c>
      <c r="L3693" t="str">
        <f t="shared" si="289"/>
        <v/>
      </c>
      <c r="M3693" t="str">
        <f>IF(COUNTIF($A$2:A3693,A3693)=1,
     VLOOKUP(A3693,Season_Winners!A:B,2,FALSE),
     "")</f>
        <v/>
      </c>
    </row>
    <row r="3694" spans="1:13" hidden="1" x14ac:dyDescent="0.3">
      <c r="A3694" t="s">
        <v>1279</v>
      </c>
      <c r="B3694">
        <v>28</v>
      </c>
      <c r="C3694" t="s">
        <v>1388</v>
      </c>
      <c r="D3694" t="str">
        <f t="shared" si="285"/>
        <v>08.04.2023</v>
      </c>
      <c r="E3694" s="1">
        <v>0.67708333333333337</v>
      </c>
      <c r="F3694" t="s">
        <v>36</v>
      </c>
      <c r="G3694" t="s">
        <v>15</v>
      </c>
      <c r="H3694" s="2">
        <v>46054</v>
      </c>
      <c r="I3694" s="3" t="str">
        <f t="shared" si="286"/>
        <v/>
      </c>
      <c r="J3694" t="str">
        <f t="shared" si="287"/>
        <v/>
      </c>
      <c r="K3694" t="str">
        <f t="shared" si="288"/>
        <v/>
      </c>
      <c r="L3694" t="str">
        <f t="shared" si="289"/>
        <v/>
      </c>
      <c r="M3694" t="str">
        <f>IF(COUNTIF($A$2:A3694,A3694)=1,
     VLOOKUP(A3694,Season_Winners!A:B,2,FALSE),
     "")</f>
        <v/>
      </c>
    </row>
    <row r="3695" spans="1:13" x14ac:dyDescent="0.3">
      <c r="A3695" t="s">
        <v>1279</v>
      </c>
      <c r="B3695">
        <v>28</v>
      </c>
      <c r="C3695" t="s">
        <v>1388</v>
      </c>
      <c r="D3695" t="str">
        <f t="shared" si="285"/>
        <v>08.04.2023</v>
      </c>
      <c r="E3695" s="1">
        <v>0.77083333333333337</v>
      </c>
      <c r="F3695" t="s">
        <v>10</v>
      </c>
      <c r="G3695" t="s">
        <v>11</v>
      </c>
      <c r="H3695" t="s">
        <v>12</v>
      </c>
      <c r="I3695" t="str">
        <f t="shared" si="286"/>
        <v>2-0</v>
      </c>
      <c r="J3695" t="str">
        <f t="shared" si="287"/>
        <v>2</v>
      </c>
      <c r="K3695" t="str">
        <f t="shared" si="288"/>
        <v>0</v>
      </c>
      <c r="L3695" t="str">
        <f t="shared" si="289"/>
        <v>Real Sociedad</v>
      </c>
      <c r="M3695" t="str">
        <f>IF(COUNTIF($A$2:A3695,A3695)=1,
     VLOOKUP(A3695,Season_Winners!A:B,2,FALSE),
     "")</f>
        <v/>
      </c>
    </row>
    <row r="3696" spans="1:13" hidden="1" x14ac:dyDescent="0.3">
      <c r="A3696" t="s">
        <v>1279</v>
      </c>
      <c r="B3696">
        <v>28</v>
      </c>
      <c r="C3696" t="s">
        <v>1388</v>
      </c>
      <c r="D3696" t="str">
        <f t="shared" si="285"/>
        <v>08.04.2023</v>
      </c>
      <c r="E3696" s="1">
        <v>0.875</v>
      </c>
      <c r="F3696" t="s">
        <v>25</v>
      </c>
      <c r="G3696" t="s">
        <v>34</v>
      </c>
      <c r="H3696" s="2">
        <v>46083</v>
      </c>
      <c r="I3696" s="3" t="str">
        <f t="shared" si="286"/>
        <v/>
      </c>
      <c r="J3696" t="str">
        <f t="shared" si="287"/>
        <v/>
      </c>
      <c r="K3696" t="str">
        <f t="shared" si="288"/>
        <v/>
      </c>
      <c r="L3696" t="str">
        <f t="shared" si="289"/>
        <v/>
      </c>
      <c r="M3696" t="str">
        <f>IF(COUNTIF($A$2:A3696,A3696)=1,
     VLOOKUP(A3696,Season_Winners!A:B,2,FALSE),
     "")</f>
        <v/>
      </c>
    </row>
    <row r="3697" spans="1:13" hidden="1" x14ac:dyDescent="0.3">
      <c r="A3697" t="s">
        <v>1279</v>
      </c>
      <c r="B3697">
        <v>28</v>
      </c>
      <c r="C3697" t="s">
        <v>1389</v>
      </c>
      <c r="D3697" t="str">
        <f t="shared" si="285"/>
        <v>09.04.2023</v>
      </c>
      <c r="E3697" s="1">
        <v>0.58333333333333337</v>
      </c>
      <c r="F3697" t="s">
        <v>14</v>
      </c>
      <c r="G3697" t="s">
        <v>881</v>
      </c>
      <c r="H3697" s="2">
        <v>46084</v>
      </c>
      <c r="I3697" s="3" t="str">
        <f t="shared" si="286"/>
        <v/>
      </c>
      <c r="J3697" t="str">
        <f t="shared" si="287"/>
        <v/>
      </c>
      <c r="K3697" t="str">
        <f t="shared" si="288"/>
        <v/>
      </c>
      <c r="L3697" t="str">
        <f t="shared" si="289"/>
        <v/>
      </c>
      <c r="M3697" t="str">
        <f>IF(COUNTIF($A$2:A3697,A3697)=1,
     VLOOKUP(A3697,Season_Winners!A:B,2,FALSE),
     "")</f>
        <v/>
      </c>
    </row>
    <row r="3698" spans="1:13" x14ac:dyDescent="0.3">
      <c r="A3698" t="s">
        <v>1279</v>
      </c>
      <c r="B3698">
        <v>28</v>
      </c>
      <c r="C3698" t="s">
        <v>1389</v>
      </c>
      <c r="D3698" t="str">
        <f t="shared" si="285"/>
        <v>09.04.2023</v>
      </c>
      <c r="E3698" s="1">
        <v>0.67708333333333337</v>
      </c>
      <c r="F3698" t="s">
        <v>26</v>
      </c>
      <c r="G3698" t="s">
        <v>1000</v>
      </c>
      <c r="H3698" t="s">
        <v>54</v>
      </c>
      <c r="I3698" t="str">
        <f t="shared" si="286"/>
        <v>0-2</v>
      </c>
      <c r="J3698" t="str">
        <f t="shared" si="287"/>
        <v>0</v>
      </c>
      <c r="K3698" t="str">
        <f t="shared" si="288"/>
        <v>2</v>
      </c>
      <c r="L3698" t="str">
        <f t="shared" si="289"/>
        <v>CÃ¡diz CF</v>
      </c>
      <c r="M3698" t="str">
        <f>IF(COUNTIF($A$2:A3698,A3698)=1,
     VLOOKUP(A3698,Season_Winners!A:B,2,FALSE),
     "")</f>
        <v/>
      </c>
    </row>
    <row r="3699" spans="1:13" hidden="1" x14ac:dyDescent="0.3">
      <c r="A3699" t="s">
        <v>1279</v>
      </c>
      <c r="B3699">
        <v>28</v>
      </c>
      <c r="C3699" t="s">
        <v>1389</v>
      </c>
      <c r="D3699" t="str">
        <f t="shared" si="285"/>
        <v>09.04.2023</v>
      </c>
      <c r="E3699" s="1">
        <v>0.77083333333333337</v>
      </c>
      <c r="F3699" t="s">
        <v>33</v>
      </c>
      <c r="G3699" t="s">
        <v>16</v>
      </c>
      <c r="H3699" s="2">
        <v>46024</v>
      </c>
      <c r="I3699" s="3" t="str">
        <f t="shared" si="286"/>
        <v/>
      </c>
      <c r="J3699" t="str">
        <f t="shared" si="287"/>
        <v/>
      </c>
      <c r="K3699" t="str">
        <f t="shared" si="288"/>
        <v/>
      </c>
      <c r="L3699" t="str">
        <f t="shared" si="289"/>
        <v/>
      </c>
      <c r="M3699" t="str">
        <f>IF(COUNTIF($A$2:A3699,A3699)=1,
     VLOOKUP(A3699,Season_Winners!A:B,2,FALSE),
     "")</f>
        <v/>
      </c>
    </row>
    <row r="3700" spans="1:13" hidden="1" x14ac:dyDescent="0.3">
      <c r="A3700" t="s">
        <v>1279</v>
      </c>
      <c r="B3700">
        <v>28</v>
      </c>
      <c r="C3700" t="s">
        <v>1389</v>
      </c>
      <c r="D3700" t="str">
        <f t="shared" si="285"/>
        <v>09.04.2023</v>
      </c>
      <c r="E3700" s="1">
        <v>0.875</v>
      </c>
      <c r="F3700" t="s">
        <v>30</v>
      </c>
      <c r="G3700" t="s">
        <v>28</v>
      </c>
      <c r="H3700" s="2">
        <v>46054</v>
      </c>
      <c r="I3700" s="3" t="str">
        <f t="shared" si="286"/>
        <v/>
      </c>
      <c r="J3700" t="str">
        <f t="shared" si="287"/>
        <v/>
      </c>
      <c r="K3700" t="str">
        <f t="shared" si="288"/>
        <v/>
      </c>
      <c r="L3700" t="str">
        <f t="shared" si="289"/>
        <v/>
      </c>
      <c r="M3700" t="str">
        <f>IF(COUNTIF($A$2:A3700,A3700)=1,
     VLOOKUP(A3700,Season_Winners!A:B,2,FALSE),
     "")</f>
        <v/>
      </c>
    </row>
    <row r="3701" spans="1:13" x14ac:dyDescent="0.3">
      <c r="A3701" t="s">
        <v>1279</v>
      </c>
      <c r="B3701">
        <v>28</v>
      </c>
      <c r="C3701" t="s">
        <v>1390</v>
      </c>
      <c r="D3701" t="str">
        <f t="shared" si="285"/>
        <v>10.04.2023</v>
      </c>
      <c r="E3701" s="1">
        <v>0.875</v>
      </c>
      <c r="F3701" t="s">
        <v>20</v>
      </c>
      <c r="G3701" t="s">
        <v>606</v>
      </c>
      <c r="H3701" t="s">
        <v>41</v>
      </c>
      <c r="I3701" t="str">
        <f t="shared" si="286"/>
        <v>0-0</v>
      </c>
      <c r="J3701" t="str">
        <f t="shared" si="287"/>
        <v>0</v>
      </c>
      <c r="K3701" t="str">
        <f t="shared" si="288"/>
        <v>0</v>
      </c>
      <c r="L3701" t="str">
        <f t="shared" si="289"/>
        <v>Draw</v>
      </c>
      <c r="M3701" t="str">
        <f>IF(COUNTIF($A$2:A3701,A3701)=1,
     VLOOKUP(A3701,Season_Winners!A:B,2,FALSE),
     "")</f>
        <v/>
      </c>
    </row>
    <row r="3702" spans="1:13" hidden="1" x14ac:dyDescent="0.3">
      <c r="A3702" t="s">
        <v>1279</v>
      </c>
      <c r="B3702">
        <v>29</v>
      </c>
      <c r="C3702" t="s">
        <v>1391</v>
      </c>
      <c r="D3702" t="str">
        <f t="shared" si="285"/>
        <v>14.04.2023</v>
      </c>
      <c r="E3702" s="1">
        <v>0.875</v>
      </c>
      <c r="F3702" t="s">
        <v>30</v>
      </c>
      <c r="G3702" t="s">
        <v>23</v>
      </c>
      <c r="H3702" t="s">
        <v>13</v>
      </c>
      <c r="I3702" t="str">
        <f t="shared" si="286"/>
        <v>-</v>
      </c>
      <c r="J3702" t="str">
        <f t="shared" si="287"/>
        <v/>
      </c>
      <c r="K3702" t="str">
        <f t="shared" si="288"/>
        <v/>
      </c>
      <c r="L3702" t="str">
        <f t="shared" si="289"/>
        <v>Draw</v>
      </c>
      <c r="M3702" t="str">
        <f>IF(COUNTIF($A$2:A3702,A3702)=1,
     VLOOKUP(A3702,Season_Winners!A:B,2,FALSE),
     "")</f>
        <v/>
      </c>
    </row>
    <row r="3703" spans="1:13" hidden="1" x14ac:dyDescent="0.3">
      <c r="A3703" t="s">
        <v>1279</v>
      </c>
      <c r="B3703">
        <v>29</v>
      </c>
      <c r="C3703" t="s">
        <v>1392</v>
      </c>
      <c r="D3703" t="str">
        <f t="shared" si="285"/>
        <v>15.04.2023</v>
      </c>
      <c r="E3703" s="1">
        <v>0.58333333333333337</v>
      </c>
      <c r="F3703" t="s">
        <v>34</v>
      </c>
      <c r="G3703" t="s">
        <v>14</v>
      </c>
      <c r="H3703" t="s">
        <v>13</v>
      </c>
      <c r="I3703" t="str">
        <f t="shared" si="286"/>
        <v>-</v>
      </c>
      <c r="J3703" t="str">
        <f t="shared" si="287"/>
        <v/>
      </c>
      <c r="K3703" t="str">
        <f t="shared" si="288"/>
        <v/>
      </c>
      <c r="L3703" t="str">
        <f t="shared" si="289"/>
        <v>Draw</v>
      </c>
      <c r="M3703" t="str">
        <f>IF(COUNTIF($A$2:A3703,A3703)=1,
     VLOOKUP(A3703,Season_Winners!A:B,2,FALSE),
     "")</f>
        <v/>
      </c>
    </row>
    <row r="3704" spans="1:13" hidden="1" x14ac:dyDescent="0.3">
      <c r="A3704" t="s">
        <v>1279</v>
      </c>
      <c r="B3704">
        <v>29</v>
      </c>
      <c r="C3704" t="s">
        <v>1392</v>
      </c>
      <c r="D3704" t="str">
        <f t="shared" si="285"/>
        <v>15.04.2023</v>
      </c>
      <c r="E3704" s="1">
        <v>0.67708333333333337</v>
      </c>
      <c r="F3704" t="s">
        <v>15</v>
      </c>
      <c r="G3704" t="s">
        <v>10</v>
      </c>
      <c r="H3704" t="s">
        <v>13</v>
      </c>
      <c r="I3704" t="str">
        <f t="shared" si="286"/>
        <v>-</v>
      </c>
      <c r="J3704" t="str">
        <f t="shared" si="287"/>
        <v/>
      </c>
      <c r="K3704" t="str">
        <f t="shared" si="288"/>
        <v/>
      </c>
      <c r="L3704" t="str">
        <f t="shared" si="289"/>
        <v>Draw</v>
      </c>
      <c r="M3704" t="str">
        <f>IF(COUNTIF($A$2:A3704,A3704)=1,
     VLOOKUP(A3704,Season_Winners!A:B,2,FALSE),
     "")</f>
        <v/>
      </c>
    </row>
    <row r="3705" spans="1:13" hidden="1" x14ac:dyDescent="0.3">
      <c r="A3705" t="s">
        <v>1279</v>
      </c>
      <c r="B3705">
        <v>29</v>
      </c>
      <c r="C3705" t="s">
        <v>1392</v>
      </c>
      <c r="D3705" t="str">
        <f t="shared" si="285"/>
        <v>15.04.2023</v>
      </c>
      <c r="E3705" s="1">
        <v>0.77083333333333337</v>
      </c>
      <c r="F3705" t="s">
        <v>26</v>
      </c>
      <c r="G3705" t="s">
        <v>36</v>
      </c>
      <c r="H3705" t="s">
        <v>13</v>
      </c>
      <c r="I3705" t="str">
        <f t="shared" si="286"/>
        <v>-</v>
      </c>
      <c r="J3705" t="str">
        <f t="shared" si="287"/>
        <v/>
      </c>
      <c r="K3705" t="str">
        <f t="shared" si="288"/>
        <v/>
      </c>
      <c r="L3705" t="str">
        <f t="shared" si="289"/>
        <v>Draw</v>
      </c>
      <c r="M3705" t="str">
        <f>IF(COUNTIF($A$2:A3705,A3705)=1,
     VLOOKUP(A3705,Season_Winners!A:B,2,FALSE),
     "")</f>
        <v/>
      </c>
    </row>
    <row r="3706" spans="1:13" hidden="1" x14ac:dyDescent="0.3">
      <c r="A3706" t="s">
        <v>1279</v>
      </c>
      <c r="B3706">
        <v>29</v>
      </c>
      <c r="C3706" t="s">
        <v>1392</v>
      </c>
      <c r="D3706" t="str">
        <f t="shared" si="285"/>
        <v>15.04.2023</v>
      </c>
      <c r="E3706" s="1">
        <v>0.875</v>
      </c>
      <c r="F3706" t="s">
        <v>1000</v>
      </c>
      <c r="G3706" t="s">
        <v>25</v>
      </c>
      <c r="H3706" t="s">
        <v>13</v>
      </c>
      <c r="I3706" t="str">
        <f t="shared" si="286"/>
        <v>-</v>
      </c>
      <c r="J3706" t="str">
        <f t="shared" si="287"/>
        <v/>
      </c>
      <c r="K3706" t="str">
        <f t="shared" si="288"/>
        <v/>
      </c>
      <c r="L3706" t="str">
        <f t="shared" si="289"/>
        <v>Draw</v>
      </c>
      <c r="M3706" t="str">
        <f>IF(COUNTIF($A$2:A3706,A3706)=1,
     VLOOKUP(A3706,Season_Winners!A:B,2,FALSE),
     "")</f>
        <v/>
      </c>
    </row>
    <row r="3707" spans="1:13" hidden="1" x14ac:dyDescent="0.3">
      <c r="A3707" t="s">
        <v>1279</v>
      </c>
      <c r="B3707">
        <v>29</v>
      </c>
      <c r="C3707" t="s">
        <v>1393</v>
      </c>
      <c r="D3707" t="str">
        <f t="shared" si="285"/>
        <v>16.04.2023</v>
      </c>
      <c r="E3707" s="1">
        <v>0.58333333333333337</v>
      </c>
      <c r="F3707" t="s">
        <v>606</v>
      </c>
      <c r="G3707" t="s">
        <v>31</v>
      </c>
      <c r="H3707" t="s">
        <v>13</v>
      </c>
      <c r="I3707" t="str">
        <f t="shared" si="286"/>
        <v>-</v>
      </c>
      <c r="J3707" t="str">
        <f t="shared" si="287"/>
        <v/>
      </c>
      <c r="K3707" t="str">
        <f t="shared" si="288"/>
        <v/>
      </c>
      <c r="L3707" t="str">
        <f t="shared" si="289"/>
        <v>Draw</v>
      </c>
      <c r="M3707" t="str">
        <f>IF(COUNTIF($A$2:A3707,A3707)=1,
     VLOOKUP(A3707,Season_Winners!A:B,2,FALSE),
     "")</f>
        <v/>
      </c>
    </row>
    <row r="3708" spans="1:13" hidden="1" x14ac:dyDescent="0.3">
      <c r="A3708" t="s">
        <v>1279</v>
      </c>
      <c r="B3708">
        <v>29</v>
      </c>
      <c r="C3708" t="s">
        <v>1393</v>
      </c>
      <c r="D3708" t="str">
        <f t="shared" si="285"/>
        <v>16.04.2023</v>
      </c>
      <c r="E3708" s="1">
        <v>0.67708333333333337</v>
      </c>
      <c r="F3708" t="s">
        <v>11</v>
      </c>
      <c r="G3708" t="s">
        <v>20</v>
      </c>
      <c r="H3708" t="s">
        <v>13</v>
      </c>
      <c r="I3708" t="str">
        <f t="shared" si="286"/>
        <v>-</v>
      </c>
      <c r="J3708" t="str">
        <f t="shared" si="287"/>
        <v/>
      </c>
      <c r="K3708" t="str">
        <f t="shared" si="288"/>
        <v/>
      </c>
      <c r="L3708" t="str">
        <f t="shared" si="289"/>
        <v>Draw</v>
      </c>
      <c r="M3708" t="str">
        <f>IF(COUNTIF($A$2:A3708,A3708)=1,
     VLOOKUP(A3708,Season_Winners!A:B,2,FALSE),
     "")</f>
        <v/>
      </c>
    </row>
    <row r="3709" spans="1:13" hidden="1" x14ac:dyDescent="0.3">
      <c r="A3709" t="s">
        <v>1279</v>
      </c>
      <c r="B3709">
        <v>29</v>
      </c>
      <c r="C3709" t="s">
        <v>1393</v>
      </c>
      <c r="D3709" t="str">
        <f t="shared" si="285"/>
        <v>16.04.2023</v>
      </c>
      <c r="E3709" s="1">
        <v>0.77083333333333337</v>
      </c>
      <c r="F3709" t="s">
        <v>28</v>
      </c>
      <c r="G3709" t="s">
        <v>33</v>
      </c>
      <c r="H3709" t="s">
        <v>13</v>
      </c>
      <c r="I3709" t="str">
        <f t="shared" si="286"/>
        <v>-</v>
      </c>
      <c r="J3709" t="str">
        <f t="shared" si="287"/>
        <v/>
      </c>
      <c r="K3709" t="str">
        <f t="shared" si="288"/>
        <v/>
      </c>
      <c r="L3709" t="str">
        <f t="shared" si="289"/>
        <v>Draw</v>
      </c>
      <c r="M3709" t="str">
        <f>IF(COUNTIF($A$2:A3709,A3709)=1,
     VLOOKUP(A3709,Season_Winners!A:B,2,FALSE),
     "")</f>
        <v/>
      </c>
    </row>
    <row r="3710" spans="1:13" hidden="1" x14ac:dyDescent="0.3">
      <c r="A3710" t="s">
        <v>1279</v>
      </c>
      <c r="B3710">
        <v>29</v>
      </c>
      <c r="C3710" t="s">
        <v>1393</v>
      </c>
      <c r="D3710" t="str">
        <f t="shared" si="285"/>
        <v>16.04.2023</v>
      </c>
      <c r="E3710" s="1">
        <v>0.875</v>
      </c>
      <c r="F3710" t="s">
        <v>16</v>
      </c>
      <c r="G3710" t="s">
        <v>27</v>
      </c>
      <c r="H3710" t="s">
        <v>13</v>
      </c>
      <c r="I3710" t="str">
        <f t="shared" si="286"/>
        <v>-</v>
      </c>
      <c r="J3710" t="str">
        <f t="shared" si="287"/>
        <v/>
      </c>
      <c r="K3710" t="str">
        <f t="shared" si="288"/>
        <v/>
      </c>
      <c r="L3710" t="str">
        <f t="shared" si="289"/>
        <v>Draw</v>
      </c>
      <c r="M3710" t="str">
        <f>IF(COUNTIF($A$2:A3710,A3710)=1,
     VLOOKUP(A3710,Season_Winners!A:B,2,FALSE),
     "")</f>
        <v/>
      </c>
    </row>
    <row r="3711" spans="1:13" hidden="1" x14ac:dyDescent="0.3">
      <c r="A3711" t="s">
        <v>1279</v>
      </c>
      <c r="B3711">
        <v>29</v>
      </c>
      <c r="C3711" t="s">
        <v>1394</v>
      </c>
      <c r="D3711" t="str">
        <f t="shared" si="285"/>
        <v>17.04.2023</v>
      </c>
      <c r="E3711" s="1">
        <v>0.875</v>
      </c>
      <c r="F3711" t="s">
        <v>35</v>
      </c>
      <c r="G3711" t="s">
        <v>881</v>
      </c>
      <c r="H3711" t="s">
        <v>13</v>
      </c>
      <c r="I3711" t="str">
        <f t="shared" si="286"/>
        <v>-</v>
      </c>
      <c r="J3711" t="str">
        <f t="shared" si="287"/>
        <v/>
      </c>
      <c r="K3711" t="str">
        <f t="shared" si="288"/>
        <v/>
      </c>
      <c r="L3711" t="str">
        <f t="shared" si="289"/>
        <v>Draw</v>
      </c>
      <c r="M3711" t="str">
        <f>IF(COUNTIF($A$2:A3711,A3711)=1,
     VLOOKUP(A3711,Season_Winners!A:B,2,FALSE),
     "")</f>
        <v/>
      </c>
    </row>
    <row r="3712" spans="1:13" hidden="1" x14ac:dyDescent="0.3">
      <c r="A3712" t="s">
        <v>1279</v>
      </c>
      <c r="B3712">
        <v>30</v>
      </c>
      <c r="C3712" t="s">
        <v>1395</v>
      </c>
      <c r="D3712" t="str">
        <f t="shared" si="285"/>
        <v>21.04.2023</v>
      </c>
      <c r="E3712" s="1">
        <v>0.875</v>
      </c>
      <c r="F3712" t="s">
        <v>36</v>
      </c>
      <c r="G3712" t="s">
        <v>1000</v>
      </c>
      <c r="H3712" t="s">
        <v>13</v>
      </c>
      <c r="I3712" t="str">
        <f t="shared" si="286"/>
        <v>-</v>
      </c>
      <c r="J3712" t="str">
        <f t="shared" si="287"/>
        <v/>
      </c>
      <c r="K3712" t="str">
        <f t="shared" si="288"/>
        <v/>
      </c>
      <c r="L3712" t="str">
        <f t="shared" si="289"/>
        <v>Draw</v>
      </c>
      <c r="M3712" t="str">
        <f>IF(COUNTIF($A$2:A3712,A3712)=1,
     VLOOKUP(A3712,Season_Winners!A:B,2,FALSE),
     "")</f>
        <v/>
      </c>
    </row>
    <row r="3713" spans="1:13" hidden="1" x14ac:dyDescent="0.3">
      <c r="A3713" t="s">
        <v>1279</v>
      </c>
      <c r="B3713">
        <v>30</v>
      </c>
      <c r="C3713" t="s">
        <v>1396</v>
      </c>
      <c r="D3713" t="str">
        <f t="shared" si="285"/>
        <v>22.04.2023</v>
      </c>
      <c r="E3713" s="1">
        <v>0.58333333333333337</v>
      </c>
      <c r="F3713" t="s">
        <v>23</v>
      </c>
      <c r="G3713" t="s">
        <v>26</v>
      </c>
      <c r="H3713" t="s">
        <v>13</v>
      </c>
      <c r="I3713" t="str">
        <f t="shared" si="286"/>
        <v>-</v>
      </c>
      <c r="J3713" t="str">
        <f t="shared" si="287"/>
        <v/>
      </c>
      <c r="K3713" t="str">
        <f t="shared" si="288"/>
        <v/>
      </c>
      <c r="L3713" t="str">
        <f t="shared" si="289"/>
        <v>Draw</v>
      </c>
      <c r="M3713" t="str">
        <f>IF(COUNTIF($A$2:A3713,A3713)=1,
     VLOOKUP(A3713,Season_Winners!A:B,2,FALSE),
     "")</f>
        <v/>
      </c>
    </row>
    <row r="3714" spans="1:13" hidden="1" x14ac:dyDescent="0.3">
      <c r="A3714" t="s">
        <v>1279</v>
      </c>
      <c r="B3714">
        <v>30</v>
      </c>
      <c r="C3714" t="s">
        <v>1396</v>
      </c>
      <c r="D3714" t="str">
        <f t="shared" ref="D3714:D3777" si="290">RIGHT(C3714,10)</f>
        <v>22.04.2023</v>
      </c>
      <c r="E3714" s="1">
        <v>0.67708333333333337</v>
      </c>
      <c r="F3714" t="s">
        <v>33</v>
      </c>
      <c r="G3714" t="s">
        <v>15</v>
      </c>
      <c r="H3714" t="s">
        <v>13</v>
      </c>
      <c r="I3714" t="str">
        <f t="shared" ref="I3714:I3777" si="291">IF(ISNUMBER(SEARCH("-",H3714)),H3714,"")</f>
        <v>-</v>
      </c>
      <c r="J3714" t="str">
        <f t="shared" ref="J3714:J3777" si="292">IF(I3714="","",LEFT(I3714,FIND("-",I3714)-1))</f>
        <v/>
      </c>
      <c r="K3714" t="str">
        <f t="shared" ref="K3714:K3777" si="293">IF(I3714="","",RIGHT(I3714,LEN(I3714)-FIND("-",I3714)))</f>
        <v/>
      </c>
      <c r="L3714" t="str">
        <f t="shared" ref="L3714:L3777" si="294">IF(I3714="","",IF(J3714&gt;K3714,F3714,IF(K3714&gt;J3714,G3714,"Draw")))</f>
        <v>Draw</v>
      </c>
      <c r="M3714" t="str">
        <f>IF(COUNTIF($A$2:A3714,A3714)=1,
     VLOOKUP(A3714,Season_Winners!A:B,2,FALSE),
     "")</f>
        <v/>
      </c>
    </row>
    <row r="3715" spans="1:13" hidden="1" x14ac:dyDescent="0.3">
      <c r="A3715" t="s">
        <v>1279</v>
      </c>
      <c r="B3715">
        <v>30</v>
      </c>
      <c r="C3715" t="s">
        <v>1396</v>
      </c>
      <c r="D3715" t="str">
        <f t="shared" si="290"/>
        <v>22.04.2023</v>
      </c>
      <c r="E3715" s="1">
        <v>0.77083333333333337</v>
      </c>
      <c r="F3715" t="s">
        <v>10</v>
      </c>
      <c r="G3715" t="s">
        <v>30</v>
      </c>
      <c r="H3715" t="s">
        <v>13</v>
      </c>
      <c r="I3715" t="str">
        <f t="shared" si="291"/>
        <v>-</v>
      </c>
      <c r="J3715" t="str">
        <f t="shared" si="292"/>
        <v/>
      </c>
      <c r="K3715" t="str">
        <f t="shared" si="293"/>
        <v/>
      </c>
      <c r="L3715" t="str">
        <f t="shared" si="294"/>
        <v>Draw</v>
      </c>
      <c r="M3715" t="str">
        <f>IF(COUNTIF($A$2:A3715,A3715)=1,
     VLOOKUP(A3715,Season_Winners!A:B,2,FALSE),
     "")</f>
        <v/>
      </c>
    </row>
    <row r="3716" spans="1:13" hidden="1" x14ac:dyDescent="0.3">
      <c r="A3716" t="s">
        <v>1279</v>
      </c>
      <c r="B3716">
        <v>30</v>
      </c>
      <c r="C3716" t="s">
        <v>1396</v>
      </c>
      <c r="D3716" t="str">
        <f t="shared" si="290"/>
        <v>22.04.2023</v>
      </c>
      <c r="E3716" s="1">
        <v>0.77083333333333337</v>
      </c>
      <c r="F3716" t="s">
        <v>14</v>
      </c>
      <c r="G3716" t="s">
        <v>606</v>
      </c>
      <c r="H3716" t="s">
        <v>13</v>
      </c>
      <c r="I3716" t="str">
        <f t="shared" si="291"/>
        <v>-</v>
      </c>
      <c r="J3716" t="str">
        <f t="shared" si="292"/>
        <v/>
      </c>
      <c r="K3716" t="str">
        <f t="shared" si="293"/>
        <v/>
      </c>
      <c r="L3716" t="str">
        <f t="shared" si="294"/>
        <v>Draw</v>
      </c>
      <c r="M3716" t="str">
        <f>IF(COUNTIF($A$2:A3716,A3716)=1,
     VLOOKUP(A3716,Season_Winners!A:B,2,FALSE),
     "")</f>
        <v/>
      </c>
    </row>
    <row r="3717" spans="1:13" hidden="1" x14ac:dyDescent="0.3">
      <c r="A3717" t="s">
        <v>1279</v>
      </c>
      <c r="B3717">
        <v>30</v>
      </c>
      <c r="C3717" t="s">
        <v>1396</v>
      </c>
      <c r="D3717" t="str">
        <f t="shared" si="290"/>
        <v>22.04.2023</v>
      </c>
      <c r="E3717" s="1">
        <v>0.875</v>
      </c>
      <c r="F3717" t="s">
        <v>25</v>
      </c>
      <c r="G3717" t="s">
        <v>35</v>
      </c>
      <c r="H3717" t="s">
        <v>13</v>
      </c>
      <c r="I3717" t="str">
        <f t="shared" si="291"/>
        <v>-</v>
      </c>
      <c r="J3717" t="str">
        <f t="shared" si="292"/>
        <v/>
      </c>
      <c r="K3717" t="str">
        <f t="shared" si="293"/>
        <v/>
      </c>
      <c r="L3717" t="str">
        <f t="shared" si="294"/>
        <v>Draw</v>
      </c>
      <c r="M3717" t="str">
        <f>IF(COUNTIF($A$2:A3717,A3717)=1,
     VLOOKUP(A3717,Season_Winners!A:B,2,FALSE),
     "")</f>
        <v/>
      </c>
    </row>
    <row r="3718" spans="1:13" hidden="1" x14ac:dyDescent="0.3">
      <c r="A3718" t="s">
        <v>1279</v>
      </c>
      <c r="B3718">
        <v>30</v>
      </c>
      <c r="C3718" t="s">
        <v>1397</v>
      </c>
      <c r="D3718" t="str">
        <f t="shared" si="290"/>
        <v>23.04.2023</v>
      </c>
      <c r="E3718" s="1">
        <v>0.58333333333333337</v>
      </c>
      <c r="F3718" t="s">
        <v>31</v>
      </c>
      <c r="G3718" t="s">
        <v>16</v>
      </c>
      <c r="H3718" t="s">
        <v>13</v>
      </c>
      <c r="I3718" t="str">
        <f t="shared" si="291"/>
        <v>-</v>
      </c>
      <c r="J3718" t="str">
        <f t="shared" si="292"/>
        <v/>
      </c>
      <c r="K3718" t="str">
        <f t="shared" si="293"/>
        <v/>
      </c>
      <c r="L3718" t="str">
        <f t="shared" si="294"/>
        <v>Draw</v>
      </c>
      <c r="M3718" t="str">
        <f>IF(COUNTIF($A$2:A3718,A3718)=1,
     VLOOKUP(A3718,Season_Winners!A:B,2,FALSE),
     "")</f>
        <v/>
      </c>
    </row>
    <row r="3719" spans="1:13" hidden="1" x14ac:dyDescent="0.3">
      <c r="A3719" t="s">
        <v>1279</v>
      </c>
      <c r="B3719">
        <v>30</v>
      </c>
      <c r="C3719" t="s">
        <v>1397</v>
      </c>
      <c r="D3719" t="str">
        <f t="shared" si="290"/>
        <v>23.04.2023</v>
      </c>
      <c r="E3719" s="1">
        <v>0.67708333333333337</v>
      </c>
      <c r="F3719" t="s">
        <v>20</v>
      </c>
      <c r="G3719" t="s">
        <v>28</v>
      </c>
      <c r="H3719" t="s">
        <v>13</v>
      </c>
      <c r="I3719" t="str">
        <f t="shared" si="291"/>
        <v>-</v>
      </c>
      <c r="J3719" t="str">
        <f t="shared" si="292"/>
        <v/>
      </c>
      <c r="K3719" t="str">
        <f t="shared" si="293"/>
        <v/>
      </c>
      <c r="L3719" t="str">
        <f t="shared" si="294"/>
        <v>Draw</v>
      </c>
      <c r="M3719" t="str">
        <f>IF(COUNTIF($A$2:A3719,A3719)=1,
     VLOOKUP(A3719,Season_Winners!A:B,2,FALSE),
     "")</f>
        <v/>
      </c>
    </row>
    <row r="3720" spans="1:13" hidden="1" x14ac:dyDescent="0.3">
      <c r="A3720" t="s">
        <v>1279</v>
      </c>
      <c r="B3720">
        <v>30</v>
      </c>
      <c r="C3720" t="s">
        <v>1397</v>
      </c>
      <c r="D3720" t="str">
        <f t="shared" si="290"/>
        <v>23.04.2023</v>
      </c>
      <c r="E3720" s="1">
        <v>0.77083333333333337</v>
      </c>
      <c r="F3720" t="s">
        <v>881</v>
      </c>
      <c r="G3720" t="s">
        <v>11</v>
      </c>
      <c r="H3720" t="s">
        <v>13</v>
      </c>
      <c r="I3720" t="str">
        <f t="shared" si="291"/>
        <v>-</v>
      </c>
      <c r="J3720" t="str">
        <f t="shared" si="292"/>
        <v/>
      </c>
      <c r="K3720" t="str">
        <f t="shared" si="293"/>
        <v/>
      </c>
      <c r="L3720" t="str">
        <f t="shared" si="294"/>
        <v>Draw</v>
      </c>
      <c r="M3720" t="str">
        <f>IF(COUNTIF($A$2:A3720,A3720)=1,
     VLOOKUP(A3720,Season_Winners!A:B,2,FALSE),
     "")</f>
        <v/>
      </c>
    </row>
    <row r="3721" spans="1:13" hidden="1" x14ac:dyDescent="0.3">
      <c r="A3721" t="s">
        <v>1279</v>
      </c>
      <c r="B3721">
        <v>30</v>
      </c>
      <c r="C3721" t="s">
        <v>1397</v>
      </c>
      <c r="D3721" t="str">
        <f t="shared" si="290"/>
        <v>23.04.2023</v>
      </c>
      <c r="E3721" s="1">
        <v>0.875</v>
      </c>
      <c r="F3721" t="s">
        <v>27</v>
      </c>
      <c r="G3721" t="s">
        <v>34</v>
      </c>
      <c r="H3721" t="s">
        <v>13</v>
      </c>
      <c r="I3721" t="str">
        <f t="shared" si="291"/>
        <v>-</v>
      </c>
      <c r="J3721" t="str">
        <f t="shared" si="292"/>
        <v/>
      </c>
      <c r="K3721" t="str">
        <f t="shared" si="293"/>
        <v/>
      </c>
      <c r="L3721" t="str">
        <f t="shared" si="294"/>
        <v>Draw</v>
      </c>
      <c r="M3721" t="str">
        <f>IF(COUNTIF($A$2:A3721,A3721)=1,
     VLOOKUP(A3721,Season_Winners!A:B,2,FALSE),
     "")</f>
        <v/>
      </c>
    </row>
    <row r="3722" spans="1:13" hidden="1" x14ac:dyDescent="0.3">
      <c r="A3722" t="s">
        <v>1279</v>
      </c>
      <c r="B3722">
        <v>31</v>
      </c>
      <c r="C3722" t="s">
        <v>1398</v>
      </c>
      <c r="D3722" t="str">
        <f t="shared" si="290"/>
        <v>25.04.2023</v>
      </c>
      <c r="E3722" s="1">
        <v>0.8125</v>
      </c>
      <c r="F3722" t="s">
        <v>1000</v>
      </c>
      <c r="G3722" t="s">
        <v>23</v>
      </c>
      <c r="H3722" t="s">
        <v>13</v>
      </c>
      <c r="I3722" t="str">
        <f t="shared" si="291"/>
        <v>-</v>
      </c>
      <c r="J3722" t="str">
        <f t="shared" si="292"/>
        <v/>
      </c>
      <c r="K3722" t="str">
        <f t="shared" si="293"/>
        <v/>
      </c>
      <c r="L3722" t="str">
        <f t="shared" si="294"/>
        <v>Draw</v>
      </c>
      <c r="M3722" t="str">
        <f>IF(COUNTIF($A$2:A3722,A3722)=1,
     VLOOKUP(A3722,Season_Winners!A:B,2,FALSE),
     "")</f>
        <v/>
      </c>
    </row>
    <row r="3723" spans="1:13" hidden="1" x14ac:dyDescent="0.3">
      <c r="A3723" t="s">
        <v>1279</v>
      </c>
      <c r="B3723">
        <v>31</v>
      </c>
      <c r="C3723" t="s">
        <v>1398</v>
      </c>
      <c r="D3723" t="str">
        <f t="shared" si="290"/>
        <v>25.04.2023</v>
      </c>
      <c r="E3723" s="1">
        <v>0.8125</v>
      </c>
      <c r="F3723" t="s">
        <v>606</v>
      </c>
      <c r="G3723" t="s">
        <v>25</v>
      </c>
      <c r="H3723" t="s">
        <v>13</v>
      </c>
      <c r="I3723" t="str">
        <f t="shared" si="291"/>
        <v>-</v>
      </c>
      <c r="J3723" t="str">
        <f t="shared" si="292"/>
        <v/>
      </c>
      <c r="K3723" t="str">
        <f t="shared" si="293"/>
        <v/>
      </c>
      <c r="L3723" t="str">
        <f t="shared" si="294"/>
        <v>Draw</v>
      </c>
      <c r="M3723" t="str">
        <f>IF(COUNTIF($A$2:A3723,A3723)=1,
     VLOOKUP(A3723,Season_Winners!A:B,2,FALSE),
     "")</f>
        <v/>
      </c>
    </row>
    <row r="3724" spans="1:13" hidden="1" x14ac:dyDescent="0.3">
      <c r="A3724" t="s">
        <v>1279</v>
      </c>
      <c r="B3724">
        <v>31</v>
      </c>
      <c r="C3724" t="s">
        <v>1398</v>
      </c>
      <c r="D3724" t="str">
        <f t="shared" si="290"/>
        <v>25.04.2023</v>
      </c>
      <c r="E3724" s="1">
        <v>0.91666666666666663</v>
      </c>
      <c r="F3724" t="s">
        <v>26</v>
      </c>
      <c r="G3724" t="s">
        <v>10</v>
      </c>
      <c r="H3724" t="s">
        <v>13</v>
      </c>
      <c r="I3724" t="str">
        <f t="shared" si="291"/>
        <v>-</v>
      </c>
      <c r="J3724" t="str">
        <f t="shared" si="292"/>
        <v/>
      </c>
      <c r="K3724" t="str">
        <f t="shared" si="293"/>
        <v/>
      </c>
      <c r="L3724" t="str">
        <f t="shared" si="294"/>
        <v>Draw</v>
      </c>
      <c r="M3724" t="str">
        <f>IF(COUNTIF($A$2:A3724,A3724)=1,
     VLOOKUP(A3724,Season_Winners!A:B,2,FALSE),
     "")</f>
        <v/>
      </c>
    </row>
    <row r="3725" spans="1:13" hidden="1" x14ac:dyDescent="0.3">
      <c r="A3725" t="s">
        <v>1279</v>
      </c>
      <c r="B3725">
        <v>31</v>
      </c>
      <c r="C3725" t="s">
        <v>1399</v>
      </c>
      <c r="D3725" t="str">
        <f t="shared" si="290"/>
        <v>26.04.2023</v>
      </c>
      <c r="E3725" s="1">
        <v>0.8125</v>
      </c>
      <c r="F3725" t="s">
        <v>28</v>
      </c>
      <c r="G3725" t="s">
        <v>881</v>
      </c>
      <c r="H3725" t="s">
        <v>13</v>
      </c>
      <c r="I3725" t="str">
        <f t="shared" si="291"/>
        <v>-</v>
      </c>
      <c r="J3725" t="str">
        <f t="shared" si="292"/>
        <v/>
      </c>
      <c r="K3725" t="str">
        <f t="shared" si="293"/>
        <v/>
      </c>
      <c r="L3725" t="str">
        <f t="shared" si="294"/>
        <v>Draw</v>
      </c>
      <c r="M3725" t="str">
        <f>IF(COUNTIF($A$2:A3725,A3725)=1,
     VLOOKUP(A3725,Season_Winners!A:B,2,FALSE),
     "")</f>
        <v/>
      </c>
    </row>
    <row r="3726" spans="1:13" hidden="1" x14ac:dyDescent="0.3">
      <c r="A3726" t="s">
        <v>1279</v>
      </c>
      <c r="B3726">
        <v>31</v>
      </c>
      <c r="C3726" t="s">
        <v>1399</v>
      </c>
      <c r="D3726" t="str">
        <f t="shared" si="290"/>
        <v>26.04.2023</v>
      </c>
      <c r="E3726" s="1">
        <v>0.8125</v>
      </c>
      <c r="F3726" t="s">
        <v>11</v>
      </c>
      <c r="G3726" t="s">
        <v>33</v>
      </c>
      <c r="H3726" t="s">
        <v>13</v>
      </c>
      <c r="I3726" t="str">
        <f t="shared" si="291"/>
        <v>-</v>
      </c>
      <c r="J3726" t="str">
        <f t="shared" si="292"/>
        <v/>
      </c>
      <c r="K3726" t="str">
        <f t="shared" si="293"/>
        <v/>
      </c>
      <c r="L3726" t="str">
        <f t="shared" si="294"/>
        <v>Draw</v>
      </c>
      <c r="M3726" t="str">
        <f>IF(COUNTIF($A$2:A3726,A3726)=1,
     VLOOKUP(A3726,Season_Winners!A:B,2,FALSE),
     "")</f>
        <v/>
      </c>
    </row>
    <row r="3727" spans="1:13" hidden="1" x14ac:dyDescent="0.3">
      <c r="A3727" t="s">
        <v>1279</v>
      </c>
      <c r="B3727">
        <v>31</v>
      </c>
      <c r="C3727" t="s">
        <v>1399</v>
      </c>
      <c r="D3727" t="str">
        <f t="shared" si="290"/>
        <v>26.04.2023</v>
      </c>
      <c r="E3727" s="1">
        <v>0.91666666666666663</v>
      </c>
      <c r="F3727" t="s">
        <v>35</v>
      </c>
      <c r="G3727" t="s">
        <v>31</v>
      </c>
      <c r="H3727" t="s">
        <v>13</v>
      </c>
      <c r="I3727" t="str">
        <f t="shared" si="291"/>
        <v>-</v>
      </c>
      <c r="J3727" t="str">
        <f t="shared" si="292"/>
        <v/>
      </c>
      <c r="K3727" t="str">
        <f t="shared" si="293"/>
        <v/>
      </c>
      <c r="L3727" t="str">
        <f t="shared" si="294"/>
        <v>Draw</v>
      </c>
      <c r="M3727" t="str">
        <f>IF(COUNTIF($A$2:A3727,A3727)=1,
     VLOOKUP(A3727,Season_Winners!A:B,2,FALSE),
     "")</f>
        <v/>
      </c>
    </row>
    <row r="3728" spans="1:13" hidden="1" x14ac:dyDescent="0.3">
      <c r="A3728" t="s">
        <v>1279</v>
      </c>
      <c r="B3728">
        <v>31</v>
      </c>
      <c r="C3728" t="s">
        <v>1399</v>
      </c>
      <c r="D3728" t="str">
        <f t="shared" si="290"/>
        <v>26.04.2023</v>
      </c>
      <c r="E3728" s="1">
        <v>0.91666666666666663</v>
      </c>
      <c r="F3728" t="s">
        <v>30</v>
      </c>
      <c r="G3728" t="s">
        <v>20</v>
      </c>
      <c r="H3728" t="s">
        <v>13</v>
      </c>
      <c r="I3728" t="str">
        <f t="shared" si="291"/>
        <v>-</v>
      </c>
      <c r="J3728" t="str">
        <f t="shared" si="292"/>
        <v/>
      </c>
      <c r="K3728" t="str">
        <f t="shared" si="293"/>
        <v/>
      </c>
      <c r="L3728" t="str">
        <f t="shared" si="294"/>
        <v>Draw</v>
      </c>
      <c r="M3728" t="str">
        <f>IF(COUNTIF($A$2:A3728,A3728)=1,
     VLOOKUP(A3728,Season_Winners!A:B,2,FALSE),
     "")</f>
        <v/>
      </c>
    </row>
    <row r="3729" spans="1:13" hidden="1" x14ac:dyDescent="0.3">
      <c r="A3729" t="s">
        <v>1279</v>
      </c>
      <c r="B3729">
        <v>31</v>
      </c>
      <c r="C3729" t="s">
        <v>1400</v>
      </c>
      <c r="D3729" t="str">
        <f t="shared" si="290"/>
        <v>27.04.2023</v>
      </c>
      <c r="E3729" s="1">
        <v>0.8125</v>
      </c>
      <c r="F3729" t="s">
        <v>16</v>
      </c>
      <c r="G3729" t="s">
        <v>14</v>
      </c>
      <c r="H3729" t="s">
        <v>13</v>
      </c>
      <c r="I3729" t="str">
        <f t="shared" si="291"/>
        <v>-</v>
      </c>
      <c r="J3729" t="str">
        <f t="shared" si="292"/>
        <v/>
      </c>
      <c r="K3729" t="str">
        <f t="shared" si="293"/>
        <v/>
      </c>
      <c r="L3729" t="str">
        <f t="shared" si="294"/>
        <v>Draw</v>
      </c>
      <c r="M3729" t="str">
        <f>IF(COUNTIF($A$2:A3729,A3729)=1,
     VLOOKUP(A3729,Season_Winners!A:B,2,FALSE),
     "")</f>
        <v/>
      </c>
    </row>
    <row r="3730" spans="1:13" hidden="1" x14ac:dyDescent="0.3">
      <c r="A3730" t="s">
        <v>1279</v>
      </c>
      <c r="B3730">
        <v>31</v>
      </c>
      <c r="C3730" t="s">
        <v>1400</v>
      </c>
      <c r="D3730" t="str">
        <f t="shared" si="290"/>
        <v>27.04.2023</v>
      </c>
      <c r="E3730" s="1">
        <v>0.8125</v>
      </c>
      <c r="F3730" t="s">
        <v>34</v>
      </c>
      <c r="G3730" t="s">
        <v>36</v>
      </c>
      <c r="H3730" t="s">
        <v>13</v>
      </c>
      <c r="I3730" t="str">
        <f t="shared" si="291"/>
        <v>-</v>
      </c>
      <c r="J3730" t="str">
        <f t="shared" si="292"/>
        <v/>
      </c>
      <c r="K3730" t="str">
        <f t="shared" si="293"/>
        <v/>
      </c>
      <c r="L3730" t="str">
        <f t="shared" si="294"/>
        <v>Draw</v>
      </c>
      <c r="M3730" t="str">
        <f>IF(COUNTIF($A$2:A3730,A3730)=1,
     VLOOKUP(A3730,Season_Winners!A:B,2,FALSE),
     "")</f>
        <v/>
      </c>
    </row>
    <row r="3731" spans="1:13" hidden="1" x14ac:dyDescent="0.3">
      <c r="A3731" t="s">
        <v>1279</v>
      </c>
      <c r="B3731">
        <v>31</v>
      </c>
      <c r="C3731" t="s">
        <v>1400</v>
      </c>
      <c r="D3731" t="str">
        <f t="shared" si="290"/>
        <v>27.04.2023</v>
      </c>
      <c r="E3731" s="1">
        <v>0.91666666666666663</v>
      </c>
      <c r="F3731" t="s">
        <v>15</v>
      </c>
      <c r="G3731" t="s">
        <v>27</v>
      </c>
      <c r="H3731" t="s">
        <v>13</v>
      </c>
      <c r="I3731" t="str">
        <f t="shared" si="291"/>
        <v>-</v>
      </c>
      <c r="J3731" t="str">
        <f t="shared" si="292"/>
        <v/>
      </c>
      <c r="K3731" t="str">
        <f t="shared" si="293"/>
        <v/>
      </c>
      <c r="L3731" t="str">
        <f t="shared" si="294"/>
        <v>Draw</v>
      </c>
      <c r="M3731" t="str">
        <f>IF(COUNTIF($A$2:A3731,A3731)=1,
     VLOOKUP(A3731,Season_Winners!A:B,2,FALSE),
     "")</f>
        <v/>
      </c>
    </row>
    <row r="3732" spans="1:13" hidden="1" x14ac:dyDescent="0.3">
      <c r="A3732" t="s">
        <v>1279</v>
      </c>
      <c r="B3732">
        <v>32</v>
      </c>
      <c r="C3732" t="s">
        <v>1401</v>
      </c>
      <c r="D3732" t="str">
        <f t="shared" si="290"/>
        <v>28.04.2023</v>
      </c>
      <c r="E3732" s="1">
        <v>0.875</v>
      </c>
      <c r="F3732" t="s">
        <v>23</v>
      </c>
      <c r="G3732" t="s">
        <v>10</v>
      </c>
      <c r="H3732" t="s">
        <v>13</v>
      </c>
      <c r="I3732" t="str">
        <f t="shared" si="291"/>
        <v>-</v>
      </c>
      <c r="J3732" t="str">
        <f t="shared" si="292"/>
        <v/>
      </c>
      <c r="K3732" t="str">
        <f t="shared" si="293"/>
        <v/>
      </c>
      <c r="L3732" t="str">
        <f t="shared" si="294"/>
        <v>Draw</v>
      </c>
      <c r="M3732" t="str">
        <f>IF(COUNTIF($A$2:A3732,A3732)=1,
     VLOOKUP(A3732,Season_Winners!A:B,2,FALSE),
     "")</f>
        <v/>
      </c>
    </row>
    <row r="3733" spans="1:13" hidden="1" x14ac:dyDescent="0.3">
      <c r="A3733" t="s">
        <v>1279</v>
      </c>
      <c r="B3733">
        <v>32</v>
      </c>
      <c r="C3733" t="s">
        <v>1402</v>
      </c>
      <c r="D3733" t="str">
        <f t="shared" si="290"/>
        <v>29.04.2023</v>
      </c>
      <c r="E3733" s="1">
        <v>0.67708333333333337</v>
      </c>
      <c r="F3733" t="s">
        <v>31</v>
      </c>
      <c r="G3733" t="s">
        <v>30</v>
      </c>
      <c r="H3733" t="s">
        <v>13</v>
      </c>
      <c r="I3733" t="str">
        <f t="shared" si="291"/>
        <v>-</v>
      </c>
      <c r="J3733" t="str">
        <f t="shared" si="292"/>
        <v/>
      </c>
      <c r="K3733" t="str">
        <f t="shared" si="293"/>
        <v/>
      </c>
      <c r="L3733" t="str">
        <f t="shared" si="294"/>
        <v>Draw</v>
      </c>
      <c r="M3733" t="str">
        <f>IF(COUNTIF($A$2:A3733,A3733)=1,
     VLOOKUP(A3733,Season_Winners!A:B,2,FALSE),
     "")</f>
        <v/>
      </c>
    </row>
    <row r="3734" spans="1:13" hidden="1" x14ac:dyDescent="0.3">
      <c r="A3734" t="s">
        <v>1279</v>
      </c>
      <c r="B3734">
        <v>32</v>
      </c>
      <c r="C3734" t="s">
        <v>1402</v>
      </c>
      <c r="D3734" t="str">
        <f t="shared" si="290"/>
        <v>29.04.2023</v>
      </c>
      <c r="E3734" s="1">
        <v>0.77083333333333337</v>
      </c>
      <c r="F3734" t="s">
        <v>25</v>
      </c>
      <c r="G3734" t="s">
        <v>33</v>
      </c>
      <c r="H3734" t="s">
        <v>13</v>
      </c>
      <c r="I3734" t="str">
        <f t="shared" si="291"/>
        <v>-</v>
      </c>
      <c r="J3734" t="str">
        <f t="shared" si="292"/>
        <v/>
      </c>
      <c r="K3734" t="str">
        <f t="shared" si="293"/>
        <v/>
      </c>
      <c r="L3734" t="str">
        <f t="shared" si="294"/>
        <v>Draw</v>
      </c>
      <c r="M3734" t="str">
        <f>IF(COUNTIF($A$2:A3734,A3734)=1,
     VLOOKUP(A3734,Season_Winners!A:B,2,FALSE),
     "")</f>
        <v/>
      </c>
    </row>
    <row r="3735" spans="1:13" hidden="1" x14ac:dyDescent="0.3">
      <c r="A3735" t="s">
        <v>1279</v>
      </c>
      <c r="B3735">
        <v>32</v>
      </c>
      <c r="C3735" t="s">
        <v>1402</v>
      </c>
      <c r="D3735" t="str">
        <f t="shared" si="290"/>
        <v>29.04.2023</v>
      </c>
      <c r="E3735" s="1">
        <v>0.875</v>
      </c>
      <c r="F3735" t="s">
        <v>20</v>
      </c>
      <c r="G3735" t="s">
        <v>26</v>
      </c>
      <c r="H3735" t="s">
        <v>13</v>
      </c>
      <c r="I3735" t="str">
        <f t="shared" si="291"/>
        <v>-</v>
      </c>
      <c r="J3735" t="str">
        <f t="shared" si="292"/>
        <v/>
      </c>
      <c r="K3735" t="str">
        <f t="shared" si="293"/>
        <v/>
      </c>
      <c r="L3735" t="str">
        <f t="shared" si="294"/>
        <v>Draw</v>
      </c>
      <c r="M3735" t="str">
        <f>IF(COUNTIF($A$2:A3735,A3735)=1,
     VLOOKUP(A3735,Season_Winners!A:B,2,FALSE),
     "")</f>
        <v/>
      </c>
    </row>
    <row r="3736" spans="1:13" hidden="1" x14ac:dyDescent="0.3">
      <c r="A3736" t="s">
        <v>1279</v>
      </c>
      <c r="B3736">
        <v>32</v>
      </c>
      <c r="C3736" t="s">
        <v>1403</v>
      </c>
      <c r="D3736" t="str">
        <f t="shared" si="290"/>
        <v>30.04.2023</v>
      </c>
      <c r="E3736" s="1">
        <v>0.58333333333333337</v>
      </c>
      <c r="F3736" t="s">
        <v>1000</v>
      </c>
      <c r="G3736" t="s">
        <v>16</v>
      </c>
      <c r="H3736" t="s">
        <v>13</v>
      </c>
      <c r="I3736" t="str">
        <f t="shared" si="291"/>
        <v>-</v>
      </c>
      <c r="J3736" t="str">
        <f t="shared" si="292"/>
        <v/>
      </c>
      <c r="K3736" t="str">
        <f t="shared" si="293"/>
        <v/>
      </c>
      <c r="L3736" t="str">
        <f t="shared" si="294"/>
        <v>Draw</v>
      </c>
      <c r="M3736" t="str">
        <f>IF(COUNTIF($A$2:A3736,A3736)=1,
     VLOOKUP(A3736,Season_Winners!A:B,2,FALSE),
     "")</f>
        <v/>
      </c>
    </row>
    <row r="3737" spans="1:13" hidden="1" x14ac:dyDescent="0.3">
      <c r="A3737" t="s">
        <v>1279</v>
      </c>
      <c r="B3737">
        <v>32</v>
      </c>
      <c r="C3737" t="s">
        <v>1403</v>
      </c>
      <c r="D3737" t="str">
        <f t="shared" si="290"/>
        <v>30.04.2023</v>
      </c>
      <c r="E3737" s="1">
        <v>0.67708333333333337</v>
      </c>
      <c r="F3737" t="s">
        <v>34</v>
      </c>
      <c r="G3737" t="s">
        <v>35</v>
      </c>
      <c r="H3737" t="s">
        <v>13</v>
      </c>
      <c r="I3737" t="str">
        <f t="shared" si="291"/>
        <v>-</v>
      </c>
      <c r="J3737" t="str">
        <f t="shared" si="292"/>
        <v/>
      </c>
      <c r="K3737" t="str">
        <f t="shared" si="293"/>
        <v/>
      </c>
      <c r="L3737" t="str">
        <f t="shared" si="294"/>
        <v>Draw</v>
      </c>
      <c r="M3737" t="str">
        <f>IF(COUNTIF($A$2:A3737,A3737)=1,
     VLOOKUP(A3737,Season_Winners!A:B,2,FALSE),
     "")</f>
        <v/>
      </c>
    </row>
    <row r="3738" spans="1:13" hidden="1" x14ac:dyDescent="0.3">
      <c r="A3738" t="s">
        <v>1279</v>
      </c>
      <c r="B3738">
        <v>32</v>
      </c>
      <c r="C3738" t="s">
        <v>1403</v>
      </c>
      <c r="D3738" t="str">
        <f t="shared" si="290"/>
        <v>30.04.2023</v>
      </c>
      <c r="E3738" s="1">
        <v>0.77083333333333337</v>
      </c>
      <c r="F3738" t="s">
        <v>36</v>
      </c>
      <c r="G3738" t="s">
        <v>11</v>
      </c>
      <c r="H3738" t="s">
        <v>13</v>
      </c>
      <c r="I3738" t="str">
        <f t="shared" si="291"/>
        <v>-</v>
      </c>
      <c r="J3738" t="str">
        <f t="shared" si="292"/>
        <v/>
      </c>
      <c r="K3738" t="str">
        <f t="shared" si="293"/>
        <v/>
      </c>
      <c r="L3738" t="str">
        <f t="shared" si="294"/>
        <v>Draw</v>
      </c>
      <c r="M3738" t="str">
        <f>IF(COUNTIF($A$2:A3738,A3738)=1,
     VLOOKUP(A3738,Season_Winners!A:B,2,FALSE),
     "")</f>
        <v/>
      </c>
    </row>
    <row r="3739" spans="1:13" hidden="1" x14ac:dyDescent="0.3">
      <c r="A3739" t="s">
        <v>1279</v>
      </c>
      <c r="B3739">
        <v>32</v>
      </c>
      <c r="C3739" t="s">
        <v>1403</v>
      </c>
      <c r="D3739" t="str">
        <f t="shared" si="290"/>
        <v>30.04.2023</v>
      </c>
      <c r="E3739" s="1">
        <v>0.875</v>
      </c>
      <c r="F3739" t="s">
        <v>14</v>
      </c>
      <c r="G3739" t="s">
        <v>28</v>
      </c>
      <c r="H3739" t="s">
        <v>13</v>
      </c>
      <c r="I3739" t="str">
        <f t="shared" si="291"/>
        <v>-</v>
      </c>
      <c r="J3739" t="str">
        <f t="shared" si="292"/>
        <v/>
      </c>
      <c r="K3739" t="str">
        <f t="shared" si="293"/>
        <v/>
      </c>
      <c r="L3739" t="str">
        <f t="shared" si="294"/>
        <v>Draw</v>
      </c>
      <c r="M3739" t="str">
        <f>IF(COUNTIF($A$2:A3739,A3739)=1,
     VLOOKUP(A3739,Season_Winners!A:B,2,FALSE),
     "")</f>
        <v/>
      </c>
    </row>
    <row r="3740" spans="1:13" hidden="1" x14ac:dyDescent="0.3">
      <c r="A3740" t="s">
        <v>1279</v>
      </c>
      <c r="B3740">
        <v>32</v>
      </c>
      <c r="C3740" t="s">
        <v>1404</v>
      </c>
      <c r="D3740" t="str">
        <f t="shared" si="290"/>
        <v>01.05.2023</v>
      </c>
      <c r="E3740" s="1">
        <v>0.79166666666666663</v>
      </c>
      <c r="F3740" t="s">
        <v>881</v>
      </c>
      <c r="G3740" t="s">
        <v>15</v>
      </c>
      <c r="H3740" t="s">
        <v>13</v>
      </c>
      <c r="I3740" t="str">
        <f t="shared" si="291"/>
        <v>-</v>
      </c>
      <c r="J3740" t="str">
        <f t="shared" si="292"/>
        <v/>
      </c>
      <c r="K3740" t="str">
        <f t="shared" si="293"/>
        <v/>
      </c>
      <c r="L3740" t="str">
        <f t="shared" si="294"/>
        <v>Draw</v>
      </c>
      <c r="M3740" t="str">
        <f>IF(COUNTIF($A$2:A3740,A3740)=1,
     VLOOKUP(A3740,Season_Winners!A:B,2,FALSE),
     "")</f>
        <v/>
      </c>
    </row>
    <row r="3741" spans="1:13" hidden="1" x14ac:dyDescent="0.3">
      <c r="A3741" t="s">
        <v>1279</v>
      </c>
      <c r="B3741">
        <v>32</v>
      </c>
      <c r="C3741" t="s">
        <v>1404</v>
      </c>
      <c r="D3741" t="str">
        <f t="shared" si="290"/>
        <v>01.05.2023</v>
      </c>
      <c r="E3741" s="1">
        <v>0.875</v>
      </c>
      <c r="F3741" t="s">
        <v>27</v>
      </c>
      <c r="G3741" t="s">
        <v>606</v>
      </c>
      <c r="H3741" t="s">
        <v>13</v>
      </c>
      <c r="I3741" t="str">
        <f t="shared" si="291"/>
        <v>-</v>
      </c>
      <c r="J3741" t="str">
        <f t="shared" si="292"/>
        <v/>
      </c>
      <c r="K3741" t="str">
        <f t="shared" si="293"/>
        <v/>
      </c>
      <c r="L3741" t="str">
        <f t="shared" si="294"/>
        <v>Draw</v>
      </c>
      <c r="M3741" t="str">
        <f>IF(COUNTIF($A$2:A3741,A3741)=1,
     VLOOKUP(A3741,Season_Winners!A:B,2,FALSE),
     "")</f>
        <v/>
      </c>
    </row>
    <row r="3742" spans="1:13" hidden="1" x14ac:dyDescent="0.3">
      <c r="A3742" t="s">
        <v>1279</v>
      </c>
      <c r="B3742">
        <v>33</v>
      </c>
      <c r="C3742" t="s">
        <v>1405</v>
      </c>
      <c r="D3742" t="str">
        <f t="shared" si="290"/>
        <v>02.05.2023</v>
      </c>
      <c r="E3742" s="1">
        <v>0.8125</v>
      </c>
      <c r="F3742" t="s">
        <v>20</v>
      </c>
      <c r="G3742" t="s">
        <v>23</v>
      </c>
      <c r="H3742" t="s">
        <v>13</v>
      </c>
      <c r="I3742" t="str">
        <f t="shared" si="291"/>
        <v>-</v>
      </c>
      <c r="J3742" t="str">
        <f t="shared" si="292"/>
        <v/>
      </c>
      <c r="K3742" t="str">
        <f t="shared" si="293"/>
        <v/>
      </c>
      <c r="L3742" t="str">
        <f t="shared" si="294"/>
        <v>Draw</v>
      </c>
      <c r="M3742" t="str">
        <f>IF(COUNTIF($A$2:A3742,A3742)=1,
     VLOOKUP(A3742,Season_Winners!A:B,2,FALSE),
     "")</f>
        <v/>
      </c>
    </row>
    <row r="3743" spans="1:13" hidden="1" x14ac:dyDescent="0.3">
      <c r="A3743" t="s">
        <v>1279</v>
      </c>
      <c r="B3743">
        <v>33</v>
      </c>
      <c r="C3743" t="s">
        <v>1405</v>
      </c>
      <c r="D3743" t="str">
        <f t="shared" si="290"/>
        <v>02.05.2023</v>
      </c>
      <c r="E3743" s="1">
        <v>0.8125</v>
      </c>
      <c r="F3743" t="s">
        <v>33</v>
      </c>
      <c r="G3743" t="s">
        <v>31</v>
      </c>
      <c r="H3743" t="s">
        <v>13</v>
      </c>
      <c r="I3743" t="str">
        <f t="shared" si="291"/>
        <v>-</v>
      </c>
      <c r="J3743" t="str">
        <f t="shared" si="292"/>
        <v/>
      </c>
      <c r="K3743" t="str">
        <f t="shared" si="293"/>
        <v/>
      </c>
      <c r="L3743" t="str">
        <f t="shared" si="294"/>
        <v>Draw</v>
      </c>
      <c r="M3743" t="str">
        <f>IF(COUNTIF($A$2:A3743,A3743)=1,
     VLOOKUP(A3743,Season_Winners!A:B,2,FALSE),
     "")</f>
        <v/>
      </c>
    </row>
    <row r="3744" spans="1:13" hidden="1" x14ac:dyDescent="0.3">
      <c r="A3744" t="s">
        <v>1279</v>
      </c>
      <c r="B3744">
        <v>33</v>
      </c>
      <c r="C3744" t="s">
        <v>1405</v>
      </c>
      <c r="D3744" t="str">
        <f t="shared" si="290"/>
        <v>02.05.2023</v>
      </c>
      <c r="E3744" s="1">
        <v>0.91666666666666663</v>
      </c>
      <c r="F3744" t="s">
        <v>10</v>
      </c>
      <c r="G3744" t="s">
        <v>25</v>
      </c>
      <c r="H3744" t="s">
        <v>13</v>
      </c>
      <c r="I3744" t="str">
        <f t="shared" si="291"/>
        <v>-</v>
      </c>
      <c r="J3744" t="str">
        <f t="shared" si="292"/>
        <v/>
      </c>
      <c r="K3744" t="str">
        <f t="shared" si="293"/>
        <v/>
      </c>
      <c r="L3744" t="str">
        <f t="shared" si="294"/>
        <v>Draw</v>
      </c>
      <c r="M3744" t="str">
        <f>IF(COUNTIF($A$2:A3744,A3744)=1,
     VLOOKUP(A3744,Season_Winners!A:B,2,FALSE),
     "")</f>
        <v/>
      </c>
    </row>
    <row r="3745" spans="1:13" hidden="1" x14ac:dyDescent="0.3">
      <c r="A3745" t="s">
        <v>1279</v>
      </c>
      <c r="B3745">
        <v>33</v>
      </c>
      <c r="C3745" t="s">
        <v>1406</v>
      </c>
      <c r="D3745" t="str">
        <f t="shared" si="290"/>
        <v>03.05.2023</v>
      </c>
      <c r="E3745" s="1">
        <v>0.8125</v>
      </c>
      <c r="F3745" t="s">
        <v>16</v>
      </c>
      <c r="G3745" t="s">
        <v>34</v>
      </c>
      <c r="H3745" t="s">
        <v>13</v>
      </c>
      <c r="I3745" t="str">
        <f t="shared" si="291"/>
        <v>-</v>
      </c>
      <c r="J3745" t="str">
        <f t="shared" si="292"/>
        <v/>
      </c>
      <c r="K3745" t="str">
        <f t="shared" si="293"/>
        <v/>
      </c>
      <c r="L3745" t="str">
        <f t="shared" si="294"/>
        <v>Draw</v>
      </c>
      <c r="M3745" t="str">
        <f>IF(COUNTIF($A$2:A3745,A3745)=1,
     VLOOKUP(A3745,Season_Winners!A:B,2,FALSE),
     "")</f>
        <v/>
      </c>
    </row>
    <row r="3746" spans="1:13" hidden="1" x14ac:dyDescent="0.3">
      <c r="A3746" t="s">
        <v>1279</v>
      </c>
      <c r="B3746">
        <v>33</v>
      </c>
      <c r="C3746" t="s">
        <v>1406</v>
      </c>
      <c r="D3746" t="str">
        <f t="shared" si="290"/>
        <v>03.05.2023</v>
      </c>
      <c r="E3746" s="1">
        <v>0.91666666666666663</v>
      </c>
      <c r="F3746" t="s">
        <v>28</v>
      </c>
      <c r="G3746" t="s">
        <v>1000</v>
      </c>
      <c r="H3746" t="s">
        <v>13</v>
      </c>
      <c r="I3746" t="str">
        <f t="shared" si="291"/>
        <v>-</v>
      </c>
      <c r="J3746" t="str">
        <f t="shared" si="292"/>
        <v/>
      </c>
      <c r="K3746" t="str">
        <f t="shared" si="293"/>
        <v/>
      </c>
      <c r="L3746" t="str">
        <f t="shared" si="294"/>
        <v>Draw</v>
      </c>
      <c r="M3746" t="str">
        <f>IF(COUNTIF($A$2:A3746,A3746)=1,
     VLOOKUP(A3746,Season_Winners!A:B,2,FALSE),
     "")</f>
        <v/>
      </c>
    </row>
    <row r="3747" spans="1:13" hidden="1" x14ac:dyDescent="0.3">
      <c r="A3747" t="s">
        <v>1279</v>
      </c>
      <c r="B3747">
        <v>33</v>
      </c>
      <c r="C3747" t="s">
        <v>1406</v>
      </c>
      <c r="D3747" t="str">
        <f t="shared" si="290"/>
        <v>03.05.2023</v>
      </c>
      <c r="E3747" s="1">
        <v>0.91666666666666663</v>
      </c>
      <c r="F3747" t="s">
        <v>11</v>
      </c>
      <c r="G3747" t="s">
        <v>35</v>
      </c>
      <c r="H3747" t="s">
        <v>13</v>
      </c>
      <c r="I3747" t="str">
        <f t="shared" si="291"/>
        <v>-</v>
      </c>
      <c r="J3747" t="str">
        <f t="shared" si="292"/>
        <v/>
      </c>
      <c r="K3747" t="str">
        <f t="shared" si="293"/>
        <v/>
      </c>
      <c r="L3747" t="str">
        <f t="shared" si="294"/>
        <v>Draw</v>
      </c>
      <c r="M3747" t="str">
        <f>IF(COUNTIF($A$2:A3747,A3747)=1,
     VLOOKUP(A3747,Season_Winners!A:B,2,FALSE),
     "")</f>
        <v/>
      </c>
    </row>
    <row r="3748" spans="1:13" hidden="1" x14ac:dyDescent="0.3">
      <c r="A3748" t="s">
        <v>1279</v>
      </c>
      <c r="B3748">
        <v>33</v>
      </c>
      <c r="C3748" t="s">
        <v>1407</v>
      </c>
      <c r="D3748" t="str">
        <f t="shared" si="290"/>
        <v>04.05.2023</v>
      </c>
      <c r="E3748" s="1">
        <v>0.8125</v>
      </c>
      <c r="F3748" t="s">
        <v>606</v>
      </c>
      <c r="G3748" t="s">
        <v>881</v>
      </c>
      <c r="H3748" t="s">
        <v>13</v>
      </c>
      <c r="I3748" t="str">
        <f t="shared" si="291"/>
        <v>-</v>
      </c>
      <c r="J3748" t="str">
        <f t="shared" si="292"/>
        <v/>
      </c>
      <c r="K3748" t="str">
        <f t="shared" si="293"/>
        <v/>
      </c>
      <c r="L3748" t="str">
        <f t="shared" si="294"/>
        <v>Draw</v>
      </c>
      <c r="M3748" t="str">
        <f>IF(COUNTIF($A$2:A3748,A3748)=1,
     VLOOKUP(A3748,Season_Winners!A:B,2,FALSE),
     "")</f>
        <v/>
      </c>
    </row>
    <row r="3749" spans="1:13" hidden="1" x14ac:dyDescent="0.3">
      <c r="A3749" t="s">
        <v>1279</v>
      </c>
      <c r="B3749">
        <v>33</v>
      </c>
      <c r="C3749" t="s">
        <v>1407</v>
      </c>
      <c r="D3749" t="str">
        <f t="shared" si="290"/>
        <v>04.05.2023</v>
      </c>
      <c r="E3749" s="1">
        <v>0.8125</v>
      </c>
      <c r="F3749" t="s">
        <v>27</v>
      </c>
      <c r="G3749" t="s">
        <v>36</v>
      </c>
      <c r="H3749" t="s">
        <v>13</v>
      </c>
      <c r="I3749" t="str">
        <f t="shared" si="291"/>
        <v>-</v>
      </c>
      <c r="J3749" t="str">
        <f t="shared" si="292"/>
        <v/>
      </c>
      <c r="K3749" t="str">
        <f t="shared" si="293"/>
        <v/>
      </c>
      <c r="L3749" t="str">
        <f t="shared" si="294"/>
        <v>Draw</v>
      </c>
      <c r="M3749" t="str">
        <f>IF(COUNTIF($A$2:A3749,A3749)=1,
     VLOOKUP(A3749,Season_Winners!A:B,2,FALSE),
     "")</f>
        <v/>
      </c>
    </row>
    <row r="3750" spans="1:13" hidden="1" x14ac:dyDescent="0.3">
      <c r="A3750" t="s">
        <v>1279</v>
      </c>
      <c r="B3750">
        <v>33</v>
      </c>
      <c r="C3750" t="s">
        <v>1407</v>
      </c>
      <c r="D3750" t="str">
        <f t="shared" si="290"/>
        <v>04.05.2023</v>
      </c>
      <c r="E3750" s="1">
        <v>0.91666666666666663</v>
      </c>
      <c r="F3750" t="s">
        <v>15</v>
      </c>
      <c r="G3750" t="s">
        <v>26</v>
      </c>
      <c r="H3750" t="s">
        <v>13</v>
      </c>
      <c r="I3750" t="str">
        <f t="shared" si="291"/>
        <v>-</v>
      </c>
      <c r="J3750" t="str">
        <f t="shared" si="292"/>
        <v/>
      </c>
      <c r="K3750" t="str">
        <f t="shared" si="293"/>
        <v/>
      </c>
      <c r="L3750" t="str">
        <f t="shared" si="294"/>
        <v>Draw</v>
      </c>
      <c r="M3750" t="str">
        <f>IF(COUNTIF($A$2:A3750,A3750)=1,
     VLOOKUP(A3750,Season_Winners!A:B,2,FALSE),
     "")</f>
        <v/>
      </c>
    </row>
    <row r="3751" spans="1:13" hidden="1" x14ac:dyDescent="0.3">
      <c r="A3751" t="s">
        <v>1279</v>
      </c>
      <c r="B3751">
        <v>33</v>
      </c>
      <c r="C3751" t="s">
        <v>1407</v>
      </c>
      <c r="D3751" t="str">
        <f t="shared" si="290"/>
        <v>04.05.2023</v>
      </c>
      <c r="E3751" s="1">
        <v>0.91666666666666663</v>
      </c>
      <c r="F3751" t="s">
        <v>30</v>
      </c>
      <c r="G3751" t="s">
        <v>14</v>
      </c>
      <c r="H3751" t="s">
        <v>13</v>
      </c>
      <c r="I3751" t="str">
        <f t="shared" si="291"/>
        <v>-</v>
      </c>
      <c r="J3751" t="str">
        <f t="shared" si="292"/>
        <v/>
      </c>
      <c r="K3751" t="str">
        <f t="shared" si="293"/>
        <v/>
      </c>
      <c r="L3751" t="str">
        <f t="shared" si="294"/>
        <v>Draw</v>
      </c>
      <c r="M3751" t="str">
        <f>IF(COUNTIF($A$2:A3751,A3751)=1,
     VLOOKUP(A3751,Season_Winners!A:B,2,FALSE),
     "")</f>
        <v/>
      </c>
    </row>
    <row r="3752" spans="1:13" hidden="1" x14ac:dyDescent="0.3">
      <c r="A3752" t="s">
        <v>1279</v>
      </c>
      <c r="B3752">
        <v>34</v>
      </c>
      <c r="C3752" t="s">
        <v>1408</v>
      </c>
      <c r="D3752" t="str">
        <f t="shared" si="290"/>
        <v>14.05.2023</v>
      </c>
      <c r="E3752" t="s">
        <v>1018</v>
      </c>
      <c r="F3752" t="s">
        <v>26</v>
      </c>
      <c r="G3752" t="s">
        <v>30</v>
      </c>
      <c r="H3752" t="s">
        <v>13</v>
      </c>
      <c r="I3752" t="str">
        <f t="shared" si="291"/>
        <v>-</v>
      </c>
      <c r="J3752" t="str">
        <f t="shared" si="292"/>
        <v/>
      </c>
      <c r="K3752" t="str">
        <f t="shared" si="293"/>
        <v/>
      </c>
      <c r="L3752" t="str">
        <f t="shared" si="294"/>
        <v>Draw</v>
      </c>
      <c r="M3752" t="str">
        <f>IF(COUNTIF($A$2:A3752,A3752)=1,
     VLOOKUP(A3752,Season_Winners!A:B,2,FALSE),
     "")</f>
        <v/>
      </c>
    </row>
    <row r="3753" spans="1:13" hidden="1" x14ac:dyDescent="0.3">
      <c r="A3753" t="s">
        <v>1279</v>
      </c>
      <c r="B3753">
        <v>34</v>
      </c>
      <c r="C3753" t="s">
        <v>1408</v>
      </c>
      <c r="D3753" t="str">
        <f t="shared" si="290"/>
        <v>14.05.2023</v>
      </c>
      <c r="E3753" t="s">
        <v>1018</v>
      </c>
      <c r="F3753" t="s">
        <v>35</v>
      </c>
      <c r="G3753" t="s">
        <v>16</v>
      </c>
      <c r="H3753" t="s">
        <v>13</v>
      </c>
      <c r="I3753" t="str">
        <f t="shared" si="291"/>
        <v>-</v>
      </c>
      <c r="J3753" t="str">
        <f t="shared" si="292"/>
        <v/>
      </c>
      <c r="K3753" t="str">
        <f t="shared" si="293"/>
        <v/>
      </c>
      <c r="L3753" t="str">
        <f t="shared" si="294"/>
        <v>Draw</v>
      </c>
      <c r="M3753" t="str">
        <f>IF(COUNTIF($A$2:A3753,A3753)=1,
     VLOOKUP(A3753,Season_Winners!A:B,2,FALSE),
     "")</f>
        <v/>
      </c>
    </row>
    <row r="3754" spans="1:13" hidden="1" x14ac:dyDescent="0.3">
      <c r="A3754" t="s">
        <v>1279</v>
      </c>
      <c r="B3754">
        <v>34</v>
      </c>
      <c r="C3754" t="s">
        <v>1408</v>
      </c>
      <c r="D3754" t="str">
        <f t="shared" si="290"/>
        <v>14.05.2023</v>
      </c>
      <c r="E3754" t="s">
        <v>1018</v>
      </c>
      <c r="F3754" t="s">
        <v>34</v>
      </c>
      <c r="G3754" t="s">
        <v>15</v>
      </c>
      <c r="H3754" t="s">
        <v>13</v>
      </c>
      <c r="I3754" t="str">
        <f t="shared" si="291"/>
        <v>-</v>
      </c>
      <c r="J3754" t="str">
        <f t="shared" si="292"/>
        <v/>
      </c>
      <c r="K3754" t="str">
        <f t="shared" si="293"/>
        <v/>
      </c>
      <c r="L3754" t="str">
        <f t="shared" si="294"/>
        <v>Draw</v>
      </c>
      <c r="M3754" t="str">
        <f>IF(COUNTIF($A$2:A3754,A3754)=1,
     VLOOKUP(A3754,Season_Winners!A:B,2,FALSE),
     "")</f>
        <v/>
      </c>
    </row>
    <row r="3755" spans="1:13" hidden="1" x14ac:dyDescent="0.3">
      <c r="A3755" t="s">
        <v>1279</v>
      </c>
      <c r="B3755">
        <v>34</v>
      </c>
      <c r="C3755" t="s">
        <v>1408</v>
      </c>
      <c r="D3755" t="str">
        <f t="shared" si="290"/>
        <v>14.05.2023</v>
      </c>
      <c r="E3755" t="s">
        <v>1018</v>
      </c>
      <c r="F3755" t="s">
        <v>31</v>
      </c>
      <c r="G3755" t="s">
        <v>28</v>
      </c>
      <c r="H3755" t="s">
        <v>13</v>
      </c>
      <c r="I3755" t="str">
        <f t="shared" si="291"/>
        <v>-</v>
      </c>
      <c r="J3755" t="str">
        <f t="shared" si="292"/>
        <v/>
      </c>
      <c r="K3755" t="str">
        <f t="shared" si="293"/>
        <v/>
      </c>
      <c r="L3755" t="str">
        <f t="shared" si="294"/>
        <v>Draw</v>
      </c>
      <c r="M3755" t="str">
        <f>IF(COUNTIF($A$2:A3755,A3755)=1,
     VLOOKUP(A3755,Season_Winners!A:B,2,FALSE),
     "")</f>
        <v/>
      </c>
    </row>
    <row r="3756" spans="1:13" hidden="1" x14ac:dyDescent="0.3">
      <c r="A3756" t="s">
        <v>1279</v>
      </c>
      <c r="B3756">
        <v>34</v>
      </c>
      <c r="C3756" t="s">
        <v>1408</v>
      </c>
      <c r="D3756" t="str">
        <f t="shared" si="290"/>
        <v>14.05.2023</v>
      </c>
      <c r="E3756" t="s">
        <v>1018</v>
      </c>
      <c r="F3756" t="s">
        <v>36</v>
      </c>
      <c r="G3756" t="s">
        <v>20</v>
      </c>
      <c r="H3756" t="s">
        <v>13</v>
      </c>
      <c r="I3756" t="str">
        <f t="shared" si="291"/>
        <v>-</v>
      </c>
      <c r="J3756" t="str">
        <f t="shared" si="292"/>
        <v/>
      </c>
      <c r="K3756" t="str">
        <f t="shared" si="293"/>
        <v/>
      </c>
      <c r="L3756" t="str">
        <f t="shared" si="294"/>
        <v>Draw</v>
      </c>
      <c r="M3756" t="str">
        <f>IF(COUNTIF($A$2:A3756,A3756)=1,
     VLOOKUP(A3756,Season_Winners!A:B,2,FALSE),
     "")</f>
        <v/>
      </c>
    </row>
    <row r="3757" spans="1:13" hidden="1" x14ac:dyDescent="0.3">
      <c r="A3757" t="s">
        <v>1279</v>
      </c>
      <c r="B3757">
        <v>34</v>
      </c>
      <c r="C3757" t="s">
        <v>1408</v>
      </c>
      <c r="D3757" t="str">
        <f t="shared" si="290"/>
        <v>14.05.2023</v>
      </c>
      <c r="E3757" t="s">
        <v>1018</v>
      </c>
      <c r="F3757" t="s">
        <v>25</v>
      </c>
      <c r="G3757" t="s">
        <v>11</v>
      </c>
      <c r="H3757" t="s">
        <v>13</v>
      </c>
      <c r="I3757" t="str">
        <f t="shared" si="291"/>
        <v>-</v>
      </c>
      <c r="J3757" t="str">
        <f t="shared" si="292"/>
        <v/>
      </c>
      <c r="K3757" t="str">
        <f t="shared" si="293"/>
        <v/>
      </c>
      <c r="L3757" t="str">
        <f t="shared" si="294"/>
        <v>Draw</v>
      </c>
      <c r="M3757" t="str">
        <f>IF(COUNTIF($A$2:A3757,A3757)=1,
     VLOOKUP(A3757,Season_Winners!A:B,2,FALSE),
     "")</f>
        <v/>
      </c>
    </row>
    <row r="3758" spans="1:13" hidden="1" x14ac:dyDescent="0.3">
      <c r="A3758" t="s">
        <v>1279</v>
      </c>
      <c r="B3758">
        <v>34</v>
      </c>
      <c r="C3758" t="s">
        <v>1408</v>
      </c>
      <c r="D3758" t="str">
        <f t="shared" si="290"/>
        <v>14.05.2023</v>
      </c>
      <c r="E3758" t="s">
        <v>1018</v>
      </c>
      <c r="F3758" t="s">
        <v>881</v>
      </c>
      <c r="G3758" t="s">
        <v>1000</v>
      </c>
      <c r="H3758" t="s">
        <v>13</v>
      </c>
      <c r="I3758" t="str">
        <f t="shared" si="291"/>
        <v>-</v>
      </c>
      <c r="J3758" t="str">
        <f t="shared" si="292"/>
        <v/>
      </c>
      <c r="K3758" t="str">
        <f t="shared" si="293"/>
        <v/>
      </c>
      <c r="L3758" t="str">
        <f t="shared" si="294"/>
        <v>Draw</v>
      </c>
      <c r="M3758" t="str">
        <f>IF(COUNTIF($A$2:A3758,A3758)=1,
     VLOOKUP(A3758,Season_Winners!A:B,2,FALSE),
     "")</f>
        <v/>
      </c>
    </row>
    <row r="3759" spans="1:13" hidden="1" x14ac:dyDescent="0.3">
      <c r="A3759" t="s">
        <v>1279</v>
      </c>
      <c r="B3759">
        <v>34</v>
      </c>
      <c r="C3759" t="s">
        <v>1408</v>
      </c>
      <c r="D3759" t="str">
        <f t="shared" si="290"/>
        <v>14.05.2023</v>
      </c>
      <c r="E3759" t="s">
        <v>1018</v>
      </c>
      <c r="F3759" t="s">
        <v>14</v>
      </c>
      <c r="G3759" t="s">
        <v>27</v>
      </c>
      <c r="H3759" t="s">
        <v>13</v>
      </c>
      <c r="I3759" t="str">
        <f t="shared" si="291"/>
        <v>-</v>
      </c>
      <c r="J3759" t="str">
        <f t="shared" si="292"/>
        <v/>
      </c>
      <c r="K3759" t="str">
        <f t="shared" si="293"/>
        <v/>
      </c>
      <c r="L3759" t="str">
        <f t="shared" si="294"/>
        <v>Draw</v>
      </c>
      <c r="M3759" t="str">
        <f>IF(COUNTIF($A$2:A3759,A3759)=1,
     VLOOKUP(A3759,Season_Winners!A:B,2,FALSE),
     "")</f>
        <v/>
      </c>
    </row>
    <row r="3760" spans="1:13" hidden="1" x14ac:dyDescent="0.3">
      <c r="A3760" t="s">
        <v>1279</v>
      </c>
      <c r="B3760">
        <v>34</v>
      </c>
      <c r="C3760" t="s">
        <v>1408</v>
      </c>
      <c r="D3760" t="str">
        <f t="shared" si="290"/>
        <v>14.05.2023</v>
      </c>
      <c r="E3760" t="s">
        <v>1018</v>
      </c>
      <c r="F3760" t="s">
        <v>23</v>
      </c>
      <c r="G3760" t="s">
        <v>33</v>
      </c>
      <c r="H3760" t="s">
        <v>13</v>
      </c>
      <c r="I3760" t="str">
        <f t="shared" si="291"/>
        <v>-</v>
      </c>
      <c r="J3760" t="str">
        <f t="shared" si="292"/>
        <v/>
      </c>
      <c r="K3760" t="str">
        <f t="shared" si="293"/>
        <v/>
      </c>
      <c r="L3760" t="str">
        <f t="shared" si="294"/>
        <v>Draw</v>
      </c>
      <c r="M3760" t="str">
        <f>IF(COUNTIF($A$2:A3760,A3760)=1,
     VLOOKUP(A3760,Season_Winners!A:B,2,FALSE),
     "")</f>
        <v/>
      </c>
    </row>
    <row r="3761" spans="1:13" hidden="1" x14ac:dyDescent="0.3">
      <c r="A3761" t="s">
        <v>1279</v>
      </c>
      <c r="B3761">
        <v>34</v>
      </c>
      <c r="C3761" t="s">
        <v>1408</v>
      </c>
      <c r="D3761" t="str">
        <f t="shared" si="290"/>
        <v>14.05.2023</v>
      </c>
      <c r="E3761" t="s">
        <v>1018</v>
      </c>
      <c r="F3761" t="s">
        <v>10</v>
      </c>
      <c r="G3761" t="s">
        <v>606</v>
      </c>
      <c r="H3761" t="s">
        <v>13</v>
      </c>
      <c r="I3761" t="str">
        <f t="shared" si="291"/>
        <v>-</v>
      </c>
      <c r="J3761" t="str">
        <f t="shared" si="292"/>
        <v/>
      </c>
      <c r="K3761" t="str">
        <f t="shared" si="293"/>
        <v/>
      </c>
      <c r="L3761" t="str">
        <f t="shared" si="294"/>
        <v>Draw</v>
      </c>
      <c r="M3761" t="str">
        <f>IF(COUNTIF($A$2:A3761,A3761)=1,
     VLOOKUP(A3761,Season_Winners!A:B,2,FALSE),
     "")</f>
        <v/>
      </c>
    </row>
    <row r="3762" spans="1:13" hidden="1" x14ac:dyDescent="0.3">
      <c r="A3762" t="s">
        <v>1279</v>
      </c>
      <c r="B3762">
        <v>35</v>
      </c>
      <c r="C3762" t="s">
        <v>1409</v>
      </c>
      <c r="D3762" t="str">
        <f t="shared" si="290"/>
        <v>21.05.2023</v>
      </c>
      <c r="E3762" t="s">
        <v>1018</v>
      </c>
      <c r="F3762" t="s">
        <v>15</v>
      </c>
      <c r="G3762" t="s">
        <v>35</v>
      </c>
      <c r="H3762" t="s">
        <v>13</v>
      </c>
      <c r="I3762" t="str">
        <f t="shared" si="291"/>
        <v>-</v>
      </c>
      <c r="J3762" t="str">
        <f t="shared" si="292"/>
        <v/>
      </c>
      <c r="K3762" t="str">
        <f t="shared" si="293"/>
        <v/>
      </c>
      <c r="L3762" t="str">
        <f t="shared" si="294"/>
        <v>Draw</v>
      </c>
      <c r="M3762" t="str">
        <f>IF(COUNTIF($A$2:A3762,A3762)=1,
     VLOOKUP(A3762,Season_Winners!A:B,2,FALSE),
     "")</f>
        <v/>
      </c>
    </row>
    <row r="3763" spans="1:13" hidden="1" x14ac:dyDescent="0.3">
      <c r="A3763" t="s">
        <v>1279</v>
      </c>
      <c r="B3763">
        <v>35</v>
      </c>
      <c r="C3763" t="s">
        <v>1409</v>
      </c>
      <c r="D3763" t="str">
        <f t="shared" si="290"/>
        <v>21.05.2023</v>
      </c>
      <c r="E3763" t="s">
        <v>1018</v>
      </c>
      <c r="F3763" t="s">
        <v>28</v>
      </c>
      <c r="G3763" t="s">
        <v>23</v>
      </c>
      <c r="H3763" t="s">
        <v>13</v>
      </c>
      <c r="I3763" t="str">
        <f t="shared" si="291"/>
        <v>-</v>
      </c>
      <c r="J3763" t="str">
        <f t="shared" si="292"/>
        <v/>
      </c>
      <c r="K3763" t="str">
        <f t="shared" si="293"/>
        <v/>
      </c>
      <c r="L3763" t="str">
        <f t="shared" si="294"/>
        <v>Draw</v>
      </c>
      <c r="M3763" t="str">
        <f>IF(COUNTIF($A$2:A3763,A3763)=1,
     VLOOKUP(A3763,Season_Winners!A:B,2,FALSE),
     "")</f>
        <v/>
      </c>
    </row>
    <row r="3764" spans="1:13" hidden="1" x14ac:dyDescent="0.3">
      <c r="A3764" t="s">
        <v>1279</v>
      </c>
      <c r="B3764">
        <v>35</v>
      </c>
      <c r="C3764" t="s">
        <v>1409</v>
      </c>
      <c r="D3764" t="str">
        <f t="shared" si="290"/>
        <v>21.05.2023</v>
      </c>
      <c r="E3764" t="s">
        <v>1018</v>
      </c>
      <c r="F3764" t="s">
        <v>20</v>
      </c>
      <c r="G3764" t="s">
        <v>10</v>
      </c>
      <c r="H3764" t="s">
        <v>13</v>
      </c>
      <c r="I3764" t="str">
        <f t="shared" si="291"/>
        <v>-</v>
      </c>
      <c r="J3764" t="str">
        <f t="shared" si="292"/>
        <v/>
      </c>
      <c r="K3764" t="str">
        <f t="shared" si="293"/>
        <v/>
      </c>
      <c r="L3764" t="str">
        <f t="shared" si="294"/>
        <v>Draw</v>
      </c>
      <c r="M3764" t="str">
        <f>IF(COUNTIF($A$2:A3764,A3764)=1,
     VLOOKUP(A3764,Season_Winners!A:B,2,FALSE),
     "")</f>
        <v/>
      </c>
    </row>
    <row r="3765" spans="1:13" hidden="1" x14ac:dyDescent="0.3">
      <c r="A3765" t="s">
        <v>1279</v>
      </c>
      <c r="B3765">
        <v>35</v>
      </c>
      <c r="C3765" t="s">
        <v>1409</v>
      </c>
      <c r="D3765" t="str">
        <f t="shared" si="290"/>
        <v>21.05.2023</v>
      </c>
      <c r="E3765" t="s">
        <v>1018</v>
      </c>
      <c r="F3765" t="s">
        <v>1000</v>
      </c>
      <c r="G3765" t="s">
        <v>14</v>
      </c>
      <c r="H3765" t="s">
        <v>13</v>
      </c>
      <c r="I3765" t="str">
        <f t="shared" si="291"/>
        <v>-</v>
      </c>
      <c r="J3765" t="str">
        <f t="shared" si="292"/>
        <v/>
      </c>
      <c r="K3765" t="str">
        <f t="shared" si="293"/>
        <v/>
      </c>
      <c r="L3765" t="str">
        <f t="shared" si="294"/>
        <v>Draw</v>
      </c>
      <c r="M3765" t="str">
        <f>IF(COUNTIF($A$2:A3765,A3765)=1,
     VLOOKUP(A3765,Season_Winners!A:B,2,FALSE),
     "")</f>
        <v/>
      </c>
    </row>
    <row r="3766" spans="1:13" hidden="1" x14ac:dyDescent="0.3">
      <c r="A3766" t="s">
        <v>1279</v>
      </c>
      <c r="B3766">
        <v>35</v>
      </c>
      <c r="C3766" t="s">
        <v>1409</v>
      </c>
      <c r="D3766" t="str">
        <f t="shared" si="290"/>
        <v>21.05.2023</v>
      </c>
      <c r="E3766" t="s">
        <v>1018</v>
      </c>
      <c r="F3766" t="s">
        <v>33</v>
      </c>
      <c r="G3766" t="s">
        <v>881</v>
      </c>
      <c r="H3766" t="s">
        <v>13</v>
      </c>
      <c r="I3766" t="str">
        <f t="shared" si="291"/>
        <v>-</v>
      </c>
      <c r="J3766" t="str">
        <f t="shared" si="292"/>
        <v/>
      </c>
      <c r="K3766" t="str">
        <f t="shared" si="293"/>
        <v/>
      </c>
      <c r="L3766" t="str">
        <f t="shared" si="294"/>
        <v>Draw</v>
      </c>
      <c r="M3766" t="str">
        <f>IF(COUNTIF($A$2:A3766,A3766)=1,
     VLOOKUP(A3766,Season_Winners!A:B,2,FALSE),
     "")</f>
        <v/>
      </c>
    </row>
    <row r="3767" spans="1:13" hidden="1" x14ac:dyDescent="0.3">
      <c r="A3767" t="s">
        <v>1279</v>
      </c>
      <c r="B3767">
        <v>35</v>
      </c>
      <c r="C3767" t="s">
        <v>1409</v>
      </c>
      <c r="D3767" t="str">
        <f t="shared" si="290"/>
        <v>21.05.2023</v>
      </c>
      <c r="E3767" t="s">
        <v>1018</v>
      </c>
      <c r="F3767" t="s">
        <v>606</v>
      </c>
      <c r="G3767" t="s">
        <v>34</v>
      </c>
      <c r="H3767" t="s">
        <v>13</v>
      </c>
      <c r="I3767" t="str">
        <f t="shared" si="291"/>
        <v>-</v>
      </c>
      <c r="J3767" t="str">
        <f t="shared" si="292"/>
        <v/>
      </c>
      <c r="K3767" t="str">
        <f t="shared" si="293"/>
        <v/>
      </c>
      <c r="L3767" t="str">
        <f t="shared" si="294"/>
        <v>Draw</v>
      </c>
      <c r="M3767" t="str">
        <f>IF(COUNTIF($A$2:A3767,A3767)=1,
     VLOOKUP(A3767,Season_Winners!A:B,2,FALSE),
     "")</f>
        <v/>
      </c>
    </row>
    <row r="3768" spans="1:13" hidden="1" x14ac:dyDescent="0.3">
      <c r="A3768" t="s">
        <v>1279</v>
      </c>
      <c r="B3768">
        <v>35</v>
      </c>
      <c r="C3768" t="s">
        <v>1409</v>
      </c>
      <c r="D3768" t="str">
        <f t="shared" si="290"/>
        <v>21.05.2023</v>
      </c>
      <c r="E3768" t="s">
        <v>1018</v>
      </c>
      <c r="F3768" t="s">
        <v>27</v>
      </c>
      <c r="G3768" t="s">
        <v>26</v>
      </c>
      <c r="H3768" t="s">
        <v>13</v>
      </c>
      <c r="I3768" t="str">
        <f t="shared" si="291"/>
        <v>-</v>
      </c>
      <c r="J3768" t="str">
        <f t="shared" si="292"/>
        <v/>
      </c>
      <c r="K3768" t="str">
        <f t="shared" si="293"/>
        <v/>
      </c>
      <c r="L3768" t="str">
        <f t="shared" si="294"/>
        <v>Draw</v>
      </c>
      <c r="M3768" t="str">
        <f>IF(COUNTIF($A$2:A3768,A3768)=1,
     VLOOKUP(A3768,Season_Winners!A:B,2,FALSE),
     "")</f>
        <v/>
      </c>
    </row>
    <row r="3769" spans="1:13" hidden="1" x14ac:dyDescent="0.3">
      <c r="A3769" t="s">
        <v>1279</v>
      </c>
      <c r="B3769">
        <v>35</v>
      </c>
      <c r="C3769" t="s">
        <v>1409</v>
      </c>
      <c r="D3769" t="str">
        <f t="shared" si="290"/>
        <v>21.05.2023</v>
      </c>
      <c r="E3769" t="s">
        <v>1018</v>
      </c>
      <c r="F3769" t="s">
        <v>11</v>
      </c>
      <c r="G3769" t="s">
        <v>31</v>
      </c>
      <c r="H3769" t="s">
        <v>13</v>
      </c>
      <c r="I3769" t="str">
        <f t="shared" si="291"/>
        <v>-</v>
      </c>
      <c r="J3769" t="str">
        <f t="shared" si="292"/>
        <v/>
      </c>
      <c r="K3769" t="str">
        <f t="shared" si="293"/>
        <v/>
      </c>
      <c r="L3769" t="str">
        <f t="shared" si="294"/>
        <v>Draw</v>
      </c>
      <c r="M3769" t="str">
        <f>IF(COUNTIF($A$2:A3769,A3769)=1,
     VLOOKUP(A3769,Season_Winners!A:B,2,FALSE),
     "")</f>
        <v/>
      </c>
    </row>
    <row r="3770" spans="1:13" hidden="1" x14ac:dyDescent="0.3">
      <c r="A3770" t="s">
        <v>1279</v>
      </c>
      <c r="B3770">
        <v>35</v>
      </c>
      <c r="C3770" t="s">
        <v>1409</v>
      </c>
      <c r="D3770" t="str">
        <f t="shared" si="290"/>
        <v>21.05.2023</v>
      </c>
      <c r="E3770" t="s">
        <v>1018</v>
      </c>
      <c r="F3770" t="s">
        <v>30</v>
      </c>
      <c r="G3770" t="s">
        <v>36</v>
      </c>
      <c r="H3770" t="s">
        <v>13</v>
      </c>
      <c r="I3770" t="str">
        <f t="shared" si="291"/>
        <v>-</v>
      </c>
      <c r="J3770" t="str">
        <f t="shared" si="292"/>
        <v/>
      </c>
      <c r="K3770" t="str">
        <f t="shared" si="293"/>
        <v/>
      </c>
      <c r="L3770" t="str">
        <f t="shared" si="294"/>
        <v>Draw</v>
      </c>
      <c r="M3770" t="str">
        <f>IF(COUNTIF($A$2:A3770,A3770)=1,
     VLOOKUP(A3770,Season_Winners!A:B,2,FALSE),
     "")</f>
        <v/>
      </c>
    </row>
    <row r="3771" spans="1:13" hidden="1" x14ac:dyDescent="0.3">
      <c r="A3771" t="s">
        <v>1279</v>
      </c>
      <c r="B3771">
        <v>35</v>
      </c>
      <c r="C3771" t="s">
        <v>1409</v>
      </c>
      <c r="D3771" t="str">
        <f t="shared" si="290"/>
        <v>21.05.2023</v>
      </c>
      <c r="E3771" t="s">
        <v>1018</v>
      </c>
      <c r="F3771" t="s">
        <v>16</v>
      </c>
      <c r="G3771" t="s">
        <v>25</v>
      </c>
      <c r="H3771" t="s">
        <v>13</v>
      </c>
      <c r="I3771" t="str">
        <f t="shared" si="291"/>
        <v>-</v>
      </c>
      <c r="J3771" t="str">
        <f t="shared" si="292"/>
        <v/>
      </c>
      <c r="K3771" t="str">
        <f t="shared" si="293"/>
        <v/>
      </c>
      <c r="L3771" t="str">
        <f t="shared" si="294"/>
        <v>Draw</v>
      </c>
      <c r="M3771" t="str">
        <f>IF(COUNTIF($A$2:A3771,A3771)=1,
     VLOOKUP(A3771,Season_Winners!A:B,2,FALSE),
     "")</f>
        <v/>
      </c>
    </row>
    <row r="3772" spans="1:13" hidden="1" x14ac:dyDescent="0.3">
      <c r="A3772" t="s">
        <v>1279</v>
      </c>
      <c r="B3772">
        <v>36</v>
      </c>
      <c r="C3772" t="s">
        <v>1410</v>
      </c>
      <c r="D3772" t="str">
        <f t="shared" si="290"/>
        <v>24.05.2023</v>
      </c>
      <c r="E3772" t="s">
        <v>1018</v>
      </c>
      <c r="F3772" t="s">
        <v>26</v>
      </c>
      <c r="G3772" t="s">
        <v>11</v>
      </c>
      <c r="H3772" t="s">
        <v>13</v>
      </c>
      <c r="I3772" t="str">
        <f t="shared" si="291"/>
        <v>-</v>
      </c>
      <c r="J3772" t="str">
        <f t="shared" si="292"/>
        <v/>
      </c>
      <c r="K3772" t="str">
        <f t="shared" si="293"/>
        <v/>
      </c>
      <c r="L3772" t="str">
        <f t="shared" si="294"/>
        <v>Draw</v>
      </c>
      <c r="M3772" t="str">
        <f>IF(COUNTIF($A$2:A3772,A3772)=1,
     VLOOKUP(A3772,Season_Winners!A:B,2,FALSE),
     "")</f>
        <v/>
      </c>
    </row>
    <row r="3773" spans="1:13" hidden="1" x14ac:dyDescent="0.3">
      <c r="A3773" t="s">
        <v>1279</v>
      </c>
      <c r="B3773">
        <v>36</v>
      </c>
      <c r="C3773" t="s">
        <v>1410</v>
      </c>
      <c r="D3773" t="str">
        <f t="shared" si="290"/>
        <v>24.05.2023</v>
      </c>
      <c r="E3773" t="s">
        <v>1018</v>
      </c>
      <c r="F3773" t="s">
        <v>35</v>
      </c>
      <c r="G3773" t="s">
        <v>606</v>
      </c>
      <c r="H3773" t="s">
        <v>13</v>
      </c>
      <c r="I3773" t="str">
        <f t="shared" si="291"/>
        <v>-</v>
      </c>
      <c r="J3773" t="str">
        <f t="shared" si="292"/>
        <v/>
      </c>
      <c r="K3773" t="str">
        <f t="shared" si="293"/>
        <v/>
      </c>
      <c r="L3773" t="str">
        <f t="shared" si="294"/>
        <v>Draw</v>
      </c>
      <c r="M3773" t="str">
        <f>IF(COUNTIF($A$2:A3773,A3773)=1,
     VLOOKUP(A3773,Season_Winners!A:B,2,FALSE),
     "")</f>
        <v/>
      </c>
    </row>
    <row r="3774" spans="1:13" hidden="1" x14ac:dyDescent="0.3">
      <c r="A3774" t="s">
        <v>1279</v>
      </c>
      <c r="B3774">
        <v>36</v>
      </c>
      <c r="C3774" t="s">
        <v>1410</v>
      </c>
      <c r="D3774" t="str">
        <f t="shared" si="290"/>
        <v>24.05.2023</v>
      </c>
      <c r="E3774" t="s">
        <v>1018</v>
      </c>
      <c r="F3774" t="s">
        <v>31</v>
      </c>
      <c r="G3774" t="s">
        <v>27</v>
      </c>
      <c r="H3774" t="s">
        <v>13</v>
      </c>
      <c r="I3774" t="str">
        <f t="shared" si="291"/>
        <v>-</v>
      </c>
      <c r="J3774" t="str">
        <f t="shared" si="292"/>
        <v/>
      </c>
      <c r="K3774" t="str">
        <f t="shared" si="293"/>
        <v/>
      </c>
      <c r="L3774" t="str">
        <f t="shared" si="294"/>
        <v>Draw</v>
      </c>
      <c r="M3774" t="str">
        <f>IF(COUNTIF($A$2:A3774,A3774)=1,
     VLOOKUP(A3774,Season_Winners!A:B,2,FALSE),
     "")</f>
        <v/>
      </c>
    </row>
    <row r="3775" spans="1:13" hidden="1" x14ac:dyDescent="0.3">
      <c r="A3775" t="s">
        <v>1279</v>
      </c>
      <c r="B3775">
        <v>36</v>
      </c>
      <c r="C3775" t="s">
        <v>1410</v>
      </c>
      <c r="D3775" t="str">
        <f t="shared" si="290"/>
        <v>24.05.2023</v>
      </c>
      <c r="E3775" t="s">
        <v>1018</v>
      </c>
      <c r="F3775" t="s">
        <v>881</v>
      </c>
      <c r="G3775" t="s">
        <v>16</v>
      </c>
      <c r="H3775" t="s">
        <v>13</v>
      </c>
      <c r="I3775" t="str">
        <f t="shared" si="291"/>
        <v>-</v>
      </c>
      <c r="J3775" t="str">
        <f t="shared" si="292"/>
        <v/>
      </c>
      <c r="K3775" t="str">
        <f t="shared" si="293"/>
        <v/>
      </c>
      <c r="L3775" t="str">
        <f t="shared" si="294"/>
        <v>Draw</v>
      </c>
      <c r="M3775" t="str">
        <f>IF(COUNTIF($A$2:A3775,A3775)=1,
     VLOOKUP(A3775,Season_Winners!A:B,2,FALSE),
     "")</f>
        <v/>
      </c>
    </row>
    <row r="3776" spans="1:13" hidden="1" x14ac:dyDescent="0.3">
      <c r="A3776" t="s">
        <v>1279</v>
      </c>
      <c r="B3776">
        <v>36</v>
      </c>
      <c r="C3776" t="s">
        <v>1410</v>
      </c>
      <c r="D3776" t="str">
        <f t="shared" si="290"/>
        <v>24.05.2023</v>
      </c>
      <c r="E3776" t="s">
        <v>1018</v>
      </c>
      <c r="F3776" t="s">
        <v>23</v>
      </c>
      <c r="G3776" t="s">
        <v>15</v>
      </c>
      <c r="H3776" t="s">
        <v>13</v>
      </c>
      <c r="I3776" t="str">
        <f t="shared" si="291"/>
        <v>-</v>
      </c>
      <c r="J3776" t="str">
        <f t="shared" si="292"/>
        <v/>
      </c>
      <c r="K3776" t="str">
        <f t="shared" si="293"/>
        <v/>
      </c>
      <c r="L3776" t="str">
        <f t="shared" si="294"/>
        <v>Draw</v>
      </c>
      <c r="M3776" t="str">
        <f>IF(COUNTIF($A$2:A3776,A3776)=1,
     VLOOKUP(A3776,Season_Winners!A:B,2,FALSE),
     "")</f>
        <v/>
      </c>
    </row>
    <row r="3777" spans="1:13" hidden="1" x14ac:dyDescent="0.3">
      <c r="A3777" t="s">
        <v>1279</v>
      </c>
      <c r="B3777">
        <v>36</v>
      </c>
      <c r="C3777" t="s">
        <v>1410</v>
      </c>
      <c r="D3777" t="str">
        <f t="shared" si="290"/>
        <v>24.05.2023</v>
      </c>
      <c r="E3777" t="s">
        <v>1018</v>
      </c>
      <c r="F3777" t="s">
        <v>36</v>
      </c>
      <c r="G3777" t="s">
        <v>28</v>
      </c>
      <c r="H3777" t="s">
        <v>13</v>
      </c>
      <c r="I3777" t="str">
        <f t="shared" si="291"/>
        <v>-</v>
      </c>
      <c r="J3777" t="str">
        <f t="shared" si="292"/>
        <v/>
      </c>
      <c r="K3777" t="str">
        <f t="shared" si="293"/>
        <v/>
      </c>
      <c r="L3777" t="str">
        <f t="shared" si="294"/>
        <v>Draw</v>
      </c>
      <c r="M3777" t="str">
        <f>IF(COUNTIF($A$2:A3777,A3777)=1,
     VLOOKUP(A3777,Season_Winners!A:B,2,FALSE),
     "")</f>
        <v/>
      </c>
    </row>
    <row r="3778" spans="1:13" hidden="1" x14ac:dyDescent="0.3">
      <c r="A3778" t="s">
        <v>1279</v>
      </c>
      <c r="B3778">
        <v>36</v>
      </c>
      <c r="C3778" t="s">
        <v>1410</v>
      </c>
      <c r="D3778" t="str">
        <f t="shared" ref="D3778:D3801" si="295">RIGHT(C3778,10)</f>
        <v>24.05.2023</v>
      </c>
      <c r="E3778" t="s">
        <v>1018</v>
      </c>
      <c r="F3778" t="s">
        <v>14</v>
      </c>
      <c r="G3778" t="s">
        <v>20</v>
      </c>
      <c r="H3778" t="s">
        <v>13</v>
      </c>
      <c r="I3778" t="str">
        <f t="shared" ref="I3778:I3841" si="296">IF(ISNUMBER(SEARCH("-",H3778)),H3778,"")</f>
        <v>-</v>
      </c>
      <c r="J3778" t="str">
        <f t="shared" ref="J3778:J3841" si="297">IF(I3778="","",LEFT(I3778,FIND("-",I3778)-1))</f>
        <v/>
      </c>
      <c r="K3778" t="str">
        <f t="shared" ref="K3778:K3801" si="298">IF(I3778="","",RIGHT(I3778,LEN(I3778)-FIND("-",I3778)))</f>
        <v/>
      </c>
      <c r="L3778" t="str">
        <f t="shared" ref="L3778:L3841" si="299">IF(I3778="","",IF(J3778&gt;K3778,F3778,IF(K3778&gt;J3778,G3778,"Draw")))</f>
        <v>Draw</v>
      </c>
      <c r="M3778" t="str">
        <f>IF(COUNTIF($A$2:A3778,A3778)=1,
     VLOOKUP(A3778,Season_Winners!A:B,2,FALSE),
     "")</f>
        <v/>
      </c>
    </row>
    <row r="3779" spans="1:13" hidden="1" x14ac:dyDescent="0.3">
      <c r="A3779" t="s">
        <v>1279</v>
      </c>
      <c r="B3779">
        <v>36</v>
      </c>
      <c r="C3779" t="s">
        <v>1410</v>
      </c>
      <c r="D3779" t="str">
        <f t="shared" si="295"/>
        <v>24.05.2023</v>
      </c>
      <c r="E3779" t="s">
        <v>1018</v>
      </c>
      <c r="F3779" t="s">
        <v>34</v>
      </c>
      <c r="G3779" t="s">
        <v>1000</v>
      </c>
      <c r="H3779" t="s">
        <v>13</v>
      </c>
      <c r="I3779" t="str">
        <f t="shared" si="296"/>
        <v>-</v>
      </c>
      <c r="J3779" t="str">
        <f t="shared" si="297"/>
        <v/>
      </c>
      <c r="K3779" t="str">
        <f t="shared" si="298"/>
        <v/>
      </c>
      <c r="L3779" t="str">
        <f t="shared" si="299"/>
        <v>Draw</v>
      </c>
      <c r="M3779" t="str">
        <f>IF(COUNTIF($A$2:A3779,A3779)=1,
     VLOOKUP(A3779,Season_Winners!A:B,2,FALSE),
     "")</f>
        <v/>
      </c>
    </row>
    <row r="3780" spans="1:13" hidden="1" x14ac:dyDescent="0.3">
      <c r="A3780" t="s">
        <v>1279</v>
      </c>
      <c r="B3780">
        <v>36</v>
      </c>
      <c r="C3780" t="s">
        <v>1410</v>
      </c>
      <c r="D3780" t="str">
        <f t="shared" si="295"/>
        <v>24.05.2023</v>
      </c>
      <c r="E3780" t="s">
        <v>1018</v>
      </c>
      <c r="F3780" t="s">
        <v>25</v>
      </c>
      <c r="G3780" t="s">
        <v>30</v>
      </c>
      <c r="H3780" t="s">
        <v>13</v>
      </c>
      <c r="I3780" t="str">
        <f t="shared" si="296"/>
        <v>-</v>
      </c>
      <c r="J3780" t="str">
        <f t="shared" si="297"/>
        <v/>
      </c>
      <c r="K3780" t="str">
        <f t="shared" si="298"/>
        <v/>
      </c>
      <c r="L3780" t="str">
        <f t="shared" si="299"/>
        <v>Draw</v>
      </c>
      <c r="M3780" t="str">
        <f>IF(COUNTIF($A$2:A3780,A3780)=1,
     VLOOKUP(A3780,Season_Winners!A:B,2,FALSE),
     "")</f>
        <v/>
      </c>
    </row>
    <row r="3781" spans="1:13" hidden="1" x14ac:dyDescent="0.3">
      <c r="A3781" t="s">
        <v>1279</v>
      </c>
      <c r="B3781">
        <v>36</v>
      </c>
      <c r="C3781" t="s">
        <v>1410</v>
      </c>
      <c r="D3781" t="str">
        <f t="shared" si="295"/>
        <v>24.05.2023</v>
      </c>
      <c r="E3781" t="s">
        <v>1018</v>
      </c>
      <c r="F3781" t="s">
        <v>10</v>
      </c>
      <c r="G3781" t="s">
        <v>33</v>
      </c>
      <c r="H3781" t="s">
        <v>13</v>
      </c>
      <c r="I3781" t="str">
        <f t="shared" si="296"/>
        <v>-</v>
      </c>
      <c r="J3781" t="str">
        <f t="shared" si="297"/>
        <v/>
      </c>
      <c r="K3781" t="str">
        <f t="shared" si="298"/>
        <v/>
      </c>
      <c r="L3781" t="str">
        <f t="shared" si="299"/>
        <v>Draw</v>
      </c>
      <c r="M3781" t="str">
        <f>IF(COUNTIF($A$2:A3781,A3781)=1,
     VLOOKUP(A3781,Season_Winners!A:B,2,FALSE),
     "")</f>
        <v/>
      </c>
    </row>
    <row r="3782" spans="1:13" hidden="1" x14ac:dyDescent="0.3">
      <c r="A3782" t="s">
        <v>1279</v>
      </c>
      <c r="B3782">
        <v>37</v>
      </c>
      <c r="C3782" t="s">
        <v>1411</v>
      </c>
      <c r="D3782" t="str">
        <f t="shared" si="295"/>
        <v>28.05.2023</v>
      </c>
      <c r="E3782" t="s">
        <v>1018</v>
      </c>
      <c r="F3782" t="s">
        <v>15</v>
      </c>
      <c r="G3782" t="s">
        <v>31</v>
      </c>
      <c r="H3782" t="s">
        <v>13</v>
      </c>
      <c r="I3782" t="str">
        <f t="shared" si="296"/>
        <v>-</v>
      </c>
      <c r="J3782" t="str">
        <f t="shared" si="297"/>
        <v/>
      </c>
      <c r="K3782" t="str">
        <f t="shared" si="298"/>
        <v/>
      </c>
      <c r="L3782" t="str">
        <f t="shared" si="299"/>
        <v>Draw</v>
      </c>
      <c r="M3782" t="str">
        <f>IF(COUNTIF($A$2:A3782,A3782)=1,
     VLOOKUP(A3782,Season_Winners!A:B,2,FALSE),
     "")</f>
        <v/>
      </c>
    </row>
    <row r="3783" spans="1:13" hidden="1" x14ac:dyDescent="0.3">
      <c r="A3783" t="s">
        <v>1279</v>
      </c>
      <c r="B3783">
        <v>37</v>
      </c>
      <c r="C3783" t="s">
        <v>1411</v>
      </c>
      <c r="D3783" t="str">
        <f t="shared" si="295"/>
        <v>28.05.2023</v>
      </c>
      <c r="E3783" t="s">
        <v>1018</v>
      </c>
      <c r="F3783" t="s">
        <v>28</v>
      </c>
      <c r="G3783" t="s">
        <v>10</v>
      </c>
      <c r="H3783" t="s">
        <v>13</v>
      </c>
      <c r="I3783" t="str">
        <f t="shared" si="296"/>
        <v>-</v>
      </c>
      <c r="J3783" t="str">
        <f t="shared" si="297"/>
        <v/>
      </c>
      <c r="K3783" t="str">
        <f t="shared" si="298"/>
        <v/>
      </c>
      <c r="L3783" t="str">
        <f t="shared" si="299"/>
        <v>Draw</v>
      </c>
      <c r="M3783" t="str">
        <f>IF(COUNTIF($A$2:A3783,A3783)=1,
     VLOOKUP(A3783,Season_Winners!A:B,2,FALSE),
     "")</f>
        <v/>
      </c>
    </row>
    <row r="3784" spans="1:13" hidden="1" x14ac:dyDescent="0.3">
      <c r="A3784" t="s">
        <v>1279</v>
      </c>
      <c r="B3784">
        <v>37</v>
      </c>
      <c r="C3784" t="s">
        <v>1411</v>
      </c>
      <c r="D3784" t="str">
        <f t="shared" si="295"/>
        <v>28.05.2023</v>
      </c>
      <c r="E3784" t="s">
        <v>1018</v>
      </c>
      <c r="F3784" t="s">
        <v>20</v>
      </c>
      <c r="G3784" t="s">
        <v>881</v>
      </c>
      <c r="H3784" t="s">
        <v>13</v>
      </c>
      <c r="I3784" t="str">
        <f t="shared" si="296"/>
        <v>-</v>
      </c>
      <c r="J3784" t="str">
        <f t="shared" si="297"/>
        <v/>
      </c>
      <c r="K3784" t="str">
        <f t="shared" si="298"/>
        <v/>
      </c>
      <c r="L3784" t="str">
        <f t="shared" si="299"/>
        <v>Draw</v>
      </c>
      <c r="M3784" t="str">
        <f>IF(COUNTIF($A$2:A3784,A3784)=1,
     VLOOKUP(A3784,Season_Winners!A:B,2,FALSE),
     "")</f>
        <v/>
      </c>
    </row>
    <row r="3785" spans="1:13" hidden="1" x14ac:dyDescent="0.3">
      <c r="A3785" t="s">
        <v>1279</v>
      </c>
      <c r="B3785">
        <v>37</v>
      </c>
      <c r="C3785" t="s">
        <v>1411</v>
      </c>
      <c r="D3785" t="str">
        <f t="shared" si="295"/>
        <v>28.05.2023</v>
      </c>
      <c r="E3785" t="s">
        <v>1018</v>
      </c>
      <c r="F3785" t="s">
        <v>11</v>
      </c>
      <c r="G3785" t="s">
        <v>23</v>
      </c>
      <c r="H3785" t="s">
        <v>13</v>
      </c>
      <c r="I3785" t="str">
        <f t="shared" si="296"/>
        <v>-</v>
      </c>
      <c r="J3785" t="str">
        <f t="shared" si="297"/>
        <v/>
      </c>
      <c r="K3785" t="str">
        <f t="shared" si="298"/>
        <v/>
      </c>
      <c r="L3785" t="str">
        <f t="shared" si="299"/>
        <v>Draw</v>
      </c>
      <c r="M3785" t="str">
        <f>IF(COUNTIF($A$2:A3785,A3785)=1,
     VLOOKUP(A3785,Season_Winners!A:B,2,FALSE),
     "")</f>
        <v/>
      </c>
    </row>
    <row r="3786" spans="1:13" hidden="1" x14ac:dyDescent="0.3">
      <c r="A3786" t="s">
        <v>1279</v>
      </c>
      <c r="B3786">
        <v>37</v>
      </c>
      <c r="C3786" t="s">
        <v>1411</v>
      </c>
      <c r="D3786" t="str">
        <f t="shared" si="295"/>
        <v>28.05.2023</v>
      </c>
      <c r="E3786" t="s">
        <v>1018</v>
      </c>
      <c r="F3786" t="s">
        <v>1000</v>
      </c>
      <c r="G3786" t="s">
        <v>35</v>
      </c>
      <c r="H3786" t="s">
        <v>13</v>
      </c>
      <c r="I3786" t="str">
        <f t="shared" si="296"/>
        <v>-</v>
      </c>
      <c r="J3786" t="str">
        <f t="shared" si="297"/>
        <v/>
      </c>
      <c r="K3786" t="str">
        <f t="shared" si="298"/>
        <v/>
      </c>
      <c r="L3786" t="str">
        <f t="shared" si="299"/>
        <v>Draw</v>
      </c>
      <c r="M3786" t="str">
        <f>IF(COUNTIF($A$2:A3786,A3786)=1,
     VLOOKUP(A3786,Season_Winners!A:B,2,FALSE),
     "")</f>
        <v/>
      </c>
    </row>
    <row r="3787" spans="1:13" hidden="1" x14ac:dyDescent="0.3">
      <c r="A3787" t="s">
        <v>1279</v>
      </c>
      <c r="B3787">
        <v>37</v>
      </c>
      <c r="C3787" t="s">
        <v>1411</v>
      </c>
      <c r="D3787" t="str">
        <f t="shared" si="295"/>
        <v>28.05.2023</v>
      </c>
      <c r="E3787" t="s">
        <v>1018</v>
      </c>
      <c r="F3787" t="s">
        <v>30</v>
      </c>
      <c r="G3787" t="s">
        <v>34</v>
      </c>
      <c r="H3787" t="s">
        <v>13</v>
      </c>
      <c r="I3787" t="str">
        <f t="shared" si="296"/>
        <v>-</v>
      </c>
      <c r="J3787" t="str">
        <f t="shared" si="297"/>
        <v/>
      </c>
      <c r="K3787" t="str">
        <f t="shared" si="298"/>
        <v/>
      </c>
      <c r="L3787" t="str">
        <f t="shared" si="299"/>
        <v>Draw</v>
      </c>
      <c r="M3787" t="str">
        <f>IF(COUNTIF($A$2:A3787,A3787)=1,
     VLOOKUP(A3787,Season_Winners!A:B,2,FALSE),
     "")</f>
        <v/>
      </c>
    </row>
    <row r="3788" spans="1:13" hidden="1" x14ac:dyDescent="0.3">
      <c r="A3788" t="s">
        <v>1279</v>
      </c>
      <c r="B3788">
        <v>37</v>
      </c>
      <c r="C3788" t="s">
        <v>1411</v>
      </c>
      <c r="D3788" t="str">
        <f t="shared" si="295"/>
        <v>28.05.2023</v>
      </c>
      <c r="E3788" t="s">
        <v>1018</v>
      </c>
      <c r="F3788" t="s">
        <v>33</v>
      </c>
      <c r="G3788" t="s">
        <v>14</v>
      </c>
      <c r="H3788" t="s">
        <v>13</v>
      </c>
      <c r="I3788" t="str">
        <f t="shared" si="296"/>
        <v>-</v>
      </c>
      <c r="J3788" t="str">
        <f t="shared" si="297"/>
        <v/>
      </c>
      <c r="K3788" t="str">
        <f t="shared" si="298"/>
        <v/>
      </c>
      <c r="L3788" t="str">
        <f t="shared" si="299"/>
        <v>Draw</v>
      </c>
      <c r="M3788" t="str">
        <f>IF(COUNTIF($A$2:A3788,A3788)=1,
     VLOOKUP(A3788,Season_Winners!A:B,2,FALSE),
     "")</f>
        <v/>
      </c>
    </row>
    <row r="3789" spans="1:13" hidden="1" x14ac:dyDescent="0.3">
      <c r="A3789" t="s">
        <v>1279</v>
      </c>
      <c r="B3789">
        <v>37</v>
      </c>
      <c r="C3789" t="s">
        <v>1411</v>
      </c>
      <c r="D3789" t="str">
        <f t="shared" si="295"/>
        <v>28.05.2023</v>
      </c>
      <c r="E3789" t="s">
        <v>1018</v>
      </c>
      <c r="F3789" t="s">
        <v>606</v>
      </c>
      <c r="G3789" t="s">
        <v>26</v>
      </c>
      <c r="H3789" t="s">
        <v>13</v>
      </c>
      <c r="I3789" t="str">
        <f t="shared" si="296"/>
        <v>-</v>
      </c>
      <c r="J3789" t="str">
        <f t="shared" si="297"/>
        <v/>
      </c>
      <c r="K3789" t="str">
        <f t="shared" si="298"/>
        <v/>
      </c>
      <c r="L3789" t="str">
        <f t="shared" si="299"/>
        <v>Draw</v>
      </c>
      <c r="M3789" t="str">
        <f>IF(COUNTIF($A$2:A3789,A3789)=1,
     VLOOKUP(A3789,Season_Winners!A:B,2,FALSE),
     "")</f>
        <v/>
      </c>
    </row>
    <row r="3790" spans="1:13" hidden="1" x14ac:dyDescent="0.3">
      <c r="A3790" t="s">
        <v>1279</v>
      </c>
      <c r="B3790">
        <v>37</v>
      </c>
      <c r="C3790" t="s">
        <v>1411</v>
      </c>
      <c r="D3790" t="str">
        <f t="shared" si="295"/>
        <v>28.05.2023</v>
      </c>
      <c r="E3790" t="s">
        <v>1018</v>
      </c>
      <c r="F3790" t="s">
        <v>16</v>
      </c>
      <c r="G3790" t="s">
        <v>36</v>
      </c>
      <c r="H3790" t="s">
        <v>13</v>
      </c>
      <c r="I3790" t="str">
        <f t="shared" si="296"/>
        <v>-</v>
      </c>
      <c r="J3790" t="str">
        <f t="shared" si="297"/>
        <v/>
      </c>
      <c r="K3790" t="str">
        <f t="shared" si="298"/>
        <v/>
      </c>
      <c r="L3790" t="str">
        <f t="shared" si="299"/>
        <v>Draw</v>
      </c>
      <c r="M3790" t="str">
        <f>IF(COUNTIF($A$2:A3790,A3790)=1,
     VLOOKUP(A3790,Season_Winners!A:B,2,FALSE),
     "")</f>
        <v/>
      </c>
    </row>
    <row r="3791" spans="1:13" hidden="1" x14ac:dyDescent="0.3">
      <c r="A3791" t="s">
        <v>1279</v>
      </c>
      <c r="B3791">
        <v>37</v>
      </c>
      <c r="C3791" t="s">
        <v>1411</v>
      </c>
      <c r="D3791" t="str">
        <f t="shared" si="295"/>
        <v>28.05.2023</v>
      </c>
      <c r="E3791" t="s">
        <v>1018</v>
      </c>
      <c r="F3791" t="s">
        <v>27</v>
      </c>
      <c r="G3791" t="s">
        <v>25</v>
      </c>
      <c r="H3791" t="s">
        <v>13</v>
      </c>
      <c r="I3791" t="str">
        <f t="shared" si="296"/>
        <v>-</v>
      </c>
      <c r="J3791" t="str">
        <f t="shared" si="297"/>
        <v/>
      </c>
      <c r="K3791" t="str">
        <f t="shared" si="298"/>
        <v/>
      </c>
      <c r="L3791" t="str">
        <f t="shared" si="299"/>
        <v>Draw</v>
      </c>
      <c r="M3791" t="str">
        <f>IF(COUNTIF($A$2:A3791,A3791)=1,
     VLOOKUP(A3791,Season_Winners!A:B,2,FALSE),
     "")</f>
        <v/>
      </c>
    </row>
    <row r="3792" spans="1:13" hidden="1" x14ac:dyDescent="0.3">
      <c r="A3792" t="s">
        <v>1279</v>
      </c>
      <c r="B3792">
        <v>38</v>
      </c>
      <c r="C3792" t="s">
        <v>1412</v>
      </c>
      <c r="D3792" t="str">
        <f t="shared" si="295"/>
        <v>04.06.2023</v>
      </c>
      <c r="E3792" t="s">
        <v>1018</v>
      </c>
      <c r="F3792" t="s">
        <v>26</v>
      </c>
      <c r="G3792" t="s">
        <v>16</v>
      </c>
      <c r="H3792" t="s">
        <v>13</v>
      </c>
      <c r="I3792" t="str">
        <f t="shared" si="296"/>
        <v>-</v>
      </c>
      <c r="J3792" t="str">
        <f t="shared" si="297"/>
        <v/>
      </c>
      <c r="K3792" t="str">
        <f t="shared" si="298"/>
        <v/>
      </c>
      <c r="L3792" t="str">
        <f t="shared" si="299"/>
        <v>Draw</v>
      </c>
      <c r="M3792" t="str">
        <f>IF(COUNTIF($A$2:A3792,A3792)=1,
     VLOOKUP(A3792,Season_Winners!A:B,2,FALSE),
     "")</f>
        <v/>
      </c>
    </row>
    <row r="3793" spans="1:13" hidden="1" x14ac:dyDescent="0.3">
      <c r="A3793" t="s">
        <v>1279</v>
      </c>
      <c r="B3793">
        <v>38</v>
      </c>
      <c r="C3793" t="s">
        <v>1412</v>
      </c>
      <c r="D3793" t="str">
        <f t="shared" si="295"/>
        <v>04.06.2023</v>
      </c>
      <c r="E3793" t="s">
        <v>1018</v>
      </c>
      <c r="F3793" t="s">
        <v>881</v>
      </c>
      <c r="G3793" t="s">
        <v>30</v>
      </c>
      <c r="H3793" t="s">
        <v>13</v>
      </c>
      <c r="I3793" t="str">
        <f t="shared" si="296"/>
        <v>-</v>
      </c>
      <c r="J3793" t="str">
        <f t="shared" si="297"/>
        <v/>
      </c>
      <c r="K3793" t="str">
        <f t="shared" si="298"/>
        <v/>
      </c>
      <c r="L3793" t="str">
        <f t="shared" si="299"/>
        <v>Draw</v>
      </c>
      <c r="M3793" t="str">
        <f>IF(COUNTIF($A$2:A3793,A3793)=1,
     VLOOKUP(A3793,Season_Winners!A:B,2,FALSE),
     "")</f>
        <v/>
      </c>
    </row>
    <row r="3794" spans="1:13" hidden="1" x14ac:dyDescent="0.3">
      <c r="A3794" t="s">
        <v>1279</v>
      </c>
      <c r="B3794">
        <v>38</v>
      </c>
      <c r="C3794" t="s">
        <v>1412</v>
      </c>
      <c r="D3794" t="str">
        <f t="shared" si="295"/>
        <v>04.06.2023</v>
      </c>
      <c r="E3794" t="s">
        <v>1018</v>
      </c>
      <c r="F3794" t="s">
        <v>10</v>
      </c>
      <c r="G3794" t="s">
        <v>27</v>
      </c>
      <c r="H3794" t="s">
        <v>13</v>
      </c>
      <c r="I3794" t="str">
        <f t="shared" si="296"/>
        <v>-</v>
      </c>
      <c r="J3794" t="str">
        <f t="shared" si="297"/>
        <v/>
      </c>
      <c r="K3794" t="str">
        <f t="shared" si="298"/>
        <v/>
      </c>
      <c r="L3794" t="str">
        <f t="shared" si="299"/>
        <v>Draw</v>
      </c>
      <c r="M3794" t="str">
        <f>IF(COUNTIF($A$2:A3794,A3794)=1,
     VLOOKUP(A3794,Season_Winners!A:B,2,FALSE),
     "")</f>
        <v/>
      </c>
    </row>
    <row r="3795" spans="1:13" hidden="1" x14ac:dyDescent="0.3">
      <c r="A3795" t="s">
        <v>1279</v>
      </c>
      <c r="B3795">
        <v>38</v>
      </c>
      <c r="C3795" t="s">
        <v>1412</v>
      </c>
      <c r="D3795" t="str">
        <f t="shared" si="295"/>
        <v>04.06.2023</v>
      </c>
      <c r="E3795" t="s">
        <v>1018</v>
      </c>
      <c r="F3795" t="s">
        <v>25</v>
      </c>
      <c r="G3795" t="s">
        <v>15</v>
      </c>
      <c r="H3795" t="s">
        <v>13</v>
      </c>
      <c r="I3795" t="str">
        <f t="shared" si="296"/>
        <v>-</v>
      </c>
      <c r="J3795" t="str">
        <f t="shared" si="297"/>
        <v/>
      </c>
      <c r="K3795" t="str">
        <f t="shared" si="298"/>
        <v/>
      </c>
      <c r="L3795" t="str">
        <f t="shared" si="299"/>
        <v>Draw</v>
      </c>
      <c r="M3795" t="str">
        <f>IF(COUNTIF($A$2:A3795,A3795)=1,
     VLOOKUP(A3795,Season_Winners!A:B,2,FALSE),
     "")</f>
        <v/>
      </c>
    </row>
    <row r="3796" spans="1:13" hidden="1" x14ac:dyDescent="0.3">
      <c r="A3796" t="s">
        <v>1279</v>
      </c>
      <c r="B3796">
        <v>38</v>
      </c>
      <c r="C3796" t="s">
        <v>1412</v>
      </c>
      <c r="D3796" t="str">
        <f t="shared" si="295"/>
        <v>04.06.2023</v>
      </c>
      <c r="E3796" t="s">
        <v>1018</v>
      </c>
      <c r="F3796" t="s">
        <v>34</v>
      </c>
      <c r="G3796" t="s">
        <v>28</v>
      </c>
      <c r="H3796" t="s">
        <v>13</v>
      </c>
      <c r="I3796" t="str">
        <f t="shared" si="296"/>
        <v>-</v>
      </c>
      <c r="J3796" t="str">
        <f t="shared" si="297"/>
        <v/>
      </c>
      <c r="K3796" t="str">
        <f t="shared" si="298"/>
        <v/>
      </c>
      <c r="L3796" t="str">
        <f t="shared" si="299"/>
        <v>Draw</v>
      </c>
      <c r="M3796" t="str">
        <f>IF(COUNTIF($A$2:A3796,A3796)=1,
     VLOOKUP(A3796,Season_Winners!A:B,2,FALSE),
     "")</f>
        <v/>
      </c>
    </row>
    <row r="3797" spans="1:13" hidden="1" x14ac:dyDescent="0.3">
      <c r="A3797" t="s">
        <v>1279</v>
      </c>
      <c r="B3797">
        <v>38</v>
      </c>
      <c r="C3797" t="s">
        <v>1412</v>
      </c>
      <c r="D3797" t="str">
        <f t="shared" si="295"/>
        <v>04.06.2023</v>
      </c>
      <c r="E3797" t="s">
        <v>1018</v>
      </c>
      <c r="F3797" t="s">
        <v>35</v>
      </c>
      <c r="G3797" t="s">
        <v>20</v>
      </c>
      <c r="H3797" t="s">
        <v>13</v>
      </c>
      <c r="I3797" t="str">
        <f t="shared" si="296"/>
        <v>-</v>
      </c>
      <c r="J3797" t="str">
        <f t="shared" si="297"/>
        <v/>
      </c>
      <c r="K3797" t="str">
        <f t="shared" si="298"/>
        <v/>
      </c>
      <c r="L3797" t="str">
        <f t="shared" si="299"/>
        <v>Draw</v>
      </c>
      <c r="M3797" t="str">
        <f>IF(COUNTIF($A$2:A3797,A3797)=1,
     VLOOKUP(A3797,Season_Winners!A:B,2,FALSE),
     "")</f>
        <v/>
      </c>
    </row>
    <row r="3798" spans="1:13" hidden="1" x14ac:dyDescent="0.3">
      <c r="A3798" t="s">
        <v>1279</v>
      </c>
      <c r="B3798">
        <v>38</v>
      </c>
      <c r="C3798" t="s">
        <v>1412</v>
      </c>
      <c r="D3798" t="str">
        <f t="shared" si="295"/>
        <v>04.06.2023</v>
      </c>
      <c r="E3798" t="s">
        <v>1018</v>
      </c>
      <c r="F3798" t="s">
        <v>14</v>
      </c>
      <c r="G3798" t="s">
        <v>11</v>
      </c>
      <c r="H3798" t="s">
        <v>13</v>
      </c>
      <c r="I3798" t="str">
        <f t="shared" si="296"/>
        <v>-</v>
      </c>
      <c r="J3798" t="str">
        <f t="shared" si="297"/>
        <v/>
      </c>
      <c r="K3798" t="str">
        <f t="shared" si="298"/>
        <v/>
      </c>
      <c r="L3798" t="str">
        <f t="shared" si="299"/>
        <v>Draw</v>
      </c>
      <c r="M3798" t="str">
        <f>IF(COUNTIF($A$2:A3798,A3798)=1,
     VLOOKUP(A3798,Season_Winners!A:B,2,FALSE),
     "")</f>
        <v/>
      </c>
    </row>
    <row r="3799" spans="1:13" hidden="1" x14ac:dyDescent="0.3">
      <c r="A3799" t="s">
        <v>1279</v>
      </c>
      <c r="B3799">
        <v>38</v>
      </c>
      <c r="C3799" t="s">
        <v>1412</v>
      </c>
      <c r="D3799" t="str">
        <f t="shared" si="295"/>
        <v>04.06.2023</v>
      </c>
      <c r="E3799" t="s">
        <v>1018</v>
      </c>
      <c r="F3799" t="s">
        <v>31</v>
      </c>
      <c r="G3799" t="s">
        <v>1000</v>
      </c>
      <c r="H3799" t="s">
        <v>13</v>
      </c>
      <c r="I3799" t="str">
        <f t="shared" si="296"/>
        <v>-</v>
      </c>
      <c r="J3799" t="str">
        <f t="shared" si="297"/>
        <v/>
      </c>
      <c r="K3799" t="str">
        <f t="shared" si="298"/>
        <v/>
      </c>
      <c r="L3799" t="str">
        <f t="shared" si="299"/>
        <v>Draw</v>
      </c>
      <c r="M3799" t="str">
        <f>IF(COUNTIF($A$2:A3799,A3799)=1,
     VLOOKUP(A3799,Season_Winners!A:B,2,FALSE),
     "")</f>
        <v/>
      </c>
    </row>
    <row r="3800" spans="1:13" hidden="1" x14ac:dyDescent="0.3">
      <c r="A3800" t="s">
        <v>1279</v>
      </c>
      <c r="B3800">
        <v>38</v>
      </c>
      <c r="C3800" t="s">
        <v>1412</v>
      </c>
      <c r="D3800" t="str">
        <f t="shared" si="295"/>
        <v>04.06.2023</v>
      </c>
      <c r="E3800" t="s">
        <v>1018</v>
      </c>
      <c r="F3800" t="s">
        <v>36</v>
      </c>
      <c r="G3800" t="s">
        <v>33</v>
      </c>
      <c r="H3800" t="s">
        <v>13</v>
      </c>
      <c r="I3800" t="str">
        <f t="shared" si="296"/>
        <v>-</v>
      </c>
      <c r="J3800" t="str">
        <f t="shared" si="297"/>
        <v/>
      </c>
      <c r="K3800" t="str">
        <f t="shared" si="298"/>
        <v/>
      </c>
      <c r="L3800" t="str">
        <f t="shared" si="299"/>
        <v>Draw</v>
      </c>
      <c r="M3800" t="str">
        <f>IF(COUNTIF($A$2:A3800,A3800)=1,
     VLOOKUP(A3800,Season_Winners!A:B,2,FALSE),
     "")</f>
        <v/>
      </c>
    </row>
    <row r="3801" spans="1:13" hidden="1" x14ac:dyDescent="0.3">
      <c r="A3801" t="s">
        <v>1279</v>
      </c>
      <c r="B3801">
        <v>38</v>
      </c>
      <c r="C3801" t="s">
        <v>1412</v>
      </c>
      <c r="D3801" t="str">
        <f t="shared" si="295"/>
        <v>04.06.2023</v>
      </c>
      <c r="E3801" t="s">
        <v>1018</v>
      </c>
      <c r="F3801" t="s">
        <v>23</v>
      </c>
      <c r="G3801" t="s">
        <v>606</v>
      </c>
      <c r="H3801" t="s">
        <v>13</v>
      </c>
      <c r="I3801" t="str">
        <f t="shared" si="296"/>
        <v>-</v>
      </c>
      <c r="J3801" t="str">
        <f t="shared" si="297"/>
        <v/>
      </c>
      <c r="K3801" t="str">
        <f t="shared" si="298"/>
        <v/>
      </c>
      <c r="L3801" t="str">
        <f t="shared" si="299"/>
        <v>Draw</v>
      </c>
      <c r="M3801" t="str">
        <f>IF(COUNTIF($A$2:A3801,A3801)=1,
     VLOOKUP(A3801,Season_Winners!A:B,2,FALSE),
     "")</f>
        <v/>
      </c>
    </row>
  </sheetData>
  <pageMargins left="0.7" right="0.7" top="0.75" bottom="0.75" header="0.3" footer="0.3"/>
  <ignoredErrors>
    <ignoredError sqref="M1148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ECB0-128A-4C4F-8281-FC5A1C81901E}">
  <dimension ref="A1:B11"/>
  <sheetViews>
    <sheetView workbookViewId="0">
      <selection activeCell="B10" sqref="B10"/>
    </sheetView>
  </sheetViews>
  <sheetFormatPr defaultRowHeight="14.4" x14ac:dyDescent="0.3"/>
  <cols>
    <col min="1" max="1" width="7.6640625" bestFit="1" customWidth="1"/>
    <col min="2" max="2" width="29" customWidth="1"/>
  </cols>
  <sheetData>
    <row r="1" spans="1:2" x14ac:dyDescent="0.3">
      <c r="A1" t="s">
        <v>1415</v>
      </c>
      <c r="B1" t="s">
        <v>1426</v>
      </c>
    </row>
    <row r="2" spans="1:2" x14ac:dyDescent="0.3">
      <c r="A2" s="4" t="s">
        <v>8</v>
      </c>
      <c r="B2" s="4" t="s">
        <v>1425</v>
      </c>
    </row>
    <row r="3" spans="1:2" x14ac:dyDescent="0.3">
      <c r="A3" s="4" t="s">
        <v>179</v>
      </c>
      <c r="B3" s="4" t="s">
        <v>20</v>
      </c>
    </row>
    <row r="4" spans="1:2" x14ac:dyDescent="0.3">
      <c r="A4" s="4" t="s">
        <v>335</v>
      </c>
      <c r="B4" s="4" t="s">
        <v>20</v>
      </c>
    </row>
    <row r="5" spans="1:2" x14ac:dyDescent="0.3">
      <c r="A5" s="4" t="s">
        <v>460</v>
      </c>
      <c r="B5" s="4" t="s">
        <v>25</v>
      </c>
    </row>
    <row r="6" spans="1:2" x14ac:dyDescent="0.3">
      <c r="A6" s="4" t="s">
        <v>603</v>
      </c>
      <c r="B6" s="4" t="s">
        <v>20</v>
      </c>
    </row>
    <row r="7" spans="1:2" x14ac:dyDescent="0.3">
      <c r="A7" s="4" t="s">
        <v>745</v>
      </c>
      <c r="B7" s="4" t="s">
        <v>20</v>
      </c>
    </row>
    <row r="8" spans="1:2" x14ac:dyDescent="0.3">
      <c r="A8" s="4" t="s">
        <v>878</v>
      </c>
      <c r="B8" s="4" t="s">
        <v>25</v>
      </c>
    </row>
    <row r="9" spans="1:2" x14ac:dyDescent="0.3">
      <c r="A9" s="4" t="s">
        <v>998</v>
      </c>
      <c r="B9" s="4" t="s">
        <v>1425</v>
      </c>
    </row>
    <row r="10" spans="1:2" x14ac:dyDescent="0.3">
      <c r="A10" s="4" t="s">
        <v>1138</v>
      </c>
      <c r="B10" s="4" t="s">
        <v>25</v>
      </c>
    </row>
    <row r="11" spans="1:2" x14ac:dyDescent="0.3">
      <c r="A11" s="4" t="s">
        <v>1279</v>
      </c>
      <c r="B11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Raw_La_Liga data</vt:lpstr>
      <vt:lpstr>Cleaned_Liga_Data</vt:lpstr>
      <vt:lpstr>Season_Winners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</dc:creator>
  <cp:lastModifiedBy>Rohan Solanki</cp:lastModifiedBy>
  <dcterms:created xsi:type="dcterms:W3CDTF">2026-01-17T04:27:29Z</dcterms:created>
  <dcterms:modified xsi:type="dcterms:W3CDTF">2026-01-17T05:09:20Z</dcterms:modified>
</cp:coreProperties>
</file>